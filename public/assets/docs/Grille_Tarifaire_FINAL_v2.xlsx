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17" activeTab="21" autoFilterDateGrouping="1"/>
  </bookViews>
  <sheets>
    <sheet xmlns:r="http://schemas.openxmlformats.org/officeDocument/2006/relationships" name="Audit Global d'Entreprise" sheetId="1" state="visible" r:id="rId1"/>
    <sheet xmlns:r="http://schemas.openxmlformats.org/officeDocument/2006/relationships" name="Audit Conformité (RGPD, ISO…)" sheetId="2" state="visible" r:id="rId2"/>
    <sheet xmlns:r="http://schemas.openxmlformats.org/officeDocument/2006/relationships" name="Accompagnement Conformité" sheetId="3" state="visible" r:id="rId3"/>
    <sheet xmlns:r="http://schemas.openxmlformats.org/officeDocument/2006/relationships" name="SMQ - Qualité" sheetId="4" state="visible" r:id="rId4"/>
    <sheet xmlns:r="http://schemas.openxmlformats.org/officeDocument/2006/relationships" name="Structuration organisationnelle" sheetId="5" state="visible" r:id="rId5"/>
    <sheet xmlns:r="http://schemas.openxmlformats.org/officeDocument/2006/relationships" name="Accompagnement RSE" sheetId="6" state="visible" r:id="rId6"/>
    <sheet xmlns:r="http://schemas.openxmlformats.org/officeDocument/2006/relationships" name="Conseil stratégique" sheetId="7" state="visible" r:id="rId7"/>
    <sheet xmlns:r="http://schemas.openxmlformats.org/officeDocument/2006/relationships" name="Audit &amp; Sécurisation SI" sheetId="8" state="visible" r:id="rId8"/>
    <sheet xmlns:r="http://schemas.openxmlformats.org/officeDocument/2006/relationships" name="Dev logiciel sur mesure" sheetId="9" state="visible" r:id="rId9"/>
    <sheet xmlns:r="http://schemas.openxmlformats.org/officeDocument/2006/relationships" name="Création ERP - CRM" sheetId="10" state="visible" r:id="rId10"/>
    <sheet xmlns:r="http://schemas.openxmlformats.org/officeDocument/2006/relationships" name="Dev applications métiers" sheetId="11" state="visible" r:id="rId11"/>
    <sheet xmlns:r="http://schemas.openxmlformats.org/officeDocument/2006/relationships" name="Création sites web" sheetId="12" state="visible" r:id="rId12"/>
    <sheet xmlns:r="http://schemas.openxmlformats.org/officeDocument/2006/relationships" name="Hébergement &amp; Infrastructure" sheetId="13" state="visible" r:id="rId13"/>
    <sheet xmlns:r="http://schemas.openxmlformats.org/officeDocument/2006/relationships" name="Maintenance &amp; Support" sheetId="14" state="visible" r:id="rId14"/>
    <sheet xmlns:r="http://schemas.openxmlformats.org/officeDocument/2006/relationships" name="Automatisation &amp; Interconnexion" sheetId="15" state="visible" r:id="rId15"/>
    <sheet xmlns:r="http://schemas.openxmlformats.org/officeDocument/2006/relationships" name="Stratégie Digitale Globale" sheetId="16" state="visible" r:id="rId16"/>
    <sheet xmlns:r="http://schemas.openxmlformats.org/officeDocument/2006/relationships" name="Tunnel de conversion" sheetId="17" state="visible" r:id="rId17"/>
    <sheet xmlns:r="http://schemas.openxmlformats.org/officeDocument/2006/relationships" name="Pilotage commercial digital" sheetId="18" state="visible" r:id="rId18"/>
    <sheet xmlns:r="http://schemas.openxmlformats.org/officeDocument/2006/relationships" name="Analyse performance (KPI)" sheetId="19" state="visible" r:id="rId19"/>
    <sheet xmlns:r="http://schemas.openxmlformats.org/officeDocument/2006/relationships" name="Structuration marketing" sheetId="20" state="visible" r:id="rId20"/>
    <sheet xmlns:r="http://schemas.openxmlformats.org/officeDocument/2006/relationships" name="SEO &amp; Optimisation site" sheetId="21" state="visible" r:id="rId21"/>
    <sheet xmlns:r="http://schemas.openxmlformats.org/officeDocument/2006/relationships" name="Maintenance corrective" sheetId="22" state="visible" r:id="rId22"/>
    <sheet xmlns:r="http://schemas.openxmlformats.org/officeDocument/2006/relationships" name="Maintenance évolutive" sheetId="23" state="visible" r:id="rId23"/>
    <sheet xmlns:r="http://schemas.openxmlformats.org/officeDocument/2006/relationships" name="Support technique" sheetId="24" state="visible" r:id="rId24"/>
    <sheet xmlns:r="http://schemas.openxmlformats.org/officeDocument/2006/relationships" name="Debug (sites, logiciels)" sheetId="25" state="visible" r:id="rId25"/>
    <sheet xmlns:r="http://schemas.openxmlformats.org/officeDocument/2006/relationships" name="Infogérance - Gestion serveurs" sheetId="26" state="visible" r:id="rId26"/>
    <sheet xmlns:r="http://schemas.openxmlformats.org/officeDocument/2006/relationships" name="Intégration IA dans les SI" sheetId="27" state="visible" r:id="rId27"/>
    <sheet xmlns:r="http://schemas.openxmlformats.org/officeDocument/2006/relationships" name="Formation IA - Agents" sheetId="28" state="visible" r:id="rId28"/>
    <sheet xmlns:r="http://schemas.openxmlformats.org/officeDocument/2006/relationships" name="Création d'agents IA" sheetId="29" state="visible" r:id="rId29"/>
    <sheet xmlns:r="http://schemas.openxmlformats.org/officeDocument/2006/relationships" name="Chat IA sur site internet" sheetId="30" state="visible" r:id="rId30"/>
    <sheet xmlns:r="http://schemas.openxmlformats.org/officeDocument/2006/relationships" name="Développement solutions IA" sheetId="31" state="visible" r:id="rId31"/>
    <sheet xmlns:r="http://schemas.openxmlformats.org/officeDocument/2006/relationships" name="Audit IA - Impact système" sheetId="32" state="visible" r:id="rId32"/>
    <sheet xmlns:r="http://schemas.openxmlformats.org/officeDocument/2006/relationships" name="Hébergement" sheetId="33" state="visible" r:id="rId3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#,##0\ &quot;€&quot;"/>
    <numFmt numFmtId="165" formatCode="#,##0\ &quot;€/mois&quot;"/>
    <numFmt numFmtId="166" formatCode="#,##0\ &quot;€/intervention&quot;"/>
    <numFmt numFmtId="167" formatCode="#,##0\ &quot;€/interv.&quot;"/>
    <numFmt numFmtId="168" formatCode="#,##0 &quot;€&quot;"/>
    <numFmt numFmtId="169" formatCode="#,##0 &quot;€/mois&quot;"/>
  </numFmts>
  <fonts count="31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F3864"/>
      <sz val="11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1F3864"/>
      <sz val="9"/>
    </font>
    <font>
      <name val="Calibri"/>
      <b val="1"/>
      <color rgb="FF1F3864"/>
      <sz val="9"/>
    </font>
    <font>
      <name val="Calibri"/>
      <b val="1"/>
      <color rgb="FFFFFFFF"/>
      <sz val="9"/>
    </font>
    <font>
      <name val="Calibri"/>
      <b val="1"/>
      <color rgb="FF375623"/>
      <sz val="9"/>
    </font>
    <font>
      <name val="Calibri"/>
      <b val="1"/>
      <color rgb="FF0D3B4F"/>
      <sz val="11"/>
    </font>
    <font>
      <name val="Calibri"/>
      <b val="1"/>
      <color rgb="FF0D3B4F"/>
      <sz val="10"/>
    </font>
    <font>
      <name val="Calibri"/>
      <color rgb="FF0D3B4F"/>
      <sz val="9"/>
    </font>
    <font>
      <name val="Calibri"/>
      <b val="1"/>
      <color rgb="FF1A4D2E"/>
      <sz val="9"/>
    </font>
    <font>
      <name val="Calibri"/>
      <b val="1"/>
      <color rgb="FF0D3B4F"/>
      <sz val="9"/>
    </font>
    <font>
      <name val="Calibri"/>
      <b val="1"/>
      <color rgb="FFFFFFFF"/>
      <sz val="14"/>
    </font>
    <font>
      <name val="Calibri"/>
      <b val="1"/>
      <color rgb="FF2D1B5E"/>
      <sz val="11"/>
    </font>
    <font>
      <name val="Calibri"/>
      <b val="1"/>
      <color rgb="FF2D1B5E"/>
      <sz val="10"/>
    </font>
    <font>
      <name val="Calibri"/>
      <color rgb="FF2D1B5E"/>
      <sz val="9"/>
    </font>
    <font>
      <name val="Calibri"/>
      <b val="1"/>
      <color rgb="FF2D1B5E"/>
      <sz val="9"/>
    </font>
    <font>
      <name val="Calibri"/>
      <b val="1"/>
      <color rgb="FF1C3557"/>
      <sz val="11"/>
    </font>
    <font>
      <name val="Calibri"/>
      <b val="1"/>
      <color rgb="FF1C3557"/>
      <sz val="10"/>
    </font>
    <font>
      <name val="Calibri"/>
      <color rgb="FF1C3557"/>
      <sz val="9"/>
    </font>
    <font>
      <name val="Calibri"/>
      <b val="1"/>
      <color rgb="FF1C3557"/>
      <sz val="9"/>
    </font>
    <font>
      <name val="Calibri"/>
      <b val="1"/>
      <color rgb="00FFFFFF"/>
      <sz val="16"/>
    </font>
    <font>
      <name val="Calibri"/>
      <b val="1"/>
      <color rgb="002D1B69"/>
      <sz val="11"/>
    </font>
    <font>
      <name val="Calibri"/>
      <b val="1"/>
      <color rgb="00FFFFFF"/>
      <sz val="10"/>
    </font>
    <font>
      <name val="Calibri"/>
      <b val="1"/>
      <color rgb="002D1B69"/>
      <sz val="10"/>
    </font>
    <font>
      <name val="Calibri"/>
      <color rgb="002D1B69"/>
      <sz val="9"/>
    </font>
    <font>
      <name val="Calibri"/>
      <b val="1"/>
      <color rgb="001A4D2E"/>
      <sz val="9"/>
    </font>
    <font>
      <name val="Calibri"/>
      <b val="1"/>
      <color rgb="00FFFFFF"/>
      <sz val="9"/>
    </font>
    <font>
      <name val="Calibri"/>
      <b val="1"/>
      <color rgb="002D1B69"/>
      <sz val="9"/>
    </font>
  </fonts>
  <fills count="4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2E5FA3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1A3A6B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DC3E6"/>
      </patternFill>
    </fill>
    <fill>
      <patternFill patternType="solid">
        <fgColor rgb="FF0D3B4F"/>
      </patternFill>
    </fill>
    <fill>
      <patternFill patternType="solid">
        <fgColor rgb="FFD6EEF2"/>
      </patternFill>
    </fill>
    <fill>
      <patternFill patternType="solid">
        <fgColor rgb="FF1A6B7A"/>
      </patternFill>
    </fill>
    <fill>
      <patternFill patternType="solid">
        <fgColor rgb="FF2E8B57"/>
      </patternFill>
    </fill>
    <fill>
      <patternFill patternType="solid">
        <fgColor rgb="FF0A2E3D"/>
      </patternFill>
    </fill>
    <fill>
      <patternFill patternType="solid">
        <fgColor rgb="FF2A9DAF"/>
      </patternFill>
    </fill>
    <fill>
      <patternFill patternType="solid">
        <fgColor rgb="FFA8D5DC"/>
      </patternFill>
    </fill>
    <fill>
      <patternFill patternType="solid">
        <fgColor rgb="FFC8E6EB"/>
      </patternFill>
    </fill>
    <fill>
      <patternFill patternType="solid">
        <fgColor rgb="FF7BBEC8"/>
      </patternFill>
    </fill>
    <fill>
      <patternFill patternType="solid">
        <fgColor rgb="FF5AA5B5"/>
      </patternFill>
    </fill>
    <fill>
      <patternFill patternType="solid">
        <fgColor rgb="FF2D1B5E"/>
      </patternFill>
    </fill>
    <fill>
      <patternFill patternType="solid">
        <fgColor rgb="FFEDE8F8"/>
      </patternFill>
    </fill>
    <fill>
      <patternFill patternType="solid">
        <fgColor rgb="FF5B3FA6"/>
      </patternFill>
    </fill>
    <fill>
      <patternFill patternType="solid">
        <fgColor rgb="FF1A0A3D"/>
      </patternFill>
    </fill>
    <fill>
      <patternFill patternType="solid">
        <fgColor rgb="FF3D2080"/>
      </patternFill>
    </fill>
    <fill>
      <patternFill patternType="solid">
        <fgColor rgb="FF6B4FC0"/>
      </patternFill>
    </fill>
    <fill>
      <patternFill patternType="solid">
        <fgColor rgb="FFC5B8E8"/>
      </patternFill>
    </fill>
    <fill>
      <patternFill patternType="solid">
        <fgColor rgb="FFE8E0F5"/>
      </patternFill>
    </fill>
    <fill>
      <patternFill patternType="solid">
        <fgColor rgb="FFA090D0"/>
      </patternFill>
    </fill>
    <fill>
      <patternFill patternType="solid">
        <fgColor rgb="FF1C3557"/>
      </patternFill>
    </fill>
    <fill>
      <patternFill patternType="solid">
        <fgColor rgb="FFE8F1FA"/>
      </patternFill>
    </fill>
    <fill>
      <patternFill patternType="solid">
        <fgColor rgb="FF2E6DA4"/>
      </patternFill>
    </fill>
    <fill>
      <patternFill patternType="solid">
        <fgColor rgb="FF0D1F33"/>
      </patternFill>
    </fill>
    <fill>
      <patternFill patternType="solid">
        <fgColor rgb="FFB8D4EE"/>
      </patternFill>
    </fill>
    <fill>
      <patternFill patternType="solid">
        <fgColor rgb="FF8AB8DC"/>
      </patternFill>
    </fill>
    <fill>
      <patternFill patternType="solid">
        <fgColor rgb="002D1B69"/>
      </patternFill>
    </fill>
    <fill>
      <patternFill patternType="solid">
        <fgColor rgb="00F0EEFF"/>
      </patternFill>
    </fill>
    <fill>
      <patternFill patternType="solid">
        <fgColor rgb="005B4FCF"/>
      </patternFill>
    </fill>
    <fill>
      <patternFill patternType="solid">
        <fgColor rgb="00FFF2CC"/>
      </patternFill>
    </fill>
    <fill>
      <patternFill patternType="solid">
        <fgColor rgb="002E8B5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A0F40"/>
      </patternFill>
    </fill>
    <fill>
      <patternFill patternType="solid">
        <fgColor rgb="00C5BEF0"/>
      </patternFill>
    </fill>
    <fill>
      <patternFill patternType="solid">
        <fgColor rgb="009B8FE0"/>
      </patternFill>
    </fill>
  </fills>
  <borders count="3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4B942"/>
      </left>
      <right style="medium">
        <color rgb="FFF4B942"/>
      </right>
      <top style="medium">
        <color rgb="FFF4B942"/>
      </top>
      <bottom style="medium">
        <color rgb="FFF4B94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/>
      <bottom/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  <border>
      <left style="medium">
        <color rgb="FF0D3B4F"/>
      </left>
      <right style="medium">
        <color rgb="FF0D3B4F"/>
      </right>
      <top style="medium">
        <color rgb="FF0D3B4F"/>
      </top>
      <bottom style="medium">
        <color rgb="FF0D3B4F"/>
      </bottom>
      <diagonal/>
    </border>
    <border>
      <left style="thin">
        <color rgb="FF7BBEC8"/>
      </left>
      <right style="thin">
        <color rgb="FF7BBEC8"/>
      </right>
      <top style="thin">
        <color rgb="FF7BBEC8"/>
      </top>
      <bottom style="thin">
        <color rgb="FF7BBEC8"/>
      </bottom>
      <diagonal/>
    </border>
    <border>
      <left style="medium">
        <color rgb="FF0D3B4F"/>
      </left>
      <right style="medium">
        <color rgb="FF0D3B4F"/>
      </right>
      <top/>
      <bottom/>
      <diagonal/>
    </border>
    <border>
      <left style="medium">
        <color rgb="FF0D3B4F"/>
      </left>
      <right style="medium">
        <color rgb="FF0D3B4F"/>
      </right>
      <top/>
      <bottom style="medium">
        <color rgb="FF0D3B4F"/>
      </bottom>
      <diagonal/>
    </border>
    <border>
      <left style="medium">
        <color rgb="FF2D1B5E"/>
      </left>
      <right style="medium">
        <color rgb="FF2D1B5E"/>
      </right>
      <top style="medium">
        <color rgb="FF2D1B5E"/>
      </top>
      <bottom style="medium">
        <color rgb="FF2D1B5E"/>
      </bottom>
      <diagonal/>
    </border>
    <border>
      <left style="thin">
        <color rgb="FFB09FD8"/>
      </left>
      <right style="thin">
        <color rgb="FFB09FD8"/>
      </right>
      <top style="thin">
        <color rgb="FFB09FD8"/>
      </top>
      <bottom style="thin">
        <color rgb="FFB09FD8"/>
      </bottom>
      <diagonal/>
    </border>
    <border>
      <left style="medium">
        <color rgb="FF2D1B5E"/>
      </left>
      <right style="medium">
        <color rgb="FF2D1B5E"/>
      </right>
      <top/>
      <bottom/>
      <diagonal/>
    </border>
    <border>
      <left style="medium">
        <color rgb="FF2D1B5E"/>
      </left>
      <right style="medium">
        <color rgb="FF2D1B5E"/>
      </right>
      <top/>
      <bottom style="medium">
        <color rgb="FF2D1B5E"/>
      </bottom>
      <diagonal/>
    </border>
    <border>
      <left style="medium">
        <color rgb="FF1C3557"/>
      </left>
      <right style="medium">
        <color rgb="FF1C3557"/>
      </right>
      <top style="medium">
        <color rgb="FF1C3557"/>
      </top>
      <bottom style="medium">
        <color rgb="FF1C3557"/>
      </bottom>
      <diagonal/>
    </border>
    <border>
      <left style="thin">
        <color rgb="FF8AB8DC"/>
      </left>
      <right style="thin">
        <color rgb="FF8AB8DC"/>
      </right>
      <top style="thin">
        <color rgb="FF8AB8DC"/>
      </top>
      <bottom style="thin">
        <color rgb="FF8AB8DC"/>
      </bottom>
      <diagonal/>
    </border>
    <border>
      <left style="medium">
        <color rgb="FF1C3557"/>
      </left>
      <right style="medium">
        <color rgb="FF1C3557"/>
      </right>
      <top/>
      <bottom/>
      <diagonal/>
    </border>
    <border>
      <left style="medium">
        <color rgb="FF1C3557"/>
      </left>
      <right style="medium">
        <color rgb="FF1C3557"/>
      </right>
      <top/>
      <bottom style="medium">
        <color rgb="FF1C3557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medium">
        <color rgb="FF1F3864"/>
      </left>
      <right/>
      <top/>
      <bottom/>
      <diagonal/>
    </border>
    <border>
      <left style="medium">
        <color rgb="FF0D3B4F"/>
      </left>
      <right/>
      <top/>
      <bottom/>
      <diagonal/>
    </border>
    <border>
      <left style="medium">
        <color rgb="FF2D1B5E"/>
      </left>
      <right/>
      <top/>
      <bottom/>
      <diagonal/>
    </border>
    <border>
      <left style="medium">
        <color rgb="FF1C3557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F4B942"/>
      </left>
      <right style="medium">
        <color rgb="00F4B942"/>
      </right>
      <top style="medium">
        <color rgb="00F4B942"/>
      </top>
      <bottom style="medium">
        <color rgb="00F4B942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2D1B69"/>
      </left>
      <right style="medium">
        <color rgb="002D1B69"/>
      </right>
      <top style="medium">
        <color rgb="002D1B69"/>
      </top>
      <bottom style="medium">
        <color rgb="002D1B69"/>
      </bottom>
    </border>
    <border>
      <left style="thin">
        <color rgb="009B8FE0"/>
      </left>
      <right style="thin">
        <color rgb="009B8FE0"/>
      </right>
      <top style="thin">
        <color rgb="009B8FE0"/>
      </top>
      <bottom style="thin">
        <color rgb="009B8FE0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2" fontId="4" fillId="5" borderId="2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164" fontId="5" fillId="3" borderId="7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164" fontId="10" fillId="5" borderId="2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2" fontId="10" fillId="5" borderId="2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7" fillId="17" borderId="3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center" vertical="center" wrapText="1"/>
    </xf>
    <xf numFmtId="164" fontId="11" fillId="15" borderId="15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 wrapText="1"/>
    </xf>
    <xf numFmtId="0" fontId="13" fillId="23" borderId="1" applyAlignment="1" pivotButton="0" quotePrefix="0" xfId="0">
      <alignment horizontal="center" vertical="center" wrapText="1"/>
    </xf>
    <xf numFmtId="165" fontId="10" fillId="5" borderId="2" applyAlignment="1" pivotButton="0" quotePrefix="0" xfId="0">
      <alignment horizontal="center" vertical="center"/>
    </xf>
    <xf numFmtId="165" fontId="11" fillId="15" borderId="15" applyAlignment="1" pivotButton="0" quotePrefix="0" xfId="0">
      <alignment horizontal="center" vertical="center"/>
    </xf>
    <xf numFmtId="166" fontId="10" fillId="5" borderId="2" applyAlignment="1" pivotButton="0" quotePrefix="0" xfId="0">
      <alignment horizontal="center" vertical="center"/>
    </xf>
    <xf numFmtId="167" fontId="11" fillId="15" borderId="15" applyAlignment="1" pivotButton="0" quotePrefix="0" xfId="0">
      <alignment horizontal="center" vertical="center"/>
    </xf>
    <xf numFmtId="0" fontId="3" fillId="26" borderId="1" applyAlignment="1" pivotButton="0" quotePrefix="0" xfId="0">
      <alignment horizontal="left" vertical="center" wrapText="1"/>
    </xf>
    <xf numFmtId="164" fontId="16" fillId="5" borderId="2" applyAlignment="1" pivotButton="0" quotePrefix="0" xfId="0">
      <alignment horizontal="center" vertical="center"/>
    </xf>
    <xf numFmtId="0" fontId="17" fillId="25" borderId="1" applyAlignment="1" pivotButton="0" quotePrefix="0" xfId="0">
      <alignment horizontal="left" vertical="center" wrapText="1"/>
    </xf>
    <xf numFmtId="165" fontId="16" fillId="5" borderId="2" applyAlignment="1" pivotButton="0" quotePrefix="0" xfId="0">
      <alignment horizontal="center" vertical="center"/>
    </xf>
    <xf numFmtId="2" fontId="16" fillId="5" borderId="2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0" fontId="18" fillId="30" borderId="1" applyAlignment="1" pivotButton="0" quotePrefix="0" xfId="0">
      <alignment horizontal="center" vertical="center" wrapText="1"/>
    </xf>
    <xf numFmtId="0" fontId="18" fillId="31" borderId="1" applyAlignment="1" pivotButton="0" quotePrefix="0" xfId="0">
      <alignment horizontal="center" vertical="center" wrapText="1"/>
    </xf>
    <xf numFmtId="164" fontId="17" fillId="25" borderId="19" applyAlignment="1" pivotButton="0" quotePrefix="0" xfId="0">
      <alignment horizontal="center" vertical="center"/>
    </xf>
    <xf numFmtId="165" fontId="17" fillId="25" borderId="19" applyAlignment="1" pivotButton="0" quotePrefix="0" xfId="0">
      <alignment horizontal="center" vertical="center"/>
    </xf>
    <xf numFmtId="0" fontId="18" fillId="32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left" vertical="center" wrapText="1"/>
    </xf>
    <xf numFmtId="164" fontId="20" fillId="5" borderId="2" applyAlignment="1" pivotButton="0" quotePrefix="0" xfId="0">
      <alignment horizontal="center" vertical="center"/>
    </xf>
    <xf numFmtId="0" fontId="21" fillId="34" borderId="1" applyAlignment="1" pivotButton="0" quotePrefix="0" xfId="0">
      <alignment horizontal="left" vertical="center" wrapText="1"/>
    </xf>
    <xf numFmtId="2" fontId="20" fillId="5" borderId="2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 wrapText="1"/>
    </xf>
    <xf numFmtId="0" fontId="22" fillId="37" borderId="1" applyAlignment="1" pivotButton="0" quotePrefix="0" xfId="0">
      <alignment horizontal="center" vertical="center" wrapText="1"/>
    </xf>
    <xf numFmtId="0" fontId="22" fillId="34" borderId="1" applyAlignment="1" pivotButton="0" quotePrefix="0" xfId="0">
      <alignment horizontal="center" vertical="center" wrapText="1"/>
    </xf>
    <xf numFmtId="164" fontId="21" fillId="34" borderId="23" applyAlignment="1" pivotButton="0" quotePrefix="0" xfId="0">
      <alignment horizontal="center" vertical="center"/>
    </xf>
    <xf numFmtId="0" fontId="22" fillId="38" borderId="1" applyAlignment="1" pivotButton="0" quotePrefix="0" xfId="0">
      <alignment horizontal="center" vertical="center" wrapText="1"/>
    </xf>
    <xf numFmtId="165" fontId="20" fillId="5" borderId="2" applyAlignment="1" pivotButton="0" quotePrefix="0" xfId="0">
      <alignment horizontal="center" vertical="center"/>
    </xf>
    <xf numFmtId="165" fontId="21" fillId="34" borderId="2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11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4" borderId="3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 wrapText="1"/>
    </xf>
    <xf numFmtId="0" fontId="7" fillId="16" borderId="3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left" vertical="center"/>
    </xf>
    <xf numFmtId="0" fontId="7" fillId="19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7" fillId="16" borderId="1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14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7" fillId="28" borderId="3" applyAlignment="1" pivotButton="0" quotePrefix="0" xfId="0">
      <alignment horizontal="center" vertical="center" wrapText="1"/>
    </xf>
    <xf numFmtId="0" fontId="18" fillId="30" borderId="1" applyAlignment="1" pivotButton="0" quotePrefix="0" xfId="0">
      <alignment horizontal="center" vertical="center" wrapText="1"/>
    </xf>
    <xf numFmtId="0" fontId="7" fillId="29" borderId="3" applyAlignment="1" pivotButton="0" quotePrefix="0" xfId="0">
      <alignment horizontal="center" vertical="center" wrapText="1"/>
    </xf>
    <xf numFmtId="0" fontId="7" fillId="26" borderId="1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1" fillId="24" borderId="0" applyAlignment="1" pivotButton="0" quotePrefix="0" xfId="0">
      <alignment horizontal="center" vertical="center"/>
    </xf>
    <xf numFmtId="0" fontId="7" fillId="27" borderId="3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left" vertical="center"/>
    </xf>
    <xf numFmtId="0" fontId="15" fillId="25" borderId="0" applyAlignment="1" pivotButton="0" quotePrefix="0" xfId="0">
      <alignment horizontal="left" vertical="center"/>
    </xf>
    <xf numFmtId="0" fontId="1" fillId="33" borderId="0" applyAlignment="1" pivotButton="0" quotePrefix="0" xfId="0">
      <alignment horizontal="center" vertical="center"/>
    </xf>
    <xf numFmtId="0" fontId="7" fillId="35" borderId="3" applyAlignment="1" pivotButton="0" quotePrefix="0" xfId="0">
      <alignment horizontal="center" vertical="center" wrapText="1"/>
    </xf>
    <xf numFmtId="0" fontId="7" fillId="33" borderId="3" applyAlignment="1" pivotButton="0" quotePrefix="0" xfId="0">
      <alignment horizontal="center" vertical="center" wrapText="1"/>
    </xf>
    <xf numFmtId="0" fontId="7" fillId="36" borderId="3" applyAlignment="1" pivotButton="0" quotePrefix="0" xfId="0">
      <alignment horizontal="center" vertical="center" wrapText="1"/>
    </xf>
    <xf numFmtId="0" fontId="22" fillId="37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left" vertical="center"/>
    </xf>
    <xf numFmtId="0" fontId="7" fillId="35" borderId="2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3" fillId="35" borderId="0" applyAlignment="1" pivotButton="0" quotePrefix="0" xfId="0">
      <alignment horizontal="left" vertical="center"/>
    </xf>
    <xf numFmtId="0" fontId="19" fillId="34" borderId="0" applyAlignment="1" pivotButton="0" quotePrefix="0" xfId="0">
      <alignment horizontal="left" vertical="center"/>
    </xf>
    <xf numFmtId="0" fontId="23" fillId="39" borderId="0" applyAlignment="1" pivotButton="0" quotePrefix="0" xfId="0">
      <alignment horizontal="center" vertical="center"/>
    </xf>
    <xf numFmtId="0" fontId="24" fillId="40" borderId="0" applyAlignment="1" pivotButton="0" quotePrefix="0" xfId="0">
      <alignment horizontal="left" vertical="center"/>
    </xf>
    <xf numFmtId="0" fontId="25" fillId="41" borderId="0" applyAlignment="1" pivotButton="0" quotePrefix="0" xfId="0">
      <alignment horizontal="left" vertical="center"/>
    </xf>
    <xf numFmtId="0" fontId="25" fillId="41" borderId="34" applyAlignment="1" pivotButton="0" quotePrefix="0" xfId="0">
      <alignment horizontal="left" vertical="center" wrapText="1"/>
    </xf>
    <xf numFmtId="168" fontId="26" fillId="42" borderId="35" applyAlignment="1" pivotButton="0" quotePrefix="0" xfId="0">
      <alignment horizontal="center" vertical="center"/>
    </xf>
    <xf numFmtId="0" fontId="27" fillId="40" borderId="34" applyAlignment="1" pivotButton="0" quotePrefix="0" xfId="0">
      <alignment horizontal="left" vertical="center" wrapText="1"/>
    </xf>
    <xf numFmtId="169" fontId="26" fillId="42" borderId="35" applyAlignment="1" pivotButton="0" quotePrefix="0" xfId="0">
      <alignment horizontal="center" vertical="center"/>
    </xf>
    <xf numFmtId="0" fontId="25" fillId="43" borderId="0" applyAlignment="1" pivotButton="0" quotePrefix="0" xfId="0">
      <alignment horizontal="left" vertical="center"/>
    </xf>
    <xf numFmtId="0" fontId="28" fillId="44" borderId="34" applyAlignment="1" pivotButton="0" quotePrefix="0" xfId="0">
      <alignment horizontal="left" vertical="center" wrapText="1"/>
    </xf>
    <xf numFmtId="2" fontId="26" fillId="42" borderId="35" applyAlignment="1" pivotButton="0" quotePrefix="0" xfId="0">
      <alignment horizontal="center" vertical="center"/>
    </xf>
    <xf numFmtId="0" fontId="27" fillId="45" borderId="34" applyAlignment="1" pivotButton="0" quotePrefix="0" xfId="0">
      <alignment horizontal="left" vertical="center" wrapText="1"/>
    </xf>
    <xf numFmtId="0" fontId="25" fillId="39" borderId="0" applyAlignment="1" pivotButton="0" quotePrefix="0" xfId="0">
      <alignment horizontal="left" vertical="center"/>
    </xf>
    <xf numFmtId="0" fontId="29" fillId="46" borderId="36" applyAlignment="1" pivotButton="0" quotePrefix="0" xfId="0">
      <alignment horizontal="center" vertical="center" wrapText="1"/>
    </xf>
    <xf numFmtId="0" fontId="29" fillId="39" borderId="36" applyAlignment="1" pivotButton="0" quotePrefix="0" xfId="0">
      <alignment horizontal="center" vertical="center" wrapText="1"/>
    </xf>
    <xf numFmtId="0" fontId="29" fillId="41" borderId="36" applyAlignment="1" pivotButton="0" quotePrefix="0" xfId="0">
      <alignment horizontal="center" vertical="center" wrapText="1"/>
    </xf>
    <xf numFmtId="0" fontId="29" fillId="43" borderId="36" applyAlignment="1" pivotButton="0" quotePrefix="0" xfId="0">
      <alignment horizontal="center" vertical="center" wrapText="1"/>
    </xf>
    <xf numFmtId="0" fontId="29" fillId="41" borderId="37" applyAlignment="1" pivotButton="0" quotePrefix="0" xfId="0">
      <alignment horizontal="center" vertical="center" wrapText="1"/>
    </xf>
    <xf numFmtId="0" fontId="30" fillId="47" borderId="34" applyAlignment="1" pivotButton="0" quotePrefix="0" xfId="0">
      <alignment horizontal="center" vertical="center" wrapText="1"/>
    </xf>
    <xf numFmtId="0" fontId="30" fillId="40" borderId="34" applyAlignment="1" pivotButton="0" quotePrefix="0" xfId="0">
      <alignment horizontal="center" vertical="center" wrapText="1"/>
    </xf>
    <xf numFmtId="168" fontId="27" fillId="40" borderId="38" applyAlignment="1" pivotButton="0" quotePrefix="0" xfId="0">
      <alignment horizontal="center" vertical="center"/>
    </xf>
    <xf numFmtId="169" fontId="27" fillId="40" borderId="38" applyAlignment="1" pivotButton="0" quotePrefix="0" xfId="0">
      <alignment horizontal="center" vertical="center"/>
    </xf>
    <xf numFmtId="0" fontId="30" fillId="48" borderId="3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24</row>
      <rowOff>0</rowOff>
    </from>
    <to>
      <col>8</col>
      <colOff>657225</colOff>
      <row>59</row>
      <rowOff>57150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33700" y="6343650"/>
          <a:ext cx="6724650" cy="9525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AJ78"/>
  <sheetViews>
    <sheetView workbookViewId="0">
      <pane xSplit="3" topLeftCell="D1" activePane="topRight" state="frozen"/>
      <selection pane="topRight" activeCell="C6" sqref="C6"/>
    </sheetView>
  </sheetViews>
  <sheetFormatPr baseColWidth="10" defaultColWidth="9.140625" defaultRowHeight="15"/>
  <cols>
    <col width="26" customWidth="1" style="62" min="1" max="1"/>
    <col width="14" customWidth="1" style="62" min="2" max="2"/>
    <col width="13" customWidth="1" style="62" min="3" max="19"/>
  </cols>
  <sheetData>
    <row r="1" ht="33.95" customHeight="1" s="62">
      <c r="A1" s="72" t="inlineStr">
        <is>
          <t>GRILLE TARIFAIRE — Audit Global d'Entreprise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Point de départ du calcul pour chaque niveau d'audit</t>
        </is>
      </c>
    </row>
    <row r="4" ht="21.95" customHeight="1" s="62">
      <c r="A4" s="1" t="inlineStr">
        <is>
          <t>Tarif de base — Starter</t>
        </is>
      </c>
      <c r="B4" s="2" t="n">
        <v>3500</v>
      </c>
      <c r="C4" s="3" t="inlineStr">
        <is>
          <t>Fourchette indicative : 1 500 – 3 500 €</t>
        </is>
      </c>
    </row>
    <row r="5" ht="21.95" customHeight="1" s="62">
      <c r="A5" s="1" t="inlineStr">
        <is>
          <t>Tarif de base — Standard</t>
        </is>
      </c>
      <c r="B5" s="2" t="n">
        <v>7500</v>
      </c>
      <c r="C5" s="3" t="inlineStr">
        <is>
          <t>Fourchette indicative : 3 000 – 7500 €</t>
        </is>
      </c>
    </row>
    <row r="6" ht="21.95" customHeight="1" s="62">
      <c r="A6" s="1" t="inlineStr">
        <is>
          <t>Tarif de base — Premium</t>
        </is>
      </c>
      <c r="B6" s="2" t="n">
        <v>15000</v>
      </c>
      <c r="C6" s="3" t="inlineStr">
        <is>
          <t>Fourchette indicative : 7500 € +</t>
        </is>
      </c>
    </row>
    <row r="7" ht="21.95" customHeight="1" s="62">
      <c r="A7" s="61" t="inlineStr">
        <is>
          <t>COEFFICIENTS MULTIPLICATEURS  —  1,00 = neutre (pas de majoration). Ex : 1,20 = +20 %</t>
        </is>
      </c>
    </row>
    <row r="8" ht="20.1" customHeight="1" s="62">
      <c r="A8" s="4" t="inlineStr">
        <is>
          <t>Coeff. taille — Micro (1-5 sal.)</t>
        </is>
      </c>
      <c r="B8" s="5" t="n">
        <v>0.7</v>
      </c>
      <c r="C8" s="6" t="inlineStr">
        <is>
          <t>Entreprise très petite → tarif réduit</t>
        </is>
      </c>
    </row>
    <row r="9" ht="20.1" customHeight="1" s="62">
      <c r="A9" s="4" t="inlineStr">
        <is>
          <t>Coeff. taille — TPE (6-19 sal.)</t>
        </is>
      </c>
      <c r="B9" s="5" t="n">
        <v>1</v>
      </c>
      <c r="C9" s="6" t="inlineStr">
        <is>
          <t>Référence (base = 1,00)</t>
        </is>
      </c>
    </row>
    <row r="10" ht="20.1" customHeight="1" s="62">
      <c r="A10" s="4" t="inlineStr">
        <is>
          <t>Coeff. taille — PME (20-99 sal.)</t>
        </is>
      </c>
      <c r="B10" s="5" t="n">
        <v>1.4</v>
      </c>
      <c r="C10" s="6" t="inlineStr">
        <is>
          <t>Complexité accrue → majoration</t>
        </is>
      </c>
    </row>
    <row r="11" ht="20.1" customHeight="1" s="62">
      <c r="A11" s="4" t="inlineStr">
        <is>
          <t>Coeff. taille — ETI / Grand compte (100+)</t>
        </is>
      </c>
      <c r="B11" s="5" t="n">
        <v>2</v>
      </c>
      <c r="C11" s="6" t="inlineStr">
        <is>
          <t>Structure complexe → forte majoration</t>
        </is>
      </c>
    </row>
    <row r="12" ht="20.1" customHeight="1" s="62">
      <c r="A12" s="4" t="inlineStr">
        <is>
          <t>Coeff. services — 1-2 services</t>
        </is>
      </c>
      <c r="B12" s="5" t="n">
        <v>0.8</v>
      </c>
      <c r="C12" s="6" t="inlineStr">
        <is>
          <t>Périmètre réduit</t>
        </is>
      </c>
    </row>
    <row r="13" ht="20.1" customHeight="1" s="62">
      <c r="A13" s="4" t="inlineStr">
        <is>
          <t>Coeff. services — 3-5 services</t>
        </is>
      </c>
      <c r="B13" s="5" t="n">
        <v>1</v>
      </c>
      <c r="C13" s="6" t="inlineStr">
        <is>
          <t>Référence</t>
        </is>
      </c>
    </row>
    <row r="14" ht="20.1" customHeight="1" s="62">
      <c r="A14" s="4" t="inlineStr">
        <is>
          <t>Coeff. services — 6-10 services</t>
        </is>
      </c>
      <c r="B14" s="5" t="n">
        <v>1.35</v>
      </c>
      <c r="C14" s="6" t="inlineStr">
        <is>
          <t>Périmètre élargi</t>
        </is>
      </c>
    </row>
    <row r="15" ht="20.1" customHeight="1" s="62">
      <c r="A15" s="4" t="inlineStr">
        <is>
          <t>Coeff. services — 10+ services</t>
        </is>
      </c>
      <c r="B15" s="5" t="n">
        <v>1.7</v>
      </c>
      <c r="C15" s="6" t="inlineStr">
        <is>
          <t>Périmètre complet</t>
        </is>
      </c>
    </row>
    <row r="16" ht="20.1" customHeight="1" s="62">
      <c r="A16" s="4" t="inlineStr">
        <is>
          <t>Coeff. secteur — Standard</t>
        </is>
      </c>
      <c r="B16" s="5" t="n">
        <v>1</v>
      </c>
      <c r="C16" s="6" t="inlineStr">
        <is>
          <t>Secteur sans contrainte spécifique</t>
        </is>
      </c>
    </row>
    <row r="17" ht="20.1" customHeight="1" s="62">
      <c r="A17" s="4" t="inlineStr">
        <is>
          <t>Coeff. secteur — Réglementé (santé, finance…)</t>
        </is>
      </c>
      <c r="B17" s="5" t="n">
        <v>1.3</v>
      </c>
      <c r="C17" s="6" t="inlineStr">
        <is>
          <t>Contraintes réglementaires spécifiques</t>
        </is>
      </c>
    </row>
    <row r="18" ht="20.1" customHeight="1" s="62">
      <c r="A18" s="4" t="inlineStr">
        <is>
          <t>Coeff. présence — Distanciel</t>
        </is>
      </c>
      <c r="B18" s="5" t="n">
        <v>1</v>
      </c>
      <c r="C18" s="6" t="inlineStr">
        <is>
          <t>Référence</t>
        </is>
      </c>
    </row>
    <row r="19" ht="20.1" customHeight="1" s="62">
      <c r="A19" s="4" t="inlineStr">
        <is>
          <t>Coeff. présence — Présentiel</t>
        </is>
      </c>
      <c r="B19" s="5" t="n">
        <v>1.25</v>
      </c>
      <c r="C19" s="6" t="inlineStr">
        <is>
          <t>Déplacement + temps sur site</t>
        </is>
      </c>
    </row>
    <row r="20" ht="20.1" customHeight="1" s="62">
      <c r="A20" s="4" t="inlineStr">
        <is>
          <t>Coeff. périmètre — Audit partiel</t>
        </is>
      </c>
      <c r="B20" s="5" t="n">
        <v>0.65</v>
      </c>
      <c r="C20" s="6" t="inlineStr">
        <is>
          <t>Analyse limitée à une partie de l'entreprise</t>
        </is>
      </c>
    </row>
    <row r="21" ht="20.1" customHeight="1" s="62">
      <c r="A21" s="4" t="inlineStr">
        <is>
          <t>Coeff. périmètre — Audit complet</t>
        </is>
      </c>
      <c r="B21" s="5" t="n">
        <v>1</v>
      </c>
      <c r="C21" s="6" t="inlineStr">
        <is>
          <t>Référence — analyse globale</t>
        </is>
      </c>
    </row>
    <row r="22" ht="20.1" customHeight="1" s="62">
      <c r="A22" s="4" t="inlineStr">
        <is>
          <t>Coeff. post-audit — Sans accompagnement</t>
        </is>
      </c>
      <c r="B22" s="5" t="n">
        <v>1</v>
      </c>
      <c r="C22" s="6" t="inlineStr">
        <is>
          <t>Référence</t>
        </is>
      </c>
    </row>
    <row r="23" ht="20.1" customHeight="1" s="62">
      <c r="A23" s="4" t="inlineStr">
        <is>
          <t>Coeff. post-audit — Avec accompagnement</t>
        </is>
      </c>
      <c r="B23" s="5" t="n">
        <v>1.5</v>
      </c>
      <c r="C23" s="6" t="inlineStr">
        <is>
          <t>Suivi post-audit inclus</t>
        </is>
      </c>
    </row>
    <row r="24" ht="24" customHeight="1" s="62">
      <c r="A24" s="71" t="inlineStr">
        <is>
          <t>▼  GRILLE TARIFAIRE CALCULÉE AUTOMATIQUEMENT  — Les cellules bleues sont en lecture seule (formules). Vous pouvez écraser une formule pour forcer un tarif précis.</t>
        </is>
      </c>
    </row>
    <row r="25" ht="6" customHeight="1" s="62"/>
    <row r="26" ht="38.1" customHeight="1" s="62">
      <c r="A26" s="54" t="inlineStr">
        <is>
          <t>Taille de l'entreprise</t>
        </is>
      </c>
      <c r="B26" s="60" t="inlineStr">
        <is>
          <t>Nb de services analysés</t>
        </is>
      </c>
      <c r="C26" s="63" t="inlineStr">
        <is>
          <t>Profondeur</t>
        </is>
      </c>
      <c r="D26" s="54" t="inlineStr">
        <is>
          <t>Standard</t>
        </is>
      </c>
      <c r="E26" s="55" t="n"/>
      <c r="F26" s="55" t="n"/>
      <c r="G26" s="55" t="n"/>
      <c r="H26" s="55" t="n"/>
      <c r="I26" s="55" t="n"/>
      <c r="J26" s="55" t="n"/>
      <c r="K26" s="56" t="n"/>
      <c r="L26" s="54" t="inlineStr">
        <is>
          <t>Réglementé (santé, finance…)</t>
        </is>
      </c>
      <c r="M26" s="55" t="n"/>
      <c r="N26" s="55" t="n"/>
      <c r="O26" s="55" t="n"/>
      <c r="P26" s="55" t="n"/>
      <c r="Q26" s="55" t="n"/>
      <c r="R26" s="55" t="n"/>
      <c r="S26" s="56" t="n"/>
    </row>
    <row r="27" ht="38.1" customHeight="1" s="62">
      <c r="A27" s="64" t="n"/>
      <c r="B27" s="64" t="n"/>
      <c r="C27" s="64" t="n"/>
      <c r="D27" s="60" t="inlineStr">
        <is>
          <t>Sans accompagnement post-audit</t>
        </is>
      </c>
      <c r="E27" s="55" t="n"/>
      <c r="F27" s="55" t="n"/>
      <c r="G27" s="56" t="n"/>
      <c r="H27" s="60" t="inlineStr">
        <is>
          <t>Avec accompagnement post-audit</t>
        </is>
      </c>
      <c r="I27" s="55" t="n"/>
      <c r="J27" s="55" t="n"/>
      <c r="K27" s="56" t="n"/>
      <c r="L27" s="60" t="inlineStr">
        <is>
          <t>Sans accompagnement post-audit</t>
        </is>
      </c>
      <c r="M27" s="55" t="n"/>
      <c r="N27" s="55" t="n"/>
      <c r="O27" s="56" t="n"/>
      <c r="P27" s="60" t="inlineStr">
        <is>
          <t>Avec accompagnement post-audit</t>
        </is>
      </c>
      <c r="Q27" s="55" t="n"/>
      <c r="R27" s="55" t="n"/>
      <c r="S27" s="56" t="n"/>
    </row>
    <row r="28" ht="38.1" customHeight="1" s="62">
      <c r="A28" s="64" t="n"/>
      <c r="B28" s="64" t="n"/>
      <c r="C28" s="64" t="n"/>
      <c r="D28" s="63" t="inlineStr">
        <is>
          <t>Distanciel</t>
        </is>
      </c>
      <c r="E28" s="56" t="n"/>
      <c r="F28" s="63" t="inlineStr">
        <is>
          <t>Présentiel</t>
        </is>
      </c>
      <c r="G28" s="56" t="n"/>
      <c r="H28" s="63" t="inlineStr">
        <is>
          <t>Distanciel</t>
        </is>
      </c>
      <c r="I28" s="56" t="n"/>
      <c r="J28" s="63" t="inlineStr">
        <is>
          <t>Présentiel</t>
        </is>
      </c>
      <c r="K28" s="56" t="n"/>
      <c r="L28" s="63" t="inlineStr">
        <is>
          <t>Distanciel</t>
        </is>
      </c>
      <c r="M28" s="56" t="n"/>
      <c r="N28" s="63" t="inlineStr">
        <is>
          <t>Présentiel</t>
        </is>
      </c>
      <c r="O28" s="56" t="n"/>
      <c r="P28" s="63" t="inlineStr">
        <is>
          <t>Distanciel</t>
        </is>
      </c>
      <c r="Q28" s="56" t="n"/>
      <c r="R28" s="63" t="inlineStr">
        <is>
          <t>Présentiel</t>
        </is>
      </c>
      <c r="S28" s="56" t="n"/>
    </row>
    <row r="29" ht="38.1" customHeight="1" s="62">
      <c r="A29" s="65" t="n"/>
      <c r="B29" s="65" t="n"/>
      <c r="C29" s="65" t="n"/>
      <c r="D29" s="7" t="inlineStr">
        <is>
          <t>Partiel</t>
        </is>
      </c>
      <c r="E29" s="7" t="inlineStr">
        <is>
          <t>Complet</t>
        </is>
      </c>
      <c r="F29" s="7" t="inlineStr">
        <is>
          <t>Partiel</t>
        </is>
      </c>
      <c r="G29" s="7" t="inlineStr">
        <is>
          <t>Complet</t>
        </is>
      </c>
      <c r="H29" s="7" t="inlineStr">
        <is>
          <t>Partiel</t>
        </is>
      </c>
      <c r="I29" s="7" t="inlineStr">
        <is>
          <t>Complet</t>
        </is>
      </c>
      <c r="J29" s="7" t="inlineStr">
        <is>
          <t>Partiel</t>
        </is>
      </c>
      <c r="K29" s="7" t="inlineStr">
        <is>
          <t>Complet</t>
        </is>
      </c>
      <c r="L29" s="7" t="inlineStr">
        <is>
          <t>Partiel</t>
        </is>
      </c>
      <c r="M29" s="7" t="inlineStr">
        <is>
          <t>Complet</t>
        </is>
      </c>
      <c r="N29" s="7" t="inlineStr">
        <is>
          <t>Partiel</t>
        </is>
      </c>
      <c r="O29" s="7" t="inlineStr">
        <is>
          <t>Complet</t>
        </is>
      </c>
      <c r="P29" s="7" t="inlineStr">
        <is>
          <t>Partiel</t>
        </is>
      </c>
      <c r="Q29" s="7" t="inlineStr">
        <is>
          <t>Complet</t>
        </is>
      </c>
      <c r="R29" s="7" t="inlineStr">
        <is>
          <t>Partiel</t>
        </is>
      </c>
      <c r="S29" s="7" t="inlineStr">
        <is>
          <t>Complet</t>
        </is>
      </c>
    </row>
    <row r="31" ht="20.1" customHeight="1" s="62">
      <c r="A31" s="66" t="inlineStr">
        <is>
          <t>Micro (1-5 sal.)</t>
        </is>
      </c>
      <c r="B31" s="57" t="inlineStr">
        <is>
          <t>1-2 services</t>
        </is>
      </c>
      <c r="C31" s="9" t="inlineStr">
        <is>
          <t>Starter</t>
        </is>
      </c>
      <c r="D31" s="10">
        <f>ROUND($B$4*$B$8*$B$12*$B$16*$B$18*$B$20*$B$22,0)</f>
        <v/>
      </c>
      <c r="E31" s="10">
        <f>ROUND($B$4*$B$8*$B$12*$B$16*$B$18*$B$21*$B$22,0)</f>
        <v/>
      </c>
      <c r="F31" s="10">
        <f>ROUND($B$4*$B$8*$B$12*$B$16*$B$19*$B$20*$B$22,0)</f>
        <v/>
      </c>
      <c r="G31" s="10">
        <f>ROUND($B$4*$B$8*$B$12*$B$16*$B$19*$B$21*$B$22,0)</f>
        <v/>
      </c>
      <c r="H31" s="10">
        <f>ROUND($B$4*$B$8*$B$12*$B$16*$B$18*$B$20*$B$23,0)</f>
        <v/>
      </c>
      <c r="I31" s="10">
        <f>ROUND($B$4*$B$8*$B$12*$B$16*$B$18*$B$21*$B$23,0)</f>
        <v/>
      </c>
      <c r="J31" s="10">
        <f>ROUND($B$4*$B$8*$B$12*$B$16*$B$19*$B$20*$B$23,0)</f>
        <v/>
      </c>
      <c r="K31" s="10">
        <f>ROUND($B$4*$B$8*$B$12*$B$16*$B$19*$B$21*$B$23,0)</f>
        <v/>
      </c>
      <c r="L31" s="10">
        <f>ROUND($B$4*$B$8*$B$12*$B$17*$B$18*$B$20*$B$22,0)</f>
        <v/>
      </c>
      <c r="M31" s="10">
        <f>ROUND($B$4*$B$8*$B$12*$B$17*$B$18*$B$21*$B$22,0)</f>
        <v/>
      </c>
      <c r="N31" s="10">
        <f>ROUND($B$4*$B$8*$B$12*$B$17*$B$19*$B$20*$B$22,0)</f>
        <v/>
      </c>
      <c r="O31" s="10">
        <f>ROUND($B$4*$B$8*$B$12*$B$17*$B$19*$B$21*$B$22,0)</f>
        <v/>
      </c>
      <c r="P31" s="10">
        <f>ROUND($B$4*$B$8*$B$12*$B$17*$B$18*$B$20*$B$23,0)</f>
        <v/>
      </c>
      <c r="Q31" s="10">
        <f>ROUND($B$4*$B$8*$B$12*$B$17*$B$18*$B$21*$B$23,0)</f>
        <v/>
      </c>
      <c r="R31" s="10">
        <f>ROUND($B$4*$B$8*$B$12*$B$17*$B$19*$B$20*$B$23,0)</f>
        <v/>
      </c>
      <c r="S31" s="10">
        <f>ROUND($B$4*$B$8*$B$12*$B$17*$B$19*$B$21*$B$23,0)</f>
        <v/>
      </c>
    </row>
    <row r="32" ht="20.1" customHeight="1" s="62">
      <c r="A32" s="67" t="n"/>
      <c r="B32" s="58" t="n"/>
      <c r="C32" s="11" t="inlineStr">
        <is>
          <t>Standard</t>
        </is>
      </c>
      <c r="D32" s="10">
        <f>ROUND($B$5*$B$8*$B$12*$B$16*$B$18*$B$20*$B$22,0)</f>
        <v/>
      </c>
      <c r="E32" s="10">
        <f>ROUND($B$5*$B$8*$B$12*$B$16*$B$18*$B$21*$B$22,0)</f>
        <v/>
      </c>
      <c r="F32" s="10">
        <f>ROUND($B$5*$B$8*$B$12*$B$16*$B$19*$B$20*$B$22,0)</f>
        <v/>
      </c>
      <c r="G32" s="10">
        <f>ROUND($B$5*$B$8*$B$12*$B$16*$B$19*$B$21*$B$22,0)</f>
        <v/>
      </c>
      <c r="H32" s="10">
        <f>ROUND($B$5*$B$8*$B$12*$B$16*$B$18*$B$20*$B$23,0)</f>
        <v/>
      </c>
      <c r="I32" s="10">
        <f>ROUND($B$5*$B$8*$B$12*$B$16*$B$18*$B$21*$B$23,0)</f>
        <v/>
      </c>
      <c r="J32" s="10">
        <f>ROUND($B$5*$B$8*$B$12*$B$16*$B$19*$B$20*$B$23,0)</f>
        <v/>
      </c>
      <c r="K32" s="10">
        <f>ROUND($B$5*$B$8*$B$12*$B$16*$B$19*$B$21*$B$23,0)</f>
        <v/>
      </c>
      <c r="L32" s="10">
        <f>ROUND($B$5*$B$8*$B$12*$B$17*$B$18*$B$20*$B$22,0)</f>
        <v/>
      </c>
      <c r="M32" s="10">
        <f>ROUND($B$5*$B$8*$B$12*$B$17*$B$18*$B$21*$B$22,0)</f>
        <v/>
      </c>
      <c r="N32" s="10">
        <f>ROUND($B$5*$B$8*$B$12*$B$17*$B$19*$B$20*$B$22,0)</f>
        <v/>
      </c>
      <c r="O32" s="10">
        <f>ROUND($B$5*$B$8*$B$12*$B$17*$B$19*$B$21*$B$22,0)</f>
        <v/>
      </c>
      <c r="P32" s="10">
        <f>ROUND($B$5*$B$8*$B$12*$B$17*$B$18*$B$20*$B$23,0)</f>
        <v/>
      </c>
      <c r="Q32" s="10">
        <f>ROUND($B$5*$B$8*$B$12*$B$17*$B$18*$B$21*$B$23,0)</f>
        <v/>
      </c>
      <c r="R32" s="10">
        <f>ROUND($B$5*$B$8*$B$12*$B$17*$B$19*$B$20*$B$23,0)</f>
        <v/>
      </c>
      <c r="S32" s="10">
        <f>ROUND($B$5*$B$8*$B$12*$B$17*$B$19*$B$21*$B$23,0)</f>
        <v/>
      </c>
    </row>
    <row r="33" ht="20.1" customHeight="1" s="62">
      <c r="A33" s="67" t="n"/>
      <c r="B33" s="59" t="n"/>
      <c r="C33" s="12" t="inlineStr">
        <is>
          <t>Premium</t>
        </is>
      </c>
      <c r="D33" s="10">
        <f>ROUND($B$6*$B$8*$B$12*$B$16*$B$18*$B$20*$B$22,0)</f>
        <v/>
      </c>
      <c r="E33" s="10">
        <f>ROUND($B$6*$B$8*$B$12*$B$16*$B$18*$B$21*$B$22,0)</f>
        <v/>
      </c>
      <c r="F33" s="10">
        <f>ROUND($B$6*$B$8*$B$12*$B$16*$B$19*$B$20*$B$22,0)</f>
        <v/>
      </c>
      <c r="G33" s="10">
        <f>ROUND($B$6*$B$8*$B$12*$B$16*$B$19*$B$21*$B$22,0)</f>
        <v/>
      </c>
      <c r="H33" s="10">
        <f>ROUND($B$6*$B$8*$B$12*$B$16*$B$18*$B$20*$B$23,0)</f>
        <v/>
      </c>
      <c r="I33" s="10">
        <f>ROUND($B$6*$B$8*$B$12*$B$16*$B$18*$B$21*$B$23,0)</f>
        <v/>
      </c>
      <c r="J33" s="10">
        <f>ROUND($B$6*$B$8*$B$12*$B$16*$B$19*$B$20*$B$23,0)</f>
        <v/>
      </c>
      <c r="K33" s="10">
        <f>ROUND($B$6*$B$8*$B$12*$B$16*$B$19*$B$21*$B$23,0)</f>
        <v/>
      </c>
      <c r="L33" s="10">
        <f>ROUND($B$6*$B$8*$B$12*$B$17*$B$18*$B$20*$B$22,0)</f>
        <v/>
      </c>
      <c r="M33" s="10">
        <f>ROUND($B$6*$B$8*$B$12*$B$17*$B$18*$B$21*$B$22,0)</f>
        <v/>
      </c>
      <c r="N33" s="10">
        <f>ROUND($B$6*$B$8*$B$12*$B$17*$B$19*$B$20*$B$22,0)</f>
        <v/>
      </c>
      <c r="O33" s="10">
        <f>ROUND($B$6*$B$8*$B$12*$B$17*$B$19*$B$21*$B$22,0)</f>
        <v/>
      </c>
      <c r="P33" s="10">
        <f>ROUND($B$6*$B$8*$B$12*$B$17*$B$18*$B$20*$B$23,0)</f>
        <v/>
      </c>
      <c r="Q33" s="10">
        <f>ROUND($B$6*$B$8*$B$12*$B$17*$B$18*$B$21*$B$23,0)</f>
        <v/>
      </c>
      <c r="R33" s="10">
        <f>ROUND($B$6*$B$8*$B$12*$B$17*$B$19*$B$20*$B$23,0)</f>
        <v/>
      </c>
      <c r="S33" s="10">
        <f>ROUND($B$6*$B$8*$B$12*$B$17*$B$19*$B$21*$B$23,0)</f>
        <v/>
      </c>
    </row>
    <row r="34" ht="20.1" customHeight="1" s="62">
      <c r="A34" s="67" t="n"/>
      <c r="B34" s="57" t="inlineStr">
        <is>
          <t>3-5 services</t>
        </is>
      </c>
      <c r="C34" s="9" t="inlineStr">
        <is>
          <t>Starter</t>
        </is>
      </c>
      <c r="D34" s="10">
        <f>ROUND($B$4*$B$8*$B$13*$B$16*$B$18*$B$20*$B$22,0)</f>
        <v/>
      </c>
      <c r="E34" s="10">
        <f>ROUND($B$4*$B$8*$B$13*$B$16*$B$18*$B$21*$B$22,0)</f>
        <v/>
      </c>
      <c r="F34" s="10">
        <f>ROUND($B$4*$B$8*$B$13*$B$16*$B$19*$B$20*$B$22,0)</f>
        <v/>
      </c>
      <c r="G34" s="10">
        <f>ROUND($B$4*$B$8*$B$13*$B$16*$B$19*$B$21*$B$22,0)</f>
        <v/>
      </c>
      <c r="H34" s="10">
        <f>ROUND($B$4*$B$8*$B$13*$B$16*$B$18*$B$20*$B$23,0)</f>
        <v/>
      </c>
      <c r="I34" s="10">
        <f>ROUND($B$4*$B$8*$B$13*$B$16*$B$18*$B$21*$B$23,0)</f>
        <v/>
      </c>
      <c r="J34" s="10">
        <f>ROUND($B$4*$B$8*$B$13*$B$16*$B$19*$B$20*$B$23,0)</f>
        <v/>
      </c>
      <c r="K34" s="10">
        <f>ROUND($B$4*$B$8*$B$13*$B$16*$B$19*$B$21*$B$23,0)</f>
        <v/>
      </c>
      <c r="L34" s="10">
        <f>ROUND($B$4*$B$8*$B$13*$B$17*$B$18*$B$20*$B$22,0)</f>
        <v/>
      </c>
      <c r="M34" s="10">
        <f>ROUND($B$4*$B$8*$B$13*$B$17*$B$18*$B$21*$B$22,0)</f>
        <v/>
      </c>
      <c r="N34" s="10">
        <f>ROUND($B$4*$B$8*$B$13*$B$17*$B$19*$B$20*$B$22,0)</f>
        <v/>
      </c>
      <c r="O34" s="10">
        <f>ROUND($B$4*$B$8*$B$13*$B$17*$B$19*$B$21*$B$22,0)</f>
        <v/>
      </c>
      <c r="P34" s="10">
        <f>ROUND($B$4*$B$8*$B$13*$B$17*$B$18*$B$20*$B$23,0)</f>
        <v/>
      </c>
      <c r="Q34" s="10">
        <f>ROUND($B$4*$B$8*$B$13*$B$17*$B$18*$B$21*$B$23,0)</f>
        <v/>
      </c>
      <c r="R34" s="10">
        <f>ROUND($B$4*$B$8*$B$13*$B$17*$B$19*$B$20*$B$23,0)</f>
        <v/>
      </c>
      <c r="S34" s="10">
        <f>ROUND($B$4*$B$8*$B$13*$B$17*$B$19*$B$21*$B$23,0)</f>
        <v/>
      </c>
    </row>
    <row r="35" ht="20.1" customHeight="1" s="62">
      <c r="A35" s="67" t="n"/>
      <c r="B35" s="58" t="n"/>
      <c r="C35" s="11" t="inlineStr">
        <is>
          <t>Standard</t>
        </is>
      </c>
      <c r="D35" s="10">
        <f>ROUND($B$5*$B$8*$B$13*$B$16*$B$18*$B$20*$B$22,0)</f>
        <v/>
      </c>
      <c r="E35" s="10">
        <f>ROUND($B$5*$B$8*$B$13*$B$16*$B$18*$B$21*$B$22,0)</f>
        <v/>
      </c>
      <c r="F35" s="10">
        <f>ROUND($B$5*$B$8*$B$13*$B$16*$B$19*$B$20*$B$22,0)</f>
        <v/>
      </c>
      <c r="G35" s="10">
        <f>ROUND($B$5*$B$8*$B$13*$B$16*$B$19*$B$21*$B$22,0)</f>
        <v/>
      </c>
      <c r="H35" s="10">
        <f>ROUND($B$5*$B$8*$B$13*$B$16*$B$18*$B$20*$B$23,0)</f>
        <v/>
      </c>
      <c r="I35" s="10">
        <f>ROUND($B$5*$B$8*$B$13*$B$16*$B$18*$B$21*$B$23,0)</f>
        <v/>
      </c>
      <c r="J35" s="10">
        <f>ROUND($B$5*$B$8*$B$13*$B$16*$B$19*$B$20*$B$23,0)</f>
        <v/>
      </c>
      <c r="K35" s="10">
        <f>ROUND($B$5*$B$8*$B$13*$B$16*$B$19*$B$21*$B$23,0)</f>
        <v/>
      </c>
      <c r="L35" s="10">
        <f>ROUND($B$5*$B$8*$B$13*$B$17*$B$18*$B$20*$B$22,0)</f>
        <v/>
      </c>
      <c r="M35" s="10">
        <f>ROUND($B$5*$B$8*$B$13*$B$17*$B$18*$B$21*$B$22,0)</f>
        <v/>
      </c>
      <c r="N35" s="10">
        <f>ROUND($B$5*$B$8*$B$13*$B$17*$B$19*$B$20*$B$22,0)</f>
        <v/>
      </c>
      <c r="O35" s="10">
        <f>ROUND($B$5*$B$8*$B$13*$B$17*$B$19*$B$21*$B$22,0)</f>
        <v/>
      </c>
      <c r="P35" s="10">
        <f>ROUND($B$5*$B$8*$B$13*$B$17*$B$18*$B$20*$B$23,0)</f>
        <v/>
      </c>
      <c r="Q35" s="10">
        <f>ROUND($B$5*$B$8*$B$13*$B$17*$B$18*$B$21*$B$23,0)</f>
        <v/>
      </c>
      <c r="R35" s="10">
        <f>ROUND($B$5*$B$8*$B$13*$B$17*$B$19*$B$20*$B$23,0)</f>
        <v/>
      </c>
      <c r="S35" s="10">
        <f>ROUND($B$5*$B$8*$B$13*$B$17*$B$19*$B$21*$B$23,0)</f>
        <v/>
      </c>
    </row>
    <row r="36" ht="20.1" customHeight="1" s="62">
      <c r="A36" s="67" t="n"/>
      <c r="B36" s="59" t="n"/>
      <c r="C36" s="12" t="inlineStr">
        <is>
          <t>Premium</t>
        </is>
      </c>
      <c r="D36" s="10">
        <f>ROUND($B$6*$B$8*$B$13*$B$16*$B$18*$B$20*$B$22,0)</f>
        <v/>
      </c>
      <c r="E36" s="10">
        <f>ROUND($B$6*$B$8*$B$13*$B$16*$B$18*$B$21*$B$22,0)</f>
        <v/>
      </c>
      <c r="F36" s="10">
        <f>ROUND($B$6*$B$8*$B$13*$B$16*$B$19*$B$20*$B$22,0)</f>
        <v/>
      </c>
      <c r="G36" s="10">
        <f>ROUND($B$6*$B$8*$B$13*$B$16*$B$19*$B$21*$B$22,0)</f>
        <v/>
      </c>
      <c r="H36" s="10">
        <f>ROUND($B$6*$B$8*$B$13*$B$16*$B$18*$B$20*$B$23,0)</f>
        <v/>
      </c>
      <c r="I36" s="10">
        <f>ROUND($B$6*$B$8*$B$13*$B$16*$B$18*$B$21*$B$23,0)</f>
        <v/>
      </c>
      <c r="J36" s="10">
        <f>ROUND($B$6*$B$8*$B$13*$B$16*$B$19*$B$20*$B$23,0)</f>
        <v/>
      </c>
      <c r="K36" s="10">
        <f>ROUND($B$6*$B$8*$B$13*$B$16*$B$19*$B$21*$B$23,0)</f>
        <v/>
      </c>
      <c r="L36" s="10">
        <f>ROUND($B$6*$B$8*$B$13*$B$17*$B$18*$B$20*$B$22,0)</f>
        <v/>
      </c>
      <c r="M36" s="10">
        <f>ROUND($B$6*$B$8*$B$13*$B$17*$B$18*$B$21*$B$22,0)</f>
        <v/>
      </c>
      <c r="N36" s="10">
        <f>ROUND($B$6*$B$8*$B$13*$B$17*$B$19*$B$20*$B$22,0)</f>
        <v/>
      </c>
      <c r="O36" s="10">
        <f>ROUND($B$6*$B$8*$B$13*$B$17*$B$19*$B$21*$B$22,0)</f>
        <v/>
      </c>
      <c r="P36" s="10">
        <f>ROUND($B$6*$B$8*$B$13*$B$17*$B$18*$B$20*$B$23,0)</f>
        <v/>
      </c>
      <c r="Q36" s="10">
        <f>ROUND($B$6*$B$8*$B$13*$B$17*$B$18*$B$21*$B$23,0)</f>
        <v/>
      </c>
      <c r="R36" s="10">
        <f>ROUND($B$6*$B$8*$B$13*$B$17*$B$19*$B$20*$B$23,0)</f>
        <v/>
      </c>
      <c r="S36" s="10">
        <f>ROUND($B$6*$B$8*$B$13*$B$17*$B$19*$B$21*$B$23,0)</f>
        <v/>
      </c>
    </row>
    <row r="37" ht="20.1" customHeight="1" s="62">
      <c r="A37" s="67" t="n"/>
      <c r="B37" s="57" t="inlineStr">
        <is>
          <t>6-10 services</t>
        </is>
      </c>
      <c r="C37" s="9" t="inlineStr">
        <is>
          <t>Starter</t>
        </is>
      </c>
      <c r="D37" s="10">
        <f>ROUND($B$4*$B$8*$B$14*$B$16*$B$18*$B$20*$B$22,0)</f>
        <v/>
      </c>
      <c r="E37" s="10">
        <f>ROUND($B$4*$B$8*$B$14*$B$16*$B$18*$B$21*$B$22,0)</f>
        <v/>
      </c>
      <c r="F37" s="10">
        <f>ROUND($B$4*$B$8*$B$14*$B$16*$B$19*$B$20*$B$22,0)</f>
        <v/>
      </c>
      <c r="G37" s="10">
        <f>ROUND($B$4*$B$8*$B$14*$B$16*$B$19*$B$21*$B$22,0)</f>
        <v/>
      </c>
      <c r="H37" s="10">
        <f>ROUND($B$4*$B$8*$B$14*$B$16*$B$18*$B$20*$B$23,0)</f>
        <v/>
      </c>
      <c r="I37" s="10">
        <f>ROUND($B$4*$B$8*$B$14*$B$16*$B$18*$B$21*$B$23,0)</f>
        <v/>
      </c>
      <c r="J37" s="10">
        <f>ROUND($B$4*$B$8*$B$14*$B$16*$B$19*$B$20*$B$23,0)</f>
        <v/>
      </c>
      <c r="K37" s="10">
        <f>ROUND($B$4*$B$8*$B$14*$B$16*$B$19*$B$21*$B$23,0)</f>
        <v/>
      </c>
      <c r="L37" s="10">
        <f>ROUND($B$4*$B$8*$B$14*$B$17*$B$18*$B$20*$B$22,0)</f>
        <v/>
      </c>
      <c r="M37" s="10">
        <f>ROUND($B$4*$B$8*$B$14*$B$17*$B$18*$B$21*$B$22,0)</f>
        <v/>
      </c>
      <c r="N37" s="10">
        <f>ROUND($B$4*$B$8*$B$14*$B$17*$B$19*$B$20*$B$22,0)</f>
        <v/>
      </c>
      <c r="O37" s="10">
        <f>ROUND($B$4*$B$8*$B$14*$B$17*$B$19*$B$21*$B$22,0)</f>
        <v/>
      </c>
      <c r="P37" s="10">
        <f>ROUND($B$4*$B$8*$B$14*$B$17*$B$18*$B$20*$B$23,0)</f>
        <v/>
      </c>
      <c r="Q37" s="10">
        <f>ROUND($B$4*$B$8*$B$14*$B$17*$B$18*$B$21*$B$23,0)</f>
        <v/>
      </c>
      <c r="R37" s="10">
        <f>ROUND($B$4*$B$8*$B$14*$B$17*$B$19*$B$20*$B$23,0)</f>
        <v/>
      </c>
      <c r="S37" s="10">
        <f>ROUND($B$4*$B$8*$B$14*$B$17*$B$19*$B$21*$B$23,0)</f>
        <v/>
      </c>
    </row>
    <row r="38" ht="20.1" customHeight="1" s="62">
      <c r="A38" s="67" t="n"/>
      <c r="B38" s="58" t="n"/>
      <c r="C38" s="11" t="inlineStr">
        <is>
          <t>Standard</t>
        </is>
      </c>
      <c r="D38" s="10">
        <f>ROUND($B$5*$B$8*$B$14*$B$16*$B$18*$B$20*$B$22,0)</f>
        <v/>
      </c>
      <c r="E38" s="10">
        <f>ROUND($B$5*$B$8*$B$14*$B$16*$B$18*$B$21*$B$22,0)</f>
        <v/>
      </c>
      <c r="F38" s="10">
        <f>ROUND($B$5*$B$8*$B$14*$B$16*$B$19*$B$20*$B$22,0)</f>
        <v/>
      </c>
      <c r="G38" s="10">
        <f>ROUND($B$5*$B$8*$B$14*$B$16*$B$19*$B$21*$B$22,0)</f>
        <v/>
      </c>
      <c r="H38" s="10">
        <f>ROUND($B$5*$B$8*$B$14*$B$16*$B$18*$B$20*$B$23,0)</f>
        <v/>
      </c>
      <c r="I38" s="10">
        <f>ROUND($B$5*$B$8*$B$14*$B$16*$B$18*$B$21*$B$23,0)</f>
        <v/>
      </c>
      <c r="J38" s="10">
        <f>ROUND($B$5*$B$8*$B$14*$B$16*$B$19*$B$20*$B$23,0)</f>
        <v/>
      </c>
      <c r="K38" s="10">
        <f>ROUND($B$5*$B$8*$B$14*$B$16*$B$19*$B$21*$B$23,0)</f>
        <v/>
      </c>
      <c r="L38" s="10">
        <f>ROUND($B$5*$B$8*$B$14*$B$17*$B$18*$B$20*$B$22,0)</f>
        <v/>
      </c>
      <c r="M38" s="10">
        <f>ROUND($B$5*$B$8*$B$14*$B$17*$B$18*$B$21*$B$22,0)</f>
        <v/>
      </c>
      <c r="N38" s="10">
        <f>ROUND($B$5*$B$8*$B$14*$B$17*$B$19*$B$20*$B$22,0)</f>
        <v/>
      </c>
      <c r="O38" s="10">
        <f>ROUND($B$5*$B$8*$B$14*$B$17*$B$19*$B$21*$B$22,0)</f>
        <v/>
      </c>
      <c r="P38" s="10">
        <f>ROUND($B$5*$B$8*$B$14*$B$17*$B$18*$B$20*$B$23,0)</f>
        <v/>
      </c>
      <c r="Q38" s="10">
        <f>ROUND($B$5*$B$8*$B$14*$B$17*$B$18*$B$21*$B$23,0)</f>
        <v/>
      </c>
      <c r="R38" s="10">
        <f>ROUND($B$5*$B$8*$B$14*$B$17*$B$19*$B$20*$B$23,0)</f>
        <v/>
      </c>
      <c r="S38" s="10">
        <f>ROUND($B$5*$B$8*$B$14*$B$17*$B$19*$B$21*$B$23,0)</f>
        <v/>
      </c>
    </row>
    <row r="39" ht="20.1" customHeight="1" s="62">
      <c r="A39" s="67" t="n"/>
      <c r="B39" s="59" t="n"/>
      <c r="C39" s="12" t="inlineStr">
        <is>
          <t>Premium</t>
        </is>
      </c>
      <c r="D39" s="10">
        <f>ROUND($B$6*$B$8*$B$14*$B$16*$B$18*$B$20*$B$22,0)</f>
        <v/>
      </c>
      <c r="E39" s="10">
        <f>ROUND($B$6*$B$8*$B$14*$B$16*$B$18*$B$21*$B$22,0)</f>
        <v/>
      </c>
      <c r="F39" s="10">
        <f>ROUND($B$6*$B$8*$B$14*$B$16*$B$19*$B$20*$B$22,0)</f>
        <v/>
      </c>
      <c r="G39" s="10">
        <f>ROUND($B$6*$B$8*$B$14*$B$16*$B$19*$B$21*$B$22,0)</f>
        <v/>
      </c>
      <c r="H39" s="10">
        <f>ROUND($B$6*$B$8*$B$14*$B$16*$B$18*$B$20*$B$23,0)</f>
        <v/>
      </c>
      <c r="I39" s="10">
        <f>ROUND($B$6*$B$8*$B$14*$B$16*$B$18*$B$21*$B$23,0)</f>
        <v/>
      </c>
      <c r="J39" s="10">
        <f>ROUND($B$6*$B$8*$B$14*$B$16*$B$19*$B$20*$B$23,0)</f>
        <v/>
      </c>
      <c r="K39" s="10">
        <f>ROUND($B$6*$B$8*$B$14*$B$16*$B$19*$B$21*$B$23,0)</f>
        <v/>
      </c>
      <c r="L39" s="10">
        <f>ROUND($B$6*$B$8*$B$14*$B$17*$B$18*$B$20*$B$22,0)</f>
        <v/>
      </c>
      <c r="M39" s="10">
        <f>ROUND($B$6*$B$8*$B$14*$B$17*$B$18*$B$21*$B$22,0)</f>
        <v/>
      </c>
      <c r="N39" s="10">
        <f>ROUND($B$6*$B$8*$B$14*$B$17*$B$19*$B$20*$B$22,0)</f>
        <v/>
      </c>
      <c r="O39" s="10">
        <f>ROUND($B$6*$B$8*$B$14*$B$17*$B$19*$B$21*$B$22,0)</f>
        <v/>
      </c>
      <c r="P39" s="10">
        <f>ROUND($B$6*$B$8*$B$14*$B$17*$B$18*$B$20*$B$23,0)</f>
        <v/>
      </c>
      <c r="Q39" s="10">
        <f>ROUND($B$6*$B$8*$B$14*$B$17*$B$18*$B$21*$B$23,0)</f>
        <v/>
      </c>
      <c r="R39" s="10">
        <f>ROUND($B$6*$B$8*$B$14*$B$17*$B$19*$B$20*$B$23,0)</f>
        <v/>
      </c>
      <c r="S39" s="10">
        <f>ROUND($B$6*$B$8*$B$14*$B$17*$B$19*$B$21*$B$23,0)</f>
        <v/>
      </c>
    </row>
    <row r="40" ht="20.1" customHeight="1" s="62">
      <c r="A40" s="67" t="n"/>
      <c r="B40" s="57" t="inlineStr">
        <is>
          <t>10+ services</t>
        </is>
      </c>
      <c r="C40" s="9" t="inlineStr">
        <is>
          <t>Starter</t>
        </is>
      </c>
      <c r="D40" s="10">
        <f>ROUND($B$4*$B$8*$B$15*$B$16*$B$18*$B$20*$B$22,0)</f>
        <v/>
      </c>
      <c r="E40" s="10">
        <f>ROUND($B$4*$B$8*$B$15*$B$16*$B$18*$B$21*$B$22,0)</f>
        <v/>
      </c>
      <c r="F40" s="10">
        <f>ROUND($B$4*$B$8*$B$15*$B$16*$B$19*$B$20*$B$22,0)</f>
        <v/>
      </c>
      <c r="G40" s="10">
        <f>ROUND($B$4*$B$8*$B$15*$B$16*$B$19*$B$21*$B$22,0)</f>
        <v/>
      </c>
      <c r="H40" s="10">
        <f>ROUND($B$4*$B$8*$B$15*$B$16*$B$18*$B$20*$B$23,0)</f>
        <v/>
      </c>
      <c r="I40" s="10">
        <f>ROUND($B$4*$B$8*$B$15*$B$16*$B$18*$B$21*$B$23,0)</f>
        <v/>
      </c>
      <c r="J40" s="10">
        <f>ROUND($B$4*$B$8*$B$15*$B$16*$B$19*$B$20*$B$23,0)</f>
        <v/>
      </c>
      <c r="K40" s="10">
        <f>ROUND($B$4*$B$8*$B$15*$B$16*$B$19*$B$21*$B$23,0)</f>
        <v/>
      </c>
      <c r="L40" s="10">
        <f>ROUND($B$4*$B$8*$B$15*$B$17*$B$18*$B$20*$B$22,0)</f>
        <v/>
      </c>
      <c r="M40" s="10">
        <f>ROUND($B$4*$B$8*$B$15*$B$17*$B$18*$B$21*$B$22,0)</f>
        <v/>
      </c>
      <c r="N40" s="10">
        <f>ROUND($B$4*$B$8*$B$15*$B$17*$B$19*$B$20*$B$22,0)</f>
        <v/>
      </c>
      <c r="O40" s="10">
        <f>ROUND($B$4*$B$8*$B$15*$B$17*$B$19*$B$21*$B$22,0)</f>
        <v/>
      </c>
      <c r="P40" s="10">
        <f>ROUND($B$4*$B$8*$B$15*$B$17*$B$18*$B$20*$B$23,0)</f>
        <v/>
      </c>
      <c r="Q40" s="10">
        <f>ROUND($B$4*$B$8*$B$15*$B$17*$B$18*$B$21*$B$23,0)</f>
        <v/>
      </c>
      <c r="R40" s="10">
        <f>ROUND($B$4*$B$8*$B$15*$B$17*$B$19*$B$20*$B$23,0)</f>
        <v/>
      </c>
      <c r="S40" s="10">
        <f>ROUND($B$4*$B$8*$B$15*$B$17*$B$19*$B$21*$B$23,0)</f>
        <v/>
      </c>
    </row>
    <row r="41" ht="20.1" customHeight="1" s="62">
      <c r="A41" s="67" t="n"/>
      <c r="B41" s="58" t="n"/>
      <c r="C41" s="11" t="inlineStr">
        <is>
          <t>Standard</t>
        </is>
      </c>
      <c r="D41" s="10">
        <f>ROUND($B$5*$B$8*$B$15*$B$16*$B$18*$B$20*$B$22,0)</f>
        <v/>
      </c>
      <c r="E41" s="10">
        <f>ROUND($B$5*$B$8*$B$15*$B$16*$B$18*$B$21*$B$22,0)</f>
        <v/>
      </c>
      <c r="F41" s="10">
        <f>ROUND($B$5*$B$8*$B$15*$B$16*$B$19*$B$20*$B$22,0)</f>
        <v/>
      </c>
      <c r="G41" s="10">
        <f>ROUND($B$5*$B$8*$B$15*$B$16*$B$19*$B$21*$B$22,0)</f>
        <v/>
      </c>
      <c r="H41" s="10">
        <f>ROUND($B$5*$B$8*$B$15*$B$16*$B$18*$B$20*$B$23,0)</f>
        <v/>
      </c>
      <c r="I41" s="10">
        <f>ROUND($B$5*$B$8*$B$15*$B$16*$B$18*$B$21*$B$23,0)</f>
        <v/>
      </c>
      <c r="J41" s="10">
        <f>ROUND($B$5*$B$8*$B$15*$B$16*$B$19*$B$20*$B$23,0)</f>
        <v/>
      </c>
      <c r="K41" s="10">
        <f>ROUND($B$5*$B$8*$B$15*$B$16*$B$19*$B$21*$B$23,0)</f>
        <v/>
      </c>
      <c r="L41" s="10">
        <f>ROUND($B$5*$B$8*$B$15*$B$17*$B$18*$B$20*$B$22,0)</f>
        <v/>
      </c>
      <c r="M41" s="10">
        <f>ROUND($B$5*$B$8*$B$15*$B$17*$B$18*$B$21*$B$22,0)</f>
        <v/>
      </c>
      <c r="N41" s="10">
        <f>ROUND($B$5*$B$8*$B$15*$B$17*$B$19*$B$20*$B$22,0)</f>
        <v/>
      </c>
      <c r="O41" s="10">
        <f>ROUND($B$5*$B$8*$B$15*$B$17*$B$19*$B$21*$B$22,0)</f>
        <v/>
      </c>
      <c r="P41" s="10">
        <f>ROUND($B$5*$B$8*$B$15*$B$17*$B$18*$B$20*$B$23,0)</f>
        <v/>
      </c>
      <c r="Q41" s="10">
        <f>ROUND($B$5*$B$8*$B$15*$B$17*$B$18*$B$21*$B$23,0)</f>
        <v/>
      </c>
      <c r="R41" s="10">
        <f>ROUND($B$5*$B$8*$B$15*$B$17*$B$19*$B$20*$B$23,0)</f>
        <v/>
      </c>
      <c r="S41" s="10">
        <f>ROUND($B$5*$B$8*$B$15*$B$17*$B$19*$B$21*$B$23,0)</f>
        <v/>
      </c>
    </row>
    <row r="42" ht="20.1" customHeight="1" s="62">
      <c r="A42" s="68" t="n"/>
      <c r="B42" s="59" t="n"/>
      <c r="C42" s="12" t="inlineStr">
        <is>
          <t>Premium</t>
        </is>
      </c>
      <c r="D42" s="10">
        <f>ROUND($B$6*$B$8*$B$15*$B$16*$B$18*$B$20*$B$22,0)</f>
        <v/>
      </c>
      <c r="E42" s="10">
        <f>ROUND($B$6*$B$8*$B$15*$B$16*$B$18*$B$21*$B$22,0)</f>
        <v/>
      </c>
      <c r="F42" s="10">
        <f>ROUND($B$6*$B$8*$B$15*$B$16*$B$19*$B$20*$B$22,0)</f>
        <v/>
      </c>
      <c r="G42" s="10">
        <f>ROUND($B$6*$B$8*$B$15*$B$16*$B$19*$B$21*$B$22,0)</f>
        <v/>
      </c>
      <c r="H42" s="10">
        <f>ROUND($B$6*$B$8*$B$15*$B$16*$B$18*$B$20*$B$23,0)</f>
        <v/>
      </c>
      <c r="I42" s="10">
        <f>ROUND($B$6*$B$8*$B$15*$B$16*$B$18*$B$21*$B$23,0)</f>
        <v/>
      </c>
      <c r="J42" s="10">
        <f>ROUND($B$6*$B$8*$B$15*$B$16*$B$19*$B$20*$B$23,0)</f>
        <v/>
      </c>
      <c r="K42" s="10">
        <f>ROUND($B$6*$B$8*$B$15*$B$16*$B$19*$B$21*$B$23,0)</f>
        <v/>
      </c>
      <c r="L42" s="10">
        <f>ROUND($B$6*$B$8*$B$15*$B$17*$B$18*$B$20*$B$22,0)</f>
        <v/>
      </c>
      <c r="M42" s="10">
        <f>ROUND($B$6*$B$8*$B$15*$B$17*$B$18*$B$21*$B$22,0)</f>
        <v/>
      </c>
      <c r="N42" s="10">
        <f>ROUND($B$6*$B$8*$B$15*$B$17*$B$19*$B$20*$B$22,0)</f>
        <v/>
      </c>
      <c r="O42" s="10">
        <f>ROUND($B$6*$B$8*$B$15*$B$17*$B$19*$B$21*$B$22,0)</f>
        <v/>
      </c>
      <c r="P42" s="10">
        <f>ROUND($B$6*$B$8*$B$15*$B$17*$B$18*$B$20*$B$23,0)</f>
        <v/>
      </c>
      <c r="Q42" s="10">
        <f>ROUND($B$6*$B$8*$B$15*$B$17*$B$18*$B$21*$B$23,0)</f>
        <v/>
      </c>
      <c r="R42" s="10">
        <f>ROUND($B$6*$B$8*$B$15*$B$17*$B$19*$B$20*$B$23,0)</f>
        <v/>
      </c>
      <c r="S42" s="10">
        <f>ROUND($B$6*$B$8*$B$15*$B$17*$B$19*$B$21*$B$23,0)</f>
        <v/>
      </c>
    </row>
    <row r="43" ht="20.1" customHeight="1" s="62">
      <c r="A43" s="66" t="inlineStr">
        <is>
          <t>TPE (6-19 sal.)</t>
        </is>
      </c>
      <c r="B43" s="57" t="inlineStr">
        <is>
          <t>1-2 services</t>
        </is>
      </c>
      <c r="C43" s="9" t="inlineStr">
        <is>
          <t>Starter</t>
        </is>
      </c>
      <c r="D43" s="10">
        <f>ROUND($B$4*$B$9*$B$12*$B$16*$B$18*$B$20*$B$22,0)</f>
        <v/>
      </c>
      <c r="E43" s="10">
        <f>ROUND($B$4*$B$9*$B$12*$B$16*$B$18*$B$21*$B$22,0)</f>
        <v/>
      </c>
      <c r="F43" s="10">
        <f>ROUND($B$4*$B$9*$B$12*$B$16*$B$19*$B$20*$B$22,0)</f>
        <v/>
      </c>
      <c r="G43" s="10">
        <f>ROUND($B$4*$B$9*$B$12*$B$16*$B$19*$B$21*$B$22,0)</f>
        <v/>
      </c>
      <c r="H43" s="10">
        <f>ROUND($B$4*$B$9*$B$12*$B$16*$B$18*$B$20*$B$23,0)</f>
        <v/>
      </c>
      <c r="I43" s="10">
        <f>ROUND($B$4*$B$9*$B$12*$B$16*$B$18*$B$21*$B$23,0)</f>
        <v/>
      </c>
      <c r="J43" s="10">
        <f>ROUND($B$4*$B$9*$B$12*$B$16*$B$19*$B$20*$B$23,0)</f>
        <v/>
      </c>
      <c r="K43" s="10">
        <f>ROUND($B$4*$B$9*$B$12*$B$16*$B$19*$B$21*$B$23,0)</f>
        <v/>
      </c>
      <c r="L43" s="10">
        <f>ROUND($B$4*$B$9*$B$12*$B$17*$B$18*$B$20*$B$22,0)</f>
        <v/>
      </c>
      <c r="M43" s="10">
        <f>ROUND($B$4*$B$9*$B$12*$B$17*$B$18*$B$21*$B$22,0)</f>
        <v/>
      </c>
      <c r="N43" s="10">
        <f>ROUND($B$4*$B$9*$B$12*$B$17*$B$19*$B$20*$B$22,0)</f>
        <v/>
      </c>
      <c r="O43" s="10">
        <f>ROUND($B$4*$B$9*$B$12*$B$17*$B$19*$B$21*$B$22,0)</f>
        <v/>
      </c>
      <c r="P43" s="10">
        <f>ROUND($B$4*$B$9*$B$12*$B$17*$B$18*$B$20*$B$23,0)</f>
        <v/>
      </c>
      <c r="Q43" s="10">
        <f>ROUND($B$4*$B$9*$B$12*$B$17*$B$18*$B$21*$B$23,0)</f>
        <v/>
      </c>
      <c r="R43" s="10">
        <f>ROUND($B$4*$B$9*$B$12*$B$17*$B$19*$B$20*$B$23,0)</f>
        <v/>
      </c>
      <c r="S43" s="10">
        <f>ROUND($B$4*$B$9*$B$12*$B$17*$B$19*$B$21*$B$23,0)</f>
        <v/>
      </c>
    </row>
    <row r="44" ht="20.1" customHeight="1" s="62">
      <c r="A44" s="67" t="n"/>
      <c r="B44" s="58" t="n"/>
      <c r="C44" s="11" t="inlineStr">
        <is>
          <t>Standard</t>
        </is>
      </c>
      <c r="D44" s="10">
        <f>ROUND($B$5*$B$9*$B$12*$B$16*$B$18*$B$20*$B$22,0)</f>
        <v/>
      </c>
      <c r="E44" s="10">
        <f>ROUND($B$5*$B$9*$B$12*$B$16*$B$18*$B$21*$B$22,0)</f>
        <v/>
      </c>
      <c r="F44" s="10">
        <f>ROUND($B$5*$B$9*$B$12*$B$16*$B$19*$B$20*$B$22,0)</f>
        <v/>
      </c>
      <c r="G44" s="10">
        <f>ROUND($B$5*$B$9*$B$12*$B$16*$B$19*$B$21*$B$22,0)</f>
        <v/>
      </c>
      <c r="H44" s="10">
        <f>ROUND($B$5*$B$9*$B$12*$B$16*$B$18*$B$20*$B$23,0)</f>
        <v/>
      </c>
      <c r="I44" s="10">
        <f>ROUND($B$5*$B$9*$B$12*$B$16*$B$18*$B$21*$B$23,0)</f>
        <v/>
      </c>
      <c r="J44" s="10">
        <f>ROUND($B$5*$B$9*$B$12*$B$16*$B$19*$B$20*$B$23,0)</f>
        <v/>
      </c>
      <c r="K44" s="10">
        <f>ROUND($B$5*$B$9*$B$12*$B$16*$B$19*$B$21*$B$23,0)</f>
        <v/>
      </c>
      <c r="L44" s="10">
        <f>ROUND($B$5*$B$9*$B$12*$B$17*$B$18*$B$20*$B$22,0)</f>
        <v/>
      </c>
      <c r="M44" s="10">
        <f>ROUND($B$5*$B$9*$B$12*$B$17*$B$18*$B$21*$B$22,0)</f>
        <v/>
      </c>
      <c r="N44" s="10">
        <f>ROUND($B$5*$B$9*$B$12*$B$17*$B$19*$B$20*$B$22,0)</f>
        <v/>
      </c>
      <c r="O44" s="10">
        <f>ROUND($B$5*$B$9*$B$12*$B$17*$B$19*$B$21*$B$22,0)</f>
        <v/>
      </c>
      <c r="P44" s="10">
        <f>ROUND($B$5*$B$9*$B$12*$B$17*$B$18*$B$20*$B$23,0)</f>
        <v/>
      </c>
      <c r="Q44" s="10">
        <f>ROUND($B$5*$B$9*$B$12*$B$17*$B$18*$B$21*$B$23,0)</f>
        <v/>
      </c>
      <c r="R44" s="10">
        <f>ROUND($B$5*$B$9*$B$12*$B$17*$B$19*$B$20*$B$23,0)</f>
        <v/>
      </c>
      <c r="S44" s="10">
        <f>ROUND($B$5*$B$9*$B$12*$B$17*$B$19*$B$21*$B$23,0)</f>
        <v/>
      </c>
    </row>
    <row r="45" ht="20.1" customHeight="1" s="62">
      <c r="A45" s="67" t="n"/>
      <c r="B45" s="59" t="n"/>
      <c r="C45" s="12" t="inlineStr">
        <is>
          <t>Premium</t>
        </is>
      </c>
      <c r="D45" s="10">
        <f>ROUND($B$6*$B$9*$B$12*$B$16*$B$18*$B$20*$B$22,0)</f>
        <v/>
      </c>
      <c r="E45" s="10">
        <f>ROUND($B$6*$B$9*$B$12*$B$16*$B$18*$B$21*$B$22,0)</f>
        <v/>
      </c>
      <c r="F45" s="10">
        <f>ROUND($B$6*$B$9*$B$12*$B$16*$B$19*$B$20*$B$22,0)</f>
        <v/>
      </c>
      <c r="G45" s="10">
        <f>ROUND($B$6*$B$9*$B$12*$B$16*$B$19*$B$21*$B$22,0)</f>
        <v/>
      </c>
      <c r="H45" s="10">
        <f>ROUND($B$6*$B$9*$B$12*$B$16*$B$18*$B$20*$B$23,0)</f>
        <v/>
      </c>
      <c r="I45" s="10">
        <f>ROUND($B$6*$B$9*$B$12*$B$16*$B$18*$B$21*$B$23,0)</f>
        <v/>
      </c>
      <c r="J45" s="10">
        <f>ROUND($B$6*$B$9*$B$12*$B$16*$B$19*$B$20*$B$23,0)</f>
        <v/>
      </c>
      <c r="K45" s="10">
        <f>ROUND($B$6*$B$9*$B$12*$B$16*$B$19*$B$21*$B$23,0)</f>
        <v/>
      </c>
      <c r="L45" s="10">
        <f>ROUND($B$6*$B$9*$B$12*$B$17*$B$18*$B$20*$B$22,0)</f>
        <v/>
      </c>
      <c r="M45" s="10">
        <f>ROUND($B$6*$B$9*$B$12*$B$17*$B$18*$B$21*$B$22,0)</f>
        <v/>
      </c>
      <c r="N45" s="10">
        <f>ROUND($B$6*$B$9*$B$12*$B$17*$B$19*$B$20*$B$22,0)</f>
        <v/>
      </c>
      <c r="O45" s="10">
        <f>ROUND($B$6*$B$9*$B$12*$B$17*$B$19*$B$21*$B$22,0)</f>
        <v/>
      </c>
      <c r="P45" s="10">
        <f>ROUND($B$6*$B$9*$B$12*$B$17*$B$18*$B$20*$B$23,0)</f>
        <v/>
      </c>
      <c r="Q45" s="10">
        <f>ROUND($B$6*$B$9*$B$12*$B$17*$B$18*$B$21*$B$23,0)</f>
        <v/>
      </c>
      <c r="R45" s="10">
        <f>ROUND($B$6*$B$9*$B$12*$B$17*$B$19*$B$20*$B$23,0)</f>
        <v/>
      </c>
      <c r="S45" s="10">
        <f>ROUND($B$6*$B$9*$B$12*$B$17*$B$19*$B$21*$B$23,0)</f>
        <v/>
      </c>
    </row>
    <row r="46" ht="20.1" customHeight="1" s="62">
      <c r="A46" s="67" t="n"/>
      <c r="B46" s="57" t="inlineStr">
        <is>
          <t>3-5 services</t>
        </is>
      </c>
      <c r="C46" s="9" t="inlineStr">
        <is>
          <t>Starter</t>
        </is>
      </c>
      <c r="D46" s="10">
        <f>ROUND($B$4*$B$9*$B$13*$B$16*$B$18*$B$20*$B$22,0)</f>
        <v/>
      </c>
      <c r="E46" s="10">
        <f>ROUND($B$4*$B$9*$B$13*$B$16*$B$18*$B$21*$B$22,0)</f>
        <v/>
      </c>
      <c r="F46" s="10">
        <f>ROUND($B$4*$B$9*$B$13*$B$16*$B$19*$B$20*$B$22,0)</f>
        <v/>
      </c>
      <c r="G46" s="10">
        <f>ROUND($B$4*$B$9*$B$13*$B$16*$B$19*$B$21*$B$22,0)</f>
        <v/>
      </c>
      <c r="H46" s="10">
        <f>ROUND($B$4*$B$9*$B$13*$B$16*$B$18*$B$20*$B$23,0)</f>
        <v/>
      </c>
      <c r="I46" s="10">
        <f>ROUND($B$4*$B$9*$B$13*$B$16*$B$18*$B$21*$B$23,0)</f>
        <v/>
      </c>
      <c r="J46" s="10">
        <f>ROUND($B$4*$B$9*$B$13*$B$16*$B$19*$B$20*$B$23,0)</f>
        <v/>
      </c>
      <c r="K46" s="10">
        <f>ROUND($B$4*$B$9*$B$13*$B$16*$B$19*$B$21*$B$23,0)</f>
        <v/>
      </c>
      <c r="L46" s="10">
        <f>ROUND($B$4*$B$9*$B$13*$B$17*$B$18*$B$20*$B$22,0)</f>
        <v/>
      </c>
      <c r="M46" s="10">
        <f>ROUND($B$4*$B$9*$B$13*$B$17*$B$18*$B$21*$B$22,0)</f>
        <v/>
      </c>
      <c r="N46" s="10">
        <f>ROUND($B$4*$B$9*$B$13*$B$17*$B$19*$B$20*$B$22,0)</f>
        <v/>
      </c>
      <c r="O46" s="10">
        <f>ROUND($B$4*$B$9*$B$13*$B$17*$B$19*$B$21*$B$22,0)</f>
        <v/>
      </c>
      <c r="P46" s="10">
        <f>ROUND($B$4*$B$9*$B$13*$B$17*$B$18*$B$20*$B$23,0)</f>
        <v/>
      </c>
      <c r="Q46" s="10">
        <f>ROUND($B$4*$B$9*$B$13*$B$17*$B$18*$B$21*$B$23,0)</f>
        <v/>
      </c>
      <c r="R46" s="10">
        <f>ROUND($B$4*$B$9*$B$13*$B$17*$B$19*$B$20*$B$23,0)</f>
        <v/>
      </c>
      <c r="S46" s="10">
        <f>ROUND($B$4*$B$9*$B$13*$B$17*$B$19*$B$21*$B$23,0)</f>
        <v/>
      </c>
    </row>
    <row r="47" ht="20.1" customHeight="1" s="62">
      <c r="A47" s="67" t="n"/>
      <c r="B47" s="58" t="n"/>
      <c r="C47" s="11" t="inlineStr">
        <is>
          <t>Standard</t>
        </is>
      </c>
      <c r="D47" s="10">
        <f>ROUND($B$5*$B$9*$B$13*$B$16*$B$18*$B$20*$B$22,0)</f>
        <v/>
      </c>
      <c r="E47" s="10">
        <f>ROUND($B$5*$B$9*$B$13*$B$16*$B$18*$B$21*$B$22,0)</f>
        <v/>
      </c>
      <c r="F47" s="10">
        <f>ROUND($B$5*$B$9*$B$13*$B$16*$B$19*$B$20*$B$22,0)</f>
        <v/>
      </c>
      <c r="G47" s="10">
        <f>ROUND($B$5*$B$9*$B$13*$B$16*$B$19*$B$21*$B$22,0)</f>
        <v/>
      </c>
      <c r="H47" s="10">
        <f>ROUND($B$5*$B$9*$B$13*$B$16*$B$18*$B$20*$B$23,0)</f>
        <v/>
      </c>
      <c r="I47" s="10">
        <f>ROUND($B$5*$B$9*$B$13*$B$16*$B$18*$B$21*$B$23,0)</f>
        <v/>
      </c>
      <c r="J47" s="10">
        <f>ROUND($B$5*$B$9*$B$13*$B$16*$B$19*$B$20*$B$23,0)</f>
        <v/>
      </c>
      <c r="K47" s="10">
        <f>ROUND($B$5*$B$9*$B$13*$B$16*$B$19*$B$21*$B$23,0)</f>
        <v/>
      </c>
      <c r="L47" s="10">
        <f>ROUND($B$5*$B$9*$B$13*$B$17*$B$18*$B$20*$B$22,0)</f>
        <v/>
      </c>
      <c r="M47" s="10">
        <f>ROUND($B$5*$B$9*$B$13*$B$17*$B$18*$B$21*$B$22,0)</f>
        <v/>
      </c>
      <c r="N47" s="10">
        <f>ROUND($B$5*$B$9*$B$13*$B$17*$B$19*$B$20*$B$22,0)</f>
        <v/>
      </c>
      <c r="O47" s="10">
        <f>ROUND($B$5*$B$9*$B$13*$B$17*$B$19*$B$21*$B$22,0)</f>
        <v/>
      </c>
      <c r="P47" s="10">
        <f>ROUND($B$5*$B$9*$B$13*$B$17*$B$18*$B$20*$B$23,0)</f>
        <v/>
      </c>
      <c r="Q47" s="10">
        <f>ROUND($B$5*$B$9*$B$13*$B$17*$B$18*$B$21*$B$23,0)</f>
        <v/>
      </c>
      <c r="R47" s="10">
        <f>ROUND($B$5*$B$9*$B$13*$B$17*$B$19*$B$20*$B$23,0)</f>
        <v/>
      </c>
      <c r="S47" s="10">
        <f>ROUND($B$5*$B$9*$B$13*$B$17*$B$19*$B$21*$B$23,0)</f>
        <v/>
      </c>
    </row>
    <row r="48" ht="20.1" customHeight="1" s="62">
      <c r="A48" s="67" t="n"/>
      <c r="B48" s="59" t="n"/>
      <c r="C48" s="12" t="inlineStr">
        <is>
          <t>Premium</t>
        </is>
      </c>
      <c r="D48" s="10">
        <f>ROUND($B$6*$B$9*$B$13*$B$16*$B$18*$B$20*$B$22,0)</f>
        <v/>
      </c>
      <c r="E48" s="10">
        <f>ROUND($B$6*$B$9*$B$13*$B$16*$B$18*$B$21*$B$22,0)</f>
        <v/>
      </c>
      <c r="F48" s="10">
        <f>ROUND($B$6*$B$9*$B$13*$B$16*$B$19*$B$20*$B$22,0)</f>
        <v/>
      </c>
      <c r="G48" s="10">
        <f>ROUND($B$6*$B$9*$B$13*$B$16*$B$19*$B$21*$B$22,0)</f>
        <v/>
      </c>
      <c r="H48" s="10">
        <f>ROUND($B$6*$B$9*$B$13*$B$16*$B$18*$B$20*$B$23,0)</f>
        <v/>
      </c>
      <c r="I48" s="10">
        <f>ROUND($B$6*$B$9*$B$13*$B$16*$B$18*$B$21*$B$23,0)</f>
        <v/>
      </c>
      <c r="J48" s="10">
        <f>ROUND($B$6*$B$9*$B$13*$B$16*$B$19*$B$20*$B$23,0)</f>
        <v/>
      </c>
      <c r="K48" s="10">
        <f>ROUND($B$6*$B$9*$B$13*$B$16*$B$19*$B$21*$B$23,0)</f>
        <v/>
      </c>
      <c r="L48" s="10">
        <f>ROUND($B$6*$B$9*$B$13*$B$17*$B$18*$B$20*$B$22,0)</f>
        <v/>
      </c>
      <c r="M48" s="10">
        <f>ROUND($B$6*$B$9*$B$13*$B$17*$B$18*$B$21*$B$22,0)</f>
        <v/>
      </c>
      <c r="N48" s="10">
        <f>ROUND($B$6*$B$9*$B$13*$B$17*$B$19*$B$20*$B$22,0)</f>
        <v/>
      </c>
      <c r="O48" s="10">
        <f>ROUND($B$6*$B$9*$B$13*$B$17*$B$19*$B$21*$B$22,0)</f>
        <v/>
      </c>
      <c r="P48" s="10">
        <f>ROUND($B$6*$B$9*$B$13*$B$17*$B$18*$B$20*$B$23,0)</f>
        <v/>
      </c>
      <c r="Q48" s="10">
        <f>ROUND($B$6*$B$9*$B$13*$B$17*$B$18*$B$21*$B$23,0)</f>
        <v/>
      </c>
      <c r="R48" s="10">
        <f>ROUND($B$6*$B$9*$B$13*$B$17*$B$19*$B$20*$B$23,0)</f>
        <v/>
      </c>
      <c r="S48" s="10">
        <f>ROUND($B$6*$B$9*$B$13*$B$17*$B$19*$B$21*$B$23,0)</f>
        <v/>
      </c>
    </row>
    <row r="49" ht="20.1" customHeight="1" s="62">
      <c r="A49" s="67" t="n"/>
      <c r="B49" s="57" t="inlineStr">
        <is>
          <t>6-10 services</t>
        </is>
      </c>
      <c r="C49" s="9" t="inlineStr">
        <is>
          <t>Starter</t>
        </is>
      </c>
      <c r="D49" s="10">
        <f>ROUND($B$4*$B$9*$B$14*$B$16*$B$18*$B$20*$B$22,0)</f>
        <v/>
      </c>
      <c r="E49" s="10">
        <f>ROUND($B$4*$B$9*$B$14*$B$16*$B$18*$B$21*$B$22,0)</f>
        <v/>
      </c>
      <c r="F49" s="10">
        <f>ROUND($B$4*$B$9*$B$14*$B$16*$B$19*$B$20*$B$22,0)</f>
        <v/>
      </c>
      <c r="G49" s="10">
        <f>ROUND($B$4*$B$9*$B$14*$B$16*$B$19*$B$21*$B$22,0)</f>
        <v/>
      </c>
      <c r="H49" s="10">
        <f>ROUND($B$4*$B$9*$B$14*$B$16*$B$18*$B$20*$B$23,0)</f>
        <v/>
      </c>
      <c r="I49" s="10">
        <f>ROUND($B$4*$B$9*$B$14*$B$16*$B$18*$B$21*$B$23,0)</f>
        <v/>
      </c>
      <c r="J49" s="10">
        <f>ROUND($B$4*$B$9*$B$14*$B$16*$B$19*$B$20*$B$23,0)</f>
        <v/>
      </c>
      <c r="K49" s="10">
        <f>ROUND($B$4*$B$9*$B$14*$B$16*$B$19*$B$21*$B$23,0)</f>
        <v/>
      </c>
      <c r="L49" s="10">
        <f>ROUND($B$4*$B$9*$B$14*$B$17*$B$18*$B$20*$B$22,0)</f>
        <v/>
      </c>
      <c r="M49" s="10">
        <f>ROUND($B$4*$B$9*$B$14*$B$17*$B$18*$B$21*$B$22,0)</f>
        <v/>
      </c>
      <c r="N49" s="10">
        <f>ROUND($B$4*$B$9*$B$14*$B$17*$B$19*$B$20*$B$22,0)</f>
        <v/>
      </c>
      <c r="O49" s="10">
        <f>ROUND($B$4*$B$9*$B$14*$B$17*$B$19*$B$21*$B$22,0)</f>
        <v/>
      </c>
      <c r="P49" s="10">
        <f>ROUND($B$4*$B$9*$B$14*$B$17*$B$18*$B$20*$B$23,0)</f>
        <v/>
      </c>
      <c r="Q49" s="10">
        <f>ROUND($B$4*$B$9*$B$14*$B$17*$B$18*$B$21*$B$23,0)</f>
        <v/>
      </c>
      <c r="R49" s="10">
        <f>ROUND($B$4*$B$9*$B$14*$B$17*$B$19*$B$20*$B$23,0)</f>
        <v/>
      </c>
      <c r="S49" s="10">
        <f>ROUND($B$4*$B$9*$B$14*$B$17*$B$19*$B$21*$B$23,0)</f>
        <v/>
      </c>
    </row>
    <row r="50" ht="20.1" customHeight="1" s="62">
      <c r="A50" s="67" t="n"/>
      <c r="B50" s="58" t="n"/>
      <c r="C50" s="11" t="inlineStr">
        <is>
          <t>Standard</t>
        </is>
      </c>
      <c r="D50" s="10">
        <f>ROUND($B$5*$B$9*$B$14*$B$16*$B$18*$B$20*$B$22,0)</f>
        <v/>
      </c>
      <c r="E50" s="10">
        <f>ROUND($B$5*$B$9*$B$14*$B$16*$B$18*$B$21*$B$22,0)</f>
        <v/>
      </c>
      <c r="F50" s="10">
        <f>ROUND($B$5*$B$9*$B$14*$B$16*$B$19*$B$20*$B$22,0)</f>
        <v/>
      </c>
      <c r="G50" s="10">
        <f>ROUND($B$5*$B$9*$B$14*$B$16*$B$19*$B$21*$B$22,0)</f>
        <v/>
      </c>
      <c r="H50" s="10">
        <f>ROUND($B$5*$B$9*$B$14*$B$16*$B$18*$B$20*$B$23,0)</f>
        <v/>
      </c>
      <c r="I50" s="10">
        <f>ROUND($B$5*$B$9*$B$14*$B$16*$B$18*$B$21*$B$23,0)</f>
        <v/>
      </c>
      <c r="J50" s="10">
        <f>ROUND($B$5*$B$9*$B$14*$B$16*$B$19*$B$20*$B$23,0)</f>
        <v/>
      </c>
      <c r="K50" s="10">
        <f>ROUND($B$5*$B$9*$B$14*$B$16*$B$19*$B$21*$B$23,0)</f>
        <v/>
      </c>
      <c r="L50" s="10">
        <f>ROUND($B$5*$B$9*$B$14*$B$17*$B$18*$B$20*$B$22,0)</f>
        <v/>
      </c>
      <c r="M50" s="10">
        <f>ROUND($B$5*$B$9*$B$14*$B$17*$B$18*$B$21*$B$22,0)</f>
        <v/>
      </c>
      <c r="N50" s="10">
        <f>ROUND($B$5*$B$9*$B$14*$B$17*$B$19*$B$20*$B$22,0)</f>
        <v/>
      </c>
      <c r="O50" s="10">
        <f>ROUND($B$5*$B$9*$B$14*$B$17*$B$19*$B$21*$B$22,0)</f>
        <v/>
      </c>
      <c r="P50" s="10">
        <f>ROUND($B$5*$B$9*$B$14*$B$17*$B$18*$B$20*$B$23,0)</f>
        <v/>
      </c>
      <c r="Q50" s="10">
        <f>ROUND($B$5*$B$9*$B$14*$B$17*$B$18*$B$21*$B$23,0)</f>
        <v/>
      </c>
      <c r="R50" s="10">
        <f>ROUND($B$5*$B$9*$B$14*$B$17*$B$19*$B$20*$B$23,0)</f>
        <v/>
      </c>
      <c r="S50" s="10">
        <f>ROUND($B$5*$B$9*$B$14*$B$17*$B$19*$B$21*$B$23,0)</f>
        <v/>
      </c>
    </row>
    <row r="51" ht="20.1" customHeight="1" s="62">
      <c r="A51" s="67" t="n"/>
      <c r="B51" s="59" t="n"/>
      <c r="C51" s="12" t="inlineStr">
        <is>
          <t>Premium</t>
        </is>
      </c>
      <c r="D51" s="10">
        <f>ROUND($B$6*$B$9*$B$14*$B$16*$B$18*$B$20*$B$22,0)</f>
        <v/>
      </c>
      <c r="E51" s="10">
        <f>ROUND($B$6*$B$9*$B$14*$B$16*$B$18*$B$21*$B$22,0)</f>
        <v/>
      </c>
      <c r="F51" s="10">
        <f>ROUND($B$6*$B$9*$B$14*$B$16*$B$19*$B$20*$B$22,0)</f>
        <v/>
      </c>
      <c r="G51" s="10">
        <f>ROUND($B$6*$B$9*$B$14*$B$16*$B$19*$B$21*$B$22,0)</f>
        <v/>
      </c>
      <c r="H51" s="10">
        <f>ROUND($B$6*$B$9*$B$14*$B$16*$B$18*$B$20*$B$23,0)</f>
        <v/>
      </c>
      <c r="I51" s="10">
        <f>ROUND($B$6*$B$9*$B$14*$B$16*$B$18*$B$21*$B$23,0)</f>
        <v/>
      </c>
      <c r="J51" s="10">
        <f>ROUND($B$6*$B$9*$B$14*$B$16*$B$19*$B$20*$B$23,0)</f>
        <v/>
      </c>
      <c r="K51" s="10">
        <f>ROUND($B$6*$B$9*$B$14*$B$16*$B$19*$B$21*$B$23,0)</f>
        <v/>
      </c>
      <c r="L51" s="10">
        <f>ROUND($B$6*$B$9*$B$14*$B$17*$B$18*$B$20*$B$22,0)</f>
        <v/>
      </c>
      <c r="M51" s="10">
        <f>ROUND($B$6*$B$9*$B$14*$B$17*$B$18*$B$21*$B$22,0)</f>
        <v/>
      </c>
      <c r="N51" s="10">
        <f>ROUND($B$6*$B$9*$B$14*$B$17*$B$19*$B$20*$B$22,0)</f>
        <v/>
      </c>
      <c r="O51" s="10">
        <f>ROUND($B$6*$B$9*$B$14*$B$17*$B$19*$B$21*$B$22,0)</f>
        <v/>
      </c>
      <c r="P51" s="10">
        <f>ROUND($B$6*$B$9*$B$14*$B$17*$B$18*$B$20*$B$23,0)</f>
        <v/>
      </c>
      <c r="Q51" s="10">
        <f>ROUND($B$6*$B$9*$B$14*$B$17*$B$18*$B$21*$B$23,0)</f>
        <v/>
      </c>
      <c r="R51" s="10">
        <f>ROUND($B$6*$B$9*$B$14*$B$17*$B$19*$B$20*$B$23,0)</f>
        <v/>
      </c>
      <c r="S51" s="10">
        <f>ROUND($B$6*$B$9*$B$14*$B$17*$B$19*$B$21*$B$23,0)</f>
        <v/>
      </c>
    </row>
    <row r="52" ht="20.1" customHeight="1" s="62">
      <c r="A52" s="67" t="n"/>
      <c r="B52" s="57" t="inlineStr">
        <is>
          <t>10+ services</t>
        </is>
      </c>
      <c r="C52" s="9" t="inlineStr">
        <is>
          <t>Starter</t>
        </is>
      </c>
      <c r="D52" s="10">
        <f>ROUND($B$4*$B$9*$B$15*$B$16*$B$18*$B$20*$B$22,0)</f>
        <v/>
      </c>
      <c r="E52" s="10">
        <f>ROUND($B$4*$B$9*$B$15*$B$16*$B$18*$B$21*$B$22,0)</f>
        <v/>
      </c>
      <c r="F52" s="10">
        <f>ROUND($B$4*$B$9*$B$15*$B$16*$B$19*$B$20*$B$22,0)</f>
        <v/>
      </c>
      <c r="G52" s="10">
        <f>ROUND($B$4*$B$9*$B$15*$B$16*$B$19*$B$21*$B$22,0)</f>
        <v/>
      </c>
      <c r="H52" s="10">
        <f>ROUND($B$4*$B$9*$B$15*$B$16*$B$18*$B$20*$B$23,0)</f>
        <v/>
      </c>
      <c r="I52" s="10">
        <f>ROUND($B$4*$B$9*$B$15*$B$16*$B$18*$B$21*$B$23,0)</f>
        <v/>
      </c>
      <c r="J52" s="10">
        <f>ROUND($B$4*$B$9*$B$15*$B$16*$B$19*$B$20*$B$23,0)</f>
        <v/>
      </c>
      <c r="K52" s="10">
        <f>ROUND($B$4*$B$9*$B$15*$B$16*$B$19*$B$21*$B$23,0)</f>
        <v/>
      </c>
      <c r="L52" s="10">
        <f>ROUND($B$4*$B$9*$B$15*$B$17*$B$18*$B$20*$B$22,0)</f>
        <v/>
      </c>
      <c r="M52" s="10">
        <f>ROUND($B$4*$B$9*$B$15*$B$17*$B$18*$B$21*$B$22,0)</f>
        <v/>
      </c>
      <c r="N52" s="10">
        <f>ROUND($B$4*$B$9*$B$15*$B$17*$B$19*$B$20*$B$22,0)</f>
        <v/>
      </c>
      <c r="O52" s="10">
        <f>ROUND($B$4*$B$9*$B$15*$B$17*$B$19*$B$21*$B$22,0)</f>
        <v/>
      </c>
      <c r="P52" s="10">
        <f>ROUND($B$4*$B$9*$B$15*$B$17*$B$18*$B$20*$B$23,0)</f>
        <v/>
      </c>
      <c r="Q52" s="10">
        <f>ROUND($B$4*$B$9*$B$15*$B$17*$B$18*$B$21*$B$23,0)</f>
        <v/>
      </c>
      <c r="R52" s="10">
        <f>ROUND($B$4*$B$9*$B$15*$B$17*$B$19*$B$20*$B$23,0)</f>
        <v/>
      </c>
      <c r="S52" s="10">
        <f>ROUND($B$4*$B$9*$B$15*$B$17*$B$19*$B$21*$B$23,0)</f>
        <v/>
      </c>
    </row>
    <row r="53" ht="20.1" customHeight="1" s="62">
      <c r="A53" s="67" t="n"/>
      <c r="B53" s="58" t="n"/>
      <c r="C53" s="11" t="inlineStr">
        <is>
          <t>Standard</t>
        </is>
      </c>
      <c r="D53" s="10">
        <f>ROUND($B$5*$B$9*$B$15*$B$16*$B$18*$B$20*$B$22,0)</f>
        <v/>
      </c>
      <c r="E53" s="10">
        <f>ROUND($B$5*$B$9*$B$15*$B$16*$B$18*$B$21*$B$22,0)</f>
        <v/>
      </c>
      <c r="F53" s="10">
        <f>ROUND($B$5*$B$9*$B$15*$B$16*$B$19*$B$20*$B$22,0)</f>
        <v/>
      </c>
      <c r="G53" s="10">
        <f>ROUND($B$5*$B$9*$B$15*$B$16*$B$19*$B$21*$B$22,0)</f>
        <v/>
      </c>
      <c r="H53" s="10">
        <f>ROUND($B$5*$B$9*$B$15*$B$16*$B$18*$B$20*$B$23,0)</f>
        <v/>
      </c>
      <c r="I53" s="10">
        <f>ROUND($B$5*$B$9*$B$15*$B$16*$B$18*$B$21*$B$23,0)</f>
        <v/>
      </c>
      <c r="J53" s="10">
        <f>ROUND($B$5*$B$9*$B$15*$B$16*$B$19*$B$20*$B$23,0)</f>
        <v/>
      </c>
      <c r="K53" s="10">
        <f>ROUND($B$5*$B$9*$B$15*$B$16*$B$19*$B$21*$B$23,0)</f>
        <v/>
      </c>
      <c r="L53" s="10">
        <f>ROUND($B$5*$B$9*$B$15*$B$17*$B$18*$B$20*$B$22,0)</f>
        <v/>
      </c>
      <c r="M53" s="10">
        <f>ROUND($B$5*$B$9*$B$15*$B$17*$B$18*$B$21*$B$22,0)</f>
        <v/>
      </c>
      <c r="N53" s="10">
        <f>ROUND($B$5*$B$9*$B$15*$B$17*$B$19*$B$20*$B$22,0)</f>
        <v/>
      </c>
      <c r="O53" s="10">
        <f>ROUND($B$5*$B$9*$B$15*$B$17*$B$19*$B$21*$B$22,0)</f>
        <v/>
      </c>
      <c r="P53" s="10">
        <f>ROUND($B$5*$B$9*$B$15*$B$17*$B$18*$B$20*$B$23,0)</f>
        <v/>
      </c>
      <c r="Q53" s="10">
        <f>ROUND($B$5*$B$9*$B$15*$B$17*$B$18*$B$21*$B$23,0)</f>
        <v/>
      </c>
      <c r="R53" s="10">
        <f>ROUND($B$5*$B$9*$B$15*$B$17*$B$19*$B$20*$B$23,0)</f>
        <v/>
      </c>
      <c r="S53" s="10">
        <f>ROUND($B$5*$B$9*$B$15*$B$17*$B$19*$B$21*$B$23,0)</f>
        <v/>
      </c>
    </row>
    <row r="54" ht="20.1" customHeight="1" s="62">
      <c r="A54" s="68" t="n"/>
      <c r="B54" s="59" t="n"/>
      <c r="C54" s="12" t="inlineStr">
        <is>
          <t>Premium</t>
        </is>
      </c>
      <c r="D54" s="10">
        <f>ROUND($B$6*$B$9*$B$15*$B$16*$B$18*$B$20*$B$22,0)</f>
        <v/>
      </c>
      <c r="E54" s="10">
        <f>ROUND($B$6*$B$9*$B$15*$B$16*$B$18*$B$21*$B$22,0)</f>
        <v/>
      </c>
      <c r="F54" s="10">
        <f>ROUND($B$6*$B$9*$B$15*$B$16*$B$19*$B$20*$B$22,0)</f>
        <v/>
      </c>
      <c r="G54" s="10">
        <f>ROUND($B$6*$B$9*$B$15*$B$16*$B$19*$B$21*$B$22,0)</f>
        <v/>
      </c>
      <c r="H54" s="10">
        <f>ROUND($B$6*$B$9*$B$15*$B$16*$B$18*$B$20*$B$23,0)</f>
        <v/>
      </c>
      <c r="I54" s="10">
        <f>ROUND($B$6*$B$9*$B$15*$B$16*$B$18*$B$21*$B$23,0)</f>
        <v/>
      </c>
      <c r="J54" s="10">
        <f>ROUND($B$6*$B$9*$B$15*$B$16*$B$19*$B$20*$B$23,0)</f>
        <v/>
      </c>
      <c r="K54" s="10">
        <f>ROUND($B$6*$B$9*$B$15*$B$16*$B$19*$B$21*$B$23,0)</f>
        <v/>
      </c>
      <c r="L54" s="10">
        <f>ROUND($B$6*$B$9*$B$15*$B$17*$B$18*$B$20*$B$22,0)</f>
        <v/>
      </c>
      <c r="M54" s="10">
        <f>ROUND($B$6*$B$9*$B$15*$B$17*$B$18*$B$21*$B$22,0)</f>
        <v/>
      </c>
      <c r="N54" s="10">
        <f>ROUND($B$6*$B$9*$B$15*$B$17*$B$19*$B$20*$B$22,0)</f>
        <v/>
      </c>
      <c r="O54" s="10">
        <f>ROUND($B$6*$B$9*$B$15*$B$17*$B$19*$B$21*$B$22,0)</f>
        <v/>
      </c>
      <c r="P54" s="10">
        <f>ROUND($B$6*$B$9*$B$15*$B$17*$B$18*$B$20*$B$23,0)</f>
        <v/>
      </c>
      <c r="Q54" s="10">
        <f>ROUND($B$6*$B$9*$B$15*$B$17*$B$18*$B$21*$B$23,0)</f>
        <v/>
      </c>
      <c r="R54" s="10">
        <f>ROUND($B$6*$B$9*$B$15*$B$17*$B$19*$B$20*$B$23,0)</f>
        <v/>
      </c>
      <c r="S54" s="10">
        <f>ROUND($B$6*$B$9*$B$15*$B$17*$B$19*$B$21*$B$23,0)</f>
        <v/>
      </c>
    </row>
    <row r="55" ht="20.1" customHeight="1" s="62">
      <c r="A55" s="66" t="inlineStr">
        <is>
          <t>PME (20-99 sal.)</t>
        </is>
      </c>
      <c r="B55" s="57" t="inlineStr">
        <is>
          <t>1-2 services</t>
        </is>
      </c>
      <c r="C55" s="9" t="inlineStr">
        <is>
          <t>Starter</t>
        </is>
      </c>
      <c r="D55" s="10">
        <f>ROUND($B$4*$B$10*$B$12*$B$16*$B$18*$B$20*$B$22,0)</f>
        <v/>
      </c>
      <c r="E55" s="10">
        <f>ROUND($B$4*$B$10*$B$12*$B$16*$B$18*$B$21*$B$22,0)</f>
        <v/>
      </c>
      <c r="F55" s="10">
        <f>ROUND($B$4*$B$10*$B$12*$B$16*$B$19*$B$20*$B$22,0)</f>
        <v/>
      </c>
      <c r="G55" s="10">
        <f>ROUND($B$4*$B$10*$B$12*$B$16*$B$19*$B$21*$B$22,0)</f>
        <v/>
      </c>
      <c r="H55" s="10">
        <f>ROUND($B$4*$B$10*$B$12*$B$16*$B$18*$B$20*$B$23,0)</f>
        <v/>
      </c>
      <c r="I55" s="10">
        <f>ROUND($B$4*$B$10*$B$12*$B$16*$B$18*$B$21*$B$23,0)</f>
        <v/>
      </c>
      <c r="J55" s="10">
        <f>ROUND($B$4*$B$10*$B$12*$B$16*$B$19*$B$20*$B$23,0)</f>
        <v/>
      </c>
      <c r="K55" s="10">
        <f>ROUND($B$4*$B$10*$B$12*$B$16*$B$19*$B$21*$B$23,0)</f>
        <v/>
      </c>
      <c r="L55" s="10">
        <f>ROUND($B$4*$B$10*$B$12*$B$17*$B$18*$B$20*$B$22,0)</f>
        <v/>
      </c>
      <c r="M55" s="10">
        <f>ROUND($B$4*$B$10*$B$12*$B$17*$B$18*$B$21*$B$22,0)</f>
        <v/>
      </c>
      <c r="N55" s="10">
        <f>ROUND($B$4*$B$10*$B$12*$B$17*$B$19*$B$20*$B$22,0)</f>
        <v/>
      </c>
      <c r="O55" s="10">
        <f>ROUND($B$4*$B$10*$B$12*$B$17*$B$19*$B$21*$B$22,0)</f>
        <v/>
      </c>
      <c r="P55" s="10">
        <f>ROUND($B$4*$B$10*$B$12*$B$17*$B$18*$B$20*$B$23,0)</f>
        <v/>
      </c>
      <c r="Q55" s="10">
        <f>ROUND($B$4*$B$10*$B$12*$B$17*$B$18*$B$21*$B$23,0)</f>
        <v/>
      </c>
      <c r="R55" s="10">
        <f>ROUND($B$4*$B$10*$B$12*$B$17*$B$19*$B$20*$B$23,0)</f>
        <v/>
      </c>
      <c r="S55" s="10">
        <f>ROUND($B$4*$B$10*$B$12*$B$17*$B$19*$B$21*$B$23,0)</f>
        <v/>
      </c>
    </row>
    <row r="56" ht="20.1" customHeight="1" s="62">
      <c r="A56" s="67" t="n"/>
      <c r="B56" s="58" t="n"/>
      <c r="C56" s="11" t="inlineStr">
        <is>
          <t>Standard</t>
        </is>
      </c>
      <c r="D56" s="10">
        <f>ROUND($B$5*$B$10*$B$12*$B$16*$B$18*$B$20*$B$22,0)</f>
        <v/>
      </c>
      <c r="E56" s="10">
        <f>ROUND($B$5*$B$10*$B$12*$B$16*$B$18*$B$21*$B$22,0)</f>
        <v/>
      </c>
      <c r="F56" s="10">
        <f>ROUND($B$5*$B$10*$B$12*$B$16*$B$19*$B$20*$B$22,0)</f>
        <v/>
      </c>
      <c r="G56" s="10">
        <f>ROUND($B$5*$B$10*$B$12*$B$16*$B$19*$B$21*$B$22,0)</f>
        <v/>
      </c>
      <c r="H56" s="10">
        <f>ROUND($B$5*$B$10*$B$12*$B$16*$B$18*$B$20*$B$23,0)</f>
        <v/>
      </c>
      <c r="I56" s="10">
        <f>ROUND($B$5*$B$10*$B$12*$B$16*$B$18*$B$21*$B$23,0)</f>
        <v/>
      </c>
      <c r="J56" s="10">
        <f>ROUND($B$5*$B$10*$B$12*$B$16*$B$19*$B$20*$B$23,0)</f>
        <v/>
      </c>
      <c r="K56" s="10">
        <f>ROUND($B$5*$B$10*$B$12*$B$16*$B$19*$B$21*$B$23,0)</f>
        <v/>
      </c>
      <c r="L56" s="10">
        <f>ROUND($B$5*$B$10*$B$12*$B$17*$B$18*$B$20*$B$22,0)</f>
        <v/>
      </c>
      <c r="M56" s="10">
        <f>ROUND($B$5*$B$10*$B$12*$B$17*$B$18*$B$21*$B$22,0)</f>
        <v/>
      </c>
      <c r="N56" s="10">
        <f>ROUND($B$5*$B$10*$B$12*$B$17*$B$19*$B$20*$B$22,0)</f>
        <v/>
      </c>
      <c r="O56" s="10">
        <f>ROUND($B$5*$B$10*$B$12*$B$17*$B$19*$B$21*$B$22,0)</f>
        <v/>
      </c>
      <c r="P56" s="10">
        <f>ROUND($B$5*$B$10*$B$12*$B$17*$B$18*$B$20*$B$23,0)</f>
        <v/>
      </c>
      <c r="Q56" s="10">
        <f>ROUND($B$5*$B$10*$B$12*$B$17*$B$18*$B$21*$B$23,0)</f>
        <v/>
      </c>
      <c r="R56" s="10">
        <f>ROUND($B$5*$B$10*$B$12*$B$17*$B$19*$B$20*$B$23,0)</f>
        <v/>
      </c>
      <c r="S56" s="10">
        <f>ROUND($B$5*$B$10*$B$12*$B$17*$B$19*$B$21*$B$23,0)</f>
        <v/>
      </c>
    </row>
    <row r="57" ht="20.1" customHeight="1" s="62">
      <c r="A57" s="67" t="n"/>
      <c r="B57" s="59" t="n"/>
      <c r="C57" s="12" t="inlineStr">
        <is>
          <t>Premium</t>
        </is>
      </c>
      <c r="D57" s="10">
        <f>ROUND($B$6*$B$10*$B$12*$B$16*$B$18*$B$20*$B$22,0)</f>
        <v/>
      </c>
      <c r="E57" s="10">
        <f>ROUND($B$6*$B$10*$B$12*$B$16*$B$18*$B$21*$B$22,0)</f>
        <v/>
      </c>
      <c r="F57" s="10">
        <f>ROUND($B$6*$B$10*$B$12*$B$16*$B$19*$B$20*$B$22,0)</f>
        <v/>
      </c>
      <c r="G57" s="10">
        <f>ROUND($B$6*$B$10*$B$12*$B$16*$B$19*$B$21*$B$22,0)</f>
        <v/>
      </c>
      <c r="H57" s="10">
        <f>ROUND($B$6*$B$10*$B$12*$B$16*$B$18*$B$20*$B$23,0)</f>
        <v/>
      </c>
      <c r="I57" s="10">
        <f>ROUND($B$6*$B$10*$B$12*$B$16*$B$18*$B$21*$B$23,0)</f>
        <v/>
      </c>
      <c r="J57" s="10">
        <f>ROUND($B$6*$B$10*$B$12*$B$16*$B$19*$B$20*$B$23,0)</f>
        <v/>
      </c>
      <c r="K57" s="10">
        <f>ROUND($B$6*$B$10*$B$12*$B$16*$B$19*$B$21*$B$23,0)</f>
        <v/>
      </c>
      <c r="L57" s="10">
        <f>ROUND($B$6*$B$10*$B$12*$B$17*$B$18*$B$20*$B$22,0)</f>
        <v/>
      </c>
      <c r="M57" s="10">
        <f>ROUND($B$6*$B$10*$B$12*$B$17*$B$18*$B$21*$B$22,0)</f>
        <v/>
      </c>
      <c r="N57" s="10">
        <f>ROUND($B$6*$B$10*$B$12*$B$17*$B$19*$B$20*$B$22,0)</f>
        <v/>
      </c>
      <c r="O57" s="10">
        <f>ROUND($B$6*$B$10*$B$12*$B$17*$B$19*$B$21*$B$22,0)</f>
        <v/>
      </c>
      <c r="P57" s="10">
        <f>ROUND($B$6*$B$10*$B$12*$B$17*$B$18*$B$20*$B$23,0)</f>
        <v/>
      </c>
      <c r="Q57" s="10">
        <f>ROUND($B$6*$B$10*$B$12*$B$17*$B$18*$B$21*$B$23,0)</f>
        <v/>
      </c>
      <c r="R57" s="10">
        <f>ROUND($B$6*$B$10*$B$12*$B$17*$B$19*$B$20*$B$23,0)</f>
        <v/>
      </c>
      <c r="S57" s="10">
        <f>ROUND($B$6*$B$10*$B$12*$B$17*$B$19*$B$21*$B$23,0)</f>
        <v/>
      </c>
    </row>
    <row r="58" ht="20.1" customHeight="1" s="62">
      <c r="A58" s="67" t="n"/>
      <c r="B58" s="57" t="inlineStr">
        <is>
          <t>3-5 services</t>
        </is>
      </c>
      <c r="C58" s="9" t="inlineStr">
        <is>
          <t>Starter</t>
        </is>
      </c>
      <c r="D58" s="10">
        <f>ROUND($B$4*$B$10*$B$13*$B$16*$B$18*$B$20*$B$22,0)</f>
        <v/>
      </c>
      <c r="E58" s="10">
        <f>ROUND($B$4*$B$10*$B$13*$B$16*$B$18*$B$21*$B$22,0)</f>
        <v/>
      </c>
      <c r="F58" s="10">
        <f>ROUND($B$4*$B$10*$B$13*$B$16*$B$19*$B$20*$B$22,0)</f>
        <v/>
      </c>
      <c r="G58" s="10">
        <f>ROUND($B$4*$B$10*$B$13*$B$16*$B$19*$B$21*$B$22,0)</f>
        <v/>
      </c>
      <c r="H58" s="10">
        <f>ROUND($B$4*$B$10*$B$13*$B$16*$B$18*$B$20*$B$23,0)</f>
        <v/>
      </c>
      <c r="I58" s="10">
        <f>ROUND($B$4*$B$10*$B$13*$B$16*$B$18*$B$21*$B$23,0)</f>
        <v/>
      </c>
      <c r="J58" s="10">
        <f>ROUND($B$4*$B$10*$B$13*$B$16*$B$19*$B$20*$B$23,0)</f>
        <v/>
      </c>
      <c r="K58" s="10">
        <f>ROUND($B$4*$B$10*$B$13*$B$16*$B$19*$B$21*$B$23,0)</f>
        <v/>
      </c>
      <c r="L58" s="10">
        <f>ROUND($B$4*$B$10*$B$13*$B$17*$B$18*$B$20*$B$22,0)</f>
        <v/>
      </c>
      <c r="M58" s="10">
        <f>ROUND($B$4*$B$10*$B$13*$B$17*$B$18*$B$21*$B$22,0)</f>
        <v/>
      </c>
      <c r="N58" s="10">
        <f>ROUND($B$4*$B$10*$B$13*$B$17*$B$19*$B$20*$B$22,0)</f>
        <v/>
      </c>
      <c r="O58" s="10">
        <f>ROUND($B$4*$B$10*$B$13*$B$17*$B$19*$B$21*$B$22,0)</f>
        <v/>
      </c>
      <c r="P58" s="10">
        <f>ROUND($B$4*$B$10*$B$13*$B$17*$B$18*$B$20*$B$23,0)</f>
        <v/>
      </c>
      <c r="Q58" s="10">
        <f>ROUND($B$4*$B$10*$B$13*$B$17*$B$18*$B$21*$B$23,0)</f>
        <v/>
      </c>
      <c r="R58" s="10">
        <f>ROUND($B$4*$B$10*$B$13*$B$17*$B$19*$B$20*$B$23,0)</f>
        <v/>
      </c>
      <c r="S58" s="10">
        <f>ROUND($B$4*$B$10*$B$13*$B$17*$B$19*$B$21*$B$23,0)</f>
        <v/>
      </c>
    </row>
    <row r="59" ht="20.1" customHeight="1" s="62">
      <c r="A59" s="67" t="n"/>
      <c r="B59" s="58" t="n"/>
      <c r="C59" s="11" t="inlineStr">
        <is>
          <t>Standard</t>
        </is>
      </c>
      <c r="D59" s="10">
        <f>ROUND($B$5*$B$10*$B$13*$B$16*$B$18*$B$20*$B$22,0)</f>
        <v/>
      </c>
      <c r="E59" s="10">
        <f>ROUND($B$5*$B$10*$B$13*$B$16*$B$18*$B$21*$B$22,0)</f>
        <v/>
      </c>
      <c r="F59" s="10">
        <f>ROUND($B$5*$B$10*$B$13*$B$16*$B$19*$B$20*$B$22,0)</f>
        <v/>
      </c>
      <c r="G59" s="10">
        <f>ROUND($B$5*$B$10*$B$13*$B$16*$B$19*$B$21*$B$22,0)</f>
        <v/>
      </c>
      <c r="H59" s="10">
        <f>ROUND($B$5*$B$10*$B$13*$B$16*$B$18*$B$20*$B$23,0)</f>
        <v/>
      </c>
      <c r="I59" s="10">
        <f>ROUND($B$5*$B$10*$B$13*$B$16*$B$18*$B$21*$B$23,0)</f>
        <v/>
      </c>
      <c r="J59" s="10">
        <f>ROUND($B$5*$B$10*$B$13*$B$16*$B$19*$B$20*$B$23,0)</f>
        <v/>
      </c>
      <c r="K59" s="10">
        <f>ROUND($B$5*$B$10*$B$13*$B$16*$B$19*$B$21*$B$23,0)</f>
        <v/>
      </c>
      <c r="L59" s="10">
        <f>ROUND($B$5*$B$10*$B$13*$B$17*$B$18*$B$20*$B$22,0)</f>
        <v/>
      </c>
      <c r="M59" s="10">
        <f>ROUND($B$5*$B$10*$B$13*$B$17*$B$18*$B$21*$B$22,0)</f>
        <v/>
      </c>
      <c r="N59" s="10">
        <f>ROUND($B$5*$B$10*$B$13*$B$17*$B$19*$B$20*$B$22,0)</f>
        <v/>
      </c>
      <c r="O59" s="10">
        <f>ROUND($B$5*$B$10*$B$13*$B$17*$B$19*$B$21*$B$22,0)</f>
        <v/>
      </c>
      <c r="P59" s="10">
        <f>ROUND($B$5*$B$10*$B$13*$B$17*$B$18*$B$20*$B$23,0)</f>
        <v/>
      </c>
      <c r="Q59" s="10">
        <f>ROUND($B$5*$B$10*$B$13*$B$17*$B$18*$B$21*$B$23,0)</f>
        <v/>
      </c>
      <c r="R59" s="10">
        <f>ROUND($B$5*$B$10*$B$13*$B$17*$B$19*$B$20*$B$23,0)</f>
        <v/>
      </c>
      <c r="S59" s="10">
        <f>ROUND($B$5*$B$10*$B$13*$B$17*$B$19*$B$21*$B$23,0)</f>
        <v/>
      </c>
    </row>
    <row r="60" ht="20.1" customHeight="1" s="62">
      <c r="A60" s="67" t="n"/>
      <c r="B60" s="59" t="n"/>
      <c r="C60" s="12" t="inlineStr">
        <is>
          <t>Premium</t>
        </is>
      </c>
      <c r="D60" s="10">
        <f>ROUND($B$6*$B$10*$B$13*$B$16*$B$18*$B$20*$B$22,0)</f>
        <v/>
      </c>
      <c r="E60" s="10">
        <f>ROUND($B$6*$B$10*$B$13*$B$16*$B$18*$B$21*$B$22,0)</f>
        <v/>
      </c>
      <c r="F60" s="10">
        <f>ROUND($B$6*$B$10*$B$13*$B$16*$B$19*$B$20*$B$22,0)</f>
        <v/>
      </c>
      <c r="G60" s="10">
        <f>ROUND($B$6*$B$10*$B$13*$B$16*$B$19*$B$21*$B$22,0)</f>
        <v/>
      </c>
      <c r="H60" s="10">
        <f>ROUND($B$6*$B$10*$B$13*$B$16*$B$18*$B$20*$B$23,0)</f>
        <v/>
      </c>
      <c r="I60" s="10">
        <f>ROUND($B$6*$B$10*$B$13*$B$16*$B$18*$B$21*$B$23,0)</f>
        <v/>
      </c>
      <c r="J60" s="10">
        <f>ROUND($B$6*$B$10*$B$13*$B$16*$B$19*$B$20*$B$23,0)</f>
        <v/>
      </c>
      <c r="K60" s="10">
        <f>ROUND($B$6*$B$10*$B$13*$B$16*$B$19*$B$21*$B$23,0)</f>
        <v/>
      </c>
      <c r="L60" s="10">
        <f>ROUND($B$6*$B$10*$B$13*$B$17*$B$18*$B$20*$B$22,0)</f>
        <v/>
      </c>
      <c r="M60" s="10">
        <f>ROUND($B$6*$B$10*$B$13*$B$17*$B$18*$B$21*$B$22,0)</f>
        <v/>
      </c>
      <c r="N60" s="10">
        <f>ROUND($B$6*$B$10*$B$13*$B$17*$B$19*$B$20*$B$22,0)</f>
        <v/>
      </c>
      <c r="O60" s="10">
        <f>ROUND($B$6*$B$10*$B$13*$B$17*$B$19*$B$21*$B$22,0)</f>
        <v/>
      </c>
      <c r="P60" s="10">
        <f>ROUND($B$6*$B$10*$B$13*$B$17*$B$18*$B$20*$B$23,0)</f>
        <v/>
      </c>
      <c r="Q60" s="10">
        <f>ROUND($B$6*$B$10*$B$13*$B$17*$B$18*$B$21*$B$23,0)</f>
        <v/>
      </c>
      <c r="R60" s="10">
        <f>ROUND($B$6*$B$10*$B$13*$B$17*$B$19*$B$20*$B$23,0)</f>
        <v/>
      </c>
      <c r="S60" s="10">
        <f>ROUND($B$6*$B$10*$B$13*$B$17*$B$19*$B$21*$B$23,0)</f>
        <v/>
      </c>
    </row>
    <row r="61" ht="20.1" customHeight="1" s="62">
      <c r="A61" s="67" t="n"/>
      <c r="B61" s="57" t="inlineStr">
        <is>
          <t>6-10 services</t>
        </is>
      </c>
      <c r="C61" s="9" t="inlineStr">
        <is>
          <t>Starter</t>
        </is>
      </c>
      <c r="D61" s="10">
        <f>ROUND($B$4*$B$10*$B$14*$B$16*$B$18*$B$20*$B$22,0)</f>
        <v/>
      </c>
      <c r="E61" s="10">
        <f>ROUND($B$4*$B$10*$B$14*$B$16*$B$18*$B$21*$B$22,0)</f>
        <v/>
      </c>
      <c r="F61" s="10">
        <f>ROUND($B$4*$B$10*$B$14*$B$16*$B$19*$B$20*$B$22,0)</f>
        <v/>
      </c>
      <c r="G61" s="10">
        <f>ROUND($B$4*$B$10*$B$14*$B$16*$B$19*$B$21*$B$22,0)</f>
        <v/>
      </c>
      <c r="H61" s="10">
        <f>ROUND($B$4*$B$10*$B$14*$B$16*$B$18*$B$20*$B$23,0)</f>
        <v/>
      </c>
      <c r="I61" s="10">
        <f>ROUND($B$4*$B$10*$B$14*$B$16*$B$18*$B$21*$B$23,0)</f>
        <v/>
      </c>
      <c r="J61" s="10">
        <f>ROUND($B$4*$B$10*$B$14*$B$16*$B$19*$B$20*$B$23,0)</f>
        <v/>
      </c>
      <c r="K61" s="10">
        <f>ROUND($B$4*$B$10*$B$14*$B$16*$B$19*$B$21*$B$23,0)</f>
        <v/>
      </c>
      <c r="L61" s="10">
        <f>ROUND($B$4*$B$10*$B$14*$B$17*$B$18*$B$20*$B$22,0)</f>
        <v/>
      </c>
      <c r="M61" s="10">
        <f>ROUND($B$4*$B$10*$B$14*$B$17*$B$18*$B$21*$B$22,0)</f>
        <v/>
      </c>
      <c r="N61" s="10">
        <f>ROUND($B$4*$B$10*$B$14*$B$17*$B$19*$B$20*$B$22,0)</f>
        <v/>
      </c>
      <c r="O61" s="10">
        <f>ROUND($B$4*$B$10*$B$14*$B$17*$B$19*$B$21*$B$22,0)</f>
        <v/>
      </c>
      <c r="P61" s="10">
        <f>ROUND($B$4*$B$10*$B$14*$B$17*$B$18*$B$20*$B$23,0)</f>
        <v/>
      </c>
      <c r="Q61" s="10">
        <f>ROUND($B$4*$B$10*$B$14*$B$17*$B$18*$B$21*$B$23,0)</f>
        <v/>
      </c>
      <c r="R61" s="10">
        <f>ROUND($B$4*$B$10*$B$14*$B$17*$B$19*$B$20*$B$23,0)</f>
        <v/>
      </c>
      <c r="S61" s="10">
        <f>ROUND($B$4*$B$10*$B$14*$B$17*$B$19*$B$21*$B$23,0)</f>
        <v/>
      </c>
    </row>
    <row r="62" ht="20.1" customHeight="1" s="62">
      <c r="A62" s="67" t="n"/>
      <c r="B62" s="58" t="n"/>
      <c r="C62" s="11" t="inlineStr">
        <is>
          <t>Standard</t>
        </is>
      </c>
      <c r="D62" s="10">
        <f>ROUND($B$5*$B$10*$B$14*$B$16*$B$18*$B$20*$B$22,0)</f>
        <v/>
      </c>
      <c r="E62" s="10">
        <f>ROUND($B$5*$B$10*$B$14*$B$16*$B$18*$B$21*$B$22,0)</f>
        <v/>
      </c>
      <c r="F62" s="10">
        <f>ROUND($B$5*$B$10*$B$14*$B$16*$B$19*$B$20*$B$22,0)</f>
        <v/>
      </c>
      <c r="G62" s="10">
        <f>ROUND($B$5*$B$10*$B$14*$B$16*$B$19*$B$21*$B$22,0)</f>
        <v/>
      </c>
      <c r="H62" s="10">
        <f>ROUND($B$5*$B$10*$B$14*$B$16*$B$18*$B$20*$B$23,0)</f>
        <v/>
      </c>
      <c r="I62" s="10">
        <f>ROUND($B$5*$B$10*$B$14*$B$16*$B$18*$B$21*$B$23,0)</f>
        <v/>
      </c>
      <c r="J62" s="10">
        <f>ROUND($B$5*$B$10*$B$14*$B$16*$B$19*$B$20*$B$23,0)</f>
        <v/>
      </c>
      <c r="K62" s="10">
        <f>ROUND($B$5*$B$10*$B$14*$B$16*$B$19*$B$21*$B$23,0)</f>
        <v/>
      </c>
      <c r="L62" s="10">
        <f>ROUND($B$5*$B$10*$B$14*$B$17*$B$18*$B$20*$B$22,0)</f>
        <v/>
      </c>
      <c r="M62" s="10">
        <f>ROUND($B$5*$B$10*$B$14*$B$17*$B$18*$B$21*$B$22,0)</f>
        <v/>
      </c>
      <c r="N62" s="10">
        <f>ROUND($B$5*$B$10*$B$14*$B$17*$B$19*$B$20*$B$22,0)</f>
        <v/>
      </c>
      <c r="O62" s="10">
        <f>ROUND($B$5*$B$10*$B$14*$B$17*$B$19*$B$21*$B$22,0)</f>
        <v/>
      </c>
      <c r="P62" s="10">
        <f>ROUND($B$5*$B$10*$B$14*$B$17*$B$18*$B$20*$B$23,0)</f>
        <v/>
      </c>
      <c r="Q62" s="10">
        <f>ROUND($B$5*$B$10*$B$14*$B$17*$B$18*$B$21*$B$23,0)</f>
        <v/>
      </c>
      <c r="R62" s="10">
        <f>ROUND($B$5*$B$10*$B$14*$B$17*$B$19*$B$20*$B$23,0)</f>
        <v/>
      </c>
      <c r="S62" s="10">
        <f>ROUND($B$5*$B$10*$B$14*$B$17*$B$19*$B$21*$B$23,0)</f>
        <v/>
      </c>
    </row>
    <row r="63" ht="20.1" customHeight="1" s="62">
      <c r="A63" s="67" t="n"/>
      <c r="B63" s="59" t="n"/>
      <c r="C63" s="12" t="inlineStr">
        <is>
          <t>Premium</t>
        </is>
      </c>
      <c r="D63" s="10">
        <f>ROUND($B$6*$B$10*$B$14*$B$16*$B$18*$B$20*$B$22,0)</f>
        <v/>
      </c>
      <c r="E63" s="10">
        <f>ROUND($B$6*$B$10*$B$14*$B$16*$B$18*$B$21*$B$22,0)</f>
        <v/>
      </c>
      <c r="F63" s="10">
        <f>ROUND($B$6*$B$10*$B$14*$B$16*$B$19*$B$20*$B$22,0)</f>
        <v/>
      </c>
      <c r="G63" s="10">
        <f>ROUND($B$6*$B$10*$B$14*$B$16*$B$19*$B$21*$B$22,0)</f>
        <v/>
      </c>
      <c r="H63" s="10">
        <f>ROUND($B$6*$B$10*$B$14*$B$16*$B$18*$B$20*$B$23,0)</f>
        <v/>
      </c>
      <c r="I63" s="10">
        <f>ROUND($B$6*$B$10*$B$14*$B$16*$B$18*$B$21*$B$23,0)</f>
        <v/>
      </c>
      <c r="J63" s="10">
        <f>ROUND($B$6*$B$10*$B$14*$B$16*$B$19*$B$20*$B$23,0)</f>
        <v/>
      </c>
      <c r="K63" s="10">
        <f>ROUND($B$6*$B$10*$B$14*$B$16*$B$19*$B$21*$B$23,0)</f>
        <v/>
      </c>
      <c r="L63" s="10">
        <f>ROUND($B$6*$B$10*$B$14*$B$17*$B$18*$B$20*$B$22,0)</f>
        <v/>
      </c>
      <c r="M63" s="10">
        <f>ROUND($B$6*$B$10*$B$14*$B$17*$B$18*$B$21*$B$22,0)</f>
        <v/>
      </c>
      <c r="N63" s="10">
        <f>ROUND($B$6*$B$10*$B$14*$B$17*$B$19*$B$20*$B$22,0)</f>
        <v/>
      </c>
      <c r="O63" s="10">
        <f>ROUND($B$6*$B$10*$B$14*$B$17*$B$19*$B$21*$B$22,0)</f>
        <v/>
      </c>
      <c r="P63" s="10">
        <f>ROUND($B$6*$B$10*$B$14*$B$17*$B$18*$B$20*$B$23,0)</f>
        <v/>
      </c>
      <c r="Q63" s="10">
        <f>ROUND($B$6*$B$10*$B$14*$B$17*$B$18*$B$21*$B$23,0)</f>
        <v/>
      </c>
      <c r="R63" s="10">
        <f>ROUND($B$6*$B$10*$B$14*$B$17*$B$19*$B$20*$B$23,0)</f>
        <v/>
      </c>
      <c r="S63" s="10">
        <f>ROUND($B$6*$B$10*$B$14*$B$17*$B$19*$B$21*$B$23,0)</f>
        <v/>
      </c>
    </row>
    <row r="64" ht="20.1" customHeight="1" s="62">
      <c r="A64" s="67" t="n"/>
      <c r="B64" s="57" t="inlineStr">
        <is>
          <t>10+ services</t>
        </is>
      </c>
      <c r="C64" s="9" t="inlineStr">
        <is>
          <t>Starter</t>
        </is>
      </c>
      <c r="D64" s="10">
        <f>ROUND($B$4*$B$10*$B$15*$B$16*$B$18*$B$20*$B$22,0)</f>
        <v/>
      </c>
      <c r="E64" s="10">
        <f>ROUND($B$4*$B$10*$B$15*$B$16*$B$18*$B$21*$B$22,0)</f>
        <v/>
      </c>
      <c r="F64" s="10">
        <f>ROUND($B$4*$B$10*$B$15*$B$16*$B$19*$B$20*$B$22,0)</f>
        <v/>
      </c>
      <c r="G64" s="10">
        <f>ROUND($B$4*$B$10*$B$15*$B$16*$B$19*$B$21*$B$22,0)</f>
        <v/>
      </c>
      <c r="H64" s="10">
        <f>ROUND($B$4*$B$10*$B$15*$B$16*$B$18*$B$20*$B$23,0)</f>
        <v/>
      </c>
      <c r="I64" s="10">
        <f>ROUND($B$4*$B$10*$B$15*$B$16*$B$18*$B$21*$B$23,0)</f>
        <v/>
      </c>
      <c r="J64" s="10">
        <f>ROUND($B$4*$B$10*$B$15*$B$16*$B$19*$B$20*$B$23,0)</f>
        <v/>
      </c>
      <c r="K64" s="10">
        <f>ROUND($B$4*$B$10*$B$15*$B$16*$B$19*$B$21*$B$23,0)</f>
        <v/>
      </c>
      <c r="L64" s="10">
        <f>ROUND($B$4*$B$10*$B$15*$B$17*$B$18*$B$20*$B$22,0)</f>
        <v/>
      </c>
      <c r="M64" s="10">
        <f>ROUND($B$4*$B$10*$B$15*$B$17*$B$18*$B$21*$B$22,0)</f>
        <v/>
      </c>
      <c r="N64" s="10">
        <f>ROUND($B$4*$B$10*$B$15*$B$17*$B$19*$B$20*$B$22,0)</f>
        <v/>
      </c>
      <c r="O64" s="10">
        <f>ROUND($B$4*$B$10*$B$15*$B$17*$B$19*$B$21*$B$22,0)</f>
        <v/>
      </c>
      <c r="P64" s="10">
        <f>ROUND($B$4*$B$10*$B$15*$B$17*$B$18*$B$20*$B$23,0)</f>
        <v/>
      </c>
      <c r="Q64" s="10">
        <f>ROUND($B$4*$B$10*$B$15*$B$17*$B$18*$B$21*$B$23,0)</f>
        <v/>
      </c>
      <c r="R64" s="10">
        <f>ROUND($B$4*$B$10*$B$15*$B$17*$B$19*$B$20*$B$23,0)</f>
        <v/>
      </c>
      <c r="S64" s="10">
        <f>ROUND($B$4*$B$10*$B$15*$B$17*$B$19*$B$21*$B$23,0)</f>
        <v/>
      </c>
    </row>
    <row r="65" ht="20.1" customHeight="1" s="62">
      <c r="A65" s="67" t="n"/>
      <c r="B65" s="58" t="n"/>
      <c r="C65" s="11" t="inlineStr">
        <is>
          <t>Standard</t>
        </is>
      </c>
      <c r="D65" s="10">
        <f>ROUND($B$5*$B$10*$B$15*$B$16*$B$18*$B$20*$B$22,0)</f>
        <v/>
      </c>
      <c r="E65" s="10">
        <f>ROUND($B$5*$B$10*$B$15*$B$16*$B$18*$B$21*$B$22,0)</f>
        <v/>
      </c>
      <c r="F65" s="10">
        <f>ROUND($B$5*$B$10*$B$15*$B$16*$B$19*$B$20*$B$22,0)</f>
        <v/>
      </c>
      <c r="G65" s="10">
        <f>ROUND($B$5*$B$10*$B$15*$B$16*$B$19*$B$21*$B$22,0)</f>
        <v/>
      </c>
      <c r="H65" s="10">
        <f>ROUND($B$5*$B$10*$B$15*$B$16*$B$18*$B$20*$B$23,0)</f>
        <v/>
      </c>
      <c r="I65" s="10">
        <f>ROUND($B$5*$B$10*$B$15*$B$16*$B$18*$B$21*$B$23,0)</f>
        <v/>
      </c>
      <c r="J65" s="10">
        <f>ROUND($B$5*$B$10*$B$15*$B$16*$B$19*$B$20*$B$23,0)</f>
        <v/>
      </c>
      <c r="K65" s="10">
        <f>ROUND($B$5*$B$10*$B$15*$B$16*$B$19*$B$21*$B$23,0)</f>
        <v/>
      </c>
      <c r="L65" s="10">
        <f>ROUND($B$5*$B$10*$B$15*$B$17*$B$18*$B$20*$B$22,0)</f>
        <v/>
      </c>
      <c r="M65" s="10">
        <f>ROUND($B$5*$B$10*$B$15*$B$17*$B$18*$B$21*$B$22,0)</f>
        <v/>
      </c>
      <c r="N65" s="10">
        <f>ROUND($B$5*$B$10*$B$15*$B$17*$B$19*$B$20*$B$22,0)</f>
        <v/>
      </c>
      <c r="O65" s="10">
        <f>ROUND($B$5*$B$10*$B$15*$B$17*$B$19*$B$21*$B$22,0)</f>
        <v/>
      </c>
      <c r="P65" s="10">
        <f>ROUND($B$5*$B$10*$B$15*$B$17*$B$18*$B$20*$B$23,0)</f>
        <v/>
      </c>
      <c r="Q65" s="10">
        <f>ROUND($B$5*$B$10*$B$15*$B$17*$B$18*$B$21*$B$23,0)</f>
        <v/>
      </c>
      <c r="R65" s="10">
        <f>ROUND($B$5*$B$10*$B$15*$B$17*$B$19*$B$20*$B$23,0)</f>
        <v/>
      </c>
      <c r="S65" s="10">
        <f>ROUND($B$5*$B$10*$B$15*$B$17*$B$19*$B$21*$B$23,0)</f>
        <v/>
      </c>
    </row>
    <row r="66" ht="20.1" customHeight="1" s="62">
      <c r="A66" s="68" t="n"/>
      <c r="B66" s="59" t="n"/>
      <c r="C66" s="12" t="inlineStr">
        <is>
          <t>Premium</t>
        </is>
      </c>
      <c r="D66" s="10">
        <f>ROUND($B$6*$B$10*$B$15*$B$16*$B$18*$B$20*$B$22,0)</f>
        <v/>
      </c>
      <c r="E66" s="10">
        <f>ROUND($B$6*$B$10*$B$15*$B$16*$B$18*$B$21*$B$22,0)</f>
        <v/>
      </c>
      <c r="F66" s="10">
        <f>ROUND($B$6*$B$10*$B$15*$B$16*$B$19*$B$20*$B$22,0)</f>
        <v/>
      </c>
      <c r="G66" s="10">
        <f>ROUND($B$6*$B$10*$B$15*$B$16*$B$19*$B$21*$B$22,0)</f>
        <v/>
      </c>
      <c r="H66" s="10">
        <f>ROUND($B$6*$B$10*$B$15*$B$16*$B$18*$B$20*$B$23,0)</f>
        <v/>
      </c>
      <c r="I66" s="10">
        <f>ROUND($B$6*$B$10*$B$15*$B$16*$B$18*$B$21*$B$23,0)</f>
        <v/>
      </c>
      <c r="J66" s="10">
        <f>ROUND($B$6*$B$10*$B$15*$B$16*$B$19*$B$20*$B$23,0)</f>
        <v/>
      </c>
      <c r="K66" s="10">
        <f>ROUND($B$6*$B$10*$B$15*$B$16*$B$19*$B$21*$B$23,0)</f>
        <v/>
      </c>
      <c r="L66" s="10">
        <f>ROUND($B$6*$B$10*$B$15*$B$17*$B$18*$B$20*$B$22,0)</f>
        <v/>
      </c>
      <c r="M66" s="10">
        <f>ROUND($B$6*$B$10*$B$15*$B$17*$B$18*$B$21*$B$22,0)</f>
        <v/>
      </c>
      <c r="N66" s="10">
        <f>ROUND($B$6*$B$10*$B$15*$B$17*$B$19*$B$20*$B$22,0)</f>
        <v/>
      </c>
      <c r="O66" s="10">
        <f>ROUND($B$6*$B$10*$B$15*$B$17*$B$19*$B$21*$B$22,0)</f>
        <v/>
      </c>
      <c r="P66" s="10">
        <f>ROUND($B$6*$B$10*$B$15*$B$17*$B$18*$B$20*$B$23,0)</f>
        <v/>
      </c>
      <c r="Q66" s="10">
        <f>ROUND($B$6*$B$10*$B$15*$B$17*$B$18*$B$21*$B$23,0)</f>
        <v/>
      </c>
      <c r="R66" s="10">
        <f>ROUND($B$6*$B$10*$B$15*$B$17*$B$19*$B$20*$B$23,0)</f>
        <v/>
      </c>
      <c r="S66" s="10">
        <f>ROUND($B$6*$B$10*$B$15*$B$17*$B$19*$B$21*$B$23,0)</f>
        <v/>
      </c>
    </row>
    <row r="67" ht="20.1" customHeight="1" s="62">
      <c r="A67" s="66" t="inlineStr">
        <is>
          <t>ETI / Grand compte (100+)</t>
        </is>
      </c>
      <c r="B67" s="57" t="inlineStr">
        <is>
          <t>1-2 services</t>
        </is>
      </c>
      <c r="C67" s="9" t="inlineStr">
        <is>
          <t>Starter</t>
        </is>
      </c>
      <c r="D67" s="10">
        <f>ROUND($B$4*$B$11*$B$12*$B$16*$B$18*$B$20*$B$22,0)</f>
        <v/>
      </c>
      <c r="E67" s="10">
        <f>ROUND($B$4*$B$11*$B$12*$B$16*$B$18*$B$21*$B$22,0)</f>
        <v/>
      </c>
      <c r="F67" s="10">
        <f>ROUND($B$4*$B$11*$B$12*$B$16*$B$19*$B$20*$B$22,0)</f>
        <v/>
      </c>
      <c r="G67" s="10">
        <f>ROUND($B$4*$B$11*$B$12*$B$16*$B$19*$B$21*$B$22,0)</f>
        <v/>
      </c>
      <c r="H67" s="10">
        <f>ROUND($B$4*$B$11*$B$12*$B$16*$B$18*$B$20*$B$23,0)</f>
        <v/>
      </c>
      <c r="I67" s="10">
        <f>ROUND($B$4*$B$11*$B$12*$B$16*$B$18*$B$21*$B$23,0)</f>
        <v/>
      </c>
      <c r="J67" s="10">
        <f>ROUND($B$4*$B$11*$B$12*$B$16*$B$19*$B$20*$B$23,0)</f>
        <v/>
      </c>
      <c r="K67" s="10">
        <f>ROUND($B$4*$B$11*$B$12*$B$16*$B$19*$B$21*$B$23,0)</f>
        <v/>
      </c>
      <c r="L67" s="10">
        <f>ROUND($B$4*$B$11*$B$12*$B$17*$B$18*$B$20*$B$22,0)</f>
        <v/>
      </c>
      <c r="M67" s="10">
        <f>ROUND($B$4*$B$11*$B$12*$B$17*$B$18*$B$21*$B$22,0)</f>
        <v/>
      </c>
      <c r="N67" s="10">
        <f>ROUND($B$4*$B$11*$B$12*$B$17*$B$19*$B$20*$B$22,0)</f>
        <v/>
      </c>
      <c r="O67" s="10">
        <f>ROUND($B$4*$B$11*$B$12*$B$17*$B$19*$B$21*$B$22,0)</f>
        <v/>
      </c>
      <c r="P67" s="10">
        <f>ROUND($B$4*$B$11*$B$12*$B$17*$B$18*$B$20*$B$23,0)</f>
        <v/>
      </c>
      <c r="Q67" s="10">
        <f>ROUND($B$4*$B$11*$B$12*$B$17*$B$18*$B$21*$B$23,0)</f>
        <v/>
      </c>
      <c r="R67" s="10">
        <f>ROUND($B$4*$B$11*$B$12*$B$17*$B$19*$B$20*$B$23,0)</f>
        <v/>
      </c>
      <c r="S67" s="10">
        <f>ROUND($B$4*$B$11*$B$12*$B$17*$B$19*$B$21*$B$23,0)</f>
        <v/>
      </c>
    </row>
    <row r="68" ht="20.1" customHeight="1" s="62">
      <c r="A68" s="67" t="n"/>
      <c r="B68" s="58" t="n"/>
      <c r="C68" s="11" t="inlineStr">
        <is>
          <t>Standard</t>
        </is>
      </c>
      <c r="D68" s="10">
        <f>ROUND($B$5*$B$11*$B$12*$B$16*$B$18*$B$20*$B$22,0)</f>
        <v/>
      </c>
      <c r="E68" s="10">
        <f>ROUND($B$5*$B$11*$B$12*$B$16*$B$18*$B$21*$B$22,0)</f>
        <v/>
      </c>
      <c r="F68" s="10">
        <f>ROUND($B$5*$B$11*$B$12*$B$16*$B$19*$B$20*$B$22,0)</f>
        <v/>
      </c>
      <c r="G68" s="10">
        <f>ROUND($B$5*$B$11*$B$12*$B$16*$B$19*$B$21*$B$22,0)</f>
        <v/>
      </c>
      <c r="H68" s="10">
        <f>ROUND($B$5*$B$11*$B$12*$B$16*$B$18*$B$20*$B$23,0)</f>
        <v/>
      </c>
      <c r="I68" s="10">
        <f>ROUND($B$5*$B$11*$B$12*$B$16*$B$18*$B$21*$B$23,0)</f>
        <v/>
      </c>
      <c r="J68" s="10">
        <f>ROUND($B$5*$B$11*$B$12*$B$16*$B$19*$B$20*$B$23,0)</f>
        <v/>
      </c>
      <c r="K68" s="10">
        <f>ROUND($B$5*$B$11*$B$12*$B$16*$B$19*$B$21*$B$23,0)</f>
        <v/>
      </c>
      <c r="L68" s="10">
        <f>ROUND($B$5*$B$11*$B$12*$B$17*$B$18*$B$20*$B$22,0)</f>
        <v/>
      </c>
      <c r="M68" s="10">
        <f>ROUND($B$5*$B$11*$B$12*$B$17*$B$18*$B$21*$B$22,0)</f>
        <v/>
      </c>
      <c r="N68" s="10">
        <f>ROUND($B$5*$B$11*$B$12*$B$17*$B$19*$B$20*$B$22,0)</f>
        <v/>
      </c>
      <c r="O68" s="10">
        <f>ROUND($B$5*$B$11*$B$12*$B$17*$B$19*$B$21*$B$22,0)</f>
        <v/>
      </c>
      <c r="P68" s="10">
        <f>ROUND($B$5*$B$11*$B$12*$B$17*$B$18*$B$20*$B$23,0)</f>
        <v/>
      </c>
      <c r="Q68" s="10">
        <f>ROUND($B$5*$B$11*$B$12*$B$17*$B$18*$B$21*$B$23,0)</f>
        <v/>
      </c>
      <c r="R68" s="10">
        <f>ROUND($B$5*$B$11*$B$12*$B$17*$B$19*$B$20*$B$23,0)</f>
        <v/>
      </c>
      <c r="S68" s="10">
        <f>ROUND($B$5*$B$11*$B$12*$B$17*$B$19*$B$21*$B$23,0)</f>
        <v/>
      </c>
    </row>
    <row r="69" ht="20.1" customHeight="1" s="62">
      <c r="A69" s="67" t="n"/>
      <c r="B69" s="59" t="n"/>
      <c r="C69" s="12" t="inlineStr">
        <is>
          <t>Premium</t>
        </is>
      </c>
      <c r="D69" s="10">
        <f>ROUND($B$6*$B$11*$B$12*$B$16*$B$18*$B$20*$B$22,0)</f>
        <v/>
      </c>
      <c r="E69" s="10">
        <f>ROUND($B$6*$B$11*$B$12*$B$16*$B$18*$B$21*$B$22,0)</f>
        <v/>
      </c>
      <c r="F69" s="10">
        <f>ROUND($B$6*$B$11*$B$12*$B$16*$B$19*$B$20*$B$22,0)</f>
        <v/>
      </c>
      <c r="G69" s="10">
        <f>ROUND($B$6*$B$11*$B$12*$B$16*$B$19*$B$21*$B$22,0)</f>
        <v/>
      </c>
      <c r="H69" s="10">
        <f>ROUND($B$6*$B$11*$B$12*$B$16*$B$18*$B$20*$B$23,0)</f>
        <v/>
      </c>
      <c r="I69" s="10">
        <f>ROUND($B$6*$B$11*$B$12*$B$16*$B$18*$B$21*$B$23,0)</f>
        <v/>
      </c>
      <c r="J69" s="10">
        <f>ROUND($B$6*$B$11*$B$12*$B$16*$B$19*$B$20*$B$23,0)</f>
        <v/>
      </c>
      <c r="K69" s="10">
        <f>ROUND($B$6*$B$11*$B$12*$B$16*$B$19*$B$21*$B$23,0)</f>
        <v/>
      </c>
      <c r="L69" s="10">
        <f>ROUND($B$6*$B$11*$B$12*$B$17*$B$18*$B$20*$B$22,0)</f>
        <v/>
      </c>
      <c r="M69" s="10">
        <f>ROUND($B$6*$B$11*$B$12*$B$17*$B$18*$B$21*$B$22,0)</f>
        <v/>
      </c>
      <c r="N69" s="10">
        <f>ROUND($B$6*$B$11*$B$12*$B$17*$B$19*$B$20*$B$22,0)</f>
        <v/>
      </c>
      <c r="O69" s="10">
        <f>ROUND($B$6*$B$11*$B$12*$B$17*$B$19*$B$21*$B$22,0)</f>
        <v/>
      </c>
      <c r="P69" s="10">
        <f>ROUND($B$6*$B$11*$B$12*$B$17*$B$18*$B$20*$B$23,0)</f>
        <v/>
      </c>
      <c r="Q69" s="10">
        <f>ROUND($B$6*$B$11*$B$12*$B$17*$B$18*$B$21*$B$23,0)</f>
        <v/>
      </c>
      <c r="R69" s="10">
        <f>ROUND($B$6*$B$11*$B$12*$B$17*$B$19*$B$20*$B$23,0)</f>
        <v/>
      </c>
      <c r="S69" s="10">
        <f>ROUND($B$6*$B$11*$B$12*$B$17*$B$19*$B$21*$B$23,0)</f>
        <v/>
      </c>
    </row>
    <row r="70" ht="20.1" customHeight="1" s="62">
      <c r="A70" s="67" t="n"/>
      <c r="B70" s="57" t="inlineStr">
        <is>
          <t>3-5 services</t>
        </is>
      </c>
      <c r="C70" s="9" t="inlineStr">
        <is>
          <t>Starter</t>
        </is>
      </c>
      <c r="D70" s="10">
        <f>ROUND($B$4*$B$11*$B$13*$B$16*$B$18*$B$20*$B$22,0)</f>
        <v/>
      </c>
      <c r="E70" s="10">
        <f>ROUND($B$4*$B$11*$B$13*$B$16*$B$18*$B$21*$B$22,0)</f>
        <v/>
      </c>
      <c r="F70" s="10">
        <f>ROUND($B$4*$B$11*$B$13*$B$16*$B$19*$B$20*$B$22,0)</f>
        <v/>
      </c>
      <c r="G70" s="10">
        <f>ROUND($B$4*$B$11*$B$13*$B$16*$B$19*$B$21*$B$22,0)</f>
        <v/>
      </c>
      <c r="H70" s="10">
        <f>ROUND($B$4*$B$11*$B$13*$B$16*$B$18*$B$20*$B$23,0)</f>
        <v/>
      </c>
      <c r="I70" s="10">
        <f>ROUND($B$4*$B$11*$B$13*$B$16*$B$18*$B$21*$B$23,0)</f>
        <v/>
      </c>
      <c r="J70" s="10">
        <f>ROUND($B$4*$B$11*$B$13*$B$16*$B$19*$B$20*$B$23,0)</f>
        <v/>
      </c>
      <c r="K70" s="10">
        <f>ROUND($B$4*$B$11*$B$13*$B$16*$B$19*$B$21*$B$23,0)</f>
        <v/>
      </c>
      <c r="L70" s="10">
        <f>ROUND($B$4*$B$11*$B$13*$B$17*$B$18*$B$20*$B$22,0)</f>
        <v/>
      </c>
      <c r="M70" s="10">
        <f>ROUND($B$4*$B$11*$B$13*$B$17*$B$18*$B$21*$B$22,0)</f>
        <v/>
      </c>
      <c r="N70" s="10">
        <f>ROUND($B$4*$B$11*$B$13*$B$17*$B$19*$B$20*$B$22,0)</f>
        <v/>
      </c>
      <c r="O70" s="10">
        <f>ROUND($B$4*$B$11*$B$13*$B$17*$B$19*$B$21*$B$22,0)</f>
        <v/>
      </c>
      <c r="P70" s="10">
        <f>ROUND($B$4*$B$11*$B$13*$B$17*$B$18*$B$20*$B$23,0)</f>
        <v/>
      </c>
      <c r="Q70" s="10">
        <f>ROUND($B$4*$B$11*$B$13*$B$17*$B$18*$B$21*$B$23,0)</f>
        <v/>
      </c>
      <c r="R70" s="10">
        <f>ROUND($B$4*$B$11*$B$13*$B$17*$B$19*$B$20*$B$23,0)</f>
        <v/>
      </c>
      <c r="S70" s="10">
        <f>ROUND($B$4*$B$11*$B$13*$B$17*$B$19*$B$21*$B$23,0)</f>
        <v/>
      </c>
    </row>
    <row r="71" ht="20.1" customHeight="1" s="62">
      <c r="A71" s="67" t="n"/>
      <c r="B71" s="58" t="n"/>
      <c r="C71" s="11" t="inlineStr">
        <is>
          <t>Standard</t>
        </is>
      </c>
      <c r="D71" s="10">
        <f>ROUND($B$5*$B$11*$B$13*$B$16*$B$18*$B$20*$B$22,0)</f>
        <v/>
      </c>
      <c r="E71" s="10">
        <f>ROUND($B$5*$B$11*$B$13*$B$16*$B$18*$B$21*$B$22,0)</f>
        <v/>
      </c>
      <c r="F71" s="10">
        <f>ROUND($B$5*$B$11*$B$13*$B$16*$B$19*$B$20*$B$22,0)</f>
        <v/>
      </c>
      <c r="G71" s="10">
        <f>ROUND($B$5*$B$11*$B$13*$B$16*$B$19*$B$21*$B$22,0)</f>
        <v/>
      </c>
      <c r="H71" s="10">
        <f>ROUND($B$5*$B$11*$B$13*$B$16*$B$18*$B$20*$B$23,0)</f>
        <v/>
      </c>
      <c r="I71" s="10">
        <f>ROUND($B$5*$B$11*$B$13*$B$16*$B$18*$B$21*$B$23,0)</f>
        <v/>
      </c>
      <c r="J71" s="10">
        <f>ROUND($B$5*$B$11*$B$13*$B$16*$B$19*$B$20*$B$23,0)</f>
        <v/>
      </c>
      <c r="K71" s="10">
        <f>ROUND($B$5*$B$11*$B$13*$B$16*$B$19*$B$21*$B$23,0)</f>
        <v/>
      </c>
      <c r="L71" s="10">
        <f>ROUND($B$5*$B$11*$B$13*$B$17*$B$18*$B$20*$B$22,0)</f>
        <v/>
      </c>
      <c r="M71" s="10">
        <f>ROUND($B$5*$B$11*$B$13*$B$17*$B$18*$B$21*$B$22,0)</f>
        <v/>
      </c>
      <c r="N71" s="10">
        <f>ROUND($B$5*$B$11*$B$13*$B$17*$B$19*$B$20*$B$22,0)</f>
        <v/>
      </c>
      <c r="O71" s="10">
        <f>ROUND($B$5*$B$11*$B$13*$B$17*$B$19*$B$21*$B$22,0)</f>
        <v/>
      </c>
      <c r="P71" s="10">
        <f>ROUND($B$5*$B$11*$B$13*$B$17*$B$18*$B$20*$B$23,0)</f>
        <v/>
      </c>
      <c r="Q71" s="10">
        <f>ROUND($B$5*$B$11*$B$13*$B$17*$B$18*$B$21*$B$23,0)</f>
        <v/>
      </c>
      <c r="R71" s="10">
        <f>ROUND($B$5*$B$11*$B$13*$B$17*$B$19*$B$20*$B$23,0)</f>
        <v/>
      </c>
      <c r="S71" s="10">
        <f>ROUND($B$5*$B$11*$B$13*$B$17*$B$19*$B$21*$B$23,0)</f>
        <v/>
      </c>
    </row>
    <row r="72" ht="20.1" customHeight="1" s="62">
      <c r="A72" s="67" t="n"/>
      <c r="B72" s="59" t="n"/>
      <c r="C72" s="12" t="inlineStr">
        <is>
          <t>Premium</t>
        </is>
      </c>
      <c r="D72" s="10">
        <f>ROUND($B$6*$B$11*$B$13*$B$16*$B$18*$B$20*$B$22,0)</f>
        <v/>
      </c>
      <c r="E72" s="10">
        <f>ROUND($B$6*$B$11*$B$13*$B$16*$B$18*$B$21*$B$22,0)</f>
        <v/>
      </c>
      <c r="F72" s="10">
        <f>ROUND($B$6*$B$11*$B$13*$B$16*$B$19*$B$20*$B$22,0)</f>
        <v/>
      </c>
      <c r="G72" s="10">
        <f>ROUND($B$6*$B$11*$B$13*$B$16*$B$19*$B$21*$B$22,0)</f>
        <v/>
      </c>
      <c r="H72" s="10">
        <f>ROUND($B$6*$B$11*$B$13*$B$16*$B$18*$B$20*$B$23,0)</f>
        <v/>
      </c>
      <c r="I72" s="10">
        <f>ROUND($B$6*$B$11*$B$13*$B$16*$B$18*$B$21*$B$23,0)</f>
        <v/>
      </c>
      <c r="J72" s="10">
        <f>ROUND($B$6*$B$11*$B$13*$B$16*$B$19*$B$20*$B$23,0)</f>
        <v/>
      </c>
      <c r="K72" s="10">
        <f>ROUND($B$6*$B$11*$B$13*$B$16*$B$19*$B$21*$B$23,0)</f>
        <v/>
      </c>
      <c r="L72" s="10">
        <f>ROUND($B$6*$B$11*$B$13*$B$17*$B$18*$B$20*$B$22,0)</f>
        <v/>
      </c>
      <c r="M72" s="10">
        <f>ROUND($B$6*$B$11*$B$13*$B$17*$B$18*$B$21*$B$22,0)</f>
        <v/>
      </c>
      <c r="N72" s="10">
        <f>ROUND($B$6*$B$11*$B$13*$B$17*$B$19*$B$20*$B$22,0)</f>
        <v/>
      </c>
      <c r="O72" s="10">
        <f>ROUND($B$6*$B$11*$B$13*$B$17*$B$19*$B$21*$B$22,0)</f>
        <v/>
      </c>
      <c r="P72" s="10">
        <f>ROUND($B$6*$B$11*$B$13*$B$17*$B$18*$B$20*$B$23,0)</f>
        <v/>
      </c>
      <c r="Q72" s="10">
        <f>ROUND($B$6*$B$11*$B$13*$B$17*$B$18*$B$21*$B$23,0)</f>
        <v/>
      </c>
      <c r="R72" s="10">
        <f>ROUND($B$6*$B$11*$B$13*$B$17*$B$19*$B$20*$B$23,0)</f>
        <v/>
      </c>
      <c r="S72" s="10">
        <f>ROUND($B$6*$B$11*$B$13*$B$17*$B$19*$B$21*$B$23,0)</f>
        <v/>
      </c>
    </row>
    <row r="73" ht="20.1" customHeight="1" s="62">
      <c r="A73" s="67" t="n"/>
      <c r="B73" s="57" t="inlineStr">
        <is>
          <t>6-10 services</t>
        </is>
      </c>
      <c r="C73" s="9" t="inlineStr">
        <is>
          <t>Starter</t>
        </is>
      </c>
      <c r="D73" s="10">
        <f>ROUND($B$4*$B$11*$B$14*$B$16*$B$18*$B$20*$B$22,0)</f>
        <v/>
      </c>
      <c r="E73" s="10">
        <f>ROUND($B$4*$B$11*$B$14*$B$16*$B$18*$B$21*$B$22,0)</f>
        <v/>
      </c>
      <c r="F73" s="10">
        <f>ROUND($B$4*$B$11*$B$14*$B$16*$B$19*$B$20*$B$22,0)</f>
        <v/>
      </c>
      <c r="G73" s="10">
        <f>ROUND($B$4*$B$11*$B$14*$B$16*$B$19*$B$21*$B$22,0)</f>
        <v/>
      </c>
      <c r="H73" s="10">
        <f>ROUND($B$4*$B$11*$B$14*$B$16*$B$18*$B$20*$B$23,0)</f>
        <v/>
      </c>
      <c r="I73" s="10">
        <f>ROUND($B$4*$B$11*$B$14*$B$16*$B$18*$B$21*$B$23,0)</f>
        <v/>
      </c>
      <c r="J73" s="10">
        <f>ROUND($B$4*$B$11*$B$14*$B$16*$B$19*$B$20*$B$23,0)</f>
        <v/>
      </c>
      <c r="K73" s="10">
        <f>ROUND($B$4*$B$11*$B$14*$B$16*$B$19*$B$21*$B$23,0)</f>
        <v/>
      </c>
      <c r="L73" s="10">
        <f>ROUND($B$4*$B$11*$B$14*$B$17*$B$18*$B$20*$B$22,0)</f>
        <v/>
      </c>
      <c r="M73" s="10">
        <f>ROUND($B$4*$B$11*$B$14*$B$17*$B$18*$B$21*$B$22,0)</f>
        <v/>
      </c>
      <c r="N73" s="10">
        <f>ROUND($B$4*$B$11*$B$14*$B$17*$B$19*$B$20*$B$22,0)</f>
        <v/>
      </c>
      <c r="O73" s="10">
        <f>ROUND($B$4*$B$11*$B$14*$B$17*$B$19*$B$21*$B$22,0)</f>
        <v/>
      </c>
      <c r="P73" s="10">
        <f>ROUND($B$4*$B$11*$B$14*$B$17*$B$18*$B$20*$B$23,0)</f>
        <v/>
      </c>
      <c r="Q73" s="10">
        <f>ROUND($B$4*$B$11*$B$14*$B$17*$B$18*$B$21*$B$23,0)</f>
        <v/>
      </c>
      <c r="R73" s="10">
        <f>ROUND($B$4*$B$11*$B$14*$B$17*$B$19*$B$20*$B$23,0)</f>
        <v/>
      </c>
      <c r="S73" s="10">
        <f>ROUND($B$4*$B$11*$B$14*$B$17*$B$19*$B$21*$B$23,0)</f>
        <v/>
      </c>
    </row>
    <row r="74" ht="20.1" customHeight="1" s="62">
      <c r="A74" s="67" t="n"/>
      <c r="B74" s="58" t="n"/>
      <c r="C74" s="11" t="inlineStr">
        <is>
          <t>Standard</t>
        </is>
      </c>
      <c r="D74" s="10">
        <f>ROUND($B$5*$B$11*$B$14*$B$16*$B$18*$B$20*$B$22,0)</f>
        <v/>
      </c>
      <c r="E74" s="10">
        <f>ROUND($B$5*$B$11*$B$14*$B$16*$B$18*$B$21*$B$22,0)</f>
        <v/>
      </c>
      <c r="F74" s="10">
        <f>ROUND($B$5*$B$11*$B$14*$B$16*$B$19*$B$20*$B$22,0)</f>
        <v/>
      </c>
      <c r="G74" s="10">
        <f>ROUND($B$5*$B$11*$B$14*$B$16*$B$19*$B$21*$B$22,0)</f>
        <v/>
      </c>
      <c r="H74" s="10">
        <f>ROUND($B$5*$B$11*$B$14*$B$16*$B$18*$B$20*$B$23,0)</f>
        <v/>
      </c>
      <c r="I74" s="10">
        <f>ROUND($B$5*$B$11*$B$14*$B$16*$B$18*$B$21*$B$23,0)</f>
        <v/>
      </c>
      <c r="J74" s="10">
        <f>ROUND($B$5*$B$11*$B$14*$B$16*$B$19*$B$20*$B$23,0)</f>
        <v/>
      </c>
      <c r="K74" s="10">
        <f>ROUND($B$5*$B$11*$B$14*$B$16*$B$19*$B$21*$B$23,0)</f>
        <v/>
      </c>
      <c r="L74" s="10">
        <f>ROUND($B$5*$B$11*$B$14*$B$17*$B$18*$B$20*$B$22,0)</f>
        <v/>
      </c>
      <c r="M74" s="10">
        <f>ROUND($B$5*$B$11*$B$14*$B$17*$B$18*$B$21*$B$22,0)</f>
        <v/>
      </c>
      <c r="N74" s="10">
        <f>ROUND($B$5*$B$11*$B$14*$B$17*$B$19*$B$20*$B$22,0)</f>
        <v/>
      </c>
      <c r="O74" s="10">
        <f>ROUND($B$5*$B$11*$B$14*$B$17*$B$19*$B$21*$B$22,0)</f>
        <v/>
      </c>
      <c r="P74" s="10">
        <f>ROUND($B$5*$B$11*$B$14*$B$17*$B$18*$B$20*$B$23,0)</f>
        <v/>
      </c>
      <c r="Q74" s="10">
        <f>ROUND($B$5*$B$11*$B$14*$B$17*$B$18*$B$21*$B$23,0)</f>
        <v/>
      </c>
      <c r="R74" s="10">
        <f>ROUND($B$5*$B$11*$B$14*$B$17*$B$19*$B$20*$B$23,0)</f>
        <v/>
      </c>
      <c r="S74" s="10">
        <f>ROUND($B$5*$B$11*$B$14*$B$17*$B$19*$B$21*$B$23,0)</f>
        <v/>
      </c>
    </row>
    <row r="75" ht="20.1" customHeight="1" s="62">
      <c r="A75" s="67" t="n"/>
      <c r="B75" s="59" t="n"/>
      <c r="C75" s="12" t="inlineStr">
        <is>
          <t>Premium</t>
        </is>
      </c>
      <c r="D75" s="10">
        <f>ROUND($B$6*$B$11*$B$14*$B$16*$B$18*$B$20*$B$22,0)</f>
        <v/>
      </c>
      <c r="E75" s="10">
        <f>ROUND($B$6*$B$11*$B$14*$B$16*$B$18*$B$21*$B$22,0)</f>
        <v/>
      </c>
      <c r="F75" s="10">
        <f>ROUND($B$6*$B$11*$B$14*$B$16*$B$19*$B$20*$B$22,0)</f>
        <v/>
      </c>
      <c r="G75" s="10">
        <f>ROUND($B$6*$B$11*$B$14*$B$16*$B$19*$B$21*$B$22,0)</f>
        <v/>
      </c>
      <c r="H75" s="10">
        <f>ROUND($B$6*$B$11*$B$14*$B$16*$B$18*$B$20*$B$23,0)</f>
        <v/>
      </c>
      <c r="I75" s="10">
        <f>ROUND($B$6*$B$11*$B$14*$B$16*$B$18*$B$21*$B$23,0)</f>
        <v/>
      </c>
      <c r="J75" s="10">
        <f>ROUND($B$6*$B$11*$B$14*$B$16*$B$19*$B$20*$B$23,0)</f>
        <v/>
      </c>
      <c r="K75" s="10">
        <f>ROUND($B$6*$B$11*$B$14*$B$16*$B$19*$B$21*$B$23,0)</f>
        <v/>
      </c>
      <c r="L75" s="10">
        <f>ROUND($B$6*$B$11*$B$14*$B$17*$B$18*$B$20*$B$22,0)</f>
        <v/>
      </c>
      <c r="M75" s="10">
        <f>ROUND($B$6*$B$11*$B$14*$B$17*$B$18*$B$21*$B$22,0)</f>
        <v/>
      </c>
      <c r="N75" s="10">
        <f>ROUND($B$6*$B$11*$B$14*$B$17*$B$19*$B$20*$B$22,0)</f>
        <v/>
      </c>
      <c r="O75" s="10">
        <f>ROUND($B$6*$B$11*$B$14*$B$17*$B$19*$B$21*$B$22,0)</f>
        <v/>
      </c>
      <c r="P75" s="10">
        <f>ROUND($B$6*$B$11*$B$14*$B$17*$B$18*$B$20*$B$23,0)</f>
        <v/>
      </c>
      <c r="Q75" s="10">
        <f>ROUND($B$6*$B$11*$B$14*$B$17*$B$18*$B$21*$B$23,0)</f>
        <v/>
      </c>
      <c r="R75" s="10">
        <f>ROUND($B$6*$B$11*$B$14*$B$17*$B$19*$B$20*$B$23,0)</f>
        <v/>
      </c>
      <c r="S75" s="10">
        <f>ROUND($B$6*$B$11*$B$14*$B$17*$B$19*$B$21*$B$23,0)</f>
        <v/>
      </c>
    </row>
    <row r="76" ht="20.1" customHeight="1" s="62">
      <c r="A76" s="67" t="n"/>
      <c r="B76" s="57" t="inlineStr">
        <is>
          <t>10+ services</t>
        </is>
      </c>
      <c r="C76" s="9" t="inlineStr">
        <is>
          <t>Starter</t>
        </is>
      </c>
      <c r="D76" s="10">
        <f>ROUND($B$4*$B$11*$B$15*$B$16*$B$18*$B$20*$B$22,0)</f>
        <v/>
      </c>
      <c r="E76" s="10">
        <f>ROUND($B$4*$B$11*$B$15*$B$16*$B$18*$B$21*$B$22,0)</f>
        <v/>
      </c>
      <c r="F76" s="10">
        <f>ROUND($B$4*$B$11*$B$15*$B$16*$B$19*$B$20*$B$22,0)</f>
        <v/>
      </c>
      <c r="G76" s="10">
        <f>ROUND($B$4*$B$11*$B$15*$B$16*$B$19*$B$21*$B$22,0)</f>
        <v/>
      </c>
      <c r="H76" s="10">
        <f>ROUND($B$4*$B$11*$B$15*$B$16*$B$18*$B$20*$B$23,0)</f>
        <v/>
      </c>
      <c r="I76" s="10">
        <f>ROUND($B$4*$B$11*$B$15*$B$16*$B$18*$B$21*$B$23,0)</f>
        <v/>
      </c>
      <c r="J76" s="10">
        <f>ROUND($B$4*$B$11*$B$15*$B$16*$B$19*$B$20*$B$23,0)</f>
        <v/>
      </c>
      <c r="K76" s="10">
        <f>ROUND($B$4*$B$11*$B$15*$B$16*$B$19*$B$21*$B$23,0)</f>
        <v/>
      </c>
      <c r="L76" s="10">
        <f>ROUND($B$4*$B$11*$B$15*$B$17*$B$18*$B$20*$B$22,0)</f>
        <v/>
      </c>
      <c r="M76" s="10">
        <f>ROUND($B$4*$B$11*$B$15*$B$17*$B$18*$B$21*$B$22,0)</f>
        <v/>
      </c>
      <c r="N76" s="10">
        <f>ROUND($B$4*$B$11*$B$15*$B$17*$B$19*$B$20*$B$22,0)</f>
        <v/>
      </c>
      <c r="O76" s="10">
        <f>ROUND($B$4*$B$11*$B$15*$B$17*$B$19*$B$21*$B$22,0)</f>
        <v/>
      </c>
      <c r="P76" s="10">
        <f>ROUND($B$4*$B$11*$B$15*$B$17*$B$18*$B$20*$B$23,0)</f>
        <v/>
      </c>
      <c r="Q76" s="10">
        <f>ROUND($B$4*$B$11*$B$15*$B$17*$B$18*$B$21*$B$23,0)</f>
        <v/>
      </c>
      <c r="R76" s="10">
        <f>ROUND($B$4*$B$11*$B$15*$B$17*$B$19*$B$20*$B$23,0)</f>
        <v/>
      </c>
      <c r="S76" s="10">
        <f>ROUND($B$4*$B$11*$B$15*$B$17*$B$19*$B$21*$B$23,0)</f>
        <v/>
      </c>
    </row>
    <row r="77" ht="20.1" customHeight="1" s="62">
      <c r="A77" s="67" t="n"/>
      <c r="B77" s="58" t="n"/>
      <c r="C77" s="11" t="inlineStr">
        <is>
          <t>Standard</t>
        </is>
      </c>
      <c r="D77" s="10">
        <f>ROUND($B$5*$B$11*$B$15*$B$16*$B$18*$B$20*$B$22,0)</f>
        <v/>
      </c>
      <c r="E77" s="10">
        <f>ROUND($B$5*$B$11*$B$15*$B$16*$B$18*$B$21*$B$22,0)</f>
        <v/>
      </c>
      <c r="F77" s="10">
        <f>ROUND($B$5*$B$11*$B$15*$B$16*$B$19*$B$20*$B$22,0)</f>
        <v/>
      </c>
      <c r="G77" s="10">
        <f>ROUND($B$5*$B$11*$B$15*$B$16*$B$19*$B$21*$B$22,0)</f>
        <v/>
      </c>
      <c r="H77" s="10">
        <f>ROUND($B$5*$B$11*$B$15*$B$16*$B$18*$B$20*$B$23,0)</f>
        <v/>
      </c>
      <c r="I77" s="10">
        <f>ROUND($B$5*$B$11*$B$15*$B$16*$B$18*$B$21*$B$23,0)</f>
        <v/>
      </c>
      <c r="J77" s="10">
        <f>ROUND($B$5*$B$11*$B$15*$B$16*$B$19*$B$20*$B$23,0)</f>
        <v/>
      </c>
      <c r="K77" s="10">
        <f>ROUND($B$5*$B$11*$B$15*$B$16*$B$19*$B$21*$B$23,0)</f>
        <v/>
      </c>
      <c r="L77" s="10">
        <f>ROUND($B$5*$B$11*$B$15*$B$17*$B$18*$B$20*$B$22,0)</f>
        <v/>
      </c>
      <c r="M77" s="10">
        <f>ROUND($B$5*$B$11*$B$15*$B$17*$B$18*$B$21*$B$22,0)</f>
        <v/>
      </c>
      <c r="N77" s="10">
        <f>ROUND($B$5*$B$11*$B$15*$B$17*$B$19*$B$20*$B$22,0)</f>
        <v/>
      </c>
      <c r="O77" s="10">
        <f>ROUND($B$5*$B$11*$B$15*$B$17*$B$19*$B$21*$B$22,0)</f>
        <v/>
      </c>
      <c r="P77" s="10">
        <f>ROUND($B$5*$B$11*$B$15*$B$17*$B$18*$B$20*$B$23,0)</f>
        <v/>
      </c>
      <c r="Q77" s="10">
        <f>ROUND($B$5*$B$11*$B$15*$B$17*$B$18*$B$21*$B$23,0)</f>
        <v/>
      </c>
      <c r="R77" s="10">
        <f>ROUND($B$5*$B$11*$B$15*$B$17*$B$19*$B$20*$B$23,0)</f>
        <v/>
      </c>
      <c r="S77" s="10">
        <f>ROUND($B$5*$B$11*$B$15*$B$17*$B$19*$B$21*$B$23,0)</f>
        <v/>
      </c>
    </row>
    <row r="78" ht="20.1" customHeight="1" s="62">
      <c r="A78" s="68" t="n"/>
      <c r="B78" s="59" t="n"/>
      <c r="C78" s="12" t="inlineStr">
        <is>
          <t>Premium</t>
        </is>
      </c>
      <c r="D78" s="10">
        <f>ROUND($B$6*$B$11*$B$15*$B$16*$B$18*$B$20*$B$22,0)</f>
        <v/>
      </c>
      <c r="E78" s="10">
        <f>ROUND($B$6*$B$11*$B$15*$B$16*$B$18*$B$21*$B$22,0)</f>
        <v/>
      </c>
      <c r="F78" s="10">
        <f>ROUND($B$6*$B$11*$B$15*$B$16*$B$19*$B$20*$B$22,0)</f>
        <v/>
      </c>
      <c r="G78" s="10">
        <f>ROUND($B$6*$B$11*$B$15*$B$16*$B$19*$B$21*$B$22,0)</f>
        <v/>
      </c>
      <c r="H78" s="10">
        <f>ROUND($B$6*$B$11*$B$15*$B$16*$B$18*$B$20*$B$23,0)</f>
        <v/>
      </c>
      <c r="I78" s="10">
        <f>ROUND($B$6*$B$11*$B$15*$B$16*$B$18*$B$21*$B$23,0)</f>
        <v/>
      </c>
      <c r="J78" s="10">
        <f>ROUND($B$6*$B$11*$B$15*$B$16*$B$19*$B$20*$B$23,0)</f>
        <v/>
      </c>
      <c r="K78" s="10">
        <f>ROUND($B$6*$B$11*$B$15*$B$16*$B$19*$B$21*$B$23,0)</f>
        <v/>
      </c>
      <c r="L78" s="10">
        <f>ROUND($B$6*$B$11*$B$15*$B$17*$B$18*$B$20*$B$22,0)</f>
        <v/>
      </c>
      <c r="M78" s="10">
        <f>ROUND($B$6*$B$11*$B$15*$B$17*$B$18*$B$21*$B$22,0)</f>
        <v/>
      </c>
      <c r="N78" s="10">
        <f>ROUND($B$6*$B$11*$B$15*$B$17*$B$19*$B$20*$B$22,0)</f>
        <v/>
      </c>
      <c r="O78" s="10">
        <f>ROUND($B$6*$B$11*$B$15*$B$17*$B$19*$B$21*$B$22,0)</f>
        <v/>
      </c>
      <c r="P78" s="10">
        <f>ROUND($B$6*$B$11*$B$15*$B$17*$B$18*$B$20*$B$23,0)</f>
        <v/>
      </c>
      <c r="Q78" s="10">
        <f>ROUND($B$6*$B$11*$B$15*$B$17*$B$18*$B$21*$B$23,0)</f>
        <v/>
      </c>
      <c r="R78" s="10">
        <f>ROUND($B$6*$B$11*$B$15*$B$17*$B$19*$B$20*$B$23,0)</f>
        <v/>
      </c>
      <c r="S78" s="10">
        <f>ROUND($B$6*$B$11*$B$15*$B$17*$B$19*$B$21*$B$23,0)</f>
        <v/>
      </c>
    </row>
  </sheetData>
  <mergeCells count="42">
    <mergeCell ref="D26:K26"/>
    <mergeCell ref="B49:B51"/>
    <mergeCell ref="H27:K27"/>
    <mergeCell ref="B34:B36"/>
    <mergeCell ref="B40:B42"/>
    <mergeCell ref="A7:AJ7"/>
    <mergeCell ref="C26:C29"/>
    <mergeCell ref="R28:S28"/>
    <mergeCell ref="B55:B57"/>
    <mergeCell ref="J28:K28"/>
    <mergeCell ref="L28:M28"/>
    <mergeCell ref="L27:O27"/>
    <mergeCell ref="A67:A78"/>
    <mergeCell ref="A31:A42"/>
    <mergeCell ref="A43:A54"/>
    <mergeCell ref="A1:AJ1"/>
    <mergeCell ref="B64:B66"/>
    <mergeCell ref="A3:AJ3"/>
    <mergeCell ref="B76:B78"/>
    <mergeCell ref="A2:AJ2"/>
    <mergeCell ref="B31:B33"/>
    <mergeCell ref="L26:S26"/>
    <mergeCell ref="A26:A29"/>
    <mergeCell ref="B43:B45"/>
    <mergeCell ref="B52:B54"/>
    <mergeCell ref="N28:O28"/>
    <mergeCell ref="D28:E28"/>
    <mergeCell ref="F28:G28"/>
    <mergeCell ref="P28:Q28"/>
    <mergeCell ref="B46:B48"/>
    <mergeCell ref="H28:I28"/>
    <mergeCell ref="D27:G27"/>
    <mergeCell ref="A55:A66"/>
    <mergeCell ref="B58:B60"/>
    <mergeCell ref="B70:B72"/>
    <mergeCell ref="P27:S27"/>
    <mergeCell ref="B67:B69"/>
    <mergeCell ref="B61:B63"/>
    <mergeCell ref="B73:B75"/>
    <mergeCell ref="B26:B29"/>
    <mergeCell ref="A24:AJ24"/>
    <mergeCell ref="B37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AA65"/>
  <sheetViews>
    <sheetView topLeftCell="A22" workbookViewId="0">
      <pane xSplit="3" topLeftCell="D1" activePane="topRight" state="frozen"/>
      <selection pane="topRight" activeCell="B18" sqref="B18"/>
    </sheetView>
  </sheetViews>
  <sheetFormatPr baseColWidth="10" defaultColWidth="9.140625" defaultRowHeight="15"/>
  <cols>
    <col width="24" customWidth="1" style="62" min="1" max="1"/>
    <col width="18" customWidth="1" style="62" min="2" max="2"/>
    <col width="28" customWidth="1" style="62" min="3" max="3"/>
    <col width="14" customWidth="1" style="62" min="4" max="27"/>
  </cols>
  <sheetData>
    <row r="1" ht="33.95" customHeight="1" s="62">
      <c r="A1" s="72" t="inlineStr">
        <is>
          <t>GRILLE TARIFAIRE — Audit de conformité (RGPD, ISO, réglementaire)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 thickBot="1">
      <c r="A3" s="69" t="inlineStr">
        <is>
          <t>TARIFS DE BASE (€)  —  Point de départ du calcul pour chaque niveau d'exigence</t>
        </is>
      </c>
    </row>
    <row r="4" ht="21.95" customHeight="1" s="62" thickBot="1">
      <c r="A4" s="1" t="inlineStr">
        <is>
          <t>Tarif de base — Simple (RGPD uniquement)</t>
        </is>
      </c>
      <c r="B4" s="2" t="n">
        <v>2800</v>
      </c>
      <c r="C4" s="3" t="inlineStr">
        <is>
          <t>Fourchette indicative : 1 500 – 3 000 €</t>
        </is>
      </c>
    </row>
    <row r="5" ht="21.95" customHeight="1" s="62" thickBot="1">
      <c r="A5" s="1" t="inlineStr">
        <is>
          <t>Tarif de base — Intermédiaire (1-2 normes ISO)</t>
        </is>
      </c>
      <c r="B5" s="2" t="n">
        <v>5500</v>
      </c>
      <c r="C5" s="3" t="inlineStr">
        <is>
          <t>Fourchette indicative : 3 000 – 6 000 €</t>
        </is>
      </c>
    </row>
    <row r="6" ht="21.95" customHeight="1" s="62">
      <c r="A6" s="1" t="inlineStr">
        <is>
          <t>Tarif de base — Complet (ISO / multi-réglementaire)</t>
        </is>
      </c>
      <c r="B6" s="2" t="n">
        <v>11000</v>
      </c>
      <c r="C6" s="3" t="inlineStr">
        <is>
          <t>Fourchette indicative : 6 000 – 12 000 €</t>
        </is>
      </c>
    </row>
    <row r="7" ht="21.95" customHeight="1" s="62">
      <c r="A7" s="61" t="inlineStr">
        <is>
          <t>COEFFICIENTS MULTIPLICATEURS  —  1,00 = neutre. Ex : 1,20 = +20 %</t>
        </is>
      </c>
    </row>
    <row r="8" ht="20.1" customHeight="1" s="62">
      <c r="A8" s="13" t="inlineStr">
        <is>
          <t>Coeff. taille — Micro (1-5 sal.)</t>
        </is>
      </c>
      <c r="B8" s="5" t="n">
        <v>0.7</v>
      </c>
      <c r="C8" s="6" t="inlineStr">
        <is>
          <t>Entreprise très petite → tarif réduit</t>
        </is>
      </c>
    </row>
    <row r="9" ht="20.1" customHeight="1" s="62">
      <c r="A9" s="13" t="inlineStr">
        <is>
          <t>Coeff. taille — TPE (6-19 sal.)</t>
        </is>
      </c>
      <c r="B9" s="5" t="n">
        <v>1</v>
      </c>
      <c r="C9" s="6" t="inlineStr">
        <is>
          <t>Référence</t>
        </is>
      </c>
    </row>
    <row r="10" ht="20.1" customHeight="1" s="62">
      <c r="A10" s="13" t="inlineStr">
        <is>
          <t>Coeff. taille — PME (20-99 sal.)</t>
        </is>
      </c>
      <c r="B10" s="5" t="n">
        <v>1.4</v>
      </c>
      <c r="C10" s="6" t="inlineStr">
        <is>
          <t>Complexité accrue</t>
        </is>
      </c>
    </row>
    <row r="11" ht="20.1" customHeight="1" s="62">
      <c r="A11" s="13" t="inlineStr">
        <is>
          <t>Coeff. taille — ETI / Grand compte (100+)</t>
        </is>
      </c>
      <c r="B11" s="5" t="n">
        <v>1.8</v>
      </c>
      <c r="C11" s="6" t="inlineStr">
        <is>
          <t>Structure complexe</t>
        </is>
      </c>
    </row>
    <row r="12" ht="20.1" customHeight="1" s="62">
      <c r="A12" s="13" t="inlineStr">
        <is>
          <t>Coeff. normes — 1 norme</t>
        </is>
      </c>
      <c r="B12" s="5" t="n">
        <v>0.8</v>
      </c>
      <c r="C12" s="6" t="inlineStr">
        <is>
          <t>Périmètre réduit</t>
        </is>
      </c>
    </row>
    <row r="13" ht="20.1" customHeight="1" s="62">
      <c r="A13" s="13" t="inlineStr">
        <is>
          <t>Coeff. normes — 2-3 normes</t>
        </is>
      </c>
      <c r="B13" s="5" t="n">
        <v>1</v>
      </c>
      <c r="C13" s="6" t="inlineStr">
        <is>
          <t>Référence</t>
        </is>
      </c>
    </row>
    <row r="14" ht="20.1" customHeight="1" s="62">
      <c r="A14" s="13" t="inlineStr">
        <is>
          <t>Coeff. normes — 4 normes et +</t>
        </is>
      </c>
      <c r="B14" s="5" t="n">
        <v>1.6</v>
      </c>
      <c r="C14" s="6" t="inlineStr">
        <is>
          <t>Charge de travail importante</t>
        </is>
      </c>
    </row>
    <row r="15" ht="20.1" customHeight="1" s="62">
      <c r="A15" s="13" t="inlineStr">
        <is>
          <t>Coeff. type norme — RGPD</t>
        </is>
      </c>
      <c r="B15" s="5" t="n">
        <v>1</v>
      </c>
      <c r="C15" s="6" t="inlineStr">
        <is>
          <t>Référence</t>
        </is>
      </c>
    </row>
    <row r="16" ht="20.1" customHeight="1" s="62">
      <c r="A16" s="13" t="inlineStr">
        <is>
          <t>Coeff. type norme — ISO</t>
        </is>
      </c>
      <c r="B16" s="5" t="n">
        <v>1.3</v>
      </c>
      <c r="C16" s="6" t="inlineStr">
        <is>
          <t>Processus de certification plus lourd</t>
        </is>
      </c>
    </row>
    <row r="17" ht="20.1" customHeight="1" s="62">
      <c r="A17" s="13" t="inlineStr">
        <is>
          <t>Coeff. type norme — Multi-réglementaire</t>
        </is>
      </c>
      <c r="B17" s="5" t="n">
        <v>1.7</v>
      </c>
      <c r="C17" s="6" t="inlineStr">
        <is>
          <t>Croisement de plusieurs référentiels</t>
        </is>
      </c>
    </row>
    <row r="18" ht="20.1" customHeight="1" s="62">
      <c r="A18" s="13" t="inlineStr">
        <is>
          <t>Coeff. secteur — Standard</t>
        </is>
      </c>
      <c r="B18" s="5" t="n">
        <v>1</v>
      </c>
      <c r="C18" s="6" t="inlineStr">
        <is>
          <t>Référence</t>
        </is>
      </c>
    </row>
    <row r="19" ht="20.1" customHeight="1" s="62">
      <c r="A19" s="13" t="inlineStr">
        <is>
          <t>Coeff. secteur — Ultra-réglementé</t>
        </is>
      </c>
      <c r="B19" s="5" t="n">
        <v>1.5</v>
      </c>
      <c r="C19" s="6" t="inlineStr">
        <is>
          <t>Santé, finance : contraintes spécifiques</t>
        </is>
      </c>
    </row>
    <row r="20" ht="20.1" customHeight="1" s="62">
      <c r="A20" s="13" t="inlineStr">
        <is>
          <t>Coeff. périmètre — Partiel</t>
        </is>
      </c>
      <c r="B20" s="5" t="n">
        <v>0.65</v>
      </c>
      <c r="C20" s="6" t="inlineStr">
        <is>
          <t>Analyse limitée</t>
        </is>
      </c>
    </row>
    <row r="21" ht="20.1" customHeight="1" s="62">
      <c r="A21" s="13" t="inlineStr">
        <is>
          <t>Coeff. périmètre — Complet</t>
        </is>
      </c>
      <c r="B21" s="5" t="n">
        <v>1</v>
      </c>
      <c r="C21" s="6" t="inlineStr">
        <is>
          <t>Référence — analyse globale</t>
        </is>
      </c>
    </row>
    <row r="22" ht="20.1" customHeight="1" s="62">
      <c r="A22" s="13" t="inlineStr">
        <is>
          <t>Coeff. mode — Distanciel</t>
        </is>
      </c>
      <c r="B22" s="5" t="n">
        <v>1</v>
      </c>
      <c r="C22" s="6" t="inlineStr">
        <is>
          <t>Référence</t>
        </is>
      </c>
    </row>
    <row r="23" ht="20.1" customHeight="1" s="62">
      <c r="A23" s="13" t="inlineStr">
        <is>
          <t>Coeff. mode — Présentiel</t>
        </is>
      </c>
      <c r="B23" s="5" t="n">
        <v>1.2</v>
      </c>
      <c r="C23" s="6" t="inlineStr">
        <is>
          <t>Déplacement + temps sur site</t>
        </is>
      </c>
    </row>
    <row r="24" ht="24" customHeight="1" s="62">
      <c r="A24" s="71" t="inlineStr">
        <is>
          <t>▼  GRILLE TARIFAIRE CALCULÉE AUTOMATIQUEMENT  — Les cellules bleues sont en lecture seule (formules). Vous pouvez écraser une formule pour forcer un tarif précis.</t>
        </is>
      </c>
    </row>
    <row r="25" ht="6" customHeight="1" s="62"/>
    <row r="26" ht="36" customHeight="1" s="62">
      <c r="A26" s="54" t="inlineStr">
        <is>
          <t>Taille de l'entreprise</t>
        </is>
      </c>
      <c r="B26" s="60" t="inlineStr">
        <is>
          <t>Nb de normes auditées</t>
        </is>
      </c>
      <c r="C26" s="63" t="inlineStr">
        <is>
          <t>Niveau d'exigence</t>
        </is>
      </c>
      <c r="D26" s="54" t="inlineStr">
        <is>
          <t>RGPD</t>
        </is>
      </c>
      <c r="E26" s="55" t="n"/>
      <c r="F26" s="55" t="n"/>
      <c r="G26" s="55" t="n"/>
      <c r="H26" s="55" t="n"/>
      <c r="I26" s="55" t="n"/>
      <c r="J26" s="55" t="n"/>
      <c r="K26" s="56" t="n"/>
      <c r="L26" s="54" t="inlineStr">
        <is>
          <t>ISO (9001, 27001, 13485…)</t>
        </is>
      </c>
      <c r="M26" s="55" t="n"/>
      <c r="N26" s="55" t="n"/>
      <c r="O26" s="55" t="n"/>
      <c r="P26" s="55" t="n"/>
      <c r="Q26" s="55" t="n"/>
      <c r="R26" s="55" t="n"/>
      <c r="S26" s="56" t="n"/>
      <c r="T26" s="54" t="inlineStr">
        <is>
          <t>Multi-réglementaire</t>
        </is>
      </c>
      <c r="U26" s="55" t="n"/>
      <c r="V26" s="55" t="n"/>
      <c r="W26" s="55" t="n"/>
      <c r="X26" s="55" t="n"/>
      <c r="Y26" s="55" t="n"/>
      <c r="Z26" s="55" t="n"/>
      <c r="AA26" s="56" t="n"/>
    </row>
    <row r="27" ht="36" customHeight="1" s="62">
      <c r="A27" s="64" t="n"/>
      <c r="B27" s="64" t="n"/>
      <c r="C27" s="64" t="n"/>
      <c r="D27" s="60" t="inlineStr">
        <is>
          <t>Standard</t>
        </is>
      </c>
      <c r="E27" s="55" t="n"/>
      <c r="F27" s="55" t="n"/>
      <c r="G27" s="56" t="n"/>
      <c r="H27" s="60" t="inlineStr">
        <is>
          <t>Ultra-réglementé (santé, finance…)</t>
        </is>
      </c>
      <c r="I27" s="55" t="n"/>
      <c r="J27" s="55" t="n"/>
      <c r="K27" s="56" t="n"/>
      <c r="L27" s="60" t="inlineStr">
        <is>
          <t>Standard</t>
        </is>
      </c>
      <c r="M27" s="55" t="n"/>
      <c r="N27" s="55" t="n"/>
      <c r="O27" s="56" t="n"/>
      <c r="P27" s="60" t="inlineStr">
        <is>
          <t>Ultra-réglementé (santé, finance…)</t>
        </is>
      </c>
      <c r="Q27" s="55" t="n"/>
      <c r="R27" s="55" t="n"/>
      <c r="S27" s="56" t="n"/>
      <c r="T27" s="60" t="inlineStr">
        <is>
          <t>Standard</t>
        </is>
      </c>
      <c r="U27" s="55" t="n"/>
      <c r="V27" s="55" t="n"/>
      <c r="W27" s="56" t="n"/>
      <c r="X27" s="60" t="inlineStr">
        <is>
          <t>Ultra-réglementé (santé, finance…)</t>
        </is>
      </c>
      <c r="Y27" s="55" t="n"/>
      <c r="Z27" s="55" t="n"/>
      <c r="AA27" s="56" t="n"/>
    </row>
    <row r="28" ht="36" customHeight="1" s="62">
      <c r="A28" s="64" t="n"/>
      <c r="B28" s="64" t="n"/>
      <c r="C28" s="64" t="n"/>
      <c r="D28" s="63" t="inlineStr">
        <is>
          <t>Partiel</t>
        </is>
      </c>
      <c r="E28" s="56" t="n"/>
      <c r="F28" s="63" t="inlineStr">
        <is>
          <t>Complet</t>
        </is>
      </c>
      <c r="G28" s="56" t="n"/>
      <c r="H28" s="63" t="inlineStr">
        <is>
          <t>Partiel</t>
        </is>
      </c>
      <c r="I28" s="56" t="n"/>
      <c r="J28" s="63" t="inlineStr">
        <is>
          <t>Complet</t>
        </is>
      </c>
      <c r="K28" s="56" t="n"/>
      <c r="L28" s="63" t="inlineStr">
        <is>
          <t>Partiel</t>
        </is>
      </c>
      <c r="M28" s="56" t="n"/>
      <c r="N28" s="63" t="inlineStr">
        <is>
          <t>Complet</t>
        </is>
      </c>
      <c r="O28" s="56" t="n"/>
      <c r="P28" s="63" t="inlineStr">
        <is>
          <t>Partiel</t>
        </is>
      </c>
      <c r="Q28" s="56" t="n"/>
      <c r="R28" s="63" t="inlineStr">
        <is>
          <t>Complet</t>
        </is>
      </c>
      <c r="S28" s="56" t="n"/>
      <c r="T28" s="63" t="inlineStr">
        <is>
          <t>Partiel</t>
        </is>
      </c>
      <c r="U28" s="56" t="n"/>
      <c r="V28" s="63" t="inlineStr">
        <is>
          <t>Complet</t>
        </is>
      </c>
      <c r="W28" s="56" t="n"/>
      <c r="X28" s="63" t="inlineStr">
        <is>
          <t>Partiel</t>
        </is>
      </c>
      <c r="Y28" s="56" t="n"/>
      <c r="Z28" s="63" t="inlineStr">
        <is>
          <t>Complet</t>
        </is>
      </c>
      <c r="AA28" s="56" t="n"/>
    </row>
    <row r="29" ht="36" customHeight="1" s="62">
      <c r="A29" s="65" t="n"/>
      <c r="B29" s="65" t="n"/>
      <c r="C29" s="65" t="n"/>
      <c r="D29" s="7" t="inlineStr">
        <is>
          <t>Distanciel</t>
        </is>
      </c>
      <c r="E29" s="7" t="inlineStr">
        <is>
          <t>Présentiel</t>
        </is>
      </c>
      <c r="F29" s="7" t="inlineStr">
        <is>
          <t>Distanciel</t>
        </is>
      </c>
      <c r="G29" s="7" t="inlineStr">
        <is>
          <t>Présentiel</t>
        </is>
      </c>
      <c r="H29" s="7" t="inlineStr">
        <is>
          <t>Distanciel</t>
        </is>
      </c>
      <c r="I29" s="7" t="inlineStr">
        <is>
          <t>Présentiel</t>
        </is>
      </c>
      <c r="J29" s="7" t="inlineStr">
        <is>
          <t>Distanciel</t>
        </is>
      </c>
      <c r="K29" s="7" t="inlineStr">
        <is>
          <t>Présentiel</t>
        </is>
      </c>
      <c r="L29" s="7" t="inlineStr">
        <is>
          <t>Distanciel</t>
        </is>
      </c>
      <c r="M29" s="7" t="inlineStr">
        <is>
          <t>Présentiel</t>
        </is>
      </c>
      <c r="N29" s="7" t="inlineStr">
        <is>
          <t>Distanciel</t>
        </is>
      </c>
      <c r="O29" s="7" t="inlineStr">
        <is>
          <t>Présentiel</t>
        </is>
      </c>
      <c r="P29" s="7" t="inlineStr">
        <is>
          <t>Distanciel</t>
        </is>
      </c>
      <c r="Q29" s="7" t="inlineStr">
        <is>
          <t>Présentiel</t>
        </is>
      </c>
      <c r="R29" s="7" t="inlineStr">
        <is>
          <t>Distanciel</t>
        </is>
      </c>
      <c r="S29" s="7" t="inlineStr">
        <is>
          <t>Présentiel</t>
        </is>
      </c>
      <c r="T29" s="7" t="inlineStr">
        <is>
          <t>Distanciel</t>
        </is>
      </c>
      <c r="U29" s="7" t="inlineStr">
        <is>
          <t>Présentiel</t>
        </is>
      </c>
      <c r="V29" s="7" t="inlineStr">
        <is>
          <t>Distanciel</t>
        </is>
      </c>
      <c r="W29" s="7" t="inlineStr">
        <is>
          <t>Présentiel</t>
        </is>
      </c>
      <c r="X29" s="7" t="inlineStr">
        <is>
          <t>Distanciel</t>
        </is>
      </c>
      <c r="Y29" s="7" t="inlineStr">
        <is>
          <t>Présentiel</t>
        </is>
      </c>
      <c r="Z29" s="7" t="inlineStr">
        <is>
          <t>Distanciel</t>
        </is>
      </c>
      <c r="AA29" s="7" t="inlineStr">
        <is>
          <t>Présentiel</t>
        </is>
      </c>
    </row>
    <row r="30" ht="20.1" customHeight="1" s="62">
      <c r="A30" s="66" t="inlineStr">
        <is>
          <t>Micro (1-5 sal.)</t>
        </is>
      </c>
      <c r="B30" s="57" t="inlineStr">
        <is>
          <t>1 norme</t>
        </is>
      </c>
      <c r="C30" s="14" t="inlineStr">
        <is>
          <t>Simple (RGPD uniquement)</t>
        </is>
      </c>
      <c r="D30" s="10">
        <f>ROUND($B$4*$B$8*$B$12*$B$15*$B$18*$B$20*$B$22,0)</f>
        <v/>
      </c>
      <c r="E30" s="10">
        <f>ROUND($B$4*$B$8*$B$12*$B$15*$B$18*$B$20*$B$23,0)</f>
        <v/>
      </c>
      <c r="F30" s="10">
        <f>ROUND($B$4*$B$8*$B$12*$B$15*$B$18*$B$21*$B$22,0)</f>
        <v/>
      </c>
      <c r="G30" s="10">
        <f>ROUND($B$4*$B$8*$B$12*$B$15*$B$18*$B$21*$B$23,0)</f>
        <v/>
      </c>
      <c r="H30" s="10">
        <f>ROUND($B$4*$B$8*$B$12*$B$15*$B$19*$B$20*$B$22,0)</f>
        <v/>
      </c>
      <c r="I30" s="10">
        <f>ROUND($B$4*$B$8*$B$12*$B$15*$B$19*$B$20*$B$23,0)</f>
        <v/>
      </c>
      <c r="J30" s="10">
        <f>ROUND($B$4*$B$8*$B$12*$B$15*$B$19*$B$21*$B$22,0)</f>
        <v/>
      </c>
      <c r="K30" s="10">
        <f>ROUND($B$4*$B$8*$B$12*$B$15*$B$19*$B$21*$B$23,0)</f>
        <v/>
      </c>
      <c r="L30" s="10">
        <f>ROUND($B$4*$B$8*$B$12*$B$16*$B$18*$B$20*$B$22,0)</f>
        <v/>
      </c>
      <c r="M30" s="10">
        <f>ROUND($B$4*$B$8*$B$12*$B$16*$B$18*$B$20*$B$23,0)</f>
        <v/>
      </c>
      <c r="N30" s="10">
        <f>ROUND($B$4*$B$8*$B$12*$B$16*$B$18*$B$21*$B$22,0)</f>
        <v/>
      </c>
      <c r="O30" s="10">
        <f>ROUND($B$4*$B$8*$B$12*$B$16*$B$18*$B$21*$B$23,0)</f>
        <v/>
      </c>
      <c r="P30" s="10">
        <f>ROUND($B$4*$B$8*$B$12*$B$16*$B$19*$B$20*$B$22,0)</f>
        <v/>
      </c>
      <c r="Q30" s="10">
        <f>ROUND($B$4*$B$8*$B$12*$B$16*$B$19*$B$20*$B$23,0)</f>
        <v/>
      </c>
      <c r="R30" s="10">
        <f>ROUND($B$4*$B$8*$B$12*$B$16*$B$19*$B$21*$B$22,0)</f>
        <v/>
      </c>
      <c r="S30" s="10">
        <f>ROUND($B$4*$B$8*$B$12*$B$16*$B$19*$B$21*$B$23,0)</f>
        <v/>
      </c>
      <c r="T30" s="10">
        <f>ROUND($B$4*$B$8*$B$12*$B$17*$B$18*$B$20*$B$22,0)</f>
        <v/>
      </c>
      <c r="U30" s="10">
        <f>ROUND($B$4*$B$8*$B$12*$B$17*$B$18*$B$20*$B$23,0)</f>
        <v/>
      </c>
      <c r="V30" s="10">
        <f>ROUND($B$4*$B$8*$B$12*$B$17*$B$18*$B$21*$B$22,0)</f>
        <v/>
      </c>
      <c r="W30" s="10">
        <f>ROUND($B$4*$B$8*$B$12*$B$17*$B$18*$B$21*$B$23,0)</f>
        <v/>
      </c>
      <c r="X30" s="10">
        <f>ROUND($B$4*$B$8*$B$12*$B$17*$B$19*$B$20*$B$22,0)</f>
        <v/>
      </c>
      <c r="Y30" s="10">
        <f>ROUND($B$4*$B$8*$B$12*$B$17*$B$19*$B$20*$B$23,0)</f>
        <v/>
      </c>
      <c r="Z30" s="10">
        <f>ROUND($B$4*$B$8*$B$12*$B$17*$B$19*$B$21*$B$22,0)</f>
        <v/>
      </c>
      <c r="AA30" s="10">
        <f>ROUND($B$4*$B$8*$B$12*$B$17*$B$19*$B$21*$B$23,0)</f>
        <v/>
      </c>
    </row>
    <row r="31" ht="20.1" customHeight="1" s="62">
      <c r="A31" s="67" t="n"/>
      <c r="B31" s="58" t="n"/>
      <c r="C31" s="57" t="inlineStr">
        <is>
          <t>Intermédiaire (1-2 normes ISO)</t>
        </is>
      </c>
      <c r="D31" s="10">
        <f>ROUND($B$5*$B$8*$B$12*$B$15*$B$18*$B$20*$B$22,0)</f>
        <v/>
      </c>
      <c r="E31" s="10">
        <f>ROUND($B$5*$B$8*$B$12*$B$15*$B$18*$B$20*$B$23,0)</f>
        <v/>
      </c>
      <c r="F31" s="10">
        <f>ROUND($B$5*$B$8*$B$12*$B$15*$B$18*$B$21*$B$22,0)</f>
        <v/>
      </c>
      <c r="G31" s="10">
        <f>ROUND($B$5*$B$8*$B$12*$B$15*$B$18*$B$21*$B$23,0)</f>
        <v/>
      </c>
      <c r="H31" s="10">
        <f>ROUND($B$5*$B$8*$B$12*$B$15*$B$19*$B$20*$B$22,0)</f>
        <v/>
      </c>
      <c r="I31" s="10">
        <f>ROUND($B$5*$B$8*$B$12*$B$15*$B$19*$B$20*$B$23,0)</f>
        <v/>
      </c>
      <c r="J31" s="10">
        <f>ROUND($B$5*$B$8*$B$12*$B$15*$B$19*$B$21*$B$22,0)</f>
        <v/>
      </c>
      <c r="K31" s="10">
        <f>ROUND($B$5*$B$8*$B$12*$B$15*$B$19*$B$21*$B$23,0)</f>
        <v/>
      </c>
      <c r="L31" s="10">
        <f>ROUND($B$5*$B$8*$B$12*$B$16*$B$18*$B$20*$B$22,0)</f>
        <v/>
      </c>
      <c r="M31" s="10">
        <f>ROUND($B$5*$B$8*$B$12*$B$16*$B$18*$B$20*$B$23,0)</f>
        <v/>
      </c>
      <c r="N31" s="10">
        <f>ROUND($B$5*$B$8*$B$12*$B$16*$B$18*$B$21*$B$22,0)</f>
        <v/>
      </c>
      <c r="O31" s="10">
        <f>ROUND($B$5*$B$8*$B$12*$B$16*$B$18*$B$21*$B$23,0)</f>
        <v/>
      </c>
      <c r="P31" s="10">
        <f>ROUND($B$5*$B$8*$B$12*$B$16*$B$19*$B$20*$B$22,0)</f>
        <v/>
      </c>
      <c r="Q31" s="10">
        <f>ROUND($B$5*$B$8*$B$12*$B$16*$B$19*$B$20*$B$23,0)</f>
        <v/>
      </c>
      <c r="R31" s="10">
        <f>ROUND($B$5*$B$8*$B$12*$B$16*$B$19*$B$21*$B$22,0)</f>
        <v/>
      </c>
      <c r="S31" s="10">
        <f>ROUND($B$5*$B$8*$B$12*$B$16*$B$19*$B$21*$B$23,0)</f>
        <v/>
      </c>
      <c r="T31" s="10">
        <f>ROUND($B$5*$B$8*$B$12*$B$17*$B$18*$B$20*$B$22,0)</f>
        <v/>
      </c>
      <c r="U31" s="10">
        <f>ROUND($B$5*$B$8*$B$12*$B$17*$B$18*$B$20*$B$23,0)</f>
        <v/>
      </c>
      <c r="V31" s="10">
        <f>ROUND($B$5*$B$8*$B$12*$B$17*$B$18*$B$21*$B$22,0)</f>
        <v/>
      </c>
      <c r="W31" s="10">
        <f>ROUND($B$5*$B$8*$B$12*$B$17*$B$18*$B$21*$B$23,0)</f>
        <v/>
      </c>
      <c r="X31" s="10">
        <f>ROUND($B$5*$B$8*$B$12*$B$17*$B$19*$B$20*$B$22,0)</f>
        <v/>
      </c>
      <c r="Y31" s="10">
        <f>ROUND($B$5*$B$8*$B$12*$B$17*$B$19*$B$20*$B$23,0)</f>
        <v/>
      </c>
      <c r="Z31" s="10">
        <f>ROUND($B$5*$B$8*$B$12*$B$17*$B$19*$B$21*$B$22,0)</f>
        <v/>
      </c>
      <c r="AA31" s="10">
        <f>ROUND($B$5*$B$8*$B$12*$B$17*$B$19*$B$21*$B$23,0)</f>
        <v/>
      </c>
    </row>
    <row r="32" ht="20.1" customHeight="1" s="62">
      <c r="A32" s="67" t="n"/>
      <c r="B32" s="59" t="n"/>
      <c r="C32" s="15" t="inlineStr">
        <is>
          <t>Complet (ISO / multi-réglementaire)</t>
        </is>
      </c>
      <c r="D32" s="10">
        <f>ROUND($B$6*$B$8*$B$12*$B$15*$B$18*$B$20*$B$22,0)</f>
        <v/>
      </c>
      <c r="E32" s="10">
        <f>ROUND($B$6*$B$8*$B$12*$B$15*$B$18*$B$20*$B$23,0)</f>
        <v/>
      </c>
      <c r="F32" s="10">
        <f>ROUND($B$6*$B$8*$B$12*$B$15*$B$18*$B$21*$B$22,0)</f>
        <v/>
      </c>
      <c r="G32" s="10">
        <f>ROUND($B$6*$B$8*$B$12*$B$15*$B$18*$B$21*$B$23,0)</f>
        <v/>
      </c>
      <c r="H32" s="10">
        <f>ROUND($B$6*$B$8*$B$12*$B$15*$B$19*$B$20*$B$22,0)</f>
        <v/>
      </c>
      <c r="I32" s="10">
        <f>ROUND($B$6*$B$8*$B$12*$B$15*$B$19*$B$20*$B$23,0)</f>
        <v/>
      </c>
      <c r="J32" s="10">
        <f>ROUND($B$6*$B$8*$B$12*$B$15*$B$19*$B$21*$B$22,0)</f>
        <v/>
      </c>
      <c r="K32" s="10">
        <f>ROUND($B$6*$B$8*$B$12*$B$15*$B$19*$B$21*$B$23,0)</f>
        <v/>
      </c>
      <c r="L32" s="10">
        <f>ROUND($B$6*$B$8*$B$12*$B$16*$B$18*$B$20*$B$22,0)</f>
        <v/>
      </c>
      <c r="M32" s="10">
        <f>ROUND($B$6*$B$8*$B$12*$B$16*$B$18*$B$20*$B$23,0)</f>
        <v/>
      </c>
      <c r="N32" s="10">
        <f>ROUND($B$6*$B$8*$B$12*$B$16*$B$18*$B$21*$B$22,0)</f>
        <v/>
      </c>
      <c r="O32" s="10">
        <f>ROUND($B$6*$B$8*$B$12*$B$16*$B$18*$B$21*$B$23,0)</f>
        <v/>
      </c>
      <c r="P32" s="10">
        <f>ROUND($B$6*$B$8*$B$12*$B$16*$B$19*$B$20*$B$22,0)</f>
        <v/>
      </c>
      <c r="Q32" s="10">
        <f>ROUND($B$6*$B$8*$B$12*$B$16*$B$19*$B$20*$B$23,0)</f>
        <v/>
      </c>
      <c r="R32" s="10">
        <f>ROUND($B$6*$B$8*$B$12*$B$16*$B$19*$B$21*$B$22,0)</f>
        <v/>
      </c>
      <c r="S32" s="10">
        <f>ROUND($B$6*$B$8*$B$12*$B$16*$B$19*$B$21*$B$23,0)</f>
        <v/>
      </c>
      <c r="T32" s="10">
        <f>ROUND($B$6*$B$8*$B$12*$B$17*$B$18*$B$20*$B$22,0)</f>
        <v/>
      </c>
      <c r="U32" s="10">
        <f>ROUND($B$6*$B$8*$B$12*$B$17*$B$18*$B$20*$B$23,0)</f>
        <v/>
      </c>
      <c r="V32" s="10">
        <f>ROUND($B$6*$B$8*$B$12*$B$17*$B$18*$B$21*$B$22,0)</f>
        <v/>
      </c>
      <c r="W32" s="10">
        <f>ROUND($B$6*$B$8*$B$12*$B$17*$B$18*$B$21*$B$23,0)</f>
        <v/>
      </c>
      <c r="X32" s="10">
        <f>ROUND($B$6*$B$8*$B$12*$B$17*$B$19*$B$20*$B$22,0)</f>
        <v/>
      </c>
      <c r="Y32" s="10">
        <f>ROUND($B$6*$B$8*$B$12*$B$17*$B$19*$B$20*$B$23,0)</f>
        <v/>
      </c>
      <c r="Z32" s="10">
        <f>ROUND($B$6*$B$8*$B$12*$B$17*$B$19*$B$21*$B$22,0)</f>
        <v/>
      </c>
      <c r="AA32" s="10">
        <f>ROUND($B$6*$B$8*$B$12*$B$17*$B$19*$B$21*$B$23,0)</f>
        <v/>
      </c>
    </row>
    <row r="33" ht="20.1" customHeight="1" s="62">
      <c r="A33" s="67" t="n"/>
      <c r="B33" s="57" t="inlineStr">
        <is>
          <t>2-3 normes</t>
        </is>
      </c>
      <c r="C33" s="14" t="inlineStr">
        <is>
          <t>Simple (RGPD uniquement)</t>
        </is>
      </c>
      <c r="D33" s="10">
        <f>ROUND($B$4*$B$8*$B$13*$B$15*$B$18*$B$20*$B$22,0)</f>
        <v/>
      </c>
      <c r="E33" s="10">
        <f>ROUND($B$4*$B$8*$B$13*$B$15*$B$18*$B$20*$B$23,0)</f>
        <v/>
      </c>
      <c r="F33" s="10">
        <f>ROUND($B$4*$B$8*$B$13*$B$15*$B$18*$B$21*$B$22,0)</f>
        <v/>
      </c>
      <c r="G33" s="10">
        <f>ROUND($B$4*$B$8*$B$13*$B$15*$B$18*$B$21*$B$23,0)</f>
        <v/>
      </c>
      <c r="H33" s="10">
        <f>ROUND($B$4*$B$8*$B$13*$B$15*$B$19*$B$20*$B$22,0)</f>
        <v/>
      </c>
      <c r="I33" s="10">
        <f>ROUND($B$4*$B$8*$B$13*$B$15*$B$19*$B$20*$B$23,0)</f>
        <v/>
      </c>
      <c r="J33" s="10">
        <f>ROUND($B$4*$B$8*$B$13*$B$15*$B$19*$B$21*$B$22,0)</f>
        <v/>
      </c>
      <c r="K33" s="10">
        <f>ROUND($B$4*$B$8*$B$13*$B$15*$B$19*$B$21*$B$23,0)</f>
        <v/>
      </c>
      <c r="L33" s="10">
        <f>ROUND($B$4*$B$8*$B$13*$B$16*$B$18*$B$20*$B$22,0)</f>
        <v/>
      </c>
      <c r="M33" s="10">
        <f>ROUND($B$4*$B$8*$B$13*$B$16*$B$18*$B$20*$B$23,0)</f>
        <v/>
      </c>
      <c r="N33" s="10">
        <f>ROUND($B$4*$B$8*$B$13*$B$16*$B$18*$B$21*$B$22,0)</f>
        <v/>
      </c>
      <c r="O33" s="10">
        <f>ROUND($B$4*$B$8*$B$13*$B$16*$B$18*$B$21*$B$23,0)</f>
        <v/>
      </c>
      <c r="P33" s="10">
        <f>ROUND($B$4*$B$8*$B$13*$B$16*$B$19*$B$20*$B$22,0)</f>
        <v/>
      </c>
      <c r="Q33" s="10">
        <f>ROUND($B$4*$B$8*$B$13*$B$16*$B$19*$B$20*$B$23,0)</f>
        <v/>
      </c>
      <c r="R33" s="10">
        <f>ROUND($B$4*$B$8*$B$13*$B$16*$B$19*$B$21*$B$22,0)</f>
        <v/>
      </c>
      <c r="S33" s="10">
        <f>ROUND($B$4*$B$8*$B$13*$B$16*$B$19*$B$21*$B$23,0)</f>
        <v/>
      </c>
      <c r="T33" s="10">
        <f>ROUND($B$4*$B$8*$B$13*$B$17*$B$18*$B$20*$B$22,0)</f>
        <v/>
      </c>
      <c r="U33" s="10">
        <f>ROUND($B$4*$B$8*$B$13*$B$17*$B$18*$B$20*$B$23,0)</f>
        <v/>
      </c>
      <c r="V33" s="10">
        <f>ROUND($B$4*$B$8*$B$13*$B$17*$B$18*$B$21*$B$22,0)</f>
        <v/>
      </c>
      <c r="W33" s="10">
        <f>ROUND($B$4*$B$8*$B$13*$B$17*$B$18*$B$21*$B$23,0)</f>
        <v/>
      </c>
      <c r="X33" s="10">
        <f>ROUND($B$4*$B$8*$B$13*$B$17*$B$19*$B$20*$B$22,0)</f>
        <v/>
      </c>
      <c r="Y33" s="10">
        <f>ROUND($B$4*$B$8*$B$13*$B$17*$B$19*$B$20*$B$23,0)</f>
        <v/>
      </c>
      <c r="Z33" s="10">
        <f>ROUND($B$4*$B$8*$B$13*$B$17*$B$19*$B$21*$B$22,0)</f>
        <v/>
      </c>
      <c r="AA33" s="10">
        <f>ROUND($B$4*$B$8*$B$13*$B$17*$B$19*$B$21*$B$23,0)</f>
        <v/>
      </c>
    </row>
    <row r="34" ht="20.1" customHeight="1" s="62">
      <c r="A34" s="67" t="n"/>
      <c r="B34" s="58" t="n"/>
      <c r="C34" s="57" t="inlineStr">
        <is>
          <t>Intermédiaire (1-2 normes ISO)</t>
        </is>
      </c>
      <c r="D34" s="10">
        <f>ROUND($B$5*$B$8*$B$13*$B$15*$B$18*$B$20*$B$22,0)</f>
        <v/>
      </c>
      <c r="E34" s="10">
        <f>ROUND($B$5*$B$8*$B$13*$B$15*$B$18*$B$20*$B$23,0)</f>
        <v/>
      </c>
      <c r="F34" s="10">
        <f>ROUND($B$5*$B$8*$B$13*$B$15*$B$18*$B$21*$B$22,0)</f>
        <v/>
      </c>
      <c r="G34" s="10">
        <f>ROUND($B$5*$B$8*$B$13*$B$15*$B$18*$B$21*$B$23,0)</f>
        <v/>
      </c>
      <c r="H34" s="10">
        <f>ROUND($B$5*$B$8*$B$13*$B$15*$B$19*$B$20*$B$22,0)</f>
        <v/>
      </c>
      <c r="I34" s="10">
        <f>ROUND($B$5*$B$8*$B$13*$B$15*$B$19*$B$20*$B$23,0)</f>
        <v/>
      </c>
      <c r="J34" s="10">
        <f>ROUND($B$5*$B$8*$B$13*$B$15*$B$19*$B$21*$B$22,0)</f>
        <v/>
      </c>
      <c r="K34" s="10">
        <f>ROUND($B$5*$B$8*$B$13*$B$15*$B$19*$B$21*$B$23,0)</f>
        <v/>
      </c>
      <c r="L34" s="10">
        <f>ROUND($B$5*$B$8*$B$13*$B$16*$B$18*$B$20*$B$22,0)</f>
        <v/>
      </c>
      <c r="M34" s="10">
        <f>ROUND($B$5*$B$8*$B$13*$B$16*$B$18*$B$20*$B$23,0)</f>
        <v/>
      </c>
      <c r="N34" s="10">
        <f>ROUND($B$5*$B$8*$B$13*$B$16*$B$18*$B$21*$B$22,0)</f>
        <v/>
      </c>
      <c r="O34" s="10">
        <f>ROUND($B$5*$B$8*$B$13*$B$16*$B$18*$B$21*$B$23,0)</f>
        <v/>
      </c>
      <c r="P34" s="10">
        <f>ROUND($B$5*$B$8*$B$13*$B$16*$B$19*$B$20*$B$22,0)</f>
        <v/>
      </c>
      <c r="Q34" s="10">
        <f>ROUND($B$5*$B$8*$B$13*$B$16*$B$19*$B$20*$B$23,0)</f>
        <v/>
      </c>
      <c r="R34" s="10">
        <f>ROUND($B$5*$B$8*$B$13*$B$16*$B$19*$B$21*$B$22,0)</f>
        <v/>
      </c>
      <c r="S34" s="10">
        <f>ROUND($B$5*$B$8*$B$13*$B$16*$B$19*$B$21*$B$23,0)</f>
        <v/>
      </c>
      <c r="T34" s="10">
        <f>ROUND($B$5*$B$8*$B$13*$B$17*$B$18*$B$20*$B$22,0)</f>
        <v/>
      </c>
      <c r="U34" s="10">
        <f>ROUND($B$5*$B$8*$B$13*$B$17*$B$18*$B$20*$B$23,0)</f>
        <v/>
      </c>
      <c r="V34" s="10">
        <f>ROUND($B$5*$B$8*$B$13*$B$17*$B$18*$B$21*$B$22,0)</f>
        <v/>
      </c>
      <c r="W34" s="10">
        <f>ROUND($B$5*$B$8*$B$13*$B$17*$B$18*$B$21*$B$23,0)</f>
        <v/>
      </c>
      <c r="X34" s="10">
        <f>ROUND($B$5*$B$8*$B$13*$B$17*$B$19*$B$20*$B$22,0)</f>
        <v/>
      </c>
      <c r="Y34" s="10">
        <f>ROUND($B$5*$B$8*$B$13*$B$17*$B$19*$B$20*$B$23,0)</f>
        <v/>
      </c>
      <c r="Z34" s="10">
        <f>ROUND($B$5*$B$8*$B$13*$B$17*$B$19*$B$21*$B$22,0)</f>
        <v/>
      </c>
      <c r="AA34" s="10">
        <f>ROUND($B$5*$B$8*$B$13*$B$17*$B$19*$B$21*$B$23,0)</f>
        <v/>
      </c>
    </row>
    <row r="35" ht="20.1" customHeight="1" s="62">
      <c r="A35" s="67" t="n"/>
      <c r="B35" s="59" t="n"/>
      <c r="C35" s="15" t="inlineStr">
        <is>
          <t>Complet (ISO / multi-réglementaire)</t>
        </is>
      </c>
      <c r="D35" s="10">
        <f>ROUND($B$6*$B$8*$B$13*$B$15*$B$18*$B$20*$B$22,0)</f>
        <v/>
      </c>
      <c r="E35" s="10">
        <f>ROUND($B$6*$B$8*$B$13*$B$15*$B$18*$B$20*$B$23,0)</f>
        <v/>
      </c>
      <c r="F35" s="10">
        <f>ROUND($B$6*$B$8*$B$13*$B$15*$B$18*$B$21*$B$22,0)</f>
        <v/>
      </c>
      <c r="G35" s="10">
        <f>ROUND($B$6*$B$8*$B$13*$B$15*$B$18*$B$21*$B$23,0)</f>
        <v/>
      </c>
      <c r="H35" s="10">
        <f>ROUND($B$6*$B$8*$B$13*$B$15*$B$19*$B$20*$B$22,0)</f>
        <v/>
      </c>
      <c r="I35" s="10">
        <f>ROUND($B$6*$B$8*$B$13*$B$15*$B$19*$B$20*$B$23,0)</f>
        <v/>
      </c>
      <c r="J35" s="10">
        <f>ROUND($B$6*$B$8*$B$13*$B$15*$B$19*$B$21*$B$22,0)</f>
        <v/>
      </c>
      <c r="K35" s="10">
        <f>ROUND($B$6*$B$8*$B$13*$B$15*$B$19*$B$21*$B$23,0)</f>
        <v/>
      </c>
      <c r="L35" s="10">
        <f>ROUND($B$6*$B$8*$B$13*$B$16*$B$18*$B$20*$B$22,0)</f>
        <v/>
      </c>
      <c r="M35" s="10">
        <f>ROUND($B$6*$B$8*$B$13*$B$16*$B$18*$B$20*$B$23,0)</f>
        <v/>
      </c>
      <c r="N35" s="10">
        <f>ROUND($B$6*$B$8*$B$13*$B$16*$B$18*$B$21*$B$22,0)</f>
        <v/>
      </c>
      <c r="O35" s="10">
        <f>ROUND($B$6*$B$8*$B$13*$B$16*$B$18*$B$21*$B$23,0)</f>
        <v/>
      </c>
      <c r="P35" s="10">
        <f>ROUND($B$6*$B$8*$B$13*$B$16*$B$19*$B$20*$B$22,0)</f>
        <v/>
      </c>
      <c r="Q35" s="10">
        <f>ROUND($B$6*$B$8*$B$13*$B$16*$B$19*$B$20*$B$23,0)</f>
        <v/>
      </c>
      <c r="R35" s="10">
        <f>ROUND($B$6*$B$8*$B$13*$B$16*$B$19*$B$21*$B$22,0)</f>
        <v/>
      </c>
      <c r="S35" s="10">
        <f>ROUND($B$6*$B$8*$B$13*$B$16*$B$19*$B$21*$B$23,0)</f>
        <v/>
      </c>
      <c r="T35" s="10">
        <f>ROUND($B$6*$B$8*$B$13*$B$17*$B$18*$B$20*$B$22,0)</f>
        <v/>
      </c>
      <c r="U35" s="10">
        <f>ROUND($B$6*$B$8*$B$13*$B$17*$B$18*$B$20*$B$23,0)</f>
        <v/>
      </c>
      <c r="V35" s="10">
        <f>ROUND($B$6*$B$8*$B$13*$B$17*$B$18*$B$21*$B$22,0)</f>
        <v/>
      </c>
      <c r="W35" s="10">
        <f>ROUND($B$6*$B$8*$B$13*$B$17*$B$18*$B$21*$B$23,0)</f>
        <v/>
      </c>
      <c r="X35" s="10">
        <f>ROUND($B$6*$B$8*$B$13*$B$17*$B$19*$B$20*$B$22,0)</f>
        <v/>
      </c>
      <c r="Y35" s="10">
        <f>ROUND($B$6*$B$8*$B$13*$B$17*$B$19*$B$20*$B$23,0)</f>
        <v/>
      </c>
      <c r="Z35" s="10">
        <f>ROUND($B$6*$B$8*$B$13*$B$17*$B$19*$B$21*$B$22,0)</f>
        <v/>
      </c>
      <c r="AA35" s="10">
        <f>ROUND($B$6*$B$8*$B$13*$B$17*$B$19*$B$21*$B$23,0)</f>
        <v/>
      </c>
    </row>
    <row r="36" ht="20.1" customHeight="1" s="62">
      <c r="A36" s="67" t="n"/>
      <c r="B36" s="57" t="inlineStr">
        <is>
          <t>4 normes et +</t>
        </is>
      </c>
      <c r="C36" s="14" t="inlineStr">
        <is>
          <t>Simple (RGPD uniquement)</t>
        </is>
      </c>
      <c r="D36" s="10">
        <f>ROUND($B$4*$B$8*$B$14*$B$15*$B$18*$B$20*$B$22,0)</f>
        <v/>
      </c>
      <c r="E36" s="10">
        <f>ROUND($B$4*$B$8*$B$14*$B$15*$B$18*$B$20*$B$23,0)</f>
        <v/>
      </c>
      <c r="F36" s="10">
        <f>ROUND($B$4*$B$8*$B$14*$B$15*$B$18*$B$21*$B$22,0)</f>
        <v/>
      </c>
      <c r="G36" s="10">
        <f>ROUND($B$4*$B$8*$B$14*$B$15*$B$18*$B$21*$B$23,0)</f>
        <v/>
      </c>
      <c r="H36" s="10">
        <f>ROUND($B$4*$B$8*$B$14*$B$15*$B$19*$B$20*$B$22,0)</f>
        <v/>
      </c>
      <c r="I36" s="10">
        <f>ROUND($B$4*$B$8*$B$14*$B$15*$B$19*$B$20*$B$23,0)</f>
        <v/>
      </c>
      <c r="J36" s="10">
        <f>ROUND($B$4*$B$8*$B$14*$B$15*$B$19*$B$21*$B$22,0)</f>
        <v/>
      </c>
      <c r="K36" s="10">
        <f>ROUND($B$4*$B$8*$B$14*$B$15*$B$19*$B$21*$B$23,0)</f>
        <v/>
      </c>
      <c r="L36" s="10">
        <f>ROUND($B$4*$B$8*$B$14*$B$16*$B$18*$B$20*$B$22,0)</f>
        <v/>
      </c>
      <c r="M36" s="10">
        <f>ROUND($B$4*$B$8*$B$14*$B$16*$B$18*$B$20*$B$23,0)</f>
        <v/>
      </c>
      <c r="N36" s="10">
        <f>ROUND($B$4*$B$8*$B$14*$B$16*$B$18*$B$21*$B$22,0)</f>
        <v/>
      </c>
      <c r="O36" s="10">
        <f>ROUND($B$4*$B$8*$B$14*$B$16*$B$18*$B$21*$B$23,0)</f>
        <v/>
      </c>
      <c r="P36" s="10">
        <f>ROUND($B$4*$B$8*$B$14*$B$16*$B$19*$B$20*$B$22,0)</f>
        <v/>
      </c>
      <c r="Q36" s="10">
        <f>ROUND($B$4*$B$8*$B$14*$B$16*$B$19*$B$20*$B$23,0)</f>
        <v/>
      </c>
      <c r="R36" s="10">
        <f>ROUND($B$4*$B$8*$B$14*$B$16*$B$19*$B$21*$B$22,0)</f>
        <v/>
      </c>
      <c r="S36" s="10">
        <f>ROUND($B$4*$B$8*$B$14*$B$16*$B$19*$B$21*$B$23,0)</f>
        <v/>
      </c>
      <c r="T36" s="10">
        <f>ROUND($B$4*$B$8*$B$14*$B$17*$B$18*$B$20*$B$22,0)</f>
        <v/>
      </c>
      <c r="U36" s="10">
        <f>ROUND($B$4*$B$8*$B$14*$B$17*$B$18*$B$20*$B$23,0)</f>
        <v/>
      </c>
      <c r="V36" s="10">
        <f>ROUND($B$4*$B$8*$B$14*$B$17*$B$18*$B$21*$B$22,0)</f>
        <v/>
      </c>
      <c r="W36" s="10">
        <f>ROUND($B$4*$B$8*$B$14*$B$17*$B$18*$B$21*$B$23,0)</f>
        <v/>
      </c>
      <c r="X36" s="10">
        <f>ROUND($B$4*$B$8*$B$14*$B$17*$B$19*$B$20*$B$22,0)</f>
        <v/>
      </c>
      <c r="Y36" s="10">
        <f>ROUND($B$4*$B$8*$B$14*$B$17*$B$19*$B$20*$B$23,0)</f>
        <v/>
      </c>
      <c r="Z36" s="10">
        <f>ROUND($B$4*$B$8*$B$14*$B$17*$B$19*$B$21*$B$22,0)</f>
        <v/>
      </c>
      <c r="AA36" s="10">
        <f>ROUND($B$4*$B$8*$B$14*$B$17*$B$19*$B$21*$B$23,0)</f>
        <v/>
      </c>
    </row>
    <row r="37" ht="20.1" customHeight="1" s="62">
      <c r="A37" s="67" t="n"/>
      <c r="B37" s="58" t="n"/>
      <c r="C37" s="57" t="inlineStr">
        <is>
          <t>Intermédiaire (1-2 normes ISO)</t>
        </is>
      </c>
      <c r="D37" s="10">
        <f>ROUND($B$5*$B$8*$B$14*$B$15*$B$18*$B$20*$B$22,0)</f>
        <v/>
      </c>
      <c r="E37" s="10">
        <f>ROUND($B$5*$B$8*$B$14*$B$15*$B$18*$B$20*$B$23,0)</f>
        <v/>
      </c>
      <c r="F37" s="10">
        <f>ROUND($B$5*$B$8*$B$14*$B$15*$B$18*$B$21*$B$22,0)</f>
        <v/>
      </c>
      <c r="G37" s="10">
        <f>ROUND($B$5*$B$8*$B$14*$B$15*$B$18*$B$21*$B$23,0)</f>
        <v/>
      </c>
      <c r="H37" s="10">
        <f>ROUND($B$5*$B$8*$B$14*$B$15*$B$19*$B$20*$B$22,0)</f>
        <v/>
      </c>
      <c r="I37" s="10">
        <f>ROUND($B$5*$B$8*$B$14*$B$15*$B$19*$B$20*$B$23,0)</f>
        <v/>
      </c>
      <c r="J37" s="10">
        <f>ROUND($B$5*$B$8*$B$14*$B$15*$B$19*$B$21*$B$22,0)</f>
        <v/>
      </c>
      <c r="K37" s="10">
        <f>ROUND($B$5*$B$8*$B$14*$B$15*$B$19*$B$21*$B$23,0)</f>
        <v/>
      </c>
      <c r="L37" s="10">
        <f>ROUND($B$5*$B$8*$B$14*$B$16*$B$18*$B$20*$B$22,0)</f>
        <v/>
      </c>
      <c r="M37" s="10">
        <f>ROUND($B$5*$B$8*$B$14*$B$16*$B$18*$B$20*$B$23,0)</f>
        <v/>
      </c>
      <c r="N37" s="10">
        <f>ROUND($B$5*$B$8*$B$14*$B$16*$B$18*$B$21*$B$22,0)</f>
        <v/>
      </c>
      <c r="O37" s="10">
        <f>ROUND($B$5*$B$8*$B$14*$B$16*$B$18*$B$21*$B$23,0)</f>
        <v/>
      </c>
      <c r="P37" s="10">
        <f>ROUND($B$5*$B$8*$B$14*$B$16*$B$19*$B$20*$B$22,0)</f>
        <v/>
      </c>
      <c r="Q37" s="10">
        <f>ROUND($B$5*$B$8*$B$14*$B$16*$B$19*$B$20*$B$23,0)</f>
        <v/>
      </c>
      <c r="R37" s="10">
        <f>ROUND($B$5*$B$8*$B$14*$B$16*$B$19*$B$21*$B$22,0)</f>
        <v/>
      </c>
      <c r="S37" s="10">
        <f>ROUND($B$5*$B$8*$B$14*$B$16*$B$19*$B$21*$B$23,0)</f>
        <v/>
      </c>
      <c r="T37" s="10">
        <f>ROUND($B$5*$B$8*$B$14*$B$17*$B$18*$B$20*$B$22,0)</f>
        <v/>
      </c>
      <c r="U37" s="10">
        <f>ROUND($B$5*$B$8*$B$14*$B$17*$B$18*$B$20*$B$23,0)</f>
        <v/>
      </c>
      <c r="V37" s="10">
        <f>ROUND($B$5*$B$8*$B$14*$B$17*$B$18*$B$21*$B$22,0)</f>
        <v/>
      </c>
      <c r="W37" s="10">
        <f>ROUND($B$5*$B$8*$B$14*$B$17*$B$18*$B$21*$B$23,0)</f>
        <v/>
      </c>
      <c r="X37" s="10">
        <f>ROUND($B$5*$B$8*$B$14*$B$17*$B$19*$B$20*$B$22,0)</f>
        <v/>
      </c>
      <c r="Y37" s="10">
        <f>ROUND($B$5*$B$8*$B$14*$B$17*$B$19*$B$20*$B$23,0)</f>
        <v/>
      </c>
      <c r="Z37" s="10">
        <f>ROUND($B$5*$B$8*$B$14*$B$17*$B$19*$B$21*$B$22,0)</f>
        <v/>
      </c>
      <c r="AA37" s="10">
        <f>ROUND($B$5*$B$8*$B$14*$B$17*$B$19*$B$21*$B$23,0)</f>
        <v/>
      </c>
    </row>
    <row r="38" ht="20.1" customHeight="1" s="62">
      <c r="A38" s="68" t="n"/>
      <c r="B38" s="59" t="n"/>
      <c r="C38" s="15" t="inlineStr">
        <is>
          <t>Complet (ISO / multi-réglementaire)</t>
        </is>
      </c>
      <c r="D38" s="10">
        <f>ROUND($B$6*$B$8*$B$14*$B$15*$B$18*$B$20*$B$22,0)</f>
        <v/>
      </c>
      <c r="E38" s="10">
        <f>ROUND($B$6*$B$8*$B$14*$B$15*$B$18*$B$20*$B$23,0)</f>
        <v/>
      </c>
      <c r="F38" s="10">
        <f>ROUND($B$6*$B$8*$B$14*$B$15*$B$18*$B$21*$B$22,0)</f>
        <v/>
      </c>
      <c r="G38" s="10">
        <f>ROUND($B$6*$B$8*$B$14*$B$15*$B$18*$B$21*$B$23,0)</f>
        <v/>
      </c>
      <c r="H38" s="10">
        <f>ROUND($B$6*$B$8*$B$14*$B$15*$B$19*$B$20*$B$22,0)</f>
        <v/>
      </c>
      <c r="I38" s="10">
        <f>ROUND($B$6*$B$8*$B$14*$B$15*$B$19*$B$20*$B$23,0)</f>
        <v/>
      </c>
      <c r="J38" s="10">
        <f>ROUND($B$6*$B$8*$B$14*$B$15*$B$19*$B$21*$B$22,0)</f>
        <v/>
      </c>
      <c r="K38" s="10">
        <f>ROUND($B$6*$B$8*$B$14*$B$15*$B$19*$B$21*$B$23,0)</f>
        <v/>
      </c>
      <c r="L38" s="10">
        <f>ROUND($B$6*$B$8*$B$14*$B$16*$B$18*$B$20*$B$22,0)</f>
        <v/>
      </c>
      <c r="M38" s="10">
        <f>ROUND($B$6*$B$8*$B$14*$B$16*$B$18*$B$20*$B$23,0)</f>
        <v/>
      </c>
      <c r="N38" s="10">
        <f>ROUND($B$6*$B$8*$B$14*$B$16*$B$18*$B$21*$B$22,0)</f>
        <v/>
      </c>
      <c r="O38" s="10">
        <f>ROUND($B$6*$B$8*$B$14*$B$16*$B$18*$B$21*$B$23,0)</f>
        <v/>
      </c>
      <c r="P38" s="10">
        <f>ROUND($B$6*$B$8*$B$14*$B$16*$B$19*$B$20*$B$22,0)</f>
        <v/>
      </c>
      <c r="Q38" s="10">
        <f>ROUND($B$6*$B$8*$B$14*$B$16*$B$19*$B$20*$B$23,0)</f>
        <v/>
      </c>
      <c r="R38" s="10">
        <f>ROUND($B$6*$B$8*$B$14*$B$16*$B$19*$B$21*$B$22,0)</f>
        <v/>
      </c>
      <c r="S38" s="10">
        <f>ROUND($B$6*$B$8*$B$14*$B$16*$B$19*$B$21*$B$23,0)</f>
        <v/>
      </c>
      <c r="T38" s="10">
        <f>ROUND($B$6*$B$8*$B$14*$B$17*$B$18*$B$20*$B$22,0)</f>
        <v/>
      </c>
      <c r="U38" s="10">
        <f>ROUND($B$6*$B$8*$B$14*$B$17*$B$18*$B$20*$B$23,0)</f>
        <v/>
      </c>
      <c r="V38" s="10">
        <f>ROUND($B$6*$B$8*$B$14*$B$17*$B$18*$B$21*$B$22,0)</f>
        <v/>
      </c>
      <c r="W38" s="10">
        <f>ROUND($B$6*$B$8*$B$14*$B$17*$B$18*$B$21*$B$23,0)</f>
        <v/>
      </c>
      <c r="X38" s="10">
        <f>ROUND($B$6*$B$8*$B$14*$B$17*$B$19*$B$20*$B$22,0)</f>
        <v/>
      </c>
      <c r="Y38" s="10">
        <f>ROUND($B$6*$B$8*$B$14*$B$17*$B$19*$B$20*$B$23,0)</f>
        <v/>
      </c>
      <c r="Z38" s="10">
        <f>ROUND($B$6*$B$8*$B$14*$B$17*$B$19*$B$21*$B$22,0)</f>
        <v/>
      </c>
      <c r="AA38" s="10">
        <f>ROUND($B$6*$B$8*$B$14*$B$17*$B$19*$B$21*$B$23,0)</f>
        <v/>
      </c>
    </row>
    <row r="39" ht="20.1" customHeight="1" s="62">
      <c r="A39" s="66" t="inlineStr">
        <is>
          <t>TPE (6-19 sal.)</t>
        </is>
      </c>
      <c r="B39" s="57" t="inlineStr">
        <is>
          <t>1 norme</t>
        </is>
      </c>
      <c r="C39" s="14" t="inlineStr">
        <is>
          <t>Simple (RGPD uniquement)</t>
        </is>
      </c>
      <c r="D39" s="10">
        <f>ROUND($B$4*$B$9*$B$12*$B$15*$B$18*$B$20*$B$22,0)</f>
        <v/>
      </c>
      <c r="E39" s="10">
        <f>ROUND($B$4*$B$9*$B$12*$B$15*$B$18*$B$20*$B$23,0)</f>
        <v/>
      </c>
      <c r="F39" s="10">
        <f>ROUND($B$4*$B$9*$B$12*$B$15*$B$18*$B$21*$B$22,0)</f>
        <v/>
      </c>
      <c r="G39" s="10">
        <f>ROUND($B$4*$B$9*$B$12*$B$15*$B$18*$B$21*$B$23,0)</f>
        <v/>
      </c>
      <c r="H39" s="10">
        <f>ROUND($B$4*$B$9*$B$12*$B$15*$B$19*$B$20*$B$22,0)</f>
        <v/>
      </c>
      <c r="I39" s="10">
        <f>ROUND($B$4*$B$9*$B$12*$B$15*$B$19*$B$20*$B$23,0)</f>
        <v/>
      </c>
      <c r="J39" s="10">
        <f>ROUND($B$4*$B$9*$B$12*$B$15*$B$19*$B$21*$B$22,0)</f>
        <v/>
      </c>
      <c r="K39" s="10">
        <f>ROUND($B$4*$B$9*$B$12*$B$15*$B$19*$B$21*$B$23,0)</f>
        <v/>
      </c>
      <c r="L39" s="10">
        <f>ROUND($B$4*$B$9*$B$12*$B$16*$B$18*$B$20*$B$22,0)</f>
        <v/>
      </c>
      <c r="M39" s="10">
        <f>ROUND($B$4*$B$9*$B$12*$B$16*$B$18*$B$20*$B$23,0)</f>
        <v/>
      </c>
      <c r="N39" s="10">
        <f>ROUND($B$4*$B$9*$B$12*$B$16*$B$18*$B$21*$B$22,0)</f>
        <v/>
      </c>
      <c r="O39" s="10">
        <f>ROUND($B$4*$B$9*$B$12*$B$16*$B$18*$B$21*$B$23,0)</f>
        <v/>
      </c>
      <c r="P39" s="10">
        <f>ROUND($B$4*$B$9*$B$12*$B$16*$B$19*$B$20*$B$22,0)</f>
        <v/>
      </c>
      <c r="Q39" s="10">
        <f>ROUND($B$4*$B$9*$B$12*$B$16*$B$19*$B$20*$B$23,0)</f>
        <v/>
      </c>
      <c r="R39" s="10">
        <f>ROUND($B$4*$B$9*$B$12*$B$16*$B$19*$B$21*$B$22,0)</f>
        <v/>
      </c>
      <c r="S39" s="10">
        <f>ROUND($B$4*$B$9*$B$12*$B$16*$B$19*$B$21*$B$23,0)</f>
        <v/>
      </c>
      <c r="T39" s="10">
        <f>ROUND($B$4*$B$9*$B$12*$B$17*$B$18*$B$20*$B$22,0)</f>
        <v/>
      </c>
      <c r="U39" s="10">
        <f>ROUND($B$4*$B$9*$B$12*$B$17*$B$18*$B$20*$B$23,0)</f>
        <v/>
      </c>
      <c r="V39" s="10">
        <f>ROUND($B$4*$B$9*$B$12*$B$17*$B$18*$B$21*$B$22,0)</f>
        <v/>
      </c>
      <c r="W39" s="10">
        <f>ROUND($B$4*$B$9*$B$12*$B$17*$B$18*$B$21*$B$23,0)</f>
        <v/>
      </c>
      <c r="X39" s="10">
        <f>ROUND($B$4*$B$9*$B$12*$B$17*$B$19*$B$20*$B$22,0)</f>
        <v/>
      </c>
      <c r="Y39" s="10">
        <f>ROUND($B$4*$B$9*$B$12*$B$17*$B$19*$B$20*$B$23,0)</f>
        <v/>
      </c>
      <c r="Z39" s="10">
        <f>ROUND($B$4*$B$9*$B$12*$B$17*$B$19*$B$21*$B$22,0)</f>
        <v/>
      </c>
      <c r="AA39" s="10">
        <f>ROUND($B$4*$B$9*$B$12*$B$17*$B$19*$B$21*$B$23,0)</f>
        <v/>
      </c>
    </row>
    <row r="40" ht="20.1" customHeight="1" s="62">
      <c r="A40" s="67" t="n"/>
      <c r="B40" s="58" t="n"/>
      <c r="C40" s="57" t="inlineStr">
        <is>
          <t>Intermédiaire (1-2 normes ISO)</t>
        </is>
      </c>
      <c r="D40" s="10">
        <f>ROUND($B$5*$B$9*$B$12*$B$15*$B$18*$B$20*$B$22,0)</f>
        <v/>
      </c>
      <c r="E40" s="10">
        <f>ROUND($B$5*$B$9*$B$12*$B$15*$B$18*$B$20*$B$23,0)</f>
        <v/>
      </c>
      <c r="F40" s="10">
        <f>ROUND($B$5*$B$9*$B$12*$B$15*$B$18*$B$21*$B$22,0)</f>
        <v/>
      </c>
      <c r="G40" s="10">
        <f>ROUND($B$5*$B$9*$B$12*$B$15*$B$18*$B$21*$B$23,0)</f>
        <v/>
      </c>
      <c r="H40" s="10">
        <f>ROUND($B$5*$B$9*$B$12*$B$15*$B$19*$B$20*$B$22,0)</f>
        <v/>
      </c>
      <c r="I40" s="10">
        <f>ROUND($B$5*$B$9*$B$12*$B$15*$B$19*$B$20*$B$23,0)</f>
        <v/>
      </c>
      <c r="J40" s="10">
        <f>ROUND($B$5*$B$9*$B$12*$B$15*$B$19*$B$21*$B$22,0)</f>
        <v/>
      </c>
      <c r="K40" s="10">
        <f>ROUND($B$5*$B$9*$B$12*$B$15*$B$19*$B$21*$B$23,0)</f>
        <v/>
      </c>
      <c r="L40" s="10">
        <f>ROUND($B$5*$B$9*$B$12*$B$16*$B$18*$B$20*$B$22,0)</f>
        <v/>
      </c>
      <c r="M40" s="10">
        <f>ROUND($B$5*$B$9*$B$12*$B$16*$B$18*$B$20*$B$23,0)</f>
        <v/>
      </c>
      <c r="N40" s="10">
        <f>ROUND($B$5*$B$9*$B$12*$B$16*$B$18*$B$21*$B$22,0)</f>
        <v/>
      </c>
      <c r="O40" s="10">
        <f>ROUND($B$5*$B$9*$B$12*$B$16*$B$18*$B$21*$B$23,0)</f>
        <v/>
      </c>
      <c r="P40" s="10">
        <f>ROUND($B$5*$B$9*$B$12*$B$16*$B$19*$B$20*$B$22,0)</f>
        <v/>
      </c>
      <c r="Q40" s="10">
        <f>ROUND($B$5*$B$9*$B$12*$B$16*$B$19*$B$20*$B$23,0)</f>
        <v/>
      </c>
      <c r="R40" s="10">
        <f>ROUND($B$5*$B$9*$B$12*$B$16*$B$19*$B$21*$B$22,0)</f>
        <v/>
      </c>
      <c r="S40" s="10">
        <f>ROUND($B$5*$B$9*$B$12*$B$16*$B$19*$B$21*$B$23,0)</f>
        <v/>
      </c>
      <c r="T40" s="10">
        <f>ROUND($B$5*$B$9*$B$12*$B$17*$B$18*$B$20*$B$22,0)</f>
        <v/>
      </c>
      <c r="U40" s="10">
        <f>ROUND($B$5*$B$9*$B$12*$B$17*$B$18*$B$20*$B$23,0)</f>
        <v/>
      </c>
      <c r="V40" s="10">
        <f>ROUND($B$5*$B$9*$B$12*$B$17*$B$18*$B$21*$B$22,0)</f>
        <v/>
      </c>
      <c r="W40" s="10">
        <f>ROUND($B$5*$B$9*$B$12*$B$17*$B$18*$B$21*$B$23,0)</f>
        <v/>
      </c>
      <c r="X40" s="10">
        <f>ROUND($B$5*$B$9*$B$12*$B$17*$B$19*$B$20*$B$22,0)</f>
        <v/>
      </c>
      <c r="Y40" s="10">
        <f>ROUND($B$5*$B$9*$B$12*$B$17*$B$19*$B$20*$B$23,0)</f>
        <v/>
      </c>
      <c r="Z40" s="10">
        <f>ROUND($B$5*$B$9*$B$12*$B$17*$B$19*$B$21*$B$22,0)</f>
        <v/>
      </c>
      <c r="AA40" s="10">
        <f>ROUND($B$5*$B$9*$B$12*$B$17*$B$19*$B$21*$B$23,0)</f>
        <v/>
      </c>
    </row>
    <row r="41" ht="20.1" customHeight="1" s="62">
      <c r="A41" s="67" t="n"/>
      <c r="B41" s="59" t="n"/>
      <c r="C41" s="15" t="inlineStr">
        <is>
          <t>Complet (ISO / multi-réglementaire)</t>
        </is>
      </c>
      <c r="D41" s="10">
        <f>ROUND($B$6*$B$9*$B$12*$B$15*$B$18*$B$20*$B$22,0)</f>
        <v/>
      </c>
      <c r="E41" s="10">
        <f>ROUND($B$6*$B$9*$B$12*$B$15*$B$18*$B$20*$B$23,0)</f>
        <v/>
      </c>
      <c r="F41" s="10">
        <f>ROUND($B$6*$B$9*$B$12*$B$15*$B$18*$B$21*$B$22,0)</f>
        <v/>
      </c>
      <c r="G41" s="10">
        <f>ROUND($B$6*$B$9*$B$12*$B$15*$B$18*$B$21*$B$23,0)</f>
        <v/>
      </c>
      <c r="H41" s="10">
        <f>ROUND($B$6*$B$9*$B$12*$B$15*$B$19*$B$20*$B$22,0)</f>
        <v/>
      </c>
      <c r="I41" s="10">
        <f>ROUND($B$6*$B$9*$B$12*$B$15*$B$19*$B$20*$B$23,0)</f>
        <v/>
      </c>
      <c r="J41" s="10">
        <f>ROUND($B$6*$B$9*$B$12*$B$15*$B$19*$B$21*$B$22,0)</f>
        <v/>
      </c>
      <c r="K41" s="10">
        <f>ROUND($B$6*$B$9*$B$12*$B$15*$B$19*$B$21*$B$23,0)</f>
        <v/>
      </c>
      <c r="L41" s="10">
        <f>ROUND($B$6*$B$9*$B$12*$B$16*$B$18*$B$20*$B$22,0)</f>
        <v/>
      </c>
      <c r="M41" s="10">
        <f>ROUND($B$6*$B$9*$B$12*$B$16*$B$18*$B$20*$B$23,0)</f>
        <v/>
      </c>
      <c r="N41" s="10">
        <f>ROUND($B$6*$B$9*$B$12*$B$16*$B$18*$B$21*$B$22,0)</f>
        <v/>
      </c>
      <c r="O41" s="10">
        <f>ROUND($B$6*$B$9*$B$12*$B$16*$B$18*$B$21*$B$23,0)</f>
        <v/>
      </c>
      <c r="P41" s="10">
        <f>ROUND($B$6*$B$9*$B$12*$B$16*$B$19*$B$20*$B$22,0)</f>
        <v/>
      </c>
      <c r="Q41" s="10">
        <f>ROUND($B$6*$B$9*$B$12*$B$16*$B$19*$B$20*$B$23,0)</f>
        <v/>
      </c>
      <c r="R41" s="10">
        <f>ROUND($B$6*$B$9*$B$12*$B$16*$B$19*$B$21*$B$22,0)</f>
        <v/>
      </c>
      <c r="S41" s="10">
        <f>ROUND($B$6*$B$9*$B$12*$B$16*$B$19*$B$21*$B$23,0)</f>
        <v/>
      </c>
      <c r="T41" s="10">
        <f>ROUND($B$6*$B$9*$B$12*$B$17*$B$18*$B$20*$B$22,0)</f>
        <v/>
      </c>
      <c r="U41" s="10">
        <f>ROUND($B$6*$B$9*$B$12*$B$17*$B$18*$B$20*$B$23,0)</f>
        <v/>
      </c>
      <c r="V41" s="10">
        <f>ROUND($B$6*$B$9*$B$12*$B$17*$B$18*$B$21*$B$22,0)</f>
        <v/>
      </c>
      <c r="W41" s="10">
        <f>ROUND($B$6*$B$9*$B$12*$B$17*$B$18*$B$21*$B$23,0)</f>
        <v/>
      </c>
      <c r="X41" s="10">
        <f>ROUND($B$6*$B$9*$B$12*$B$17*$B$19*$B$20*$B$22,0)</f>
        <v/>
      </c>
      <c r="Y41" s="10">
        <f>ROUND($B$6*$B$9*$B$12*$B$17*$B$19*$B$20*$B$23,0)</f>
        <v/>
      </c>
      <c r="Z41" s="10">
        <f>ROUND($B$6*$B$9*$B$12*$B$17*$B$19*$B$21*$B$22,0)</f>
        <v/>
      </c>
      <c r="AA41" s="10">
        <f>ROUND($B$6*$B$9*$B$12*$B$17*$B$19*$B$21*$B$23,0)</f>
        <v/>
      </c>
    </row>
    <row r="42" ht="20.1" customHeight="1" s="62">
      <c r="A42" s="67" t="n"/>
      <c r="B42" s="57" t="inlineStr">
        <is>
          <t>2-3 normes</t>
        </is>
      </c>
      <c r="C42" s="14" t="inlineStr">
        <is>
          <t>Simple (RGPD uniquement)</t>
        </is>
      </c>
      <c r="D42" s="10">
        <f>ROUND($B$4*$B$9*$B$13*$B$15*$B$18*$B$20*$B$22,0)</f>
        <v/>
      </c>
      <c r="E42" s="10">
        <f>ROUND($B$4*$B$9*$B$13*$B$15*$B$18*$B$20*$B$23,0)</f>
        <v/>
      </c>
      <c r="F42" s="10">
        <f>ROUND($B$4*$B$9*$B$13*$B$15*$B$18*$B$21*$B$22,0)</f>
        <v/>
      </c>
      <c r="G42" s="10">
        <f>ROUND($B$4*$B$9*$B$13*$B$15*$B$18*$B$21*$B$23,0)</f>
        <v/>
      </c>
      <c r="H42" s="10">
        <f>ROUND($B$4*$B$9*$B$13*$B$15*$B$19*$B$20*$B$22,0)</f>
        <v/>
      </c>
      <c r="I42" s="10">
        <f>ROUND($B$4*$B$9*$B$13*$B$15*$B$19*$B$20*$B$23,0)</f>
        <v/>
      </c>
      <c r="J42" s="10">
        <f>ROUND($B$4*$B$9*$B$13*$B$15*$B$19*$B$21*$B$22,0)</f>
        <v/>
      </c>
      <c r="K42" s="10">
        <f>ROUND($B$4*$B$9*$B$13*$B$15*$B$19*$B$21*$B$23,0)</f>
        <v/>
      </c>
      <c r="L42" s="10">
        <f>ROUND($B$4*$B$9*$B$13*$B$16*$B$18*$B$20*$B$22,0)</f>
        <v/>
      </c>
      <c r="M42" s="10">
        <f>ROUND($B$4*$B$9*$B$13*$B$16*$B$18*$B$20*$B$23,0)</f>
        <v/>
      </c>
      <c r="N42" s="10">
        <f>ROUND($B$4*$B$9*$B$13*$B$16*$B$18*$B$21*$B$22,0)</f>
        <v/>
      </c>
      <c r="O42" s="10">
        <f>ROUND($B$4*$B$9*$B$13*$B$16*$B$18*$B$21*$B$23,0)</f>
        <v/>
      </c>
      <c r="P42" s="10">
        <f>ROUND($B$4*$B$9*$B$13*$B$16*$B$19*$B$20*$B$22,0)</f>
        <v/>
      </c>
      <c r="Q42" s="10">
        <f>ROUND($B$4*$B$9*$B$13*$B$16*$B$19*$B$20*$B$23,0)</f>
        <v/>
      </c>
      <c r="R42" s="10">
        <f>ROUND($B$4*$B$9*$B$13*$B$16*$B$19*$B$21*$B$22,0)</f>
        <v/>
      </c>
      <c r="S42" s="10">
        <f>ROUND($B$4*$B$9*$B$13*$B$16*$B$19*$B$21*$B$23,0)</f>
        <v/>
      </c>
      <c r="T42" s="10">
        <f>ROUND($B$4*$B$9*$B$13*$B$17*$B$18*$B$20*$B$22,0)</f>
        <v/>
      </c>
      <c r="U42" s="10">
        <f>ROUND($B$4*$B$9*$B$13*$B$17*$B$18*$B$20*$B$23,0)</f>
        <v/>
      </c>
      <c r="V42" s="10">
        <f>ROUND($B$4*$B$9*$B$13*$B$17*$B$18*$B$21*$B$22,0)</f>
        <v/>
      </c>
      <c r="W42" s="10">
        <f>ROUND($B$4*$B$9*$B$13*$B$17*$B$18*$B$21*$B$23,0)</f>
        <v/>
      </c>
      <c r="X42" s="10">
        <f>ROUND($B$4*$B$9*$B$13*$B$17*$B$19*$B$20*$B$22,0)</f>
        <v/>
      </c>
      <c r="Y42" s="10">
        <f>ROUND($B$4*$B$9*$B$13*$B$17*$B$19*$B$20*$B$23,0)</f>
        <v/>
      </c>
      <c r="Z42" s="10">
        <f>ROUND($B$4*$B$9*$B$13*$B$17*$B$19*$B$21*$B$22,0)</f>
        <v/>
      </c>
      <c r="AA42" s="10">
        <f>ROUND($B$4*$B$9*$B$13*$B$17*$B$19*$B$21*$B$23,0)</f>
        <v/>
      </c>
    </row>
    <row r="43" ht="20.1" customHeight="1" s="62">
      <c r="A43" s="67" t="n"/>
      <c r="B43" s="58" t="n"/>
      <c r="C43" s="57" t="inlineStr">
        <is>
          <t>Intermédiaire (1-2 normes ISO)</t>
        </is>
      </c>
      <c r="D43" s="10">
        <f>ROUND($B$5*$B$9*$B$13*$B$15*$B$18*$B$20*$B$22,0)</f>
        <v/>
      </c>
      <c r="E43" s="10">
        <f>ROUND($B$5*$B$9*$B$13*$B$15*$B$18*$B$20*$B$23,0)</f>
        <v/>
      </c>
      <c r="F43" s="10">
        <f>ROUND($B$5*$B$9*$B$13*$B$15*$B$18*$B$21*$B$22,0)</f>
        <v/>
      </c>
      <c r="G43" s="10">
        <f>ROUND($B$5*$B$9*$B$13*$B$15*$B$18*$B$21*$B$23,0)</f>
        <v/>
      </c>
      <c r="H43" s="10">
        <f>ROUND($B$5*$B$9*$B$13*$B$15*$B$19*$B$20*$B$22,0)</f>
        <v/>
      </c>
      <c r="I43" s="10">
        <f>ROUND($B$5*$B$9*$B$13*$B$15*$B$19*$B$20*$B$23,0)</f>
        <v/>
      </c>
      <c r="J43" s="10">
        <f>ROUND($B$5*$B$9*$B$13*$B$15*$B$19*$B$21*$B$22,0)</f>
        <v/>
      </c>
      <c r="K43" s="10">
        <f>ROUND($B$5*$B$9*$B$13*$B$15*$B$19*$B$21*$B$23,0)</f>
        <v/>
      </c>
      <c r="L43" s="10">
        <f>ROUND($B$5*$B$9*$B$13*$B$16*$B$18*$B$20*$B$22,0)</f>
        <v/>
      </c>
      <c r="M43" s="10">
        <f>ROUND($B$5*$B$9*$B$13*$B$16*$B$18*$B$20*$B$23,0)</f>
        <v/>
      </c>
      <c r="N43" s="10">
        <f>ROUND($B$5*$B$9*$B$13*$B$16*$B$18*$B$21*$B$22,0)</f>
        <v/>
      </c>
      <c r="O43" s="10">
        <f>ROUND($B$5*$B$9*$B$13*$B$16*$B$18*$B$21*$B$23,0)</f>
        <v/>
      </c>
      <c r="P43" s="10">
        <f>ROUND($B$5*$B$9*$B$13*$B$16*$B$19*$B$20*$B$22,0)</f>
        <v/>
      </c>
      <c r="Q43" s="10">
        <f>ROUND($B$5*$B$9*$B$13*$B$16*$B$19*$B$20*$B$23,0)</f>
        <v/>
      </c>
      <c r="R43" s="10">
        <f>ROUND($B$5*$B$9*$B$13*$B$16*$B$19*$B$21*$B$22,0)</f>
        <v/>
      </c>
      <c r="S43" s="10">
        <f>ROUND($B$5*$B$9*$B$13*$B$16*$B$19*$B$21*$B$23,0)</f>
        <v/>
      </c>
      <c r="T43" s="10">
        <f>ROUND($B$5*$B$9*$B$13*$B$17*$B$18*$B$20*$B$22,0)</f>
        <v/>
      </c>
      <c r="U43" s="10">
        <f>ROUND($B$5*$B$9*$B$13*$B$17*$B$18*$B$20*$B$23,0)</f>
        <v/>
      </c>
      <c r="V43" s="10">
        <f>ROUND($B$5*$B$9*$B$13*$B$17*$B$18*$B$21*$B$22,0)</f>
        <v/>
      </c>
      <c r="W43" s="10">
        <f>ROUND($B$5*$B$9*$B$13*$B$17*$B$18*$B$21*$B$23,0)</f>
        <v/>
      </c>
      <c r="X43" s="10">
        <f>ROUND($B$5*$B$9*$B$13*$B$17*$B$19*$B$20*$B$22,0)</f>
        <v/>
      </c>
      <c r="Y43" s="10">
        <f>ROUND($B$5*$B$9*$B$13*$B$17*$B$19*$B$20*$B$23,0)</f>
        <v/>
      </c>
      <c r="Z43" s="10">
        <f>ROUND($B$5*$B$9*$B$13*$B$17*$B$19*$B$21*$B$22,0)</f>
        <v/>
      </c>
      <c r="AA43" s="10">
        <f>ROUND($B$5*$B$9*$B$13*$B$17*$B$19*$B$21*$B$23,0)</f>
        <v/>
      </c>
    </row>
    <row r="44" ht="20.1" customHeight="1" s="62">
      <c r="A44" s="67" t="n"/>
      <c r="B44" s="59" t="n"/>
      <c r="C44" s="15" t="inlineStr">
        <is>
          <t>Complet (ISO / multi-réglementaire)</t>
        </is>
      </c>
      <c r="D44" s="10">
        <f>ROUND($B$6*$B$9*$B$13*$B$15*$B$18*$B$20*$B$22,0)</f>
        <v/>
      </c>
      <c r="E44" s="10">
        <f>ROUND($B$6*$B$9*$B$13*$B$15*$B$18*$B$20*$B$23,0)</f>
        <v/>
      </c>
      <c r="F44" s="10">
        <f>ROUND($B$6*$B$9*$B$13*$B$15*$B$18*$B$21*$B$22,0)</f>
        <v/>
      </c>
      <c r="G44" s="10">
        <f>ROUND($B$6*$B$9*$B$13*$B$15*$B$18*$B$21*$B$23,0)</f>
        <v/>
      </c>
      <c r="H44" s="10">
        <f>ROUND($B$6*$B$9*$B$13*$B$15*$B$19*$B$20*$B$22,0)</f>
        <v/>
      </c>
      <c r="I44" s="10">
        <f>ROUND($B$6*$B$9*$B$13*$B$15*$B$19*$B$20*$B$23,0)</f>
        <v/>
      </c>
      <c r="J44" s="10">
        <f>ROUND($B$6*$B$9*$B$13*$B$15*$B$19*$B$21*$B$22,0)</f>
        <v/>
      </c>
      <c r="K44" s="10">
        <f>ROUND($B$6*$B$9*$B$13*$B$15*$B$19*$B$21*$B$23,0)</f>
        <v/>
      </c>
      <c r="L44" s="10">
        <f>ROUND($B$6*$B$9*$B$13*$B$16*$B$18*$B$20*$B$22,0)</f>
        <v/>
      </c>
      <c r="M44" s="10">
        <f>ROUND($B$6*$B$9*$B$13*$B$16*$B$18*$B$20*$B$23,0)</f>
        <v/>
      </c>
      <c r="N44" s="10">
        <f>ROUND($B$6*$B$9*$B$13*$B$16*$B$18*$B$21*$B$22,0)</f>
        <v/>
      </c>
      <c r="O44" s="10">
        <f>ROUND($B$6*$B$9*$B$13*$B$16*$B$18*$B$21*$B$23,0)</f>
        <v/>
      </c>
      <c r="P44" s="10">
        <f>ROUND($B$6*$B$9*$B$13*$B$16*$B$19*$B$20*$B$22,0)</f>
        <v/>
      </c>
      <c r="Q44" s="10">
        <f>ROUND($B$6*$B$9*$B$13*$B$16*$B$19*$B$20*$B$23,0)</f>
        <v/>
      </c>
      <c r="R44" s="10">
        <f>ROUND($B$6*$B$9*$B$13*$B$16*$B$19*$B$21*$B$22,0)</f>
        <v/>
      </c>
      <c r="S44" s="10">
        <f>ROUND($B$6*$B$9*$B$13*$B$16*$B$19*$B$21*$B$23,0)</f>
        <v/>
      </c>
      <c r="T44" s="10">
        <f>ROUND($B$6*$B$9*$B$13*$B$17*$B$18*$B$20*$B$22,0)</f>
        <v/>
      </c>
      <c r="U44" s="10">
        <f>ROUND($B$6*$B$9*$B$13*$B$17*$B$18*$B$20*$B$23,0)</f>
        <v/>
      </c>
      <c r="V44" s="10">
        <f>ROUND($B$6*$B$9*$B$13*$B$17*$B$18*$B$21*$B$22,0)</f>
        <v/>
      </c>
      <c r="W44" s="10">
        <f>ROUND($B$6*$B$9*$B$13*$B$17*$B$18*$B$21*$B$23,0)</f>
        <v/>
      </c>
      <c r="X44" s="10">
        <f>ROUND($B$6*$B$9*$B$13*$B$17*$B$19*$B$20*$B$22,0)</f>
        <v/>
      </c>
      <c r="Y44" s="10">
        <f>ROUND($B$6*$B$9*$B$13*$B$17*$B$19*$B$20*$B$23,0)</f>
        <v/>
      </c>
      <c r="Z44" s="10">
        <f>ROUND($B$6*$B$9*$B$13*$B$17*$B$19*$B$21*$B$22,0)</f>
        <v/>
      </c>
      <c r="AA44" s="10">
        <f>ROUND($B$6*$B$9*$B$13*$B$17*$B$19*$B$21*$B$23,0)</f>
        <v/>
      </c>
    </row>
    <row r="45" ht="20.1" customHeight="1" s="62">
      <c r="A45" s="67" t="n"/>
      <c r="B45" s="57" t="inlineStr">
        <is>
          <t>4 normes et +</t>
        </is>
      </c>
      <c r="C45" s="14" t="inlineStr">
        <is>
          <t>Simple (RGPD uniquement)</t>
        </is>
      </c>
      <c r="D45" s="10">
        <f>ROUND($B$4*$B$9*$B$14*$B$15*$B$18*$B$20*$B$22,0)</f>
        <v/>
      </c>
      <c r="E45" s="10">
        <f>ROUND($B$4*$B$9*$B$14*$B$15*$B$18*$B$20*$B$23,0)</f>
        <v/>
      </c>
      <c r="F45" s="10">
        <f>ROUND($B$4*$B$9*$B$14*$B$15*$B$18*$B$21*$B$22,0)</f>
        <v/>
      </c>
      <c r="G45" s="10">
        <f>ROUND($B$4*$B$9*$B$14*$B$15*$B$18*$B$21*$B$23,0)</f>
        <v/>
      </c>
      <c r="H45" s="10">
        <f>ROUND($B$4*$B$9*$B$14*$B$15*$B$19*$B$20*$B$22,0)</f>
        <v/>
      </c>
      <c r="I45" s="10">
        <f>ROUND($B$4*$B$9*$B$14*$B$15*$B$19*$B$20*$B$23,0)</f>
        <v/>
      </c>
      <c r="J45" s="10">
        <f>ROUND($B$4*$B$9*$B$14*$B$15*$B$19*$B$21*$B$22,0)</f>
        <v/>
      </c>
      <c r="K45" s="10">
        <f>ROUND($B$4*$B$9*$B$14*$B$15*$B$19*$B$21*$B$23,0)</f>
        <v/>
      </c>
      <c r="L45" s="10">
        <f>ROUND($B$4*$B$9*$B$14*$B$16*$B$18*$B$20*$B$22,0)</f>
        <v/>
      </c>
      <c r="M45" s="10">
        <f>ROUND($B$4*$B$9*$B$14*$B$16*$B$18*$B$20*$B$23,0)</f>
        <v/>
      </c>
      <c r="N45" s="10">
        <f>ROUND($B$4*$B$9*$B$14*$B$16*$B$18*$B$21*$B$22,0)</f>
        <v/>
      </c>
      <c r="O45" s="10">
        <f>ROUND($B$4*$B$9*$B$14*$B$16*$B$18*$B$21*$B$23,0)</f>
        <v/>
      </c>
      <c r="P45" s="10">
        <f>ROUND($B$4*$B$9*$B$14*$B$16*$B$19*$B$20*$B$22,0)</f>
        <v/>
      </c>
      <c r="Q45" s="10">
        <f>ROUND($B$4*$B$9*$B$14*$B$16*$B$19*$B$20*$B$23,0)</f>
        <v/>
      </c>
      <c r="R45" s="10">
        <f>ROUND($B$4*$B$9*$B$14*$B$16*$B$19*$B$21*$B$22,0)</f>
        <v/>
      </c>
      <c r="S45" s="10">
        <f>ROUND($B$4*$B$9*$B$14*$B$16*$B$19*$B$21*$B$23,0)</f>
        <v/>
      </c>
      <c r="T45" s="10">
        <f>ROUND($B$4*$B$9*$B$14*$B$17*$B$18*$B$20*$B$22,0)</f>
        <v/>
      </c>
      <c r="U45" s="10">
        <f>ROUND($B$4*$B$9*$B$14*$B$17*$B$18*$B$20*$B$23,0)</f>
        <v/>
      </c>
      <c r="V45" s="10">
        <f>ROUND($B$4*$B$9*$B$14*$B$17*$B$18*$B$21*$B$22,0)</f>
        <v/>
      </c>
      <c r="W45" s="10">
        <f>ROUND($B$4*$B$9*$B$14*$B$17*$B$18*$B$21*$B$23,0)</f>
        <v/>
      </c>
      <c r="X45" s="10">
        <f>ROUND($B$4*$B$9*$B$14*$B$17*$B$19*$B$20*$B$22,0)</f>
        <v/>
      </c>
      <c r="Y45" s="10">
        <f>ROUND($B$4*$B$9*$B$14*$B$17*$B$19*$B$20*$B$23,0)</f>
        <v/>
      </c>
      <c r="Z45" s="10">
        <f>ROUND($B$4*$B$9*$B$14*$B$17*$B$19*$B$21*$B$22,0)</f>
        <v/>
      </c>
      <c r="AA45" s="10">
        <f>ROUND($B$4*$B$9*$B$14*$B$17*$B$19*$B$21*$B$23,0)</f>
        <v/>
      </c>
    </row>
    <row r="46" ht="20.1" customHeight="1" s="62">
      <c r="A46" s="67" t="n"/>
      <c r="B46" s="58" t="n"/>
      <c r="C46" s="57" t="inlineStr">
        <is>
          <t>Intermédiaire (1-2 normes ISO)</t>
        </is>
      </c>
      <c r="D46" s="10">
        <f>ROUND($B$5*$B$9*$B$14*$B$15*$B$18*$B$20*$B$22,0)</f>
        <v/>
      </c>
      <c r="E46" s="10">
        <f>ROUND($B$5*$B$9*$B$14*$B$15*$B$18*$B$20*$B$23,0)</f>
        <v/>
      </c>
      <c r="F46" s="10">
        <f>ROUND($B$5*$B$9*$B$14*$B$15*$B$18*$B$21*$B$22,0)</f>
        <v/>
      </c>
      <c r="G46" s="10">
        <f>ROUND($B$5*$B$9*$B$14*$B$15*$B$18*$B$21*$B$23,0)</f>
        <v/>
      </c>
      <c r="H46" s="10">
        <f>ROUND($B$5*$B$9*$B$14*$B$15*$B$19*$B$20*$B$22,0)</f>
        <v/>
      </c>
      <c r="I46" s="10">
        <f>ROUND($B$5*$B$9*$B$14*$B$15*$B$19*$B$20*$B$23,0)</f>
        <v/>
      </c>
      <c r="J46" s="10">
        <f>ROUND($B$5*$B$9*$B$14*$B$15*$B$19*$B$21*$B$22,0)</f>
        <v/>
      </c>
      <c r="K46" s="10">
        <f>ROUND($B$5*$B$9*$B$14*$B$15*$B$19*$B$21*$B$23,0)</f>
        <v/>
      </c>
      <c r="L46" s="10">
        <f>ROUND($B$5*$B$9*$B$14*$B$16*$B$18*$B$20*$B$22,0)</f>
        <v/>
      </c>
      <c r="M46" s="10">
        <f>ROUND($B$5*$B$9*$B$14*$B$16*$B$18*$B$20*$B$23,0)</f>
        <v/>
      </c>
      <c r="N46" s="10">
        <f>ROUND($B$5*$B$9*$B$14*$B$16*$B$18*$B$21*$B$22,0)</f>
        <v/>
      </c>
      <c r="O46" s="10">
        <f>ROUND($B$5*$B$9*$B$14*$B$16*$B$18*$B$21*$B$23,0)</f>
        <v/>
      </c>
      <c r="P46" s="10">
        <f>ROUND($B$5*$B$9*$B$14*$B$16*$B$19*$B$20*$B$22,0)</f>
        <v/>
      </c>
      <c r="Q46" s="10">
        <f>ROUND($B$5*$B$9*$B$14*$B$16*$B$19*$B$20*$B$23,0)</f>
        <v/>
      </c>
      <c r="R46" s="10">
        <f>ROUND($B$5*$B$9*$B$14*$B$16*$B$19*$B$21*$B$22,0)</f>
        <v/>
      </c>
      <c r="S46" s="10">
        <f>ROUND($B$5*$B$9*$B$14*$B$16*$B$19*$B$21*$B$23,0)</f>
        <v/>
      </c>
      <c r="T46" s="10">
        <f>ROUND($B$5*$B$9*$B$14*$B$17*$B$18*$B$20*$B$22,0)</f>
        <v/>
      </c>
      <c r="U46" s="10">
        <f>ROUND($B$5*$B$9*$B$14*$B$17*$B$18*$B$20*$B$23,0)</f>
        <v/>
      </c>
      <c r="V46" s="10">
        <f>ROUND($B$5*$B$9*$B$14*$B$17*$B$18*$B$21*$B$22,0)</f>
        <v/>
      </c>
      <c r="W46" s="10">
        <f>ROUND($B$5*$B$9*$B$14*$B$17*$B$18*$B$21*$B$23,0)</f>
        <v/>
      </c>
      <c r="X46" s="10">
        <f>ROUND($B$5*$B$9*$B$14*$B$17*$B$19*$B$20*$B$22,0)</f>
        <v/>
      </c>
      <c r="Y46" s="10">
        <f>ROUND($B$5*$B$9*$B$14*$B$17*$B$19*$B$20*$B$23,0)</f>
        <v/>
      </c>
      <c r="Z46" s="10">
        <f>ROUND($B$5*$B$9*$B$14*$B$17*$B$19*$B$21*$B$22,0)</f>
        <v/>
      </c>
      <c r="AA46" s="10">
        <f>ROUND($B$5*$B$9*$B$14*$B$17*$B$19*$B$21*$B$23,0)</f>
        <v/>
      </c>
    </row>
    <row r="47" ht="20.1" customHeight="1" s="62">
      <c r="A47" s="68" t="n"/>
      <c r="B47" s="59" t="n"/>
      <c r="C47" s="15" t="inlineStr">
        <is>
          <t>Complet (ISO / multi-réglementaire)</t>
        </is>
      </c>
      <c r="D47" s="10">
        <f>ROUND($B$6*$B$9*$B$14*$B$15*$B$18*$B$20*$B$22,0)</f>
        <v/>
      </c>
      <c r="E47" s="10">
        <f>ROUND($B$6*$B$9*$B$14*$B$15*$B$18*$B$20*$B$23,0)</f>
        <v/>
      </c>
      <c r="F47" s="10">
        <f>ROUND($B$6*$B$9*$B$14*$B$15*$B$18*$B$21*$B$22,0)</f>
        <v/>
      </c>
      <c r="G47" s="10">
        <f>ROUND($B$6*$B$9*$B$14*$B$15*$B$18*$B$21*$B$23,0)</f>
        <v/>
      </c>
      <c r="H47" s="10">
        <f>ROUND($B$6*$B$9*$B$14*$B$15*$B$19*$B$20*$B$22,0)</f>
        <v/>
      </c>
      <c r="I47" s="10">
        <f>ROUND($B$6*$B$9*$B$14*$B$15*$B$19*$B$20*$B$23,0)</f>
        <v/>
      </c>
      <c r="J47" s="10">
        <f>ROUND($B$6*$B$9*$B$14*$B$15*$B$19*$B$21*$B$22,0)</f>
        <v/>
      </c>
      <c r="K47" s="10">
        <f>ROUND($B$6*$B$9*$B$14*$B$15*$B$19*$B$21*$B$23,0)</f>
        <v/>
      </c>
      <c r="L47" s="10">
        <f>ROUND($B$6*$B$9*$B$14*$B$16*$B$18*$B$20*$B$22,0)</f>
        <v/>
      </c>
      <c r="M47" s="10">
        <f>ROUND($B$6*$B$9*$B$14*$B$16*$B$18*$B$20*$B$23,0)</f>
        <v/>
      </c>
      <c r="N47" s="10">
        <f>ROUND($B$6*$B$9*$B$14*$B$16*$B$18*$B$21*$B$22,0)</f>
        <v/>
      </c>
      <c r="O47" s="10">
        <f>ROUND($B$6*$B$9*$B$14*$B$16*$B$18*$B$21*$B$23,0)</f>
        <v/>
      </c>
      <c r="P47" s="10">
        <f>ROUND($B$6*$B$9*$B$14*$B$16*$B$19*$B$20*$B$22,0)</f>
        <v/>
      </c>
      <c r="Q47" s="10">
        <f>ROUND($B$6*$B$9*$B$14*$B$16*$B$19*$B$20*$B$23,0)</f>
        <v/>
      </c>
      <c r="R47" s="10">
        <f>ROUND($B$6*$B$9*$B$14*$B$16*$B$19*$B$21*$B$22,0)</f>
        <v/>
      </c>
      <c r="S47" s="10">
        <f>ROUND($B$6*$B$9*$B$14*$B$16*$B$19*$B$21*$B$23,0)</f>
        <v/>
      </c>
      <c r="T47" s="10">
        <f>ROUND($B$6*$B$9*$B$14*$B$17*$B$18*$B$20*$B$22,0)</f>
        <v/>
      </c>
      <c r="U47" s="10">
        <f>ROUND($B$6*$B$9*$B$14*$B$17*$B$18*$B$20*$B$23,0)</f>
        <v/>
      </c>
      <c r="V47" s="10">
        <f>ROUND($B$6*$B$9*$B$14*$B$17*$B$18*$B$21*$B$22,0)</f>
        <v/>
      </c>
      <c r="W47" s="10">
        <f>ROUND($B$6*$B$9*$B$14*$B$17*$B$18*$B$21*$B$23,0)</f>
        <v/>
      </c>
      <c r="X47" s="10">
        <f>ROUND($B$6*$B$9*$B$14*$B$17*$B$19*$B$20*$B$22,0)</f>
        <v/>
      </c>
      <c r="Y47" s="10">
        <f>ROUND($B$6*$B$9*$B$14*$B$17*$B$19*$B$20*$B$23,0)</f>
        <v/>
      </c>
      <c r="Z47" s="10">
        <f>ROUND($B$6*$B$9*$B$14*$B$17*$B$19*$B$21*$B$22,0)</f>
        <v/>
      </c>
      <c r="AA47" s="10">
        <f>ROUND($B$6*$B$9*$B$14*$B$17*$B$19*$B$21*$B$23,0)</f>
        <v/>
      </c>
    </row>
    <row r="48" ht="20.1" customHeight="1" s="62">
      <c r="A48" s="66" t="inlineStr">
        <is>
          <t>PME (20-99 sal.)</t>
        </is>
      </c>
      <c r="B48" s="57" t="inlineStr">
        <is>
          <t>1 norme</t>
        </is>
      </c>
      <c r="C48" s="14" t="inlineStr">
        <is>
          <t>Simple (RGPD uniquement)</t>
        </is>
      </c>
      <c r="D48" s="10">
        <f>ROUND($B$4*$B$10*$B$12*$B$15*$B$18*$B$20*$B$22,0)</f>
        <v/>
      </c>
      <c r="E48" s="10">
        <f>ROUND($B$4*$B$10*$B$12*$B$15*$B$18*$B$20*$B$23,0)</f>
        <v/>
      </c>
      <c r="F48" s="10">
        <f>ROUND($B$4*$B$10*$B$12*$B$15*$B$18*$B$21*$B$22,0)</f>
        <v/>
      </c>
      <c r="G48" s="10">
        <f>ROUND($B$4*$B$10*$B$12*$B$15*$B$18*$B$21*$B$23,0)</f>
        <v/>
      </c>
      <c r="H48" s="10">
        <f>ROUND($B$4*$B$10*$B$12*$B$15*$B$19*$B$20*$B$22,0)</f>
        <v/>
      </c>
      <c r="I48" s="10">
        <f>ROUND($B$4*$B$10*$B$12*$B$15*$B$19*$B$20*$B$23,0)</f>
        <v/>
      </c>
      <c r="J48" s="10">
        <f>ROUND($B$4*$B$10*$B$12*$B$15*$B$19*$B$21*$B$22,0)</f>
        <v/>
      </c>
      <c r="K48" s="10">
        <f>ROUND($B$4*$B$10*$B$12*$B$15*$B$19*$B$21*$B$23,0)</f>
        <v/>
      </c>
      <c r="L48" s="10">
        <f>ROUND($B$4*$B$10*$B$12*$B$16*$B$18*$B$20*$B$22,0)</f>
        <v/>
      </c>
      <c r="M48" s="10">
        <f>ROUND($B$4*$B$10*$B$12*$B$16*$B$18*$B$20*$B$23,0)</f>
        <v/>
      </c>
      <c r="N48" s="10">
        <f>ROUND($B$4*$B$10*$B$12*$B$16*$B$18*$B$21*$B$22,0)</f>
        <v/>
      </c>
      <c r="O48" s="10">
        <f>ROUND($B$4*$B$10*$B$12*$B$16*$B$18*$B$21*$B$23,0)</f>
        <v/>
      </c>
      <c r="P48" s="10">
        <f>ROUND($B$4*$B$10*$B$12*$B$16*$B$19*$B$20*$B$22,0)</f>
        <v/>
      </c>
      <c r="Q48" s="10">
        <f>ROUND($B$4*$B$10*$B$12*$B$16*$B$19*$B$20*$B$23,0)</f>
        <v/>
      </c>
      <c r="R48" s="10">
        <f>ROUND($B$4*$B$10*$B$12*$B$16*$B$19*$B$21*$B$22,0)</f>
        <v/>
      </c>
      <c r="S48" s="10">
        <f>ROUND($B$4*$B$10*$B$12*$B$16*$B$19*$B$21*$B$23,0)</f>
        <v/>
      </c>
      <c r="T48" s="10">
        <f>ROUND($B$4*$B$10*$B$12*$B$17*$B$18*$B$20*$B$22,0)</f>
        <v/>
      </c>
      <c r="U48" s="10">
        <f>ROUND($B$4*$B$10*$B$12*$B$17*$B$18*$B$20*$B$23,0)</f>
        <v/>
      </c>
      <c r="V48" s="10">
        <f>ROUND($B$4*$B$10*$B$12*$B$17*$B$18*$B$21*$B$22,0)</f>
        <v/>
      </c>
      <c r="W48" s="10">
        <f>ROUND($B$4*$B$10*$B$12*$B$17*$B$18*$B$21*$B$23,0)</f>
        <v/>
      </c>
      <c r="X48" s="10">
        <f>ROUND($B$4*$B$10*$B$12*$B$17*$B$19*$B$20*$B$22,0)</f>
        <v/>
      </c>
      <c r="Y48" s="10">
        <f>ROUND($B$4*$B$10*$B$12*$B$17*$B$19*$B$20*$B$23,0)</f>
        <v/>
      </c>
      <c r="Z48" s="10">
        <f>ROUND($B$4*$B$10*$B$12*$B$17*$B$19*$B$21*$B$22,0)</f>
        <v/>
      </c>
      <c r="AA48" s="10">
        <f>ROUND($B$4*$B$10*$B$12*$B$17*$B$19*$B$21*$B$23,0)</f>
        <v/>
      </c>
    </row>
    <row r="49" ht="20.1" customHeight="1" s="62">
      <c r="A49" s="67" t="n"/>
      <c r="B49" s="58" t="n"/>
      <c r="C49" s="57" t="inlineStr">
        <is>
          <t>Intermédiaire (1-2 normes ISO)</t>
        </is>
      </c>
      <c r="D49" s="10">
        <f>ROUND($B$5*$B$10*$B$12*$B$15*$B$18*$B$20*$B$22,0)</f>
        <v/>
      </c>
      <c r="E49" s="10">
        <f>ROUND($B$5*$B$10*$B$12*$B$15*$B$18*$B$20*$B$23,0)</f>
        <v/>
      </c>
      <c r="F49" s="10">
        <f>ROUND($B$5*$B$10*$B$12*$B$15*$B$18*$B$21*$B$22,0)</f>
        <v/>
      </c>
      <c r="G49" s="10">
        <f>ROUND($B$5*$B$10*$B$12*$B$15*$B$18*$B$21*$B$23,0)</f>
        <v/>
      </c>
      <c r="H49" s="10">
        <f>ROUND($B$5*$B$10*$B$12*$B$15*$B$19*$B$20*$B$22,0)</f>
        <v/>
      </c>
      <c r="I49" s="10">
        <f>ROUND($B$5*$B$10*$B$12*$B$15*$B$19*$B$20*$B$23,0)</f>
        <v/>
      </c>
      <c r="J49" s="10">
        <f>ROUND($B$5*$B$10*$B$12*$B$15*$B$19*$B$21*$B$22,0)</f>
        <v/>
      </c>
      <c r="K49" s="10">
        <f>ROUND($B$5*$B$10*$B$12*$B$15*$B$19*$B$21*$B$23,0)</f>
        <v/>
      </c>
      <c r="L49" s="10">
        <f>ROUND($B$5*$B$10*$B$12*$B$16*$B$18*$B$20*$B$22,0)</f>
        <v/>
      </c>
      <c r="M49" s="10">
        <f>ROUND($B$5*$B$10*$B$12*$B$16*$B$18*$B$20*$B$23,0)</f>
        <v/>
      </c>
      <c r="N49" s="10">
        <f>ROUND($B$5*$B$10*$B$12*$B$16*$B$18*$B$21*$B$22,0)</f>
        <v/>
      </c>
      <c r="O49" s="10">
        <f>ROUND($B$5*$B$10*$B$12*$B$16*$B$18*$B$21*$B$23,0)</f>
        <v/>
      </c>
      <c r="P49" s="10">
        <f>ROUND($B$5*$B$10*$B$12*$B$16*$B$19*$B$20*$B$22,0)</f>
        <v/>
      </c>
      <c r="Q49" s="10">
        <f>ROUND($B$5*$B$10*$B$12*$B$16*$B$19*$B$20*$B$23,0)</f>
        <v/>
      </c>
      <c r="R49" s="10">
        <f>ROUND($B$5*$B$10*$B$12*$B$16*$B$19*$B$21*$B$22,0)</f>
        <v/>
      </c>
      <c r="S49" s="10">
        <f>ROUND($B$5*$B$10*$B$12*$B$16*$B$19*$B$21*$B$23,0)</f>
        <v/>
      </c>
      <c r="T49" s="10">
        <f>ROUND($B$5*$B$10*$B$12*$B$17*$B$18*$B$20*$B$22,0)</f>
        <v/>
      </c>
      <c r="U49" s="10">
        <f>ROUND($B$5*$B$10*$B$12*$B$17*$B$18*$B$20*$B$23,0)</f>
        <v/>
      </c>
      <c r="V49" s="10">
        <f>ROUND($B$5*$B$10*$B$12*$B$17*$B$18*$B$21*$B$22,0)</f>
        <v/>
      </c>
      <c r="W49" s="10">
        <f>ROUND($B$5*$B$10*$B$12*$B$17*$B$18*$B$21*$B$23,0)</f>
        <v/>
      </c>
      <c r="X49" s="10">
        <f>ROUND($B$5*$B$10*$B$12*$B$17*$B$19*$B$20*$B$22,0)</f>
        <v/>
      </c>
      <c r="Y49" s="10">
        <f>ROUND($B$5*$B$10*$B$12*$B$17*$B$19*$B$20*$B$23,0)</f>
        <v/>
      </c>
      <c r="Z49" s="10">
        <f>ROUND($B$5*$B$10*$B$12*$B$17*$B$19*$B$21*$B$22,0)</f>
        <v/>
      </c>
      <c r="AA49" s="10">
        <f>ROUND($B$5*$B$10*$B$12*$B$17*$B$19*$B$21*$B$23,0)</f>
        <v/>
      </c>
    </row>
    <row r="50" ht="20.1" customHeight="1" s="62">
      <c r="A50" s="67" t="n"/>
      <c r="B50" s="59" t="n"/>
      <c r="C50" s="15" t="inlineStr">
        <is>
          <t>Complet (ISO / multi-réglementaire)</t>
        </is>
      </c>
      <c r="D50" s="10">
        <f>ROUND($B$6*$B$10*$B$12*$B$15*$B$18*$B$20*$B$22,0)</f>
        <v/>
      </c>
      <c r="E50" s="10">
        <f>ROUND($B$6*$B$10*$B$12*$B$15*$B$18*$B$20*$B$23,0)</f>
        <v/>
      </c>
      <c r="F50" s="10">
        <f>ROUND($B$6*$B$10*$B$12*$B$15*$B$18*$B$21*$B$22,0)</f>
        <v/>
      </c>
      <c r="G50" s="10">
        <f>ROUND($B$6*$B$10*$B$12*$B$15*$B$18*$B$21*$B$23,0)</f>
        <v/>
      </c>
      <c r="H50" s="10">
        <f>ROUND($B$6*$B$10*$B$12*$B$15*$B$19*$B$20*$B$22,0)</f>
        <v/>
      </c>
      <c r="I50" s="10">
        <f>ROUND($B$6*$B$10*$B$12*$B$15*$B$19*$B$20*$B$23,0)</f>
        <v/>
      </c>
      <c r="J50" s="10">
        <f>ROUND($B$6*$B$10*$B$12*$B$15*$B$19*$B$21*$B$22,0)</f>
        <v/>
      </c>
      <c r="K50" s="10">
        <f>ROUND($B$6*$B$10*$B$12*$B$15*$B$19*$B$21*$B$23,0)</f>
        <v/>
      </c>
      <c r="L50" s="10">
        <f>ROUND($B$6*$B$10*$B$12*$B$16*$B$18*$B$20*$B$22,0)</f>
        <v/>
      </c>
      <c r="M50" s="10">
        <f>ROUND($B$6*$B$10*$B$12*$B$16*$B$18*$B$20*$B$23,0)</f>
        <v/>
      </c>
      <c r="N50" s="10">
        <f>ROUND($B$6*$B$10*$B$12*$B$16*$B$18*$B$21*$B$22,0)</f>
        <v/>
      </c>
      <c r="O50" s="10">
        <f>ROUND($B$6*$B$10*$B$12*$B$16*$B$18*$B$21*$B$23,0)</f>
        <v/>
      </c>
      <c r="P50" s="10">
        <f>ROUND($B$6*$B$10*$B$12*$B$16*$B$19*$B$20*$B$22,0)</f>
        <v/>
      </c>
      <c r="Q50" s="10">
        <f>ROUND($B$6*$B$10*$B$12*$B$16*$B$19*$B$20*$B$23,0)</f>
        <v/>
      </c>
      <c r="R50" s="10">
        <f>ROUND($B$6*$B$10*$B$12*$B$16*$B$19*$B$21*$B$22,0)</f>
        <v/>
      </c>
      <c r="S50" s="10">
        <f>ROUND($B$6*$B$10*$B$12*$B$16*$B$19*$B$21*$B$23,0)</f>
        <v/>
      </c>
      <c r="T50" s="10">
        <f>ROUND($B$6*$B$10*$B$12*$B$17*$B$18*$B$20*$B$22,0)</f>
        <v/>
      </c>
      <c r="U50" s="10">
        <f>ROUND($B$6*$B$10*$B$12*$B$17*$B$18*$B$20*$B$23,0)</f>
        <v/>
      </c>
      <c r="V50" s="10">
        <f>ROUND($B$6*$B$10*$B$12*$B$17*$B$18*$B$21*$B$22,0)</f>
        <v/>
      </c>
      <c r="W50" s="10">
        <f>ROUND($B$6*$B$10*$B$12*$B$17*$B$18*$B$21*$B$23,0)</f>
        <v/>
      </c>
      <c r="X50" s="10">
        <f>ROUND($B$6*$B$10*$B$12*$B$17*$B$19*$B$20*$B$22,0)</f>
        <v/>
      </c>
      <c r="Y50" s="10">
        <f>ROUND($B$6*$B$10*$B$12*$B$17*$B$19*$B$20*$B$23,0)</f>
        <v/>
      </c>
      <c r="Z50" s="10">
        <f>ROUND($B$6*$B$10*$B$12*$B$17*$B$19*$B$21*$B$22,0)</f>
        <v/>
      </c>
      <c r="AA50" s="10">
        <f>ROUND($B$6*$B$10*$B$12*$B$17*$B$19*$B$21*$B$23,0)</f>
        <v/>
      </c>
    </row>
    <row r="51" ht="20.1" customHeight="1" s="62">
      <c r="A51" s="67" t="n"/>
      <c r="B51" s="57" t="inlineStr">
        <is>
          <t>2-3 normes</t>
        </is>
      </c>
      <c r="C51" s="14" t="inlineStr">
        <is>
          <t>Simple (RGPD uniquement)</t>
        </is>
      </c>
      <c r="D51" s="10">
        <f>ROUND($B$4*$B$10*$B$13*$B$15*$B$18*$B$20*$B$22,0)</f>
        <v/>
      </c>
      <c r="E51" s="10">
        <f>ROUND($B$4*$B$10*$B$13*$B$15*$B$18*$B$20*$B$23,0)</f>
        <v/>
      </c>
      <c r="F51" s="10">
        <f>ROUND($B$4*$B$10*$B$13*$B$15*$B$18*$B$21*$B$22,0)</f>
        <v/>
      </c>
      <c r="G51" s="10">
        <f>ROUND($B$4*$B$10*$B$13*$B$15*$B$18*$B$21*$B$23,0)</f>
        <v/>
      </c>
      <c r="H51" s="10">
        <f>ROUND($B$4*$B$10*$B$13*$B$15*$B$19*$B$20*$B$22,0)</f>
        <v/>
      </c>
      <c r="I51" s="10">
        <f>ROUND($B$4*$B$10*$B$13*$B$15*$B$19*$B$20*$B$23,0)</f>
        <v/>
      </c>
      <c r="J51" s="10">
        <f>ROUND($B$4*$B$10*$B$13*$B$15*$B$19*$B$21*$B$22,0)</f>
        <v/>
      </c>
      <c r="K51" s="10">
        <f>ROUND($B$4*$B$10*$B$13*$B$15*$B$19*$B$21*$B$23,0)</f>
        <v/>
      </c>
      <c r="L51" s="10">
        <f>ROUND($B$4*$B$10*$B$13*$B$16*$B$18*$B$20*$B$22,0)</f>
        <v/>
      </c>
      <c r="M51" s="10">
        <f>ROUND($B$4*$B$10*$B$13*$B$16*$B$18*$B$20*$B$23,0)</f>
        <v/>
      </c>
      <c r="N51" s="10">
        <f>ROUND($B$4*$B$10*$B$13*$B$16*$B$18*$B$21*$B$22,0)</f>
        <v/>
      </c>
      <c r="O51" s="10">
        <f>ROUND($B$4*$B$10*$B$13*$B$16*$B$18*$B$21*$B$23,0)</f>
        <v/>
      </c>
      <c r="P51" s="10">
        <f>ROUND($B$4*$B$10*$B$13*$B$16*$B$19*$B$20*$B$22,0)</f>
        <v/>
      </c>
      <c r="Q51" s="10">
        <f>ROUND($B$4*$B$10*$B$13*$B$16*$B$19*$B$20*$B$23,0)</f>
        <v/>
      </c>
      <c r="R51" s="10">
        <f>ROUND($B$4*$B$10*$B$13*$B$16*$B$19*$B$21*$B$22,0)</f>
        <v/>
      </c>
      <c r="S51" s="10">
        <f>ROUND($B$4*$B$10*$B$13*$B$16*$B$19*$B$21*$B$23,0)</f>
        <v/>
      </c>
      <c r="T51" s="10">
        <f>ROUND($B$4*$B$10*$B$13*$B$17*$B$18*$B$20*$B$22,0)</f>
        <v/>
      </c>
      <c r="U51" s="10">
        <f>ROUND($B$4*$B$10*$B$13*$B$17*$B$18*$B$20*$B$23,0)</f>
        <v/>
      </c>
      <c r="V51" s="10">
        <f>ROUND($B$4*$B$10*$B$13*$B$17*$B$18*$B$21*$B$22,0)</f>
        <v/>
      </c>
      <c r="W51" s="10">
        <f>ROUND($B$4*$B$10*$B$13*$B$17*$B$18*$B$21*$B$23,0)</f>
        <v/>
      </c>
      <c r="X51" s="10">
        <f>ROUND($B$4*$B$10*$B$13*$B$17*$B$19*$B$20*$B$22,0)</f>
        <v/>
      </c>
      <c r="Y51" s="10">
        <f>ROUND($B$4*$B$10*$B$13*$B$17*$B$19*$B$20*$B$23,0)</f>
        <v/>
      </c>
      <c r="Z51" s="10">
        <f>ROUND($B$4*$B$10*$B$13*$B$17*$B$19*$B$21*$B$22,0)</f>
        <v/>
      </c>
      <c r="AA51" s="10">
        <f>ROUND($B$4*$B$10*$B$13*$B$17*$B$19*$B$21*$B$23,0)</f>
        <v/>
      </c>
    </row>
    <row r="52" ht="20.1" customHeight="1" s="62">
      <c r="A52" s="67" t="n"/>
      <c r="B52" s="58" t="n"/>
      <c r="C52" s="57" t="inlineStr">
        <is>
          <t>Intermédiaire (1-2 normes ISO)</t>
        </is>
      </c>
      <c r="D52" s="10">
        <f>ROUND($B$5*$B$10*$B$13*$B$15*$B$18*$B$20*$B$22,0)</f>
        <v/>
      </c>
      <c r="E52" s="10">
        <f>ROUND($B$5*$B$10*$B$13*$B$15*$B$18*$B$20*$B$23,0)</f>
        <v/>
      </c>
      <c r="F52" s="10">
        <f>ROUND($B$5*$B$10*$B$13*$B$15*$B$18*$B$21*$B$22,0)</f>
        <v/>
      </c>
      <c r="G52" s="10">
        <f>ROUND($B$5*$B$10*$B$13*$B$15*$B$18*$B$21*$B$23,0)</f>
        <v/>
      </c>
      <c r="H52" s="10">
        <f>ROUND($B$5*$B$10*$B$13*$B$15*$B$19*$B$20*$B$22,0)</f>
        <v/>
      </c>
      <c r="I52" s="10">
        <f>ROUND($B$5*$B$10*$B$13*$B$15*$B$19*$B$20*$B$23,0)</f>
        <v/>
      </c>
      <c r="J52" s="10">
        <f>ROUND($B$5*$B$10*$B$13*$B$15*$B$19*$B$21*$B$22,0)</f>
        <v/>
      </c>
      <c r="K52" s="10">
        <f>ROUND($B$5*$B$10*$B$13*$B$15*$B$19*$B$21*$B$23,0)</f>
        <v/>
      </c>
      <c r="L52" s="10">
        <f>ROUND($B$5*$B$10*$B$13*$B$16*$B$18*$B$20*$B$22,0)</f>
        <v/>
      </c>
      <c r="M52" s="10">
        <f>ROUND($B$5*$B$10*$B$13*$B$16*$B$18*$B$20*$B$23,0)</f>
        <v/>
      </c>
      <c r="N52" s="10">
        <f>ROUND($B$5*$B$10*$B$13*$B$16*$B$18*$B$21*$B$22,0)</f>
        <v/>
      </c>
      <c r="O52" s="10">
        <f>ROUND($B$5*$B$10*$B$13*$B$16*$B$18*$B$21*$B$23,0)</f>
        <v/>
      </c>
      <c r="P52" s="10">
        <f>ROUND($B$5*$B$10*$B$13*$B$16*$B$19*$B$20*$B$22,0)</f>
        <v/>
      </c>
      <c r="Q52" s="10">
        <f>ROUND($B$5*$B$10*$B$13*$B$16*$B$19*$B$20*$B$23,0)</f>
        <v/>
      </c>
      <c r="R52" s="10">
        <f>ROUND($B$5*$B$10*$B$13*$B$16*$B$19*$B$21*$B$22,0)</f>
        <v/>
      </c>
      <c r="S52" s="10">
        <f>ROUND($B$5*$B$10*$B$13*$B$16*$B$19*$B$21*$B$23,0)</f>
        <v/>
      </c>
      <c r="T52" s="10">
        <f>ROUND($B$5*$B$10*$B$13*$B$17*$B$18*$B$20*$B$22,0)</f>
        <v/>
      </c>
      <c r="U52" s="10">
        <f>ROUND($B$5*$B$10*$B$13*$B$17*$B$18*$B$20*$B$23,0)</f>
        <v/>
      </c>
      <c r="V52" s="10">
        <f>ROUND($B$5*$B$10*$B$13*$B$17*$B$18*$B$21*$B$22,0)</f>
        <v/>
      </c>
      <c r="W52" s="10">
        <f>ROUND($B$5*$B$10*$B$13*$B$17*$B$18*$B$21*$B$23,0)</f>
        <v/>
      </c>
      <c r="X52" s="10">
        <f>ROUND($B$5*$B$10*$B$13*$B$17*$B$19*$B$20*$B$22,0)</f>
        <v/>
      </c>
      <c r="Y52" s="10">
        <f>ROUND($B$5*$B$10*$B$13*$B$17*$B$19*$B$20*$B$23,0)</f>
        <v/>
      </c>
      <c r="Z52" s="10">
        <f>ROUND($B$5*$B$10*$B$13*$B$17*$B$19*$B$21*$B$22,0)</f>
        <v/>
      </c>
      <c r="AA52" s="10">
        <f>ROUND($B$5*$B$10*$B$13*$B$17*$B$19*$B$21*$B$23,0)</f>
        <v/>
      </c>
    </row>
    <row r="53" ht="20.1" customHeight="1" s="62">
      <c r="A53" s="67" t="n"/>
      <c r="B53" s="59" t="n"/>
      <c r="C53" s="15" t="inlineStr">
        <is>
          <t>Complet (ISO / multi-réglementaire)</t>
        </is>
      </c>
      <c r="D53" s="10">
        <f>ROUND($B$6*$B$10*$B$13*$B$15*$B$18*$B$20*$B$22,0)</f>
        <v/>
      </c>
      <c r="E53" s="10">
        <f>ROUND($B$6*$B$10*$B$13*$B$15*$B$18*$B$20*$B$23,0)</f>
        <v/>
      </c>
      <c r="F53" s="10">
        <f>ROUND($B$6*$B$10*$B$13*$B$15*$B$18*$B$21*$B$22,0)</f>
        <v/>
      </c>
      <c r="G53" s="10">
        <f>ROUND($B$6*$B$10*$B$13*$B$15*$B$18*$B$21*$B$23,0)</f>
        <v/>
      </c>
      <c r="H53" s="10">
        <f>ROUND($B$6*$B$10*$B$13*$B$15*$B$19*$B$20*$B$22,0)</f>
        <v/>
      </c>
      <c r="I53" s="10">
        <f>ROUND($B$6*$B$10*$B$13*$B$15*$B$19*$B$20*$B$23,0)</f>
        <v/>
      </c>
      <c r="J53" s="10">
        <f>ROUND($B$6*$B$10*$B$13*$B$15*$B$19*$B$21*$B$22,0)</f>
        <v/>
      </c>
      <c r="K53" s="10">
        <f>ROUND($B$6*$B$10*$B$13*$B$15*$B$19*$B$21*$B$23,0)</f>
        <v/>
      </c>
      <c r="L53" s="10">
        <f>ROUND($B$6*$B$10*$B$13*$B$16*$B$18*$B$20*$B$22,0)</f>
        <v/>
      </c>
      <c r="M53" s="10">
        <f>ROUND($B$6*$B$10*$B$13*$B$16*$B$18*$B$20*$B$23,0)</f>
        <v/>
      </c>
      <c r="N53" s="10">
        <f>ROUND($B$6*$B$10*$B$13*$B$16*$B$18*$B$21*$B$22,0)</f>
        <v/>
      </c>
      <c r="O53" s="10">
        <f>ROUND($B$6*$B$10*$B$13*$B$16*$B$18*$B$21*$B$23,0)</f>
        <v/>
      </c>
      <c r="P53" s="10">
        <f>ROUND($B$6*$B$10*$B$13*$B$16*$B$19*$B$20*$B$22,0)</f>
        <v/>
      </c>
      <c r="Q53" s="10">
        <f>ROUND($B$6*$B$10*$B$13*$B$16*$B$19*$B$20*$B$23,0)</f>
        <v/>
      </c>
      <c r="R53" s="10">
        <f>ROUND($B$6*$B$10*$B$13*$B$16*$B$19*$B$21*$B$22,0)</f>
        <v/>
      </c>
      <c r="S53" s="10">
        <f>ROUND($B$6*$B$10*$B$13*$B$16*$B$19*$B$21*$B$23,0)</f>
        <v/>
      </c>
      <c r="T53" s="10">
        <f>ROUND($B$6*$B$10*$B$13*$B$17*$B$18*$B$20*$B$22,0)</f>
        <v/>
      </c>
      <c r="U53" s="10">
        <f>ROUND($B$6*$B$10*$B$13*$B$17*$B$18*$B$20*$B$23,0)</f>
        <v/>
      </c>
      <c r="V53" s="10">
        <f>ROUND($B$6*$B$10*$B$13*$B$17*$B$18*$B$21*$B$22,0)</f>
        <v/>
      </c>
      <c r="W53" s="10">
        <f>ROUND($B$6*$B$10*$B$13*$B$17*$B$18*$B$21*$B$23,0)</f>
        <v/>
      </c>
      <c r="X53" s="10">
        <f>ROUND($B$6*$B$10*$B$13*$B$17*$B$19*$B$20*$B$22,0)</f>
        <v/>
      </c>
      <c r="Y53" s="10">
        <f>ROUND($B$6*$B$10*$B$13*$B$17*$B$19*$B$20*$B$23,0)</f>
        <v/>
      </c>
      <c r="Z53" s="10">
        <f>ROUND($B$6*$B$10*$B$13*$B$17*$B$19*$B$21*$B$22,0)</f>
        <v/>
      </c>
      <c r="AA53" s="10">
        <f>ROUND($B$6*$B$10*$B$13*$B$17*$B$19*$B$21*$B$23,0)</f>
        <v/>
      </c>
    </row>
    <row r="54" ht="20.1" customHeight="1" s="62">
      <c r="A54" s="67" t="n"/>
      <c r="B54" s="57" t="inlineStr">
        <is>
          <t>4 normes et +</t>
        </is>
      </c>
      <c r="C54" s="14" t="inlineStr">
        <is>
          <t>Simple (RGPD uniquement)</t>
        </is>
      </c>
      <c r="D54" s="10">
        <f>ROUND($B$4*$B$10*$B$14*$B$15*$B$18*$B$20*$B$22,0)</f>
        <v/>
      </c>
      <c r="E54" s="10">
        <f>ROUND($B$4*$B$10*$B$14*$B$15*$B$18*$B$20*$B$23,0)</f>
        <v/>
      </c>
      <c r="F54" s="10">
        <f>ROUND($B$4*$B$10*$B$14*$B$15*$B$18*$B$21*$B$22,0)</f>
        <v/>
      </c>
      <c r="G54" s="10">
        <f>ROUND($B$4*$B$10*$B$14*$B$15*$B$18*$B$21*$B$23,0)</f>
        <v/>
      </c>
      <c r="H54" s="10">
        <f>ROUND($B$4*$B$10*$B$14*$B$15*$B$19*$B$20*$B$22,0)</f>
        <v/>
      </c>
      <c r="I54" s="10">
        <f>ROUND($B$4*$B$10*$B$14*$B$15*$B$19*$B$20*$B$23,0)</f>
        <v/>
      </c>
      <c r="J54" s="10">
        <f>ROUND($B$4*$B$10*$B$14*$B$15*$B$19*$B$21*$B$22,0)</f>
        <v/>
      </c>
      <c r="K54" s="10">
        <f>ROUND($B$4*$B$10*$B$14*$B$15*$B$19*$B$21*$B$23,0)</f>
        <v/>
      </c>
      <c r="L54" s="10">
        <f>ROUND($B$4*$B$10*$B$14*$B$16*$B$18*$B$20*$B$22,0)</f>
        <v/>
      </c>
      <c r="M54" s="10">
        <f>ROUND($B$4*$B$10*$B$14*$B$16*$B$18*$B$20*$B$23,0)</f>
        <v/>
      </c>
      <c r="N54" s="10">
        <f>ROUND($B$4*$B$10*$B$14*$B$16*$B$18*$B$21*$B$22,0)</f>
        <v/>
      </c>
      <c r="O54" s="10">
        <f>ROUND($B$4*$B$10*$B$14*$B$16*$B$18*$B$21*$B$23,0)</f>
        <v/>
      </c>
      <c r="P54" s="10">
        <f>ROUND($B$4*$B$10*$B$14*$B$16*$B$19*$B$20*$B$22,0)</f>
        <v/>
      </c>
      <c r="Q54" s="10">
        <f>ROUND($B$4*$B$10*$B$14*$B$16*$B$19*$B$20*$B$23,0)</f>
        <v/>
      </c>
      <c r="R54" s="10">
        <f>ROUND($B$4*$B$10*$B$14*$B$16*$B$19*$B$21*$B$22,0)</f>
        <v/>
      </c>
      <c r="S54" s="10">
        <f>ROUND($B$4*$B$10*$B$14*$B$16*$B$19*$B$21*$B$23,0)</f>
        <v/>
      </c>
      <c r="T54" s="10">
        <f>ROUND($B$4*$B$10*$B$14*$B$17*$B$18*$B$20*$B$22,0)</f>
        <v/>
      </c>
      <c r="U54" s="10">
        <f>ROUND($B$4*$B$10*$B$14*$B$17*$B$18*$B$20*$B$23,0)</f>
        <v/>
      </c>
      <c r="V54" s="10">
        <f>ROUND($B$4*$B$10*$B$14*$B$17*$B$18*$B$21*$B$22,0)</f>
        <v/>
      </c>
      <c r="W54" s="10">
        <f>ROUND($B$4*$B$10*$B$14*$B$17*$B$18*$B$21*$B$23,0)</f>
        <v/>
      </c>
      <c r="X54" s="10">
        <f>ROUND($B$4*$B$10*$B$14*$B$17*$B$19*$B$20*$B$22,0)</f>
        <v/>
      </c>
      <c r="Y54" s="10">
        <f>ROUND($B$4*$B$10*$B$14*$B$17*$B$19*$B$20*$B$23,0)</f>
        <v/>
      </c>
      <c r="Z54" s="10">
        <f>ROUND($B$4*$B$10*$B$14*$B$17*$B$19*$B$21*$B$22,0)</f>
        <v/>
      </c>
      <c r="AA54" s="10">
        <f>ROUND($B$4*$B$10*$B$14*$B$17*$B$19*$B$21*$B$23,0)</f>
        <v/>
      </c>
    </row>
    <row r="55" ht="20.1" customHeight="1" s="62">
      <c r="A55" s="67" t="n"/>
      <c r="B55" s="58" t="n"/>
      <c r="C55" s="57" t="inlineStr">
        <is>
          <t>Intermédiaire (1-2 normes ISO)</t>
        </is>
      </c>
      <c r="D55" s="10">
        <f>ROUND($B$5*$B$10*$B$14*$B$15*$B$18*$B$20*$B$22,0)</f>
        <v/>
      </c>
      <c r="E55" s="10">
        <f>ROUND($B$5*$B$10*$B$14*$B$15*$B$18*$B$20*$B$23,0)</f>
        <v/>
      </c>
      <c r="F55" s="10">
        <f>ROUND($B$5*$B$10*$B$14*$B$15*$B$18*$B$21*$B$22,0)</f>
        <v/>
      </c>
      <c r="G55" s="10">
        <f>ROUND($B$5*$B$10*$B$14*$B$15*$B$18*$B$21*$B$23,0)</f>
        <v/>
      </c>
      <c r="H55" s="10">
        <f>ROUND($B$5*$B$10*$B$14*$B$15*$B$19*$B$20*$B$22,0)</f>
        <v/>
      </c>
      <c r="I55" s="10">
        <f>ROUND($B$5*$B$10*$B$14*$B$15*$B$19*$B$20*$B$23,0)</f>
        <v/>
      </c>
      <c r="J55" s="10">
        <f>ROUND($B$5*$B$10*$B$14*$B$15*$B$19*$B$21*$B$22,0)</f>
        <v/>
      </c>
      <c r="K55" s="10">
        <f>ROUND($B$5*$B$10*$B$14*$B$15*$B$19*$B$21*$B$23,0)</f>
        <v/>
      </c>
      <c r="L55" s="10">
        <f>ROUND($B$5*$B$10*$B$14*$B$16*$B$18*$B$20*$B$22,0)</f>
        <v/>
      </c>
      <c r="M55" s="10">
        <f>ROUND($B$5*$B$10*$B$14*$B$16*$B$18*$B$20*$B$23,0)</f>
        <v/>
      </c>
      <c r="N55" s="10">
        <f>ROUND($B$5*$B$10*$B$14*$B$16*$B$18*$B$21*$B$22,0)</f>
        <v/>
      </c>
      <c r="O55" s="10">
        <f>ROUND($B$5*$B$10*$B$14*$B$16*$B$18*$B$21*$B$23,0)</f>
        <v/>
      </c>
      <c r="P55" s="10">
        <f>ROUND($B$5*$B$10*$B$14*$B$16*$B$19*$B$20*$B$22,0)</f>
        <v/>
      </c>
      <c r="Q55" s="10">
        <f>ROUND($B$5*$B$10*$B$14*$B$16*$B$19*$B$20*$B$23,0)</f>
        <v/>
      </c>
      <c r="R55" s="10">
        <f>ROUND($B$5*$B$10*$B$14*$B$16*$B$19*$B$21*$B$22,0)</f>
        <v/>
      </c>
      <c r="S55" s="10">
        <f>ROUND($B$5*$B$10*$B$14*$B$16*$B$19*$B$21*$B$23,0)</f>
        <v/>
      </c>
      <c r="T55" s="10">
        <f>ROUND($B$5*$B$10*$B$14*$B$17*$B$18*$B$20*$B$22,0)</f>
        <v/>
      </c>
      <c r="U55" s="10">
        <f>ROUND($B$5*$B$10*$B$14*$B$17*$B$18*$B$20*$B$23,0)</f>
        <v/>
      </c>
      <c r="V55" s="10">
        <f>ROUND($B$5*$B$10*$B$14*$B$17*$B$18*$B$21*$B$22,0)</f>
        <v/>
      </c>
      <c r="W55" s="10">
        <f>ROUND($B$5*$B$10*$B$14*$B$17*$B$18*$B$21*$B$23,0)</f>
        <v/>
      </c>
      <c r="X55" s="10">
        <f>ROUND($B$5*$B$10*$B$14*$B$17*$B$19*$B$20*$B$22,0)</f>
        <v/>
      </c>
      <c r="Y55" s="10">
        <f>ROUND($B$5*$B$10*$B$14*$B$17*$B$19*$B$20*$B$23,0)</f>
        <v/>
      </c>
      <c r="Z55" s="10">
        <f>ROUND($B$5*$B$10*$B$14*$B$17*$B$19*$B$21*$B$22,0)</f>
        <v/>
      </c>
      <c r="AA55" s="10">
        <f>ROUND($B$5*$B$10*$B$14*$B$17*$B$19*$B$21*$B$23,0)</f>
        <v/>
      </c>
    </row>
    <row r="56" ht="20.1" customHeight="1" s="62">
      <c r="A56" s="68" t="n"/>
      <c r="B56" s="59" t="n"/>
      <c r="C56" s="15" t="inlineStr">
        <is>
          <t>Complet (ISO / multi-réglementaire)</t>
        </is>
      </c>
      <c r="D56" s="10">
        <f>ROUND($B$6*$B$10*$B$14*$B$15*$B$18*$B$20*$B$22,0)</f>
        <v/>
      </c>
      <c r="E56" s="10">
        <f>ROUND($B$6*$B$10*$B$14*$B$15*$B$18*$B$20*$B$23,0)</f>
        <v/>
      </c>
      <c r="F56" s="10">
        <f>ROUND($B$6*$B$10*$B$14*$B$15*$B$18*$B$21*$B$22,0)</f>
        <v/>
      </c>
      <c r="G56" s="10">
        <f>ROUND($B$6*$B$10*$B$14*$B$15*$B$18*$B$21*$B$23,0)</f>
        <v/>
      </c>
      <c r="H56" s="10">
        <f>ROUND($B$6*$B$10*$B$14*$B$15*$B$19*$B$20*$B$22,0)</f>
        <v/>
      </c>
      <c r="I56" s="10">
        <f>ROUND($B$6*$B$10*$B$14*$B$15*$B$19*$B$20*$B$23,0)</f>
        <v/>
      </c>
      <c r="J56" s="10">
        <f>ROUND($B$6*$B$10*$B$14*$B$15*$B$19*$B$21*$B$22,0)</f>
        <v/>
      </c>
      <c r="K56" s="10">
        <f>ROUND($B$6*$B$10*$B$14*$B$15*$B$19*$B$21*$B$23,0)</f>
        <v/>
      </c>
      <c r="L56" s="10">
        <f>ROUND($B$6*$B$10*$B$14*$B$16*$B$18*$B$20*$B$22,0)</f>
        <v/>
      </c>
      <c r="M56" s="10">
        <f>ROUND($B$6*$B$10*$B$14*$B$16*$B$18*$B$20*$B$23,0)</f>
        <v/>
      </c>
      <c r="N56" s="10">
        <f>ROUND($B$6*$B$10*$B$14*$B$16*$B$18*$B$21*$B$22,0)</f>
        <v/>
      </c>
      <c r="O56" s="10">
        <f>ROUND($B$6*$B$10*$B$14*$B$16*$B$18*$B$21*$B$23,0)</f>
        <v/>
      </c>
      <c r="P56" s="10">
        <f>ROUND($B$6*$B$10*$B$14*$B$16*$B$19*$B$20*$B$22,0)</f>
        <v/>
      </c>
      <c r="Q56" s="10">
        <f>ROUND($B$6*$B$10*$B$14*$B$16*$B$19*$B$20*$B$23,0)</f>
        <v/>
      </c>
      <c r="R56" s="10">
        <f>ROUND($B$6*$B$10*$B$14*$B$16*$B$19*$B$21*$B$22,0)</f>
        <v/>
      </c>
      <c r="S56" s="10">
        <f>ROUND($B$6*$B$10*$B$14*$B$16*$B$19*$B$21*$B$23,0)</f>
        <v/>
      </c>
      <c r="T56" s="10">
        <f>ROUND($B$6*$B$10*$B$14*$B$17*$B$18*$B$20*$B$22,0)</f>
        <v/>
      </c>
      <c r="U56" s="10">
        <f>ROUND($B$6*$B$10*$B$14*$B$17*$B$18*$B$20*$B$23,0)</f>
        <v/>
      </c>
      <c r="V56" s="10">
        <f>ROUND($B$6*$B$10*$B$14*$B$17*$B$18*$B$21*$B$22,0)</f>
        <v/>
      </c>
      <c r="W56" s="10">
        <f>ROUND($B$6*$B$10*$B$14*$B$17*$B$18*$B$21*$B$23,0)</f>
        <v/>
      </c>
      <c r="X56" s="10">
        <f>ROUND($B$6*$B$10*$B$14*$B$17*$B$19*$B$20*$B$22,0)</f>
        <v/>
      </c>
      <c r="Y56" s="10">
        <f>ROUND($B$6*$B$10*$B$14*$B$17*$B$19*$B$20*$B$23,0)</f>
        <v/>
      </c>
      <c r="Z56" s="10">
        <f>ROUND($B$6*$B$10*$B$14*$B$17*$B$19*$B$21*$B$22,0)</f>
        <v/>
      </c>
      <c r="AA56" s="10">
        <f>ROUND($B$6*$B$10*$B$14*$B$17*$B$19*$B$21*$B$23,0)</f>
        <v/>
      </c>
    </row>
    <row r="57" ht="20.1" customHeight="1" s="62">
      <c r="A57" s="66" t="inlineStr">
        <is>
          <t>ETI / Grand compte (100+)</t>
        </is>
      </c>
      <c r="B57" s="57" t="inlineStr">
        <is>
          <t>1 norme</t>
        </is>
      </c>
      <c r="C57" s="14" t="inlineStr">
        <is>
          <t>Simple (RGPD uniquement)</t>
        </is>
      </c>
      <c r="D57" s="10">
        <f>ROUND($B$4*$B$11*$B$12*$B$15*$B$18*$B$20*$B$22,0)</f>
        <v/>
      </c>
      <c r="E57" s="10">
        <f>ROUND($B$4*$B$11*$B$12*$B$15*$B$18*$B$20*$B$23,0)</f>
        <v/>
      </c>
      <c r="F57" s="10">
        <f>ROUND($B$4*$B$11*$B$12*$B$15*$B$18*$B$21*$B$22,0)</f>
        <v/>
      </c>
      <c r="G57" s="10">
        <f>ROUND($B$4*$B$11*$B$12*$B$15*$B$18*$B$21*$B$23,0)</f>
        <v/>
      </c>
      <c r="H57" s="10">
        <f>ROUND($B$4*$B$11*$B$12*$B$15*$B$19*$B$20*$B$22,0)</f>
        <v/>
      </c>
      <c r="I57" s="10">
        <f>ROUND($B$4*$B$11*$B$12*$B$15*$B$19*$B$20*$B$23,0)</f>
        <v/>
      </c>
      <c r="J57" s="10">
        <f>ROUND($B$4*$B$11*$B$12*$B$15*$B$19*$B$21*$B$22,0)</f>
        <v/>
      </c>
      <c r="K57" s="10">
        <f>ROUND($B$4*$B$11*$B$12*$B$15*$B$19*$B$21*$B$23,0)</f>
        <v/>
      </c>
      <c r="L57" s="10">
        <f>ROUND($B$4*$B$11*$B$12*$B$16*$B$18*$B$20*$B$22,0)</f>
        <v/>
      </c>
      <c r="M57" s="10">
        <f>ROUND($B$4*$B$11*$B$12*$B$16*$B$18*$B$20*$B$23,0)</f>
        <v/>
      </c>
      <c r="N57" s="10">
        <f>ROUND($B$4*$B$11*$B$12*$B$16*$B$18*$B$21*$B$22,0)</f>
        <v/>
      </c>
      <c r="O57" s="10">
        <f>ROUND($B$4*$B$11*$B$12*$B$16*$B$18*$B$21*$B$23,0)</f>
        <v/>
      </c>
      <c r="P57" s="10">
        <f>ROUND($B$4*$B$11*$B$12*$B$16*$B$19*$B$20*$B$22,0)</f>
        <v/>
      </c>
      <c r="Q57" s="10">
        <f>ROUND($B$4*$B$11*$B$12*$B$16*$B$19*$B$20*$B$23,0)</f>
        <v/>
      </c>
      <c r="R57" s="10">
        <f>ROUND($B$4*$B$11*$B$12*$B$16*$B$19*$B$21*$B$22,0)</f>
        <v/>
      </c>
      <c r="S57" s="10">
        <f>ROUND($B$4*$B$11*$B$12*$B$16*$B$19*$B$21*$B$23,0)</f>
        <v/>
      </c>
      <c r="T57" s="10">
        <f>ROUND($B$4*$B$11*$B$12*$B$17*$B$18*$B$20*$B$22,0)</f>
        <v/>
      </c>
      <c r="U57" s="10">
        <f>ROUND($B$4*$B$11*$B$12*$B$17*$B$18*$B$20*$B$23,0)</f>
        <v/>
      </c>
      <c r="V57" s="10">
        <f>ROUND($B$4*$B$11*$B$12*$B$17*$B$18*$B$21*$B$22,0)</f>
        <v/>
      </c>
      <c r="W57" s="10">
        <f>ROUND($B$4*$B$11*$B$12*$B$17*$B$18*$B$21*$B$23,0)</f>
        <v/>
      </c>
      <c r="X57" s="10">
        <f>ROUND($B$4*$B$11*$B$12*$B$17*$B$19*$B$20*$B$22,0)</f>
        <v/>
      </c>
      <c r="Y57" s="10">
        <f>ROUND($B$4*$B$11*$B$12*$B$17*$B$19*$B$20*$B$23,0)</f>
        <v/>
      </c>
      <c r="Z57" s="10">
        <f>ROUND($B$4*$B$11*$B$12*$B$17*$B$19*$B$21*$B$22,0)</f>
        <v/>
      </c>
      <c r="AA57" s="10">
        <f>ROUND($B$4*$B$11*$B$12*$B$17*$B$19*$B$21*$B$23,0)</f>
        <v/>
      </c>
    </row>
    <row r="58" ht="20.1" customHeight="1" s="62">
      <c r="A58" s="67" t="n"/>
      <c r="B58" s="58" t="n"/>
      <c r="C58" s="57" t="inlineStr">
        <is>
          <t>Intermédiaire (1-2 normes ISO)</t>
        </is>
      </c>
      <c r="D58" s="10">
        <f>ROUND($B$5*$B$11*$B$12*$B$15*$B$18*$B$20*$B$22,0)</f>
        <v/>
      </c>
      <c r="E58" s="10">
        <f>ROUND($B$5*$B$11*$B$12*$B$15*$B$18*$B$20*$B$23,0)</f>
        <v/>
      </c>
      <c r="F58" s="10">
        <f>ROUND($B$5*$B$11*$B$12*$B$15*$B$18*$B$21*$B$22,0)</f>
        <v/>
      </c>
      <c r="G58" s="10">
        <f>ROUND($B$5*$B$11*$B$12*$B$15*$B$18*$B$21*$B$23,0)</f>
        <v/>
      </c>
      <c r="H58" s="10">
        <f>ROUND($B$5*$B$11*$B$12*$B$15*$B$19*$B$20*$B$22,0)</f>
        <v/>
      </c>
      <c r="I58" s="10">
        <f>ROUND($B$5*$B$11*$B$12*$B$15*$B$19*$B$20*$B$23,0)</f>
        <v/>
      </c>
      <c r="J58" s="10">
        <f>ROUND($B$5*$B$11*$B$12*$B$15*$B$19*$B$21*$B$22,0)</f>
        <v/>
      </c>
      <c r="K58" s="10">
        <f>ROUND($B$5*$B$11*$B$12*$B$15*$B$19*$B$21*$B$23,0)</f>
        <v/>
      </c>
      <c r="L58" s="10">
        <f>ROUND($B$5*$B$11*$B$12*$B$16*$B$18*$B$20*$B$22,0)</f>
        <v/>
      </c>
      <c r="M58" s="10">
        <f>ROUND($B$5*$B$11*$B$12*$B$16*$B$18*$B$20*$B$23,0)</f>
        <v/>
      </c>
      <c r="N58" s="10">
        <f>ROUND($B$5*$B$11*$B$12*$B$16*$B$18*$B$21*$B$22,0)</f>
        <v/>
      </c>
      <c r="O58" s="10">
        <f>ROUND($B$5*$B$11*$B$12*$B$16*$B$18*$B$21*$B$23,0)</f>
        <v/>
      </c>
      <c r="P58" s="10">
        <f>ROUND($B$5*$B$11*$B$12*$B$16*$B$19*$B$20*$B$22,0)</f>
        <v/>
      </c>
      <c r="Q58" s="10">
        <f>ROUND($B$5*$B$11*$B$12*$B$16*$B$19*$B$20*$B$23,0)</f>
        <v/>
      </c>
      <c r="R58" s="10">
        <f>ROUND($B$5*$B$11*$B$12*$B$16*$B$19*$B$21*$B$22,0)</f>
        <v/>
      </c>
      <c r="S58" s="10">
        <f>ROUND($B$5*$B$11*$B$12*$B$16*$B$19*$B$21*$B$23,0)</f>
        <v/>
      </c>
      <c r="T58" s="10">
        <f>ROUND($B$5*$B$11*$B$12*$B$17*$B$18*$B$20*$B$22,0)</f>
        <v/>
      </c>
      <c r="U58" s="10">
        <f>ROUND($B$5*$B$11*$B$12*$B$17*$B$18*$B$20*$B$23,0)</f>
        <v/>
      </c>
      <c r="V58" s="10">
        <f>ROUND($B$5*$B$11*$B$12*$B$17*$B$18*$B$21*$B$22,0)</f>
        <v/>
      </c>
      <c r="W58" s="10">
        <f>ROUND($B$5*$B$11*$B$12*$B$17*$B$18*$B$21*$B$23,0)</f>
        <v/>
      </c>
      <c r="X58" s="10">
        <f>ROUND($B$5*$B$11*$B$12*$B$17*$B$19*$B$20*$B$22,0)</f>
        <v/>
      </c>
      <c r="Y58" s="10">
        <f>ROUND($B$5*$B$11*$B$12*$B$17*$B$19*$B$20*$B$23,0)</f>
        <v/>
      </c>
      <c r="Z58" s="10">
        <f>ROUND($B$5*$B$11*$B$12*$B$17*$B$19*$B$21*$B$22,0)</f>
        <v/>
      </c>
      <c r="AA58" s="10">
        <f>ROUND($B$5*$B$11*$B$12*$B$17*$B$19*$B$21*$B$23,0)</f>
        <v/>
      </c>
    </row>
    <row r="59" ht="20.1" customHeight="1" s="62">
      <c r="A59" s="67" t="n"/>
      <c r="B59" s="59" t="n"/>
      <c r="C59" s="15" t="inlineStr">
        <is>
          <t>Complet (ISO / multi-réglementaire)</t>
        </is>
      </c>
      <c r="D59" s="10">
        <f>ROUND($B$6*$B$11*$B$12*$B$15*$B$18*$B$20*$B$22,0)</f>
        <v/>
      </c>
      <c r="E59" s="10">
        <f>ROUND($B$6*$B$11*$B$12*$B$15*$B$18*$B$20*$B$23,0)</f>
        <v/>
      </c>
      <c r="F59" s="10">
        <f>ROUND($B$6*$B$11*$B$12*$B$15*$B$18*$B$21*$B$22,0)</f>
        <v/>
      </c>
      <c r="G59" s="10">
        <f>ROUND($B$6*$B$11*$B$12*$B$15*$B$18*$B$21*$B$23,0)</f>
        <v/>
      </c>
      <c r="H59" s="10">
        <f>ROUND($B$6*$B$11*$B$12*$B$15*$B$19*$B$20*$B$22,0)</f>
        <v/>
      </c>
      <c r="I59" s="10">
        <f>ROUND($B$6*$B$11*$B$12*$B$15*$B$19*$B$20*$B$23,0)</f>
        <v/>
      </c>
      <c r="J59" s="10">
        <f>ROUND($B$6*$B$11*$B$12*$B$15*$B$19*$B$21*$B$22,0)</f>
        <v/>
      </c>
      <c r="K59" s="10">
        <f>ROUND($B$6*$B$11*$B$12*$B$15*$B$19*$B$21*$B$23,0)</f>
        <v/>
      </c>
      <c r="L59" s="10">
        <f>ROUND($B$6*$B$11*$B$12*$B$16*$B$18*$B$20*$B$22,0)</f>
        <v/>
      </c>
      <c r="M59" s="10">
        <f>ROUND($B$6*$B$11*$B$12*$B$16*$B$18*$B$20*$B$23,0)</f>
        <v/>
      </c>
      <c r="N59" s="10">
        <f>ROUND($B$6*$B$11*$B$12*$B$16*$B$18*$B$21*$B$22,0)</f>
        <v/>
      </c>
      <c r="O59" s="10">
        <f>ROUND($B$6*$B$11*$B$12*$B$16*$B$18*$B$21*$B$23,0)</f>
        <v/>
      </c>
      <c r="P59" s="10">
        <f>ROUND($B$6*$B$11*$B$12*$B$16*$B$19*$B$20*$B$22,0)</f>
        <v/>
      </c>
      <c r="Q59" s="10">
        <f>ROUND($B$6*$B$11*$B$12*$B$16*$B$19*$B$20*$B$23,0)</f>
        <v/>
      </c>
      <c r="R59" s="10">
        <f>ROUND($B$6*$B$11*$B$12*$B$16*$B$19*$B$21*$B$22,0)</f>
        <v/>
      </c>
      <c r="S59" s="10">
        <f>ROUND($B$6*$B$11*$B$12*$B$16*$B$19*$B$21*$B$23,0)</f>
        <v/>
      </c>
      <c r="T59" s="10">
        <f>ROUND($B$6*$B$11*$B$12*$B$17*$B$18*$B$20*$B$22,0)</f>
        <v/>
      </c>
      <c r="U59" s="10">
        <f>ROUND($B$6*$B$11*$B$12*$B$17*$B$18*$B$20*$B$23,0)</f>
        <v/>
      </c>
      <c r="V59" s="10">
        <f>ROUND($B$6*$B$11*$B$12*$B$17*$B$18*$B$21*$B$22,0)</f>
        <v/>
      </c>
      <c r="W59" s="10">
        <f>ROUND($B$6*$B$11*$B$12*$B$17*$B$18*$B$21*$B$23,0)</f>
        <v/>
      </c>
      <c r="X59" s="10">
        <f>ROUND($B$6*$B$11*$B$12*$B$17*$B$19*$B$20*$B$22,0)</f>
        <v/>
      </c>
      <c r="Y59" s="10">
        <f>ROUND($B$6*$B$11*$B$12*$B$17*$B$19*$B$20*$B$23,0)</f>
        <v/>
      </c>
      <c r="Z59" s="10">
        <f>ROUND($B$6*$B$11*$B$12*$B$17*$B$19*$B$21*$B$22,0)</f>
        <v/>
      </c>
      <c r="AA59" s="10">
        <f>ROUND($B$6*$B$11*$B$12*$B$17*$B$19*$B$21*$B$23,0)</f>
        <v/>
      </c>
    </row>
    <row r="60" ht="20.1" customHeight="1" s="62">
      <c r="A60" s="67" t="n"/>
      <c r="B60" s="57" t="inlineStr">
        <is>
          <t>2-3 normes</t>
        </is>
      </c>
      <c r="C60" s="14" t="inlineStr">
        <is>
          <t>Simple (RGPD uniquement)</t>
        </is>
      </c>
      <c r="D60" s="10">
        <f>ROUND($B$4*$B$11*$B$13*$B$15*$B$18*$B$20*$B$22,0)</f>
        <v/>
      </c>
      <c r="E60" s="10">
        <f>ROUND($B$4*$B$11*$B$13*$B$15*$B$18*$B$20*$B$23,0)</f>
        <v/>
      </c>
      <c r="F60" s="10">
        <f>ROUND($B$4*$B$11*$B$13*$B$15*$B$18*$B$21*$B$22,0)</f>
        <v/>
      </c>
      <c r="G60" s="10">
        <f>ROUND($B$4*$B$11*$B$13*$B$15*$B$18*$B$21*$B$23,0)</f>
        <v/>
      </c>
      <c r="H60" s="10">
        <f>ROUND($B$4*$B$11*$B$13*$B$15*$B$19*$B$20*$B$22,0)</f>
        <v/>
      </c>
      <c r="I60" s="10">
        <f>ROUND($B$4*$B$11*$B$13*$B$15*$B$19*$B$20*$B$23,0)</f>
        <v/>
      </c>
      <c r="J60" s="10">
        <f>ROUND($B$4*$B$11*$B$13*$B$15*$B$19*$B$21*$B$22,0)</f>
        <v/>
      </c>
      <c r="K60" s="10">
        <f>ROUND($B$4*$B$11*$B$13*$B$15*$B$19*$B$21*$B$23,0)</f>
        <v/>
      </c>
      <c r="L60" s="10">
        <f>ROUND($B$4*$B$11*$B$13*$B$16*$B$18*$B$20*$B$22,0)</f>
        <v/>
      </c>
      <c r="M60" s="10">
        <f>ROUND($B$4*$B$11*$B$13*$B$16*$B$18*$B$20*$B$23,0)</f>
        <v/>
      </c>
      <c r="N60" s="10">
        <f>ROUND($B$4*$B$11*$B$13*$B$16*$B$18*$B$21*$B$22,0)</f>
        <v/>
      </c>
      <c r="O60" s="10">
        <f>ROUND($B$4*$B$11*$B$13*$B$16*$B$18*$B$21*$B$23,0)</f>
        <v/>
      </c>
      <c r="P60" s="10">
        <f>ROUND($B$4*$B$11*$B$13*$B$16*$B$19*$B$20*$B$22,0)</f>
        <v/>
      </c>
      <c r="Q60" s="10">
        <f>ROUND($B$4*$B$11*$B$13*$B$16*$B$19*$B$20*$B$23,0)</f>
        <v/>
      </c>
      <c r="R60" s="10">
        <f>ROUND($B$4*$B$11*$B$13*$B$16*$B$19*$B$21*$B$22,0)</f>
        <v/>
      </c>
      <c r="S60" s="10">
        <f>ROUND($B$4*$B$11*$B$13*$B$16*$B$19*$B$21*$B$23,0)</f>
        <v/>
      </c>
      <c r="T60" s="10">
        <f>ROUND($B$4*$B$11*$B$13*$B$17*$B$18*$B$20*$B$22,0)</f>
        <v/>
      </c>
      <c r="U60" s="10">
        <f>ROUND($B$4*$B$11*$B$13*$B$17*$B$18*$B$20*$B$23,0)</f>
        <v/>
      </c>
      <c r="V60" s="10">
        <f>ROUND($B$4*$B$11*$B$13*$B$17*$B$18*$B$21*$B$22,0)</f>
        <v/>
      </c>
      <c r="W60" s="10">
        <f>ROUND($B$4*$B$11*$B$13*$B$17*$B$18*$B$21*$B$23,0)</f>
        <v/>
      </c>
      <c r="X60" s="10">
        <f>ROUND($B$4*$B$11*$B$13*$B$17*$B$19*$B$20*$B$22,0)</f>
        <v/>
      </c>
      <c r="Y60" s="10">
        <f>ROUND($B$4*$B$11*$B$13*$B$17*$B$19*$B$20*$B$23,0)</f>
        <v/>
      </c>
      <c r="Z60" s="10">
        <f>ROUND($B$4*$B$11*$B$13*$B$17*$B$19*$B$21*$B$22,0)</f>
        <v/>
      </c>
      <c r="AA60" s="10">
        <f>ROUND($B$4*$B$11*$B$13*$B$17*$B$19*$B$21*$B$23,0)</f>
        <v/>
      </c>
    </row>
    <row r="61" ht="20.1" customHeight="1" s="62">
      <c r="A61" s="67" t="n"/>
      <c r="B61" s="58" t="n"/>
      <c r="C61" s="57" t="inlineStr">
        <is>
          <t>Intermédiaire (1-2 normes ISO)</t>
        </is>
      </c>
      <c r="D61" s="10">
        <f>ROUND($B$5*$B$11*$B$13*$B$15*$B$18*$B$20*$B$22,0)</f>
        <v/>
      </c>
      <c r="E61" s="10">
        <f>ROUND($B$5*$B$11*$B$13*$B$15*$B$18*$B$20*$B$23,0)</f>
        <v/>
      </c>
      <c r="F61" s="10">
        <f>ROUND($B$5*$B$11*$B$13*$B$15*$B$18*$B$21*$B$22,0)</f>
        <v/>
      </c>
      <c r="G61" s="10">
        <f>ROUND($B$5*$B$11*$B$13*$B$15*$B$18*$B$21*$B$23,0)</f>
        <v/>
      </c>
      <c r="H61" s="10">
        <f>ROUND($B$5*$B$11*$B$13*$B$15*$B$19*$B$20*$B$22,0)</f>
        <v/>
      </c>
      <c r="I61" s="10">
        <f>ROUND($B$5*$B$11*$B$13*$B$15*$B$19*$B$20*$B$23,0)</f>
        <v/>
      </c>
      <c r="J61" s="10">
        <f>ROUND($B$5*$B$11*$B$13*$B$15*$B$19*$B$21*$B$22,0)</f>
        <v/>
      </c>
      <c r="K61" s="10">
        <f>ROUND($B$5*$B$11*$B$13*$B$15*$B$19*$B$21*$B$23,0)</f>
        <v/>
      </c>
      <c r="L61" s="10">
        <f>ROUND($B$5*$B$11*$B$13*$B$16*$B$18*$B$20*$B$22,0)</f>
        <v/>
      </c>
      <c r="M61" s="10">
        <f>ROUND($B$5*$B$11*$B$13*$B$16*$B$18*$B$20*$B$23,0)</f>
        <v/>
      </c>
      <c r="N61" s="10">
        <f>ROUND($B$5*$B$11*$B$13*$B$16*$B$18*$B$21*$B$22,0)</f>
        <v/>
      </c>
      <c r="O61" s="10">
        <f>ROUND($B$5*$B$11*$B$13*$B$16*$B$18*$B$21*$B$23,0)</f>
        <v/>
      </c>
      <c r="P61" s="10">
        <f>ROUND($B$5*$B$11*$B$13*$B$16*$B$19*$B$20*$B$22,0)</f>
        <v/>
      </c>
      <c r="Q61" s="10">
        <f>ROUND($B$5*$B$11*$B$13*$B$16*$B$19*$B$20*$B$23,0)</f>
        <v/>
      </c>
      <c r="R61" s="10">
        <f>ROUND($B$5*$B$11*$B$13*$B$16*$B$19*$B$21*$B$22,0)</f>
        <v/>
      </c>
      <c r="S61" s="10">
        <f>ROUND($B$5*$B$11*$B$13*$B$16*$B$19*$B$21*$B$23,0)</f>
        <v/>
      </c>
      <c r="T61" s="10">
        <f>ROUND($B$5*$B$11*$B$13*$B$17*$B$18*$B$20*$B$22,0)</f>
        <v/>
      </c>
      <c r="U61" s="10">
        <f>ROUND($B$5*$B$11*$B$13*$B$17*$B$18*$B$20*$B$23,0)</f>
        <v/>
      </c>
      <c r="V61" s="10">
        <f>ROUND($B$5*$B$11*$B$13*$B$17*$B$18*$B$21*$B$22,0)</f>
        <v/>
      </c>
      <c r="W61" s="10">
        <f>ROUND($B$5*$B$11*$B$13*$B$17*$B$18*$B$21*$B$23,0)</f>
        <v/>
      </c>
      <c r="X61" s="10">
        <f>ROUND($B$5*$B$11*$B$13*$B$17*$B$19*$B$20*$B$22,0)</f>
        <v/>
      </c>
      <c r="Y61" s="10">
        <f>ROUND($B$5*$B$11*$B$13*$B$17*$B$19*$B$20*$B$23,0)</f>
        <v/>
      </c>
      <c r="Z61" s="10">
        <f>ROUND($B$5*$B$11*$B$13*$B$17*$B$19*$B$21*$B$22,0)</f>
        <v/>
      </c>
      <c r="AA61" s="10">
        <f>ROUND($B$5*$B$11*$B$13*$B$17*$B$19*$B$21*$B$23,0)</f>
        <v/>
      </c>
    </row>
    <row r="62" ht="20.1" customHeight="1" s="62">
      <c r="A62" s="67" t="n"/>
      <c r="B62" s="59" t="n"/>
      <c r="C62" s="15" t="inlineStr">
        <is>
          <t>Complet (ISO / multi-réglementaire)</t>
        </is>
      </c>
      <c r="D62" s="10">
        <f>ROUND($B$6*$B$11*$B$13*$B$15*$B$18*$B$20*$B$22,0)</f>
        <v/>
      </c>
      <c r="E62" s="10">
        <f>ROUND($B$6*$B$11*$B$13*$B$15*$B$18*$B$20*$B$23,0)</f>
        <v/>
      </c>
      <c r="F62" s="10">
        <f>ROUND($B$6*$B$11*$B$13*$B$15*$B$18*$B$21*$B$22,0)</f>
        <v/>
      </c>
      <c r="G62" s="10">
        <f>ROUND($B$6*$B$11*$B$13*$B$15*$B$18*$B$21*$B$23,0)</f>
        <v/>
      </c>
      <c r="H62" s="10">
        <f>ROUND($B$6*$B$11*$B$13*$B$15*$B$19*$B$20*$B$22,0)</f>
        <v/>
      </c>
      <c r="I62" s="10">
        <f>ROUND($B$6*$B$11*$B$13*$B$15*$B$19*$B$20*$B$23,0)</f>
        <v/>
      </c>
      <c r="J62" s="10">
        <f>ROUND($B$6*$B$11*$B$13*$B$15*$B$19*$B$21*$B$22,0)</f>
        <v/>
      </c>
      <c r="K62" s="10">
        <f>ROUND($B$6*$B$11*$B$13*$B$15*$B$19*$B$21*$B$23,0)</f>
        <v/>
      </c>
      <c r="L62" s="10">
        <f>ROUND($B$6*$B$11*$B$13*$B$16*$B$18*$B$20*$B$22,0)</f>
        <v/>
      </c>
      <c r="M62" s="10">
        <f>ROUND($B$6*$B$11*$B$13*$B$16*$B$18*$B$20*$B$23,0)</f>
        <v/>
      </c>
      <c r="N62" s="10">
        <f>ROUND($B$6*$B$11*$B$13*$B$16*$B$18*$B$21*$B$22,0)</f>
        <v/>
      </c>
      <c r="O62" s="10">
        <f>ROUND($B$6*$B$11*$B$13*$B$16*$B$18*$B$21*$B$23,0)</f>
        <v/>
      </c>
      <c r="P62" s="10">
        <f>ROUND($B$6*$B$11*$B$13*$B$16*$B$19*$B$20*$B$22,0)</f>
        <v/>
      </c>
      <c r="Q62" s="10">
        <f>ROUND($B$6*$B$11*$B$13*$B$16*$B$19*$B$20*$B$23,0)</f>
        <v/>
      </c>
      <c r="R62" s="10">
        <f>ROUND($B$6*$B$11*$B$13*$B$16*$B$19*$B$21*$B$22,0)</f>
        <v/>
      </c>
      <c r="S62" s="10">
        <f>ROUND($B$6*$B$11*$B$13*$B$16*$B$19*$B$21*$B$23,0)</f>
        <v/>
      </c>
      <c r="T62" s="10">
        <f>ROUND($B$6*$B$11*$B$13*$B$17*$B$18*$B$20*$B$22,0)</f>
        <v/>
      </c>
      <c r="U62" s="10">
        <f>ROUND($B$6*$B$11*$B$13*$B$17*$B$18*$B$20*$B$23,0)</f>
        <v/>
      </c>
      <c r="V62" s="10">
        <f>ROUND($B$6*$B$11*$B$13*$B$17*$B$18*$B$21*$B$22,0)</f>
        <v/>
      </c>
      <c r="W62" s="10">
        <f>ROUND($B$6*$B$11*$B$13*$B$17*$B$18*$B$21*$B$23,0)</f>
        <v/>
      </c>
      <c r="X62" s="10">
        <f>ROUND($B$6*$B$11*$B$13*$B$17*$B$19*$B$20*$B$22,0)</f>
        <v/>
      </c>
      <c r="Y62" s="10">
        <f>ROUND($B$6*$B$11*$B$13*$B$17*$B$19*$B$20*$B$23,0)</f>
        <v/>
      </c>
      <c r="Z62" s="10">
        <f>ROUND($B$6*$B$11*$B$13*$B$17*$B$19*$B$21*$B$22,0)</f>
        <v/>
      </c>
      <c r="AA62" s="10">
        <f>ROUND($B$6*$B$11*$B$13*$B$17*$B$19*$B$21*$B$23,0)</f>
        <v/>
      </c>
    </row>
    <row r="63" ht="20.1" customHeight="1" s="62">
      <c r="A63" s="67" t="n"/>
      <c r="B63" s="57" t="inlineStr">
        <is>
          <t>4 normes et +</t>
        </is>
      </c>
      <c r="C63" s="14" t="inlineStr">
        <is>
          <t>Simple (RGPD uniquement)</t>
        </is>
      </c>
      <c r="D63" s="10">
        <f>ROUND($B$4*$B$11*$B$14*$B$15*$B$18*$B$20*$B$22,0)</f>
        <v/>
      </c>
      <c r="E63" s="10">
        <f>ROUND($B$4*$B$11*$B$14*$B$15*$B$18*$B$20*$B$23,0)</f>
        <v/>
      </c>
      <c r="F63" s="10">
        <f>ROUND($B$4*$B$11*$B$14*$B$15*$B$18*$B$21*$B$22,0)</f>
        <v/>
      </c>
      <c r="G63" s="10">
        <f>ROUND($B$4*$B$11*$B$14*$B$15*$B$18*$B$21*$B$23,0)</f>
        <v/>
      </c>
      <c r="H63" s="10">
        <f>ROUND($B$4*$B$11*$B$14*$B$15*$B$19*$B$20*$B$22,0)</f>
        <v/>
      </c>
      <c r="I63" s="10">
        <f>ROUND($B$4*$B$11*$B$14*$B$15*$B$19*$B$20*$B$23,0)</f>
        <v/>
      </c>
      <c r="J63" s="10">
        <f>ROUND($B$4*$B$11*$B$14*$B$15*$B$19*$B$21*$B$22,0)</f>
        <v/>
      </c>
      <c r="K63" s="10">
        <f>ROUND($B$4*$B$11*$B$14*$B$15*$B$19*$B$21*$B$23,0)</f>
        <v/>
      </c>
      <c r="L63" s="10">
        <f>ROUND($B$4*$B$11*$B$14*$B$16*$B$18*$B$20*$B$22,0)</f>
        <v/>
      </c>
      <c r="M63" s="10">
        <f>ROUND($B$4*$B$11*$B$14*$B$16*$B$18*$B$20*$B$23,0)</f>
        <v/>
      </c>
      <c r="N63" s="10">
        <f>ROUND($B$4*$B$11*$B$14*$B$16*$B$18*$B$21*$B$22,0)</f>
        <v/>
      </c>
      <c r="O63" s="10">
        <f>ROUND($B$4*$B$11*$B$14*$B$16*$B$18*$B$21*$B$23,0)</f>
        <v/>
      </c>
      <c r="P63" s="10">
        <f>ROUND($B$4*$B$11*$B$14*$B$16*$B$19*$B$20*$B$22,0)</f>
        <v/>
      </c>
      <c r="Q63" s="10">
        <f>ROUND($B$4*$B$11*$B$14*$B$16*$B$19*$B$20*$B$23,0)</f>
        <v/>
      </c>
      <c r="R63" s="10">
        <f>ROUND($B$4*$B$11*$B$14*$B$16*$B$19*$B$21*$B$22,0)</f>
        <v/>
      </c>
      <c r="S63" s="10">
        <f>ROUND($B$4*$B$11*$B$14*$B$16*$B$19*$B$21*$B$23,0)</f>
        <v/>
      </c>
      <c r="T63" s="10">
        <f>ROUND($B$4*$B$11*$B$14*$B$17*$B$18*$B$20*$B$22,0)</f>
        <v/>
      </c>
      <c r="U63" s="10">
        <f>ROUND($B$4*$B$11*$B$14*$B$17*$B$18*$B$20*$B$23,0)</f>
        <v/>
      </c>
      <c r="V63" s="10">
        <f>ROUND($B$4*$B$11*$B$14*$B$17*$B$18*$B$21*$B$22,0)</f>
        <v/>
      </c>
      <c r="W63" s="10">
        <f>ROUND($B$4*$B$11*$B$14*$B$17*$B$18*$B$21*$B$23,0)</f>
        <v/>
      </c>
      <c r="X63" s="10">
        <f>ROUND($B$4*$B$11*$B$14*$B$17*$B$19*$B$20*$B$22,0)</f>
        <v/>
      </c>
      <c r="Y63" s="10">
        <f>ROUND($B$4*$B$11*$B$14*$B$17*$B$19*$B$20*$B$23,0)</f>
        <v/>
      </c>
      <c r="Z63" s="10">
        <f>ROUND($B$4*$B$11*$B$14*$B$17*$B$19*$B$21*$B$22,0)</f>
        <v/>
      </c>
      <c r="AA63" s="10">
        <f>ROUND($B$4*$B$11*$B$14*$B$17*$B$19*$B$21*$B$23,0)</f>
        <v/>
      </c>
    </row>
    <row r="64" ht="20.1" customHeight="1" s="62">
      <c r="A64" s="67" t="n"/>
      <c r="B64" s="58" t="n"/>
      <c r="C64" s="57" t="inlineStr">
        <is>
          <t>Intermédiaire (1-2 normes ISO)</t>
        </is>
      </c>
      <c r="D64" s="10">
        <f>ROUND($B$5*$B$11*$B$14*$B$15*$B$18*$B$20*$B$22,0)</f>
        <v/>
      </c>
      <c r="E64" s="10">
        <f>ROUND($B$5*$B$11*$B$14*$B$15*$B$18*$B$20*$B$23,0)</f>
        <v/>
      </c>
      <c r="F64" s="10">
        <f>ROUND($B$5*$B$11*$B$14*$B$15*$B$18*$B$21*$B$22,0)</f>
        <v/>
      </c>
      <c r="G64" s="10">
        <f>ROUND($B$5*$B$11*$B$14*$B$15*$B$18*$B$21*$B$23,0)</f>
        <v/>
      </c>
      <c r="H64" s="10">
        <f>ROUND($B$5*$B$11*$B$14*$B$15*$B$19*$B$20*$B$22,0)</f>
        <v/>
      </c>
      <c r="I64" s="10">
        <f>ROUND($B$5*$B$11*$B$14*$B$15*$B$19*$B$20*$B$23,0)</f>
        <v/>
      </c>
      <c r="J64" s="10">
        <f>ROUND($B$5*$B$11*$B$14*$B$15*$B$19*$B$21*$B$22,0)</f>
        <v/>
      </c>
      <c r="K64" s="10">
        <f>ROUND($B$5*$B$11*$B$14*$B$15*$B$19*$B$21*$B$23,0)</f>
        <v/>
      </c>
      <c r="L64" s="10">
        <f>ROUND($B$5*$B$11*$B$14*$B$16*$B$18*$B$20*$B$22,0)</f>
        <v/>
      </c>
      <c r="M64" s="10">
        <f>ROUND($B$5*$B$11*$B$14*$B$16*$B$18*$B$20*$B$23,0)</f>
        <v/>
      </c>
      <c r="N64" s="10">
        <f>ROUND($B$5*$B$11*$B$14*$B$16*$B$18*$B$21*$B$22,0)</f>
        <v/>
      </c>
      <c r="O64" s="10">
        <f>ROUND($B$5*$B$11*$B$14*$B$16*$B$18*$B$21*$B$23,0)</f>
        <v/>
      </c>
      <c r="P64" s="10">
        <f>ROUND($B$5*$B$11*$B$14*$B$16*$B$19*$B$20*$B$22,0)</f>
        <v/>
      </c>
      <c r="Q64" s="10">
        <f>ROUND($B$5*$B$11*$B$14*$B$16*$B$19*$B$20*$B$23,0)</f>
        <v/>
      </c>
      <c r="R64" s="10">
        <f>ROUND($B$5*$B$11*$B$14*$B$16*$B$19*$B$21*$B$22,0)</f>
        <v/>
      </c>
      <c r="S64" s="10">
        <f>ROUND($B$5*$B$11*$B$14*$B$16*$B$19*$B$21*$B$23,0)</f>
        <v/>
      </c>
      <c r="T64" s="10">
        <f>ROUND($B$5*$B$11*$B$14*$B$17*$B$18*$B$20*$B$22,0)</f>
        <v/>
      </c>
      <c r="U64" s="10">
        <f>ROUND($B$5*$B$11*$B$14*$B$17*$B$18*$B$20*$B$23,0)</f>
        <v/>
      </c>
      <c r="V64" s="10">
        <f>ROUND($B$5*$B$11*$B$14*$B$17*$B$18*$B$21*$B$22,0)</f>
        <v/>
      </c>
      <c r="W64" s="10">
        <f>ROUND($B$5*$B$11*$B$14*$B$17*$B$18*$B$21*$B$23,0)</f>
        <v/>
      </c>
      <c r="X64" s="10">
        <f>ROUND($B$5*$B$11*$B$14*$B$17*$B$19*$B$20*$B$22,0)</f>
        <v/>
      </c>
      <c r="Y64" s="10">
        <f>ROUND($B$5*$B$11*$B$14*$B$17*$B$19*$B$20*$B$23,0)</f>
        <v/>
      </c>
      <c r="Z64" s="10">
        <f>ROUND($B$5*$B$11*$B$14*$B$17*$B$19*$B$21*$B$22,0)</f>
        <v/>
      </c>
      <c r="AA64" s="10">
        <f>ROUND($B$5*$B$11*$B$14*$B$17*$B$19*$B$21*$B$23,0)</f>
        <v/>
      </c>
    </row>
    <row r="65" ht="20.1" customHeight="1" s="62">
      <c r="A65" s="68" t="n"/>
      <c r="B65" s="59" t="n"/>
      <c r="C65" s="15" t="inlineStr">
        <is>
          <t>Complet (ISO / multi-réglementaire)</t>
        </is>
      </c>
      <c r="D65" s="10">
        <f>ROUND($B$6*$B$11*$B$14*$B$15*$B$18*$B$20*$B$22,0)</f>
        <v/>
      </c>
      <c r="E65" s="10">
        <f>ROUND($B$6*$B$11*$B$14*$B$15*$B$18*$B$20*$B$23,0)</f>
        <v/>
      </c>
      <c r="F65" s="10">
        <f>ROUND($B$6*$B$11*$B$14*$B$15*$B$18*$B$21*$B$22,0)</f>
        <v/>
      </c>
      <c r="G65" s="10">
        <f>ROUND($B$6*$B$11*$B$14*$B$15*$B$18*$B$21*$B$23,0)</f>
        <v/>
      </c>
      <c r="H65" s="10">
        <f>ROUND($B$6*$B$11*$B$14*$B$15*$B$19*$B$20*$B$22,0)</f>
        <v/>
      </c>
      <c r="I65" s="10">
        <f>ROUND($B$6*$B$11*$B$14*$B$15*$B$19*$B$20*$B$23,0)</f>
        <v/>
      </c>
      <c r="J65" s="10">
        <f>ROUND($B$6*$B$11*$B$14*$B$15*$B$19*$B$21*$B$22,0)</f>
        <v/>
      </c>
      <c r="K65" s="10">
        <f>ROUND($B$6*$B$11*$B$14*$B$15*$B$19*$B$21*$B$23,0)</f>
        <v/>
      </c>
      <c r="L65" s="10">
        <f>ROUND($B$6*$B$11*$B$14*$B$16*$B$18*$B$20*$B$22,0)</f>
        <v/>
      </c>
      <c r="M65" s="10">
        <f>ROUND($B$6*$B$11*$B$14*$B$16*$B$18*$B$20*$B$23,0)</f>
        <v/>
      </c>
      <c r="N65" s="10">
        <f>ROUND($B$6*$B$11*$B$14*$B$16*$B$18*$B$21*$B$22,0)</f>
        <v/>
      </c>
      <c r="O65" s="10">
        <f>ROUND($B$6*$B$11*$B$14*$B$16*$B$18*$B$21*$B$23,0)</f>
        <v/>
      </c>
      <c r="P65" s="10">
        <f>ROUND($B$6*$B$11*$B$14*$B$16*$B$19*$B$20*$B$22,0)</f>
        <v/>
      </c>
      <c r="Q65" s="10">
        <f>ROUND($B$6*$B$11*$B$14*$B$16*$B$19*$B$20*$B$23,0)</f>
        <v/>
      </c>
      <c r="R65" s="10">
        <f>ROUND($B$6*$B$11*$B$14*$B$16*$B$19*$B$21*$B$22,0)</f>
        <v/>
      </c>
      <c r="S65" s="10">
        <f>ROUND($B$6*$B$11*$B$14*$B$16*$B$19*$B$21*$B$23,0)</f>
        <v/>
      </c>
      <c r="T65" s="10">
        <f>ROUND($B$6*$B$11*$B$14*$B$17*$B$18*$B$20*$B$22,0)</f>
        <v/>
      </c>
      <c r="U65" s="10">
        <f>ROUND($B$6*$B$11*$B$14*$B$17*$B$18*$B$20*$B$23,0)</f>
        <v/>
      </c>
      <c r="V65" s="10">
        <f>ROUND($B$6*$B$11*$B$14*$B$17*$B$18*$B$21*$B$22,0)</f>
        <v/>
      </c>
      <c r="W65" s="10">
        <f>ROUND($B$6*$B$11*$B$14*$B$17*$B$18*$B$21*$B$23,0)</f>
        <v/>
      </c>
      <c r="X65" s="10">
        <f>ROUND($B$6*$B$11*$B$14*$B$17*$B$19*$B$20*$B$22,0)</f>
        <v/>
      </c>
      <c r="Y65" s="10">
        <f>ROUND($B$6*$B$11*$B$14*$B$17*$B$19*$B$20*$B$23,0)</f>
        <v/>
      </c>
      <c r="Z65" s="10">
        <f>ROUND($B$6*$B$11*$B$14*$B$17*$B$19*$B$21*$B$22,0)</f>
        <v/>
      </c>
      <c r="AA65" s="10">
        <f>ROUND($B$6*$B$11*$B$14*$B$17*$B$19*$B$21*$B$23,0)</f>
        <v/>
      </c>
    </row>
  </sheetData>
  <mergeCells count="45">
    <mergeCell ref="D26:K26"/>
    <mergeCell ref="H27:K27"/>
    <mergeCell ref="A7:AA7"/>
    <mergeCell ref="B30:B32"/>
    <mergeCell ref="C26:C29"/>
    <mergeCell ref="B33:B35"/>
    <mergeCell ref="R28:S28"/>
    <mergeCell ref="J28:K28"/>
    <mergeCell ref="L28:M28"/>
    <mergeCell ref="B36:B38"/>
    <mergeCell ref="L27:O27"/>
    <mergeCell ref="B54:B56"/>
    <mergeCell ref="B45:B47"/>
    <mergeCell ref="T27:W27"/>
    <mergeCell ref="A3:AA3"/>
    <mergeCell ref="A57:A65"/>
    <mergeCell ref="X27:AA27"/>
    <mergeCell ref="B51:B53"/>
    <mergeCell ref="V28:W28"/>
    <mergeCell ref="X28:Y28"/>
    <mergeCell ref="A2:AA2"/>
    <mergeCell ref="B63:B65"/>
    <mergeCell ref="T26:AA26"/>
    <mergeCell ref="L26:S26"/>
    <mergeCell ref="A26:A29"/>
    <mergeCell ref="N28:O28"/>
    <mergeCell ref="D28:E28"/>
    <mergeCell ref="A39:A47"/>
    <mergeCell ref="F28:G28"/>
    <mergeCell ref="P28:Q28"/>
    <mergeCell ref="H28:I28"/>
    <mergeCell ref="D27:G27"/>
    <mergeCell ref="B42:B44"/>
    <mergeCell ref="A48:A56"/>
    <mergeCell ref="P27:S27"/>
    <mergeCell ref="A30:A38"/>
    <mergeCell ref="B39:B41"/>
    <mergeCell ref="B57:B59"/>
    <mergeCell ref="B48:B50"/>
    <mergeCell ref="Z28:AA28"/>
    <mergeCell ref="B26:B29"/>
    <mergeCell ref="A24:AA24"/>
    <mergeCell ref="B60:B62"/>
    <mergeCell ref="T28:U28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3864"/>
    <outlinePr summaryBelow="1" summaryRight="1"/>
    <pageSetUpPr/>
  </sheetPr>
  <dimension ref="A1:AM66"/>
  <sheetViews>
    <sheetView topLeftCell="A4" workbookViewId="0">
      <pane xSplit="3" topLeftCell="D1" activePane="topRight" state="frozen"/>
      <selection pane="topRight" activeCell="A25" sqref="A25:AM25"/>
    </sheetView>
  </sheetViews>
  <sheetFormatPr baseColWidth="10" defaultColWidth="9.140625" defaultRowHeight="15"/>
  <cols>
    <col width="24" customWidth="1" style="62" min="1" max="1"/>
    <col width="28" customWidth="1" style="62" min="2" max="2"/>
    <col width="20" customWidth="1" style="62" min="3" max="3"/>
    <col width="14" customWidth="1" style="62" min="4" max="39"/>
  </cols>
  <sheetData>
    <row r="1" ht="33.95" customHeight="1" s="62">
      <c r="A1" s="72" t="inlineStr">
        <is>
          <t>GRILLE TARIFAIRE — Accompagnement mise en conformité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Forfait par niveau d'accompagnement</t>
        </is>
      </c>
    </row>
    <row r="4" ht="21.95" customHeight="1" s="62">
      <c r="A4" s="1" t="inlineStr">
        <is>
          <t>Tarif de base — Simple</t>
        </is>
      </c>
      <c r="B4" s="2" t="n">
        <v>5800</v>
      </c>
      <c r="C4" s="3" t="inlineStr">
        <is>
          <t>Fourchette indicative : 3 000 – 8 000 €</t>
        </is>
      </c>
    </row>
    <row r="5" ht="21.95" customHeight="1" s="62">
      <c r="A5" s="1" t="inlineStr">
        <is>
          <t>Tarif de base — Structuré (ISO / qualité)</t>
        </is>
      </c>
      <c r="B5" s="2" t="n">
        <v>12500</v>
      </c>
      <c r="C5" s="3" t="inlineStr">
        <is>
          <t>Fourchette indicative : 8 000 – 20 000 €</t>
        </is>
      </c>
    </row>
    <row r="6" ht="21.95" customHeight="1" s="62">
      <c r="A6" s="1" t="inlineStr">
        <is>
          <t>Tarif de base — Complet (multi-normes / secteurs exigeants)</t>
        </is>
      </c>
      <c r="B6" s="2" t="n">
        <v>22000</v>
      </c>
      <c r="C6" s="3" t="inlineStr">
        <is>
          <t>Fourchette indicative : 20 000 € +</t>
        </is>
      </c>
    </row>
    <row r="7" ht="21.95" customHeight="1" s="62" thickBot="1">
      <c r="A7" s="61" t="inlineStr">
        <is>
          <t>COEFFICIENTS MULTIPLICATEURS  —  1,00 = neutre. Ex : 1,20 = +20 %</t>
        </is>
      </c>
    </row>
    <row r="8" ht="20.1" customHeight="1" s="62" thickBot="1">
      <c r="A8" s="13" t="inlineStr">
        <is>
          <t>Coeff. taille — Micro (1-5 sal.)</t>
        </is>
      </c>
      <c r="B8" s="5" t="n">
        <v>0.75</v>
      </c>
      <c r="C8" s="6" t="inlineStr">
        <is>
          <t>Entreprise très petite → tarif réduit</t>
        </is>
      </c>
    </row>
    <row r="9" ht="20.1" customHeight="1" s="62" thickBot="1">
      <c r="A9" s="13" t="inlineStr">
        <is>
          <t>Coeff. taille — TPE (6-19 sal.)</t>
        </is>
      </c>
      <c r="B9" s="5" t="n">
        <v>1</v>
      </c>
      <c r="C9" s="6" t="inlineStr">
        <is>
          <t>Référence</t>
        </is>
      </c>
    </row>
    <row r="10" ht="20.1" customHeight="1" s="62">
      <c r="A10" s="13" t="inlineStr">
        <is>
          <t>Coeff. taille — PME (20-99 sal.)</t>
        </is>
      </c>
      <c r="B10" s="5" t="n">
        <v>1.45</v>
      </c>
      <c r="C10" s="6" t="inlineStr">
        <is>
          <t>Complexité accrue</t>
        </is>
      </c>
    </row>
    <row r="11" ht="20.1" customHeight="1" s="62">
      <c r="A11" s="13" t="inlineStr">
        <is>
          <t>Coeff. taille — ETI / Grand compte (100+)</t>
        </is>
      </c>
      <c r="B11" s="5" t="n">
        <v>2.1</v>
      </c>
      <c r="C11" s="6" t="inlineStr">
        <is>
          <t>Structure complexe</t>
        </is>
      </c>
    </row>
    <row r="12" ht="20.1" customHeight="1" s="62">
      <c r="A12" s="13" t="inlineStr">
        <is>
          <t>Coeff. complexité — Simple</t>
        </is>
      </c>
      <c r="B12" s="5" t="n">
        <v>0.85</v>
      </c>
      <c r="C12" s="6" t="inlineStr">
        <is>
          <t>Processus peu nombreux</t>
        </is>
      </c>
    </row>
    <row r="13" ht="20.1" customHeight="1" s="62">
      <c r="A13" s="13" t="inlineStr">
        <is>
          <t>Coeff. complexité — Modérée</t>
        </is>
      </c>
      <c r="B13" s="5" t="n">
        <v>1</v>
      </c>
      <c r="C13" s="6" t="inlineStr">
        <is>
          <t>Référence</t>
        </is>
      </c>
    </row>
    <row r="14" ht="20.1" customHeight="1" s="62">
      <c r="A14" s="13" t="inlineStr">
        <is>
          <t>Coeff. complexité — Complexe (multi-sites/équipes)</t>
        </is>
      </c>
      <c r="B14" s="5" t="n">
        <v>1.5</v>
      </c>
      <c r="C14" s="6" t="inlineStr">
        <is>
          <t>Coordination importante</t>
        </is>
      </c>
    </row>
    <row r="15" ht="20.1" customHeight="1" s="62">
      <c r="A15" s="13" t="inlineStr">
        <is>
          <t>Coeff. référentiels — 1 référentiel</t>
        </is>
      </c>
      <c r="B15" s="5" t="n">
        <v>0.8</v>
      </c>
      <c r="C15" s="6" t="inlineStr">
        <is>
          <t>Périmètre réduit</t>
        </is>
      </c>
    </row>
    <row r="16" ht="20.1" customHeight="1" s="62">
      <c r="A16" s="13" t="inlineStr">
        <is>
          <t>Coeff. référentiels — 2-3 référentiels</t>
        </is>
      </c>
      <c r="B16" s="5" t="n">
        <v>1</v>
      </c>
      <c r="C16" s="6" t="inlineStr">
        <is>
          <t>Référence</t>
        </is>
      </c>
    </row>
    <row r="17" ht="20.1" customHeight="1" s="62">
      <c r="A17" s="13" t="inlineStr">
        <is>
          <t>Coeff. référentiels — 4 référentiels et +</t>
        </is>
      </c>
      <c r="B17" s="5" t="n">
        <v>1.65</v>
      </c>
      <c r="C17" s="6" t="inlineStr">
        <is>
          <t>Charge de travail élevée</t>
        </is>
      </c>
    </row>
    <row r="18" ht="20.1" customHeight="1" s="62">
      <c r="A18" s="13" t="inlineStr">
        <is>
          <t>Coeff. secteur — Standard</t>
        </is>
      </c>
      <c r="B18" s="5" t="n">
        <v>1</v>
      </c>
      <c r="C18" s="6" t="inlineStr">
        <is>
          <t>Référence</t>
        </is>
      </c>
    </row>
    <row r="19" ht="20.1" customHeight="1" s="62">
      <c r="A19" s="13" t="inlineStr">
        <is>
          <t>Coeff. secteur — Tech / Industrie</t>
        </is>
      </c>
      <c r="B19" s="5" t="n">
        <v>1.25</v>
      </c>
      <c r="C19" s="6" t="inlineStr">
        <is>
          <t>Contraintes techniques spécifiques</t>
        </is>
      </c>
    </row>
    <row r="20" ht="20.1" customHeight="1" s="62">
      <c r="A20" s="13" t="inlineStr">
        <is>
          <t>Coeff. secteur — Santé / Finance (ultra-réglementé)</t>
        </is>
      </c>
      <c r="B20" s="5" t="n">
        <v>1.6</v>
      </c>
      <c r="C20" s="6" t="inlineStr">
        <is>
          <t>Exigences réglementaires maximales</t>
        </is>
      </c>
    </row>
    <row r="21" ht="20.1" customHeight="1" s="62">
      <c r="A21" s="13" t="inlineStr">
        <is>
          <t>Coeff. mode — Distanciel</t>
        </is>
      </c>
      <c r="B21" s="5" t="n">
        <v>1</v>
      </c>
      <c r="C21" s="6" t="inlineStr">
        <is>
          <t>Référence</t>
        </is>
      </c>
    </row>
    <row r="22" ht="20.1" customHeight="1" s="62">
      <c r="A22" s="13" t="inlineStr">
        <is>
          <t>Coeff. mode — Présentiel</t>
        </is>
      </c>
      <c r="B22" s="5" t="n">
        <v>1.2</v>
      </c>
      <c r="C22" s="6" t="inlineStr">
        <is>
          <t>Déplacement + ateliers sur site</t>
        </is>
      </c>
    </row>
    <row r="23" ht="20.1" customHeight="1" s="62">
      <c r="A23" s="13" t="inlineStr">
        <is>
          <t>Coeff. suivi — Sans suivi long terme</t>
        </is>
      </c>
      <c r="B23" s="5" t="n">
        <v>1</v>
      </c>
      <c r="C23" s="6" t="inlineStr">
        <is>
          <t>Référence</t>
        </is>
      </c>
    </row>
    <row r="24" ht="20.1" customHeight="1" s="62">
      <c r="A24" s="13" t="inlineStr">
        <is>
          <t>Coeff. suivi — Avec suivi long terme</t>
        </is>
      </c>
      <c r="B24" s="5" t="n">
        <v>1.4</v>
      </c>
      <c r="C24" s="6" t="inlineStr">
        <is>
          <t>Accompagnement continu inclus</t>
        </is>
      </c>
    </row>
    <row r="25" ht="24" customHeight="1" s="62">
      <c r="A25" s="71" t="inlineStr">
        <is>
          <t>▼  GRILLE TARIFAIRE CALCULÉE AUTOMATIQUEMENT  — Les cellules bleues sont en lecture seule (formules). Vous pouvez écraser une formule pour forcer un tarif précis.</t>
        </is>
      </c>
    </row>
    <row r="26" ht="6" customHeight="1" s="62"/>
    <row r="27" ht="38.1" customHeight="1" s="62">
      <c r="A27" s="54" t="inlineStr">
        <is>
          <t>Taille de l'entreprise</t>
        </is>
      </c>
      <c r="B27" s="60" t="inlineStr">
        <is>
          <t>Complexité organisationnelle</t>
        </is>
      </c>
      <c r="C27" s="63" t="inlineStr">
        <is>
          <t>Nb de référentiels</t>
        </is>
      </c>
      <c r="D27" s="54" t="inlineStr">
        <is>
          <t>Simple</t>
        </is>
      </c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6" t="n"/>
      <c r="P27" s="54" t="inlineStr">
        <is>
          <t>Structuré (ISO / qualité)</t>
        </is>
      </c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6" t="n"/>
      <c r="AB27" s="54" t="inlineStr">
        <is>
          <t>Complet (multi-normes / secteurs exigeants)</t>
        </is>
      </c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6" t="n"/>
    </row>
    <row r="28" ht="38.1" customHeight="1" s="62">
      <c r="A28" s="64" t="n"/>
      <c r="B28" s="64" t="n"/>
      <c r="C28" s="64" t="n"/>
      <c r="D28" s="60" t="inlineStr">
        <is>
          <t>Standard</t>
        </is>
      </c>
      <c r="E28" s="55" t="n"/>
      <c r="F28" s="55" t="n"/>
      <c r="G28" s="56" t="n"/>
      <c r="H28" s="60" t="inlineStr">
        <is>
          <t>Tech / Industrie</t>
        </is>
      </c>
      <c r="I28" s="55" t="n"/>
      <c r="J28" s="55" t="n"/>
      <c r="K28" s="56" t="n"/>
      <c r="L28" s="60" t="inlineStr">
        <is>
          <t>Santé / Finance (ultra-réglementé)</t>
        </is>
      </c>
      <c r="M28" s="55" t="n"/>
      <c r="N28" s="55" t="n"/>
      <c r="O28" s="56" t="n"/>
      <c r="P28" s="60" t="inlineStr">
        <is>
          <t>Standard</t>
        </is>
      </c>
      <c r="Q28" s="55" t="n"/>
      <c r="R28" s="55" t="n"/>
      <c r="S28" s="56" t="n"/>
      <c r="T28" s="60" t="inlineStr">
        <is>
          <t>Tech / Industrie</t>
        </is>
      </c>
      <c r="U28" s="55" t="n"/>
      <c r="V28" s="55" t="n"/>
      <c r="W28" s="56" t="n"/>
      <c r="X28" s="60" t="inlineStr">
        <is>
          <t>Santé / Finance (ultra-réglementé)</t>
        </is>
      </c>
      <c r="Y28" s="55" t="n"/>
      <c r="Z28" s="55" t="n"/>
      <c r="AA28" s="56" t="n"/>
      <c r="AB28" s="60" t="inlineStr">
        <is>
          <t>Standard</t>
        </is>
      </c>
      <c r="AC28" s="55" t="n"/>
      <c r="AD28" s="55" t="n"/>
      <c r="AE28" s="56" t="n"/>
      <c r="AF28" s="60" t="inlineStr">
        <is>
          <t>Tech / Industrie</t>
        </is>
      </c>
      <c r="AG28" s="55" t="n"/>
      <c r="AH28" s="55" t="n"/>
      <c r="AI28" s="56" t="n"/>
      <c r="AJ28" s="60" t="inlineStr">
        <is>
          <t>Santé / Finance (ultra-réglementé)</t>
        </is>
      </c>
      <c r="AK28" s="55" t="n"/>
      <c r="AL28" s="55" t="n"/>
      <c r="AM28" s="56" t="n"/>
    </row>
    <row r="29" ht="38.1" customHeight="1" s="62">
      <c r="A29" s="64" t="n"/>
      <c r="B29" s="64" t="n"/>
      <c r="C29" s="64" t="n"/>
      <c r="D29" s="63" t="inlineStr">
        <is>
          <t>Distanciel</t>
        </is>
      </c>
      <c r="E29" s="56" t="n"/>
      <c r="F29" s="63" t="inlineStr">
        <is>
          <t>Présentiel</t>
        </is>
      </c>
      <c r="G29" s="56" t="n"/>
      <c r="H29" s="63" t="inlineStr">
        <is>
          <t>Distanciel</t>
        </is>
      </c>
      <c r="I29" s="56" t="n"/>
      <c r="J29" s="63" t="inlineStr">
        <is>
          <t>Présentiel</t>
        </is>
      </c>
      <c r="K29" s="56" t="n"/>
      <c r="L29" s="63" t="inlineStr">
        <is>
          <t>Distanciel</t>
        </is>
      </c>
      <c r="M29" s="56" t="n"/>
      <c r="N29" s="63" t="inlineStr">
        <is>
          <t>Présentiel</t>
        </is>
      </c>
      <c r="O29" s="56" t="n"/>
      <c r="P29" s="63" t="inlineStr">
        <is>
          <t>Distanciel</t>
        </is>
      </c>
      <c r="Q29" s="56" t="n"/>
      <c r="R29" s="63" t="inlineStr">
        <is>
          <t>Présentiel</t>
        </is>
      </c>
      <c r="S29" s="56" t="n"/>
      <c r="T29" s="63" t="inlineStr">
        <is>
          <t>Distanciel</t>
        </is>
      </c>
      <c r="U29" s="56" t="n"/>
      <c r="V29" s="63" t="inlineStr">
        <is>
          <t>Présentiel</t>
        </is>
      </c>
      <c r="W29" s="56" t="n"/>
      <c r="X29" s="63" t="inlineStr">
        <is>
          <t>Distanciel</t>
        </is>
      </c>
      <c r="Y29" s="56" t="n"/>
      <c r="Z29" s="63" t="inlineStr">
        <is>
          <t>Présentiel</t>
        </is>
      </c>
      <c r="AA29" s="56" t="n"/>
      <c r="AB29" s="63" t="inlineStr">
        <is>
          <t>Distanciel</t>
        </is>
      </c>
      <c r="AC29" s="56" t="n"/>
      <c r="AD29" s="63" t="inlineStr">
        <is>
          <t>Présentiel</t>
        </is>
      </c>
      <c r="AE29" s="56" t="n"/>
      <c r="AF29" s="63" t="inlineStr">
        <is>
          <t>Distanciel</t>
        </is>
      </c>
      <c r="AG29" s="56" t="n"/>
      <c r="AH29" s="63" t="inlineStr">
        <is>
          <t>Présentiel</t>
        </is>
      </c>
      <c r="AI29" s="56" t="n"/>
      <c r="AJ29" s="63" t="inlineStr">
        <is>
          <t>Distanciel</t>
        </is>
      </c>
      <c r="AK29" s="56" t="n"/>
      <c r="AL29" s="63" t="inlineStr">
        <is>
          <t>Présentiel</t>
        </is>
      </c>
      <c r="AM29" s="56" t="n"/>
    </row>
    <row r="30" ht="38.1" customHeight="1" s="62">
      <c r="A30" s="65" t="n"/>
      <c r="B30" s="65" t="n"/>
      <c r="C30" s="65" t="n"/>
      <c r="D30" s="7" t="inlineStr">
        <is>
          <t>Sans suivi long terme</t>
        </is>
      </c>
      <c r="E30" s="7" t="inlineStr">
        <is>
          <t>Avec suivi long terme</t>
        </is>
      </c>
      <c r="F30" s="7" t="inlineStr">
        <is>
          <t>Sans suivi long terme</t>
        </is>
      </c>
      <c r="G30" s="7" t="inlineStr">
        <is>
          <t>Avec suivi long terme</t>
        </is>
      </c>
      <c r="H30" s="7" t="inlineStr">
        <is>
          <t>Sans suivi long terme</t>
        </is>
      </c>
      <c r="I30" s="7" t="inlineStr">
        <is>
          <t>Avec suivi long terme</t>
        </is>
      </c>
      <c r="J30" s="7" t="inlineStr">
        <is>
          <t>Sans suivi long terme</t>
        </is>
      </c>
      <c r="K30" s="7" t="inlineStr">
        <is>
          <t>Avec suivi long terme</t>
        </is>
      </c>
      <c r="L30" s="7" t="inlineStr">
        <is>
          <t>Sans suivi long terme</t>
        </is>
      </c>
      <c r="M30" s="7" t="inlineStr">
        <is>
          <t>Avec suivi long terme</t>
        </is>
      </c>
      <c r="N30" s="7" t="inlineStr">
        <is>
          <t>Sans suivi long terme</t>
        </is>
      </c>
      <c r="O30" s="7" t="inlineStr">
        <is>
          <t>Avec suivi long terme</t>
        </is>
      </c>
      <c r="P30" s="7" t="inlineStr">
        <is>
          <t>Sans suivi long terme</t>
        </is>
      </c>
      <c r="Q30" s="7" t="inlineStr">
        <is>
          <t>Avec suivi long terme</t>
        </is>
      </c>
      <c r="R30" s="7" t="inlineStr">
        <is>
          <t>Sans suivi long terme</t>
        </is>
      </c>
      <c r="S30" s="7" t="inlineStr">
        <is>
          <t>Avec suivi long terme</t>
        </is>
      </c>
      <c r="T30" s="7" t="inlineStr">
        <is>
          <t>Sans suivi long terme</t>
        </is>
      </c>
      <c r="U30" s="7" t="inlineStr">
        <is>
          <t>Avec suivi long terme</t>
        </is>
      </c>
      <c r="V30" s="7" t="inlineStr">
        <is>
          <t>Sans suivi long terme</t>
        </is>
      </c>
      <c r="W30" s="7" t="inlineStr">
        <is>
          <t>Avec suivi long terme</t>
        </is>
      </c>
      <c r="X30" s="7" t="inlineStr">
        <is>
          <t>Sans suivi long terme</t>
        </is>
      </c>
      <c r="Y30" s="7" t="inlineStr">
        <is>
          <t>Avec suivi long terme</t>
        </is>
      </c>
      <c r="Z30" s="7" t="inlineStr">
        <is>
          <t>Sans suivi long terme</t>
        </is>
      </c>
      <c r="AA30" s="7" t="inlineStr">
        <is>
          <t>Avec suivi long terme</t>
        </is>
      </c>
      <c r="AB30" s="7" t="inlineStr">
        <is>
          <t>Sans suivi long terme</t>
        </is>
      </c>
      <c r="AC30" s="7" t="inlineStr">
        <is>
          <t>Avec suivi long terme</t>
        </is>
      </c>
      <c r="AD30" s="7" t="inlineStr">
        <is>
          <t>Sans suivi long terme</t>
        </is>
      </c>
      <c r="AE30" s="7" t="inlineStr">
        <is>
          <t>Avec suivi long terme</t>
        </is>
      </c>
      <c r="AF30" s="7" t="inlineStr">
        <is>
          <t>Sans suivi long terme</t>
        </is>
      </c>
      <c r="AG30" s="7" t="inlineStr">
        <is>
          <t>Avec suivi long terme</t>
        </is>
      </c>
      <c r="AH30" s="7" t="inlineStr">
        <is>
          <t>Sans suivi long terme</t>
        </is>
      </c>
      <c r="AI30" s="7" t="inlineStr">
        <is>
          <t>Avec suivi long terme</t>
        </is>
      </c>
      <c r="AJ30" s="7" t="inlineStr">
        <is>
          <t>Sans suivi long terme</t>
        </is>
      </c>
      <c r="AK30" s="7" t="inlineStr">
        <is>
          <t>Avec suivi long terme</t>
        </is>
      </c>
      <c r="AL30" s="7" t="inlineStr">
        <is>
          <t>Sans suivi long terme</t>
        </is>
      </c>
      <c r="AM30" s="7" t="inlineStr">
        <is>
          <t>Avec suivi long terme</t>
        </is>
      </c>
    </row>
    <row r="31" ht="20.1" customHeight="1" s="62">
      <c r="A31" s="66" t="inlineStr">
        <is>
          <t>Micro (1-5 sal.)</t>
        </is>
      </c>
      <c r="B31" s="57" t="inlineStr">
        <is>
          <t>Simple (processus peu nombreux)</t>
        </is>
      </c>
      <c r="C31" s="14" t="inlineStr">
        <is>
          <t>1 référentiel</t>
        </is>
      </c>
      <c r="D31" s="10">
        <f>ROUND($B$4*$B$8*$B$12*$B$15*$B$18*$B$21*$B$23,0)</f>
        <v/>
      </c>
      <c r="E31" s="10">
        <f>ROUND($B$4*$B$8*$B$12*$B$15*$B$18*$B$21*$B$24,0)</f>
        <v/>
      </c>
      <c r="F31" s="10">
        <f>ROUND($B$4*$B$8*$B$12*$B$15*$B$18*$B$22*$B$23,0)</f>
        <v/>
      </c>
      <c r="G31" s="10">
        <f>ROUND($B$4*$B$8*$B$12*$B$15*$B$18*$B$22*$B$24,0)</f>
        <v/>
      </c>
      <c r="H31" s="10">
        <f>ROUND($B$4*$B$8*$B$12*$B$15*$B$19*$B$21*$B$23,0)</f>
        <v/>
      </c>
      <c r="I31" s="10">
        <f>ROUND($B$4*$B$8*$B$12*$B$15*$B$19*$B$21*$B$24,0)</f>
        <v/>
      </c>
      <c r="J31" s="10">
        <f>ROUND($B$4*$B$8*$B$12*$B$15*$B$19*$B$22*$B$23,0)</f>
        <v/>
      </c>
      <c r="K31" s="10">
        <f>ROUND($B$4*$B$8*$B$12*$B$15*$B$19*$B$22*$B$24,0)</f>
        <v/>
      </c>
      <c r="L31" s="10">
        <f>ROUND($B$4*$B$8*$B$12*$B$15*$B$20*$B$21*$B$23,0)</f>
        <v/>
      </c>
      <c r="M31" s="10">
        <f>ROUND($B$4*$B$8*$B$12*$B$15*$B$20*$B$21*$B$24,0)</f>
        <v/>
      </c>
      <c r="N31" s="10">
        <f>ROUND($B$4*$B$8*$B$12*$B$15*$B$20*$B$22*$B$23,0)</f>
        <v/>
      </c>
      <c r="O31" s="10">
        <f>ROUND($B$4*$B$8*$B$12*$B$15*$B$20*$B$22*$B$24,0)</f>
        <v/>
      </c>
      <c r="P31" s="10">
        <f>ROUND($B$5*$B$8*$B$12*$B$15*$B$18*$B$21*$B$23,0)</f>
        <v/>
      </c>
      <c r="Q31" s="10">
        <f>ROUND($B$5*$B$8*$B$12*$B$15*$B$18*$B$21*$B$24,0)</f>
        <v/>
      </c>
      <c r="R31" s="10">
        <f>ROUND($B$5*$B$8*$B$12*$B$15*$B$18*$B$22*$B$23,0)</f>
        <v/>
      </c>
      <c r="S31" s="10">
        <f>ROUND($B$5*$B$8*$B$12*$B$15*$B$18*$B$22*$B$24,0)</f>
        <v/>
      </c>
      <c r="T31" s="10">
        <f>ROUND($B$5*$B$8*$B$12*$B$15*$B$19*$B$21*$B$23,0)</f>
        <v/>
      </c>
      <c r="U31" s="10">
        <f>ROUND($B$5*$B$8*$B$12*$B$15*$B$19*$B$21*$B$24,0)</f>
        <v/>
      </c>
      <c r="V31" s="10">
        <f>ROUND($B$5*$B$8*$B$12*$B$15*$B$19*$B$22*$B$23,0)</f>
        <v/>
      </c>
      <c r="W31" s="10">
        <f>ROUND($B$5*$B$8*$B$12*$B$15*$B$19*$B$22*$B$24,0)</f>
        <v/>
      </c>
      <c r="X31" s="10">
        <f>ROUND($B$5*$B$8*$B$12*$B$15*$B$20*$B$21*$B$23,0)</f>
        <v/>
      </c>
      <c r="Y31" s="10">
        <f>ROUND($B$5*$B$8*$B$12*$B$15*$B$20*$B$21*$B$24,0)</f>
        <v/>
      </c>
      <c r="Z31" s="10">
        <f>ROUND($B$5*$B$8*$B$12*$B$15*$B$20*$B$22*$B$23,0)</f>
        <v/>
      </c>
      <c r="AA31" s="10">
        <f>ROUND($B$5*$B$8*$B$12*$B$15*$B$20*$B$22*$B$24,0)</f>
        <v/>
      </c>
      <c r="AB31" s="10">
        <f>ROUND($B$6*$B$8*$B$12*$B$15*$B$18*$B$21*$B$23,0)</f>
        <v/>
      </c>
      <c r="AC31" s="10">
        <f>ROUND($B$6*$B$8*$B$12*$B$15*$B$18*$B$21*$B$24,0)</f>
        <v/>
      </c>
      <c r="AD31" s="10">
        <f>ROUND($B$6*$B$8*$B$12*$B$15*$B$18*$B$22*$B$23,0)</f>
        <v/>
      </c>
      <c r="AE31" s="10">
        <f>ROUND($B$6*$B$8*$B$12*$B$15*$B$18*$B$22*$B$24,0)</f>
        <v/>
      </c>
      <c r="AF31" s="10">
        <f>ROUND($B$6*$B$8*$B$12*$B$15*$B$19*$B$21*$B$23,0)</f>
        <v/>
      </c>
      <c r="AG31" s="10">
        <f>ROUND($B$6*$B$8*$B$12*$B$15*$B$19*$B$21*$B$24,0)</f>
        <v/>
      </c>
      <c r="AH31" s="10">
        <f>ROUND($B$6*$B$8*$B$12*$B$15*$B$19*$B$22*$B$23,0)</f>
        <v/>
      </c>
      <c r="AI31" s="10">
        <f>ROUND($B$6*$B$8*$B$12*$B$15*$B$19*$B$22*$B$24,0)</f>
        <v/>
      </c>
      <c r="AJ31" s="10">
        <f>ROUND($B$6*$B$8*$B$12*$B$15*$B$20*$B$21*$B$23,0)</f>
        <v/>
      </c>
      <c r="AK31" s="10">
        <f>ROUND($B$6*$B$8*$B$12*$B$15*$B$20*$B$21*$B$24,0)</f>
        <v/>
      </c>
      <c r="AL31" s="10">
        <f>ROUND($B$6*$B$8*$B$12*$B$15*$B$20*$B$22*$B$23,0)</f>
        <v/>
      </c>
      <c r="AM31" s="10">
        <f>ROUND($B$6*$B$8*$B$12*$B$15*$B$20*$B$22*$B$24,0)</f>
        <v/>
      </c>
    </row>
    <row r="32" ht="20.1" customHeight="1" s="62">
      <c r="A32" s="67" t="n"/>
      <c r="B32" s="58" t="n"/>
      <c r="C32" s="57" t="inlineStr">
        <is>
          <t>2-3 référentiels</t>
        </is>
      </c>
      <c r="D32" s="10">
        <f>ROUND($B$4*$B$8*$B$12*$B$16*$B$18*$B$21*$B$23,0)</f>
        <v/>
      </c>
      <c r="E32" s="10">
        <f>ROUND($B$4*$B$8*$B$12*$B$16*$B$18*$B$21*$B$24,0)</f>
        <v/>
      </c>
      <c r="F32" s="10">
        <f>ROUND($B$4*$B$8*$B$12*$B$16*$B$18*$B$22*$B$23,0)</f>
        <v/>
      </c>
      <c r="G32" s="10">
        <f>ROUND($B$4*$B$8*$B$12*$B$16*$B$18*$B$22*$B$24,0)</f>
        <v/>
      </c>
      <c r="H32" s="10">
        <f>ROUND($B$4*$B$8*$B$12*$B$16*$B$19*$B$21*$B$23,0)</f>
        <v/>
      </c>
      <c r="I32" s="10">
        <f>ROUND($B$4*$B$8*$B$12*$B$16*$B$19*$B$21*$B$24,0)</f>
        <v/>
      </c>
      <c r="J32" s="10">
        <f>ROUND($B$4*$B$8*$B$12*$B$16*$B$19*$B$22*$B$23,0)</f>
        <v/>
      </c>
      <c r="K32" s="10">
        <f>ROUND($B$4*$B$8*$B$12*$B$16*$B$19*$B$22*$B$24,0)</f>
        <v/>
      </c>
      <c r="L32" s="10">
        <f>ROUND($B$4*$B$8*$B$12*$B$16*$B$20*$B$21*$B$23,0)</f>
        <v/>
      </c>
      <c r="M32" s="10">
        <f>ROUND($B$4*$B$8*$B$12*$B$16*$B$20*$B$21*$B$24,0)</f>
        <v/>
      </c>
      <c r="N32" s="10">
        <f>ROUND($B$4*$B$8*$B$12*$B$16*$B$20*$B$22*$B$23,0)</f>
        <v/>
      </c>
      <c r="O32" s="10">
        <f>ROUND($B$4*$B$8*$B$12*$B$16*$B$20*$B$22*$B$24,0)</f>
        <v/>
      </c>
      <c r="P32" s="10">
        <f>ROUND($B$5*$B$8*$B$12*$B$16*$B$18*$B$21*$B$23,0)</f>
        <v/>
      </c>
      <c r="Q32" s="10">
        <f>ROUND($B$5*$B$8*$B$12*$B$16*$B$18*$B$21*$B$24,0)</f>
        <v/>
      </c>
      <c r="R32" s="10">
        <f>ROUND($B$5*$B$8*$B$12*$B$16*$B$18*$B$22*$B$23,0)</f>
        <v/>
      </c>
      <c r="S32" s="10">
        <f>ROUND($B$5*$B$8*$B$12*$B$16*$B$18*$B$22*$B$24,0)</f>
        <v/>
      </c>
      <c r="T32" s="10">
        <f>ROUND($B$5*$B$8*$B$12*$B$16*$B$19*$B$21*$B$23,0)</f>
        <v/>
      </c>
      <c r="U32" s="10">
        <f>ROUND($B$5*$B$8*$B$12*$B$16*$B$19*$B$21*$B$24,0)</f>
        <v/>
      </c>
      <c r="V32" s="10">
        <f>ROUND($B$5*$B$8*$B$12*$B$16*$B$19*$B$22*$B$23,0)</f>
        <v/>
      </c>
      <c r="W32" s="10">
        <f>ROUND($B$5*$B$8*$B$12*$B$16*$B$19*$B$22*$B$24,0)</f>
        <v/>
      </c>
      <c r="X32" s="10">
        <f>ROUND($B$5*$B$8*$B$12*$B$16*$B$20*$B$21*$B$23,0)</f>
        <v/>
      </c>
      <c r="Y32" s="10">
        <f>ROUND($B$5*$B$8*$B$12*$B$16*$B$20*$B$21*$B$24,0)</f>
        <v/>
      </c>
      <c r="Z32" s="10">
        <f>ROUND($B$5*$B$8*$B$12*$B$16*$B$20*$B$22*$B$23,0)</f>
        <v/>
      </c>
      <c r="AA32" s="10">
        <f>ROUND($B$5*$B$8*$B$12*$B$16*$B$20*$B$22*$B$24,0)</f>
        <v/>
      </c>
      <c r="AB32" s="10">
        <f>ROUND($B$6*$B$8*$B$12*$B$16*$B$18*$B$21*$B$23,0)</f>
        <v/>
      </c>
      <c r="AC32" s="10">
        <f>ROUND($B$6*$B$8*$B$12*$B$16*$B$18*$B$21*$B$24,0)</f>
        <v/>
      </c>
      <c r="AD32" s="10">
        <f>ROUND($B$6*$B$8*$B$12*$B$16*$B$18*$B$22*$B$23,0)</f>
        <v/>
      </c>
      <c r="AE32" s="10">
        <f>ROUND($B$6*$B$8*$B$12*$B$16*$B$18*$B$22*$B$24,0)</f>
        <v/>
      </c>
      <c r="AF32" s="10">
        <f>ROUND($B$6*$B$8*$B$12*$B$16*$B$19*$B$21*$B$23,0)</f>
        <v/>
      </c>
      <c r="AG32" s="10">
        <f>ROUND($B$6*$B$8*$B$12*$B$16*$B$19*$B$21*$B$24,0)</f>
        <v/>
      </c>
      <c r="AH32" s="10">
        <f>ROUND($B$6*$B$8*$B$12*$B$16*$B$19*$B$22*$B$23,0)</f>
        <v/>
      </c>
      <c r="AI32" s="10">
        <f>ROUND($B$6*$B$8*$B$12*$B$16*$B$19*$B$22*$B$24,0)</f>
        <v/>
      </c>
      <c r="AJ32" s="10">
        <f>ROUND($B$6*$B$8*$B$12*$B$16*$B$20*$B$21*$B$23,0)</f>
        <v/>
      </c>
      <c r="AK32" s="10">
        <f>ROUND($B$6*$B$8*$B$12*$B$16*$B$20*$B$21*$B$24,0)</f>
        <v/>
      </c>
      <c r="AL32" s="10">
        <f>ROUND($B$6*$B$8*$B$12*$B$16*$B$20*$B$22*$B$23,0)</f>
        <v/>
      </c>
      <c r="AM32" s="10">
        <f>ROUND($B$6*$B$8*$B$12*$B$16*$B$20*$B$22*$B$24,0)</f>
        <v/>
      </c>
    </row>
    <row r="33" ht="20.1" customHeight="1" s="62">
      <c r="A33" s="67" t="n"/>
      <c r="B33" s="59" t="n"/>
      <c r="C33" s="15" t="inlineStr">
        <is>
          <t>4 référentiels et +</t>
        </is>
      </c>
      <c r="D33" s="10">
        <f>ROUND($B$4*$B$8*$B$12*$B$17*$B$18*$B$21*$B$23,0)</f>
        <v/>
      </c>
      <c r="E33" s="10">
        <f>ROUND($B$4*$B$8*$B$12*$B$17*$B$18*$B$21*$B$24,0)</f>
        <v/>
      </c>
      <c r="F33" s="10">
        <f>ROUND($B$4*$B$8*$B$12*$B$17*$B$18*$B$22*$B$23,0)</f>
        <v/>
      </c>
      <c r="G33" s="10">
        <f>ROUND($B$4*$B$8*$B$12*$B$17*$B$18*$B$22*$B$24,0)</f>
        <v/>
      </c>
      <c r="H33" s="10">
        <f>ROUND($B$4*$B$8*$B$12*$B$17*$B$19*$B$21*$B$23,0)</f>
        <v/>
      </c>
      <c r="I33" s="10">
        <f>ROUND($B$4*$B$8*$B$12*$B$17*$B$19*$B$21*$B$24,0)</f>
        <v/>
      </c>
      <c r="J33" s="10">
        <f>ROUND($B$4*$B$8*$B$12*$B$17*$B$19*$B$22*$B$23,0)</f>
        <v/>
      </c>
      <c r="K33" s="10">
        <f>ROUND($B$4*$B$8*$B$12*$B$17*$B$19*$B$22*$B$24,0)</f>
        <v/>
      </c>
      <c r="L33" s="10">
        <f>ROUND($B$4*$B$8*$B$12*$B$17*$B$20*$B$21*$B$23,0)</f>
        <v/>
      </c>
      <c r="M33" s="10">
        <f>ROUND($B$4*$B$8*$B$12*$B$17*$B$20*$B$21*$B$24,0)</f>
        <v/>
      </c>
      <c r="N33" s="10">
        <f>ROUND($B$4*$B$8*$B$12*$B$17*$B$20*$B$22*$B$23,0)</f>
        <v/>
      </c>
      <c r="O33" s="10">
        <f>ROUND($B$4*$B$8*$B$12*$B$17*$B$20*$B$22*$B$24,0)</f>
        <v/>
      </c>
      <c r="P33" s="10">
        <f>ROUND($B$5*$B$8*$B$12*$B$17*$B$18*$B$21*$B$23,0)</f>
        <v/>
      </c>
      <c r="Q33" s="10">
        <f>ROUND($B$5*$B$8*$B$12*$B$17*$B$18*$B$21*$B$24,0)</f>
        <v/>
      </c>
      <c r="R33" s="10">
        <f>ROUND($B$5*$B$8*$B$12*$B$17*$B$18*$B$22*$B$23,0)</f>
        <v/>
      </c>
      <c r="S33" s="10">
        <f>ROUND($B$5*$B$8*$B$12*$B$17*$B$18*$B$22*$B$24,0)</f>
        <v/>
      </c>
      <c r="T33" s="10">
        <f>ROUND($B$5*$B$8*$B$12*$B$17*$B$19*$B$21*$B$23,0)</f>
        <v/>
      </c>
      <c r="U33" s="10">
        <f>ROUND($B$5*$B$8*$B$12*$B$17*$B$19*$B$21*$B$24,0)</f>
        <v/>
      </c>
      <c r="V33" s="10">
        <f>ROUND($B$5*$B$8*$B$12*$B$17*$B$19*$B$22*$B$23,0)</f>
        <v/>
      </c>
      <c r="W33" s="10">
        <f>ROUND($B$5*$B$8*$B$12*$B$17*$B$19*$B$22*$B$24,0)</f>
        <v/>
      </c>
      <c r="X33" s="10">
        <f>ROUND($B$5*$B$8*$B$12*$B$17*$B$20*$B$21*$B$23,0)</f>
        <v/>
      </c>
      <c r="Y33" s="10">
        <f>ROUND($B$5*$B$8*$B$12*$B$17*$B$20*$B$21*$B$24,0)</f>
        <v/>
      </c>
      <c r="Z33" s="10">
        <f>ROUND($B$5*$B$8*$B$12*$B$17*$B$20*$B$22*$B$23,0)</f>
        <v/>
      </c>
      <c r="AA33" s="10">
        <f>ROUND($B$5*$B$8*$B$12*$B$17*$B$20*$B$22*$B$24,0)</f>
        <v/>
      </c>
      <c r="AB33" s="10">
        <f>ROUND($B$6*$B$8*$B$12*$B$17*$B$18*$B$21*$B$23,0)</f>
        <v/>
      </c>
      <c r="AC33" s="10">
        <f>ROUND($B$6*$B$8*$B$12*$B$17*$B$18*$B$21*$B$24,0)</f>
        <v/>
      </c>
      <c r="AD33" s="10">
        <f>ROUND($B$6*$B$8*$B$12*$B$17*$B$18*$B$22*$B$23,0)</f>
        <v/>
      </c>
      <c r="AE33" s="10">
        <f>ROUND($B$6*$B$8*$B$12*$B$17*$B$18*$B$22*$B$24,0)</f>
        <v/>
      </c>
      <c r="AF33" s="10">
        <f>ROUND($B$6*$B$8*$B$12*$B$17*$B$19*$B$21*$B$23,0)</f>
        <v/>
      </c>
      <c r="AG33" s="10">
        <f>ROUND($B$6*$B$8*$B$12*$B$17*$B$19*$B$21*$B$24,0)</f>
        <v/>
      </c>
      <c r="AH33" s="10">
        <f>ROUND($B$6*$B$8*$B$12*$B$17*$B$19*$B$22*$B$23,0)</f>
        <v/>
      </c>
      <c r="AI33" s="10">
        <f>ROUND($B$6*$B$8*$B$12*$B$17*$B$19*$B$22*$B$24,0)</f>
        <v/>
      </c>
      <c r="AJ33" s="10">
        <f>ROUND($B$6*$B$8*$B$12*$B$17*$B$20*$B$21*$B$23,0)</f>
        <v/>
      </c>
      <c r="AK33" s="10">
        <f>ROUND($B$6*$B$8*$B$12*$B$17*$B$20*$B$21*$B$24,0)</f>
        <v/>
      </c>
      <c r="AL33" s="10">
        <f>ROUND($B$6*$B$8*$B$12*$B$17*$B$20*$B$22*$B$23,0)</f>
        <v/>
      </c>
      <c r="AM33" s="10">
        <f>ROUND($B$6*$B$8*$B$12*$B$17*$B$20*$B$22*$B$24,0)</f>
        <v/>
      </c>
    </row>
    <row r="34" ht="20.1" customHeight="1" s="62">
      <c r="A34" s="67" t="n"/>
      <c r="B34" s="57" t="inlineStr">
        <is>
          <t>Modérée</t>
        </is>
      </c>
      <c r="C34" s="14" t="inlineStr">
        <is>
          <t>1 référentiel</t>
        </is>
      </c>
      <c r="D34" s="10">
        <f>ROUND($B$4*$B$8*$B$13*$B$15*$B$18*$B$21*$B$23,0)</f>
        <v/>
      </c>
      <c r="E34" s="10">
        <f>ROUND($B$4*$B$8*$B$13*$B$15*$B$18*$B$21*$B$24,0)</f>
        <v/>
      </c>
      <c r="F34" s="10">
        <f>ROUND($B$4*$B$8*$B$13*$B$15*$B$18*$B$22*$B$23,0)</f>
        <v/>
      </c>
      <c r="G34" s="10">
        <f>ROUND($B$4*$B$8*$B$13*$B$15*$B$18*$B$22*$B$24,0)</f>
        <v/>
      </c>
      <c r="H34" s="10">
        <f>ROUND($B$4*$B$8*$B$13*$B$15*$B$19*$B$21*$B$23,0)</f>
        <v/>
      </c>
      <c r="I34" s="10">
        <f>ROUND($B$4*$B$8*$B$13*$B$15*$B$19*$B$21*$B$24,0)</f>
        <v/>
      </c>
      <c r="J34" s="10">
        <f>ROUND($B$4*$B$8*$B$13*$B$15*$B$19*$B$22*$B$23,0)</f>
        <v/>
      </c>
      <c r="K34" s="10">
        <f>ROUND($B$4*$B$8*$B$13*$B$15*$B$19*$B$22*$B$24,0)</f>
        <v/>
      </c>
      <c r="L34" s="10">
        <f>ROUND($B$4*$B$8*$B$13*$B$15*$B$20*$B$21*$B$23,0)</f>
        <v/>
      </c>
      <c r="M34" s="10">
        <f>ROUND($B$4*$B$8*$B$13*$B$15*$B$20*$B$21*$B$24,0)</f>
        <v/>
      </c>
      <c r="N34" s="10">
        <f>ROUND($B$4*$B$8*$B$13*$B$15*$B$20*$B$22*$B$23,0)</f>
        <v/>
      </c>
      <c r="O34" s="10">
        <f>ROUND($B$4*$B$8*$B$13*$B$15*$B$20*$B$22*$B$24,0)</f>
        <v/>
      </c>
      <c r="P34" s="10">
        <f>ROUND($B$5*$B$8*$B$13*$B$15*$B$18*$B$21*$B$23,0)</f>
        <v/>
      </c>
      <c r="Q34" s="10">
        <f>ROUND($B$5*$B$8*$B$13*$B$15*$B$18*$B$21*$B$24,0)</f>
        <v/>
      </c>
      <c r="R34" s="10">
        <f>ROUND($B$5*$B$8*$B$13*$B$15*$B$18*$B$22*$B$23,0)</f>
        <v/>
      </c>
      <c r="S34" s="10">
        <f>ROUND($B$5*$B$8*$B$13*$B$15*$B$18*$B$22*$B$24,0)</f>
        <v/>
      </c>
      <c r="T34" s="10">
        <f>ROUND($B$5*$B$8*$B$13*$B$15*$B$19*$B$21*$B$23,0)</f>
        <v/>
      </c>
      <c r="U34" s="10">
        <f>ROUND($B$5*$B$8*$B$13*$B$15*$B$19*$B$21*$B$24,0)</f>
        <v/>
      </c>
      <c r="V34" s="10">
        <f>ROUND($B$5*$B$8*$B$13*$B$15*$B$19*$B$22*$B$23,0)</f>
        <v/>
      </c>
      <c r="W34" s="10">
        <f>ROUND($B$5*$B$8*$B$13*$B$15*$B$19*$B$22*$B$24,0)</f>
        <v/>
      </c>
      <c r="X34" s="10">
        <f>ROUND($B$5*$B$8*$B$13*$B$15*$B$20*$B$21*$B$23,0)</f>
        <v/>
      </c>
      <c r="Y34" s="10">
        <f>ROUND($B$5*$B$8*$B$13*$B$15*$B$20*$B$21*$B$24,0)</f>
        <v/>
      </c>
      <c r="Z34" s="10">
        <f>ROUND($B$5*$B$8*$B$13*$B$15*$B$20*$B$22*$B$23,0)</f>
        <v/>
      </c>
      <c r="AA34" s="10">
        <f>ROUND($B$5*$B$8*$B$13*$B$15*$B$20*$B$22*$B$24,0)</f>
        <v/>
      </c>
      <c r="AB34" s="10">
        <f>ROUND($B$6*$B$8*$B$13*$B$15*$B$18*$B$21*$B$23,0)</f>
        <v/>
      </c>
      <c r="AC34" s="10">
        <f>ROUND($B$6*$B$8*$B$13*$B$15*$B$18*$B$21*$B$24,0)</f>
        <v/>
      </c>
      <c r="AD34" s="10">
        <f>ROUND($B$6*$B$8*$B$13*$B$15*$B$18*$B$22*$B$23,0)</f>
        <v/>
      </c>
      <c r="AE34" s="10">
        <f>ROUND($B$6*$B$8*$B$13*$B$15*$B$18*$B$22*$B$24,0)</f>
        <v/>
      </c>
      <c r="AF34" s="10">
        <f>ROUND($B$6*$B$8*$B$13*$B$15*$B$19*$B$21*$B$23,0)</f>
        <v/>
      </c>
      <c r="AG34" s="10">
        <f>ROUND($B$6*$B$8*$B$13*$B$15*$B$19*$B$21*$B$24,0)</f>
        <v/>
      </c>
      <c r="AH34" s="10">
        <f>ROUND($B$6*$B$8*$B$13*$B$15*$B$19*$B$22*$B$23,0)</f>
        <v/>
      </c>
      <c r="AI34" s="10">
        <f>ROUND($B$6*$B$8*$B$13*$B$15*$B$19*$B$22*$B$24,0)</f>
        <v/>
      </c>
      <c r="AJ34" s="10">
        <f>ROUND($B$6*$B$8*$B$13*$B$15*$B$20*$B$21*$B$23,0)</f>
        <v/>
      </c>
      <c r="AK34" s="10">
        <f>ROUND($B$6*$B$8*$B$13*$B$15*$B$20*$B$21*$B$24,0)</f>
        <v/>
      </c>
      <c r="AL34" s="10">
        <f>ROUND($B$6*$B$8*$B$13*$B$15*$B$20*$B$22*$B$23,0)</f>
        <v/>
      </c>
      <c r="AM34" s="10">
        <f>ROUND($B$6*$B$8*$B$13*$B$15*$B$20*$B$22*$B$24,0)</f>
        <v/>
      </c>
    </row>
    <row r="35" ht="20.1" customHeight="1" s="62">
      <c r="A35" s="67" t="n"/>
      <c r="B35" s="58" t="n"/>
      <c r="C35" s="57" t="inlineStr">
        <is>
          <t>2-3 référentiels</t>
        </is>
      </c>
      <c r="D35" s="10">
        <f>ROUND($B$4*$B$8*$B$13*$B$16*$B$18*$B$21*$B$23,0)</f>
        <v/>
      </c>
      <c r="E35" s="10">
        <f>ROUND($B$4*$B$8*$B$13*$B$16*$B$18*$B$21*$B$24,0)</f>
        <v/>
      </c>
      <c r="F35" s="10">
        <f>ROUND($B$4*$B$8*$B$13*$B$16*$B$18*$B$22*$B$23,0)</f>
        <v/>
      </c>
      <c r="G35" s="10">
        <f>ROUND($B$4*$B$8*$B$13*$B$16*$B$18*$B$22*$B$24,0)</f>
        <v/>
      </c>
      <c r="H35" s="10">
        <f>ROUND($B$4*$B$8*$B$13*$B$16*$B$19*$B$21*$B$23,0)</f>
        <v/>
      </c>
      <c r="I35" s="10">
        <f>ROUND($B$4*$B$8*$B$13*$B$16*$B$19*$B$21*$B$24,0)</f>
        <v/>
      </c>
      <c r="J35" s="10">
        <f>ROUND($B$4*$B$8*$B$13*$B$16*$B$19*$B$22*$B$23,0)</f>
        <v/>
      </c>
      <c r="K35" s="10">
        <f>ROUND($B$4*$B$8*$B$13*$B$16*$B$19*$B$22*$B$24,0)</f>
        <v/>
      </c>
      <c r="L35" s="10">
        <f>ROUND($B$4*$B$8*$B$13*$B$16*$B$20*$B$21*$B$23,0)</f>
        <v/>
      </c>
      <c r="M35" s="10">
        <f>ROUND($B$4*$B$8*$B$13*$B$16*$B$20*$B$21*$B$24,0)</f>
        <v/>
      </c>
      <c r="N35" s="10">
        <f>ROUND($B$4*$B$8*$B$13*$B$16*$B$20*$B$22*$B$23,0)</f>
        <v/>
      </c>
      <c r="O35" s="10">
        <f>ROUND($B$4*$B$8*$B$13*$B$16*$B$20*$B$22*$B$24,0)</f>
        <v/>
      </c>
      <c r="P35" s="10">
        <f>ROUND($B$5*$B$8*$B$13*$B$16*$B$18*$B$21*$B$23,0)</f>
        <v/>
      </c>
      <c r="Q35" s="10">
        <f>ROUND($B$5*$B$8*$B$13*$B$16*$B$18*$B$21*$B$24,0)</f>
        <v/>
      </c>
      <c r="R35" s="10">
        <f>ROUND($B$5*$B$8*$B$13*$B$16*$B$18*$B$22*$B$23,0)</f>
        <v/>
      </c>
      <c r="S35" s="10">
        <f>ROUND($B$5*$B$8*$B$13*$B$16*$B$18*$B$22*$B$24,0)</f>
        <v/>
      </c>
      <c r="T35" s="10">
        <f>ROUND($B$5*$B$8*$B$13*$B$16*$B$19*$B$21*$B$23,0)</f>
        <v/>
      </c>
      <c r="U35" s="10">
        <f>ROUND($B$5*$B$8*$B$13*$B$16*$B$19*$B$21*$B$24,0)</f>
        <v/>
      </c>
      <c r="V35" s="10">
        <f>ROUND($B$5*$B$8*$B$13*$B$16*$B$19*$B$22*$B$23,0)</f>
        <v/>
      </c>
      <c r="W35" s="10">
        <f>ROUND($B$5*$B$8*$B$13*$B$16*$B$19*$B$22*$B$24,0)</f>
        <v/>
      </c>
      <c r="X35" s="10">
        <f>ROUND($B$5*$B$8*$B$13*$B$16*$B$20*$B$21*$B$23,0)</f>
        <v/>
      </c>
      <c r="Y35" s="10">
        <f>ROUND($B$5*$B$8*$B$13*$B$16*$B$20*$B$21*$B$24,0)</f>
        <v/>
      </c>
      <c r="Z35" s="10">
        <f>ROUND($B$5*$B$8*$B$13*$B$16*$B$20*$B$22*$B$23,0)</f>
        <v/>
      </c>
      <c r="AA35" s="10">
        <f>ROUND($B$5*$B$8*$B$13*$B$16*$B$20*$B$22*$B$24,0)</f>
        <v/>
      </c>
      <c r="AB35" s="10">
        <f>ROUND($B$6*$B$8*$B$13*$B$16*$B$18*$B$21*$B$23,0)</f>
        <v/>
      </c>
      <c r="AC35" s="10">
        <f>ROUND($B$6*$B$8*$B$13*$B$16*$B$18*$B$21*$B$24,0)</f>
        <v/>
      </c>
      <c r="AD35" s="10">
        <f>ROUND($B$6*$B$8*$B$13*$B$16*$B$18*$B$22*$B$23,0)</f>
        <v/>
      </c>
      <c r="AE35" s="10">
        <f>ROUND($B$6*$B$8*$B$13*$B$16*$B$18*$B$22*$B$24,0)</f>
        <v/>
      </c>
      <c r="AF35" s="10">
        <f>ROUND($B$6*$B$8*$B$13*$B$16*$B$19*$B$21*$B$23,0)</f>
        <v/>
      </c>
      <c r="AG35" s="10">
        <f>ROUND($B$6*$B$8*$B$13*$B$16*$B$19*$B$21*$B$24,0)</f>
        <v/>
      </c>
      <c r="AH35" s="10">
        <f>ROUND($B$6*$B$8*$B$13*$B$16*$B$19*$B$22*$B$23,0)</f>
        <v/>
      </c>
      <c r="AI35" s="10">
        <f>ROUND($B$6*$B$8*$B$13*$B$16*$B$19*$B$22*$B$24,0)</f>
        <v/>
      </c>
      <c r="AJ35" s="10">
        <f>ROUND($B$6*$B$8*$B$13*$B$16*$B$20*$B$21*$B$23,0)</f>
        <v/>
      </c>
      <c r="AK35" s="10">
        <f>ROUND($B$6*$B$8*$B$13*$B$16*$B$20*$B$21*$B$24,0)</f>
        <v/>
      </c>
      <c r="AL35" s="10">
        <f>ROUND($B$6*$B$8*$B$13*$B$16*$B$20*$B$22*$B$23,0)</f>
        <v/>
      </c>
      <c r="AM35" s="10">
        <f>ROUND($B$6*$B$8*$B$13*$B$16*$B$20*$B$22*$B$24,0)</f>
        <v/>
      </c>
    </row>
    <row r="36" ht="20.1" customHeight="1" s="62">
      <c r="A36" s="67" t="n"/>
      <c r="B36" s="59" t="n"/>
      <c r="C36" s="15" t="inlineStr">
        <is>
          <t>4 référentiels et +</t>
        </is>
      </c>
      <c r="D36" s="10">
        <f>ROUND($B$4*$B$8*$B$13*$B$17*$B$18*$B$21*$B$23,0)</f>
        <v/>
      </c>
      <c r="E36" s="10">
        <f>ROUND($B$4*$B$8*$B$13*$B$17*$B$18*$B$21*$B$24,0)</f>
        <v/>
      </c>
      <c r="F36" s="10">
        <f>ROUND($B$4*$B$8*$B$13*$B$17*$B$18*$B$22*$B$23,0)</f>
        <v/>
      </c>
      <c r="G36" s="10">
        <f>ROUND($B$4*$B$8*$B$13*$B$17*$B$18*$B$22*$B$24,0)</f>
        <v/>
      </c>
      <c r="H36" s="10">
        <f>ROUND($B$4*$B$8*$B$13*$B$17*$B$19*$B$21*$B$23,0)</f>
        <v/>
      </c>
      <c r="I36" s="10">
        <f>ROUND($B$4*$B$8*$B$13*$B$17*$B$19*$B$21*$B$24,0)</f>
        <v/>
      </c>
      <c r="J36" s="10">
        <f>ROUND($B$4*$B$8*$B$13*$B$17*$B$19*$B$22*$B$23,0)</f>
        <v/>
      </c>
      <c r="K36" s="10">
        <f>ROUND($B$4*$B$8*$B$13*$B$17*$B$19*$B$22*$B$24,0)</f>
        <v/>
      </c>
      <c r="L36" s="10">
        <f>ROUND($B$4*$B$8*$B$13*$B$17*$B$20*$B$21*$B$23,0)</f>
        <v/>
      </c>
      <c r="M36" s="10">
        <f>ROUND($B$4*$B$8*$B$13*$B$17*$B$20*$B$21*$B$24,0)</f>
        <v/>
      </c>
      <c r="N36" s="10">
        <f>ROUND($B$4*$B$8*$B$13*$B$17*$B$20*$B$22*$B$23,0)</f>
        <v/>
      </c>
      <c r="O36" s="10">
        <f>ROUND($B$4*$B$8*$B$13*$B$17*$B$20*$B$22*$B$24,0)</f>
        <v/>
      </c>
      <c r="P36" s="10">
        <f>ROUND($B$5*$B$8*$B$13*$B$17*$B$18*$B$21*$B$23,0)</f>
        <v/>
      </c>
      <c r="Q36" s="10">
        <f>ROUND($B$5*$B$8*$B$13*$B$17*$B$18*$B$21*$B$24,0)</f>
        <v/>
      </c>
      <c r="R36" s="10">
        <f>ROUND($B$5*$B$8*$B$13*$B$17*$B$18*$B$22*$B$23,0)</f>
        <v/>
      </c>
      <c r="S36" s="10">
        <f>ROUND($B$5*$B$8*$B$13*$B$17*$B$18*$B$22*$B$24,0)</f>
        <v/>
      </c>
      <c r="T36" s="10">
        <f>ROUND($B$5*$B$8*$B$13*$B$17*$B$19*$B$21*$B$23,0)</f>
        <v/>
      </c>
      <c r="U36" s="10">
        <f>ROUND($B$5*$B$8*$B$13*$B$17*$B$19*$B$21*$B$24,0)</f>
        <v/>
      </c>
      <c r="V36" s="10">
        <f>ROUND($B$5*$B$8*$B$13*$B$17*$B$19*$B$22*$B$23,0)</f>
        <v/>
      </c>
      <c r="W36" s="10">
        <f>ROUND($B$5*$B$8*$B$13*$B$17*$B$19*$B$22*$B$24,0)</f>
        <v/>
      </c>
      <c r="X36" s="10">
        <f>ROUND($B$5*$B$8*$B$13*$B$17*$B$20*$B$21*$B$23,0)</f>
        <v/>
      </c>
      <c r="Y36" s="10">
        <f>ROUND($B$5*$B$8*$B$13*$B$17*$B$20*$B$21*$B$24,0)</f>
        <v/>
      </c>
      <c r="Z36" s="10">
        <f>ROUND($B$5*$B$8*$B$13*$B$17*$B$20*$B$22*$B$23,0)</f>
        <v/>
      </c>
      <c r="AA36" s="10">
        <f>ROUND($B$5*$B$8*$B$13*$B$17*$B$20*$B$22*$B$24,0)</f>
        <v/>
      </c>
      <c r="AB36" s="10">
        <f>ROUND($B$6*$B$8*$B$13*$B$17*$B$18*$B$21*$B$23,0)</f>
        <v/>
      </c>
      <c r="AC36" s="10">
        <f>ROUND($B$6*$B$8*$B$13*$B$17*$B$18*$B$21*$B$24,0)</f>
        <v/>
      </c>
      <c r="AD36" s="10">
        <f>ROUND($B$6*$B$8*$B$13*$B$17*$B$18*$B$22*$B$23,0)</f>
        <v/>
      </c>
      <c r="AE36" s="10">
        <f>ROUND($B$6*$B$8*$B$13*$B$17*$B$18*$B$22*$B$24,0)</f>
        <v/>
      </c>
      <c r="AF36" s="10">
        <f>ROUND($B$6*$B$8*$B$13*$B$17*$B$19*$B$21*$B$23,0)</f>
        <v/>
      </c>
      <c r="AG36" s="10">
        <f>ROUND($B$6*$B$8*$B$13*$B$17*$B$19*$B$21*$B$24,0)</f>
        <v/>
      </c>
      <c r="AH36" s="10">
        <f>ROUND($B$6*$B$8*$B$13*$B$17*$B$19*$B$22*$B$23,0)</f>
        <v/>
      </c>
      <c r="AI36" s="10">
        <f>ROUND($B$6*$B$8*$B$13*$B$17*$B$19*$B$22*$B$24,0)</f>
        <v/>
      </c>
      <c r="AJ36" s="10">
        <f>ROUND($B$6*$B$8*$B$13*$B$17*$B$20*$B$21*$B$23,0)</f>
        <v/>
      </c>
      <c r="AK36" s="10">
        <f>ROUND($B$6*$B$8*$B$13*$B$17*$B$20*$B$21*$B$24,0)</f>
        <v/>
      </c>
      <c r="AL36" s="10">
        <f>ROUND($B$6*$B$8*$B$13*$B$17*$B$20*$B$22*$B$23,0)</f>
        <v/>
      </c>
      <c r="AM36" s="10">
        <f>ROUND($B$6*$B$8*$B$13*$B$17*$B$20*$B$22*$B$24,0)</f>
        <v/>
      </c>
    </row>
    <row r="37" ht="20.1" customHeight="1" s="62">
      <c r="A37" s="67" t="n"/>
      <c r="B37" s="57" t="inlineStr">
        <is>
          <t>Complexe (multi-sites / multi-équipes)</t>
        </is>
      </c>
      <c r="C37" s="14" t="inlineStr">
        <is>
          <t>1 référentiel</t>
        </is>
      </c>
      <c r="D37" s="10">
        <f>ROUND($B$4*$B$8*$B$14*$B$15*$B$18*$B$21*$B$23,0)</f>
        <v/>
      </c>
      <c r="E37" s="10">
        <f>ROUND($B$4*$B$8*$B$14*$B$15*$B$18*$B$21*$B$24,0)</f>
        <v/>
      </c>
      <c r="F37" s="10">
        <f>ROUND($B$4*$B$8*$B$14*$B$15*$B$18*$B$22*$B$23,0)</f>
        <v/>
      </c>
      <c r="G37" s="10">
        <f>ROUND($B$4*$B$8*$B$14*$B$15*$B$18*$B$22*$B$24,0)</f>
        <v/>
      </c>
      <c r="H37" s="10">
        <f>ROUND($B$4*$B$8*$B$14*$B$15*$B$19*$B$21*$B$23,0)</f>
        <v/>
      </c>
      <c r="I37" s="10">
        <f>ROUND($B$4*$B$8*$B$14*$B$15*$B$19*$B$21*$B$24,0)</f>
        <v/>
      </c>
      <c r="J37" s="10">
        <f>ROUND($B$4*$B$8*$B$14*$B$15*$B$19*$B$22*$B$23,0)</f>
        <v/>
      </c>
      <c r="K37" s="10">
        <f>ROUND($B$4*$B$8*$B$14*$B$15*$B$19*$B$22*$B$24,0)</f>
        <v/>
      </c>
      <c r="L37" s="10">
        <f>ROUND($B$4*$B$8*$B$14*$B$15*$B$20*$B$21*$B$23,0)</f>
        <v/>
      </c>
      <c r="M37" s="10">
        <f>ROUND($B$4*$B$8*$B$14*$B$15*$B$20*$B$21*$B$24,0)</f>
        <v/>
      </c>
      <c r="N37" s="10">
        <f>ROUND($B$4*$B$8*$B$14*$B$15*$B$20*$B$22*$B$23,0)</f>
        <v/>
      </c>
      <c r="O37" s="10">
        <f>ROUND($B$4*$B$8*$B$14*$B$15*$B$20*$B$22*$B$24,0)</f>
        <v/>
      </c>
      <c r="P37" s="10">
        <f>ROUND($B$5*$B$8*$B$14*$B$15*$B$18*$B$21*$B$23,0)</f>
        <v/>
      </c>
      <c r="Q37" s="10">
        <f>ROUND($B$5*$B$8*$B$14*$B$15*$B$18*$B$21*$B$24,0)</f>
        <v/>
      </c>
      <c r="R37" s="10">
        <f>ROUND($B$5*$B$8*$B$14*$B$15*$B$18*$B$22*$B$23,0)</f>
        <v/>
      </c>
      <c r="S37" s="10">
        <f>ROUND($B$5*$B$8*$B$14*$B$15*$B$18*$B$22*$B$24,0)</f>
        <v/>
      </c>
      <c r="T37" s="10">
        <f>ROUND($B$5*$B$8*$B$14*$B$15*$B$19*$B$21*$B$23,0)</f>
        <v/>
      </c>
      <c r="U37" s="10">
        <f>ROUND($B$5*$B$8*$B$14*$B$15*$B$19*$B$21*$B$24,0)</f>
        <v/>
      </c>
      <c r="V37" s="10">
        <f>ROUND($B$5*$B$8*$B$14*$B$15*$B$19*$B$22*$B$23,0)</f>
        <v/>
      </c>
      <c r="W37" s="10">
        <f>ROUND($B$5*$B$8*$B$14*$B$15*$B$19*$B$22*$B$24,0)</f>
        <v/>
      </c>
      <c r="X37" s="10">
        <f>ROUND($B$5*$B$8*$B$14*$B$15*$B$20*$B$21*$B$23,0)</f>
        <v/>
      </c>
      <c r="Y37" s="10">
        <f>ROUND($B$5*$B$8*$B$14*$B$15*$B$20*$B$21*$B$24,0)</f>
        <v/>
      </c>
      <c r="Z37" s="10">
        <f>ROUND($B$5*$B$8*$B$14*$B$15*$B$20*$B$22*$B$23,0)</f>
        <v/>
      </c>
      <c r="AA37" s="10">
        <f>ROUND($B$5*$B$8*$B$14*$B$15*$B$20*$B$22*$B$24,0)</f>
        <v/>
      </c>
      <c r="AB37" s="10">
        <f>ROUND($B$6*$B$8*$B$14*$B$15*$B$18*$B$21*$B$23,0)</f>
        <v/>
      </c>
      <c r="AC37" s="10">
        <f>ROUND($B$6*$B$8*$B$14*$B$15*$B$18*$B$21*$B$24,0)</f>
        <v/>
      </c>
      <c r="AD37" s="10">
        <f>ROUND($B$6*$B$8*$B$14*$B$15*$B$18*$B$22*$B$23,0)</f>
        <v/>
      </c>
      <c r="AE37" s="10">
        <f>ROUND($B$6*$B$8*$B$14*$B$15*$B$18*$B$22*$B$24,0)</f>
        <v/>
      </c>
      <c r="AF37" s="10">
        <f>ROUND($B$6*$B$8*$B$14*$B$15*$B$19*$B$21*$B$23,0)</f>
        <v/>
      </c>
      <c r="AG37" s="10">
        <f>ROUND($B$6*$B$8*$B$14*$B$15*$B$19*$B$21*$B$24,0)</f>
        <v/>
      </c>
      <c r="AH37" s="10">
        <f>ROUND($B$6*$B$8*$B$14*$B$15*$B$19*$B$22*$B$23,0)</f>
        <v/>
      </c>
      <c r="AI37" s="10">
        <f>ROUND($B$6*$B$8*$B$14*$B$15*$B$19*$B$22*$B$24,0)</f>
        <v/>
      </c>
      <c r="AJ37" s="10">
        <f>ROUND($B$6*$B$8*$B$14*$B$15*$B$20*$B$21*$B$23,0)</f>
        <v/>
      </c>
      <c r="AK37" s="10">
        <f>ROUND($B$6*$B$8*$B$14*$B$15*$B$20*$B$21*$B$24,0)</f>
        <v/>
      </c>
      <c r="AL37" s="10">
        <f>ROUND($B$6*$B$8*$B$14*$B$15*$B$20*$B$22*$B$23,0)</f>
        <v/>
      </c>
      <c r="AM37" s="10">
        <f>ROUND($B$6*$B$8*$B$14*$B$15*$B$20*$B$22*$B$24,0)</f>
        <v/>
      </c>
    </row>
    <row r="38" ht="20.1" customHeight="1" s="62">
      <c r="A38" s="67" t="n"/>
      <c r="B38" s="58" t="n"/>
      <c r="C38" s="57" t="inlineStr">
        <is>
          <t>2-3 référentiels</t>
        </is>
      </c>
      <c r="D38" s="10">
        <f>ROUND($B$4*$B$8*$B$14*$B$16*$B$18*$B$21*$B$23,0)</f>
        <v/>
      </c>
      <c r="E38" s="10">
        <f>ROUND($B$4*$B$8*$B$14*$B$16*$B$18*$B$21*$B$24,0)</f>
        <v/>
      </c>
      <c r="F38" s="10">
        <f>ROUND($B$4*$B$8*$B$14*$B$16*$B$18*$B$22*$B$23,0)</f>
        <v/>
      </c>
      <c r="G38" s="10">
        <f>ROUND($B$4*$B$8*$B$14*$B$16*$B$18*$B$22*$B$24,0)</f>
        <v/>
      </c>
      <c r="H38" s="10">
        <f>ROUND($B$4*$B$8*$B$14*$B$16*$B$19*$B$21*$B$23,0)</f>
        <v/>
      </c>
      <c r="I38" s="10">
        <f>ROUND($B$4*$B$8*$B$14*$B$16*$B$19*$B$21*$B$24,0)</f>
        <v/>
      </c>
      <c r="J38" s="10">
        <f>ROUND($B$4*$B$8*$B$14*$B$16*$B$19*$B$22*$B$23,0)</f>
        <v/>
      </c>
      <c r="K38" s="10">
        <f>ROUND($B$4*$B$8*$B$14*$B$16*$B$19*$B$22*$B$24,0)</f>
        <v/>
      </c>
      <c r="L38" s="10">
        <f>ROUND($B$4*$B$8*$B$14*$B$16*$B$20*$B$21*$B$23,0)</f>
        <v/>
      </c>
      <c r="M38" s="10">
        <f>ROUND($B$4*$B$8*$B$14*$B$16*$B$20*$B$21*$B$24,0)</f>
        <v/>
      </c>
      <c r="N38" s="10">
        <f>ROUND($B$4*$B$8*$B$14*$B$16*$B$20*$B$22*$B$23,0)</f>
        <v/>
      </c>
      <c r="O38" s="10">
        <f>ROUND($B$4*$B$8*$B$14*$B$16*$B$20*$B$22*$B$24,0)</f>
        <v/>
      </c>
      <c r="P38" s="10">
        <f>ROUND($B$5*$B$8*$B$14*$B$16*$B$18*$B$21*$B$23,0)</f>
        <v/>
      </c>
      <c r="Q38" s="10">
        <f>ROUND($B$5*$B$8*$B$14*$B$16*$B$18*$B$21*$B$24,0)</f>
        <v/>
      </c>
      <c r="R38" s="10">
        <f>ROUND($B$5*$B$8*$B$14*$B$16*$B$18*$B$22*$B$23,0)</f>
        <v/>
      </c>
      <c r="S38" s="10">
        <f>ROUND($B$5*$B$8*$B$14*$B$16*$B$18*$B$22*$B$24,0)</f>
        <v/>
      </c>
      <c r="T38" s="10">
        <f>ROUND($B$5*$B$8*$B$14*$B$16*$B$19*$B$21*$B$23,0)</f>
        <v/>
      </c>
      <c r="U38" s="10">
        <f>ROUND($B$5*$B$8*$B$14*$B$16*$B$19*$B$21*$B$24,0)</f>
        <v/>
      </c>
      <c r="V38" s="10">
        <f>ROUND($B$5*$B$8*$B$14*$B$16*$B$19*$B$22*$B$23,0)</f>
        <v/>
      </c>
      <c r="W38" s="10">
        <f>ROUND($B$5*$B$8*$B$14*$B$16*$B$19*$B$22*$B$24,0)</f>
        <v/>
      </c>
      <c r="X38" s="10">
        <f>ROUND($B$5*$B$8*$B$14*$B$16*$B$20*$B$21*$B$23,0)</f>
        <v/>
      </c>
      <c r="Y38" s="10">
        <f>ROUND($B$5*$B$8*$B$14*$B$16*$B$20*$B$21*$B$24,0)</f>
        <v/>
      </c>
      <c r="Z38" s="10">
        <f>ROUND($B$5*$B$8*$B$14*$B$16*$B$20*$B$22*$B$23,0)</f>
        <v/>
      </c>
      <c r="AA38" s="10">
        <f>ROUND($B$5*$B$8*$B$14*$B$16*$B$20*$B$22*$B$24,0)</f>
        <v/>
      </c>
      <c r="AB38" s="10">
        <f>ROUND($B$6*$B$8*$B$14*$B$16*$B$18*$B$21*$B$23,0)</f>
        <v/>
      </c>
      <c r="AC38" s="10">
        <f>ROUND($B$6*$B$8*$B$14*$B$16*$B$18*$B$21*$B$24,0)</f>
        <v/>
      </c>
      <c r="AD38" s="10">
        <f>ROUND($B$6*$B$8*$B$14*$B$16*$B$18*$B$22*$B$23,0)</f>
        <v/>
      </c>
      <c r="AE38" s="10">
        <f>ROUND($B$6*$B$8*$B$14*$B$16*$B$18*$B$22*$B$24,0)</f>
        <v/>
      </c>
      <c r="AF38" s="10">
        <f>ROUND($B$6*$B$8*$B$14*$B$16*$B$19*$B$21*$B$23,0)</f>
        <v/>
      </c>
      <c r="AG38" s="10">
        <f>ROUND($B$6*$B$8*$B$14*$B$16*$B$19*$B$21*$B$24,0)</f>
        <v/>
      </c>
      <c r="AH38" s="10">
        <f>ROUND($B$6*$B$8*$B$14*$B$16*$B$19*$B$22*$B$23,0)</f>
        <v/>
      </c>
      <c r="AI38" s="10">
        <f>ROUND($B$6*$B$8*$B$14*$B$16*$B$19*$B$22*$B$24,0)</f>
        <v/>
      </c>
      <c r="AJ38" s="10">
        <f>ROUND($B$6*$B$8*$B$14*$B$16*$B$20*$B$21*$B$23,0)</f>
        <v/>
      </c>
      <c r="AK38" s="10">
        <f>ROUND($B$6*$B$8*$B$14*$B$16*$B$20*$B$21*$B$24,0)</f>
        <v/>
      </c>
      <c r="AL38" s="10">
        <f>ROUND($B$6*$B$8*$B$14*$B$16*$B$20*$B$22*$B$23,0)</f>
        <v/>
      </c>
      <c r="AM38" s="10">
        <f>ROUND($B$6*$B$8*$B$14*$B$16*$B$20*$B$22*$B$24,0)</f>
        <v/>
      </c>
    </row>
    <row r="39" ht="20.1" customHeight="1" s="62">
      <c r="A39" s="68" t="n"/>
      <c r="B39" s="59" t="n"/>
      <c r="C39" s="15" t="inlineStr">
        <is>
          <t>4 référentiels et +</t>
        </is>
      </c>
      <c r="D39" s="10">
        <f>ROUND($B$4*$B$8*$B$14*$B$17*$B$18*$B$21*$B$23,0)</f>
        <v/>
      </c>
      <c r="E39" s="10">
        <f>ROUND($B$4*$B$8*$B$14*$B$17*$B$18*$B$21*$B$24,0)</f>
        <v/>
      </c>
      <c r="F39" s="10">
        <f>ROUND($B$4*$B$8*$B$14*$B$17*$B$18*$B$22*$B$23,0)</f>
        <v/>
      </c>
      <c r="G39" s="10">
        <f>ROUND($B$4*$B$8*$B$14*$B$17*$B$18*$B$22*$B$24,0)</f>
        <v/>
      </c>
      <c r="H39" s="10">
        <f>ROUND($B$4*$B$8*$B$14*$B$17*$B$19*$B$21*$B$23,0)</f>
        <v/>
      </c>
      <c r="I39" s="10">
        <f>ROUND($B$4*$B$8*$B$14*$B$17*$B$19*$B$21*$B$24,0)</f>
        <v/>
      </c>
      <c r="J39" s="10">
        <f>ROUND($B$4*$B$8*$B$14*$B$17*$B$19*$B$22*$B$23,0)</f>
        <v/>
      </c>
      <c r="K39" s="10">
        <f>ROUND($B$4*$B$8*$B$14*$B$17*$B$19*$B$22*$B$24,0)</f>
        <v/>
      </c>
      <c r="L39" s="10">
        <f>ROUND($B$4*$B$8*$B$14*$B$17*$B$20*$B$21*$B$23,0)</f>
        <v/>
      </c>
      <c r="M39" s="10">
        <f>ROUND($B$4*$B$8*$B$14*$B$17*$B$20*$B$21*$B$24,0)</f>
        <v/>
      </c>
      <c r="N39" s="10">
        <f>ROUND($B$4*$B$8*$B$14*$B$17*$B$20*$B$22*$B$23,0)</f>
        <v/>
      </c>
      <c r="O39" s="10">
        <f>ROUND($B$4*$B$8*$B$14*$B$17*$B$20*$B$22*$B$24,0)</f>
        <v/>
      </c>
      <c r="P39" s="10">
        <f>ROUND($B$5*$B$8*$B$14*$B$17*$B$18*$B$21*$B$23,0)</f>
        <v/>
      </c>
      <c r="Q39" s="10">
        <f>ROUND($B$5*$B$8*$B$14*$B$17*$B$18*$B$21*$B$24,0)</f>
        <v/>
      </c>
      <c r="R39" s="10">
        <f>ROUND($B$5*$B$8*$B$14*$B$17*$B$18*$B$22*$B$23,0)</f>
        <v/>
      </c>
      <c r="S39" s="10">
        <f>ROUND($B$5*$B$8*$B$14*$B$17*$B$18*$B$22*$B$24,0)</f>
        <v/>
      </c>
      <c r="T39" s="10">
        <f>ROUND($B$5*$B$8*$B$14*$B$17*$B$19*$B$21*$B$23,0)</f>
        <v/>
      </c>
      <c r="U39" s="10">
        <f>ROUND($B$5*$B$8*$B$14*$B$17*$B$19*$B$21*$B$24,0)</f>
        <v/>
      </c>
      <c r="V39" s="10">
        <f>ROUND($B$5*$B$8*$B$14*$B$17*$B$19*$B$22*$B$23,0)</f>
        <v/>
      </c>
      <c r="W39" s="10">
        <f>ROUND($B$5*$B$8*$B$14*$B$17*$B$19*$B$22*$B$24,0)</f>
        <v/>
      </c>
      <c r="X39" s="10">
        <f>ROUND($B$5*$B$8*$B$14*$B$17*$B$20*$B$21*$B$23,0)</f>
        <v/>
      </c>
      <c r="Y39" s="10">
        <f>ROUND($B$5*$B$8*$B$14*$B$17*$B$20*$B$21*$B$24,0)</f>
        <v/>
      </c>
      <c r="Z39" s="10">
        <f>ROUND($B$5*$B$8*$B$14*$B$17*$B$20*$B$22*$B$23,0)</f>
        <v/>
      </c>
      <c r="AA39" s="10">
        <f>ROUND($B$5*$B$8*$B$14*$B$17*$B$20*$B$22*$B$24,0)</f>
        <v/>
      </c>
      <c r="AB39" s="10">
        <f>ROUND($B$6*$B$8*$B$14*$B$17*$B$18*$B$21*$B$23,0)</f>
        <v/>
      </c>
      <c r="AC39" s="10">
        <f>ROUND($B$6*$B$8*$B$14*$B$17*$B$18*$B$21*$B$24,0)</f>
        <v/>
      </c>
      <c r="AD39" s="10">
        <f>ROUND($B$6*$B$8*$B$14*$B$17*$B$18*$B$22*$B$23,0)</f>
        <v/>
      </c>
      <c r="AE39" s="10">
        <f>ROUND($B$6*$B$8*$B$14*$B$17*$B$18*$B$22*$B$24,0)</f>
        <v/>
      </c>
      <c r="AF39" s="10">
        <f>ROUND($B$6*$B$8*$B$14*$B$17*$B$19*$B$21*$B$23,0)</f>
        <v/>
      </c>
      <c r="AG39" s="10">
        <f>ROUND($B$6*$B$8*$B$14*$B$17*$B$19*$B$21*$B$24,0)</f>
        <v/>
      </c>
      <c r="AH39" s="10">
        <f>ROUND($B$6*$B$8*$B$14*$B$17*$B$19*$B$22*$B$23,0)</f>
        <v/>
      </c>
      <c r="AI39" s="10">
        <f>ROUND($B$6*$B$8*$B$14*$B$17*$B$19*$B$22*$B$24,0)</f>
        <v/>
      </c>
      <c r="AJ39" s="10">
        <f>ROUND($B$6*$B$8*$B$14*$B$17*$B$20*$B$21*$B$23,0)</f>
        <v/>
      </c>
      <c r="AK39" s="10">
        <f>ROUND($B$6*$B$8*$B$14*$B$17*$B$20*$B$21*$B$24,0)</f>
        <v/>
      </c>
      <c r="AL39" s="10">
        <f>ROUND($B$6*$B$8*$B$14*$B$17*$B$20*$B$22*$B$23,0)</f>
        <v/>
      </c>
      <c r="AM39" s="10">
        <f>ROUND($B$6*$B$8*$B$14*$B$17*$B$20*$B$22*$B$24,0)</f>
        <v/>
      </c>
    </row>
    <row r="40" ht="20.1" customHeight="1" s="62">
      <c r="A40" s="66" t="inlineStr">
        <is>
          <t>TPE (6-19 sal.)</t>
        </is>
      </c>
      <c r="B40" s="57" t="inlineStr">
        <is>
          <t>Simple (processus peu nombreux)</t>
        </is>
      </c>
      <c r="C40" s="14" t="inlineStr">
        <is>
          <t>1 référentiel</t>
        </is>
      </c>
      <c r="D40" s="10">
        <f>ROUND($B$4*$B$9*$B$12*$B$15*$B$18*$B$21*$B$23,0)</f>
        <v/>
      </c>
      <c r="E40" s="10">
        <f>ROUND($B$4*$B$9*$B$12*$B$15*$B$18*$B$21*$B$24,0)</f>
        <v/>
      </c>
      <c r="F40" s="10">
        <f>ROUND($B$4*$B$9*$B$12*$B$15*$B$18*$B$22*$B$23,0)</f>
        <v/>
      </c>
      <c r="G40" s="10">
        <f>ROUND($B$4*$B$9*$B$12*$B$15*$B$18*$B$22*$B$24,0)</f>
        <v/>
      </c>
      <c r="H40" s="10">
        <f>ROUND($B$4*$B$9*$B$12*$B$15*$B$19*$B$21*$B$23,0)</f>
        <v/>
      </c>
      <c r="I40" s="10">
        <f>ROUND($B$4*$B$9*$B$12*$B$15*$B$19*$B$21*$B$24,0)</f>
        <v/>
      </c>
      <c r="J40" s="10">
        <f>ROUND($B$4*$B$9*$B$12*$B$15*$B$19*$B$22*$B$23,0)</f>
        <v/>
      </c>
      <c r="K40" s="10">
        <f>ROUND($B$4*$B$9*$B$12*$B$15*$B$19*$B$22*$B$24,0)</f>
        <v/>
      </c>
      <c r="L40" s="10">
        <f>ROUND($B$4*$B$9*$B$12*$B$15*$B$20*$B$21*$B$23,0)</f>
        <v/>
      </c>
      <c r="M40" s="10">
        <f>ROUND($B$4*$B$9*$B$12*$B$15*$B$20*$B$21*$B$24,0)</f>
        <v/>
      </c>
      <c r="N40" s="10">
        <f>ROUND($B$4*$B$9*$B$12*$B$15*$B$20*$B$22*$B$23,0)</f>
        <v/>
      </c>
      <c r="O40" s="10">
        <f>ROUND($B$4*$B$9*$B$12*$B$15*$B$20*$B$22*$B$24,0)</f>
        <v/>
      </c>
      <c r="P40" s="10">
        <f>ROUND($B$5*$B$9*$B$12*$B$15*$B$18*$B$21*$B$23,0)</f>
        <v/>
      </c>
      <c r="Q40" s="10">
        <f>ROUND($B$5*$B$9*$B$12*$B$15*$B$18*$B$21*$B$24,0)</f>
        <v/>
      </c>
      <c r="R40" s="10">
        <f>ROUND($B$5*$B$9*$B$12*$B$15*$B$18*$B$22*$B$23,0)</f>
        <v/>
      </c>
      <c r="S40" s="10">
        <f>ROUND($B$5*$B$9*$B$12*$B$15*$B$18*$B$22*$B$24,0)</f>
        <v/>
      </c>
      <c r="T40" s="10">
        <f>ROUND($B$5*$B$9*$B$12*$B$15*$B$19*$B$21*$B$23,0)</f>
        <v/>
      </c>
      <c r="U40" s="10">
        <f>ROUND($B$5*$B$9*$B$12*$B$15*$B$19*$B$21*$B$24,0)</f>
        <v/>
      </c>
      <c r="V40" s="10">
        <f>ROUND($B$5*$B$9*$B$12*$B$15*$B$19*$B$22*$B$23,0)</f>
        <v/>
      </c>
      <c r="W40" s="10">
        <f>ROUND($B$5*$B$9*$B$12*$B$15*$B$19*$B$22*$B$24,0)</f>
        <v/>
      </c>
      <c r="X40" s="10">
        <f>ROUND($B$5*$B$9*$B$12*$B$15*$B$20*$B$21*$B$23,0)</f>
        <v/>
      </c>
      <c r="Y40" s="10">
        <f>ROUND($B$5*$B$9*$B$12*$B$15*$B$20*$B$21*$B$24,0)</f>
        <v/>
      </c>
      <c r="Z40" s="10">
        <f>ROUND($B$5*$B$9*$B$12*$B$15*$B$20*$B$22*$B$23,0)</f>
        <v/>
      </c>
      <c r="AA40" s="10">
        <f>ROUND($B$5*$B$9*$B$12*$B$15*$B$20*$B$22*$B$24,0)</f>
        <v/>
      </c>
      <c r="AB40" s="10">
        <f>ROUND($B$6*$B$9*$B$12*$B$15*$B$18*$B$21*$B$23,0)</f>
        <v/>
      </c>
      <c r="AC40" s="10">
        <f>ROUND($B$6*$B$9*$B$12*$B$15*$B$18*$B$21*$B$24,0)</f>
        <v/>
      </c>
      <c r="AD40" s="10">
        <f>ROUND($B$6*$B$9*$B$12*$B$15*$B$18*$B$22*$B$23,0)</f>
        <v/>
      </c>
      <c r="AE40" s="10">
        <f>ROUND($B$6*$B$9*$B$12*$B$15*$B$18*$B$22*$B$24,0)</f>
        <v/>
      </c>
      <c r="AF40" s="10">
        <f>ROUND($B$6*$B$9*$B$12*$B$15*$B$19*$B$21*$B$23,0)</f>
        <v/>
      </c>
      <c r="AG40" s="10">
        <f>ROUND($B$6*$B$9*$B$12*$B$15*$B$19*$B$21*$B$24,0)</f>
        <v/>
      </c>
      <c r="AH40" s="10">
        <f>ROUND($B$6*$B$9*$B$12*$B$15*$B$19*$B$22*$B$23,0)</f>
        <v/>
      </c>
      <c r="AI40" s="10">
        <f>ROUND($B$6*$B$9*$B$12*$B$15*$B$19*$B$22*$B$24,0)</f>
        <v/>
      </c>
      <c r="AJ40" s="10">
        <f>ROUND($B$6*$B$9*$B$12*$B$15*$B$20*$B$21*$B$23,0)</f>
        <v/>
      </c>
      <c r="AK40" s="10">
        <f>ROUND($B$6*$B$9*$B$12*$B$15*$B$20*$B$21*$B$24,0)</f>
        <v/>
      </c>
      <c r="AL40" s="10">
        <f>ROUND($B$6*$B$9*$B$12*$B$15*$B$20*$B$22*$B$23,0)</f>
        <v/>
      </c>
      <c r="AM40" s="10">
        <f>ROUND($B$6*$B$9*$B$12*$B$15*$B$20*$B$22*$B$24,0)</f>
        <v/>
      </c>
    </row>
    <row r="41" ht="20.1" customHeight="1" s="62">
      <c r="A41" s="67" t="n"/>
      <c r="B41" s="58" t="n"/>
      <c r="C41" s="57" t="inlineStr">
        <is>
          <t>2-3 référentiels</t>
        </is>
      </c>
      <c r="D41" s="10">
        <f>ROUND($B$4*$B$9*$B$12*$B$16*$B$18*$B$21*$B$23,0)</f>
        <v/>
      </c>
      <c r="E41" s="10">
        <f>ROUND($B$4*$B$9*$B$12*$B$16*$B$18*$B$21*$B$24,0)</f>
        <v/>
      </c>
      <c r="F41" s="10">
        <f>ROUND($B$4*$B$9*$B$12*$B$16*$B$18*$B$22*$B$23,0)</f>
        <v/>
      </c>
      <c r="G41" s="10">
        <f>ROUND($B$4*$B$9*$B$12*$B$16*$B$18*$B$22*$B$24,0)</f>
        <v/>
      </c>
      <c r="H41" s="10">
        <f>ROUND($B$4*$B$9*$B$12*$B$16*$B$19*$B$21*$B$23,0)</f>
        <v/>
      </c>
      <c r="I41" s="10">
        <f>ROUND($B$4*$B$9*$B$12*$B$16*$B$19*$B$21*$B$24,0)</f>
        <v/>
      </c>
      <c r="J41" s="10">
        <f>ROUND($B$4*$B$9*$B$12*$B$16*$B$19*$B$22*$B$23,0)</f>
        <v/>
      </c>
      <c r="K41" s="10">
        <f>ROUND($B$4*$B$9*$B$12*$B$16*$B$19*$B$22*$B$24,0)</f>
        <v/>
      </c>
      <c r="L41" s="10">
        <f>ROUND($B$4*$B$9*$B$12*$B$16*$B$20*$B$21*$B$23,0)</f>
        <v/>
      </c>
      <c r="M41" s="10">
        <f>ROUND($B$4*$B$9*$B$12*$B$16*$B$20*$B$21*$B$24,0)</f>
        <v/>
      </c>
      <c r="N41" s="10">
        <f>ROUND($B$4*$B$9*$B$12*$B$16*$B$20*$B$22*$B$23,0)</f>
        <v/>
      </c>
      <c r="O41" s="10">
        <f>ROUND($B$4*$B$9*$B$12*$B$16*$B$20*$B$22*$B$24,0)</f>
        <v/>
      </c>
      <c r="P41" s="10">
        <f>ROUND($B$5*$B$9*$B$12*$B$16*$B$18*$B$21*$B$23,0)</f>
        <v/>
      </c>
      <c r="Q41" s="10">
        <f>ROUND($B$5*$B$9*$B$12*$B$16*$B$18*$B$21*$B$24,0)</f>
        <v/>
      </c>
      <c r="R41" s="10">
        <f>ROUND($B$5*$B$9*$B$12*$B$16*$B$18*$B$22*$B$23,0)</f>
        <v/>
      </c>
      <c r="S41" s="10">
        <f>ROUND($B$5*$B$9*$B$12*$B$16*$B$18*$B$22*$B$24,0)</f>
        <v/>
      </c>
      <c r="T41" s="10">
        <f>ROUND($B$5*$B$9*$B$12*$B$16*$B$19*$B$21*$B$23,0)</f>
        <v/>
      </c>
      <c r="U41" s="10">
        <f>ROUND($B$5*$B$9*$B$12*$B$16*$B$19*$B$21*$B$24,0)</f>
        <v/>
      </c>
      <c r="V41" s="10">
        <f>ROUND($B$5*$B$9*$B$12*$B$16*$B$19*$B$22*$B$23,0)</f>
        <v/>
      </c>
      <c r="W41" s="10">
        <f>ROUND($B$5*$B$9*$B$12*$B$16*$B$19*$B$22*$B$24,0)</f>
        <v/>
      </c>
      <c r="X41" s="10">
        <f>ROUND($B$5*$B$9*$B$12*$B$16*$B$20*$B$21*$B$23,0)</f>
        <v/>
      </c>
      <c r="Y41" s="10">
        <f>ROUND($B$5*$B$9*$B$12*$B$16*$B$20*$B$21*$B$24,0)</f>
        <v/>
      </c>
      <c r="Z41" s="10">
        <f>ROUND($B$5*$B$9*$B$12*$B$16*$B$20*$B$22*$B$23,0)</f>
        <v/>
      </c>
      <c r="AA41" s="10">
        <f>ROUND($B$5*$B$9*$B$12*$B$16*$B$20*$B$22*$B$24,0)</f>
        <v/>
      </c>
      <c r="AB41" s="10">
        <f>ROUND($B$6*$B$9*$B$12*$B$16*$B$18*$B$21*$B$23,0)</f>
        <v/>
      </c>
      <c r="AC41" s="10">
        <f>ROUND($B$6*$B$9*$B$12*$B$16*$B$18*$B$21*$B$24,0)</f>
        <v/>
      </c>
      <c r="AD41" s="10">
        <f>ROUND($B$6*$B$9*$B$12*$B$16*$B$18*$B$22*$B$23,0)</f>
        <v/>
      </c>
      <c r="AE41" s="10">
        <f>ROUND($B$6*$B$9*$B$12*$B$16*$B$18*$B$22*$B$24,0)</f>
        <v/>
      </c>
      <c r="AF41" s="10">
        <f>ROUND($B$6*$B$9*$B$12*$B$16*$B$19*$B$21*$B$23,0)</f>
        <v/>
      </c>
      <c r="AG41" s="10">
        <f>ROUND($B$6*$B$9*$B$12*$B$16*$B$19*$B$21*$B$24,0)</f>
        <v/>
      </c>
      <c r="AH41" s="10">
        <f>ROUND($B$6*$B$9*$B$12*$B$16*$B$19*$B$22*$B$23,0)</f>
        <v/>
      </c>
      <c r="AI41" s="10">
        <f>ROUND($B$6*$B$9*$B$12*$B$16*$B$19*$B$22*$B$24,0)</f>
        <v/>
      </c>
      <c r="AJ41" s="10">
        <f>ROUND($B$6*$B$9*$B$12*$B$16*$B$20*$B$21*$B$23,0)</f>
        <v/>
      </c>
      <c r="AK41" s="10">
        <f>ROUND($B$6*$B$9*$B$12*$B$16*$B$20*$B$21*$B$24,0)</f>
        <v/>
      </c>
      <c r="AL41" s="10">
        <f>ROUND($B$6*$B$9*$B$12*$B$16*$B$20*$B$22*$B$23,0)</f>
        <v/>
      </c>
      <c r="AM41" s="10">
        <f>ROUND($B$6*$B$9*$B$12*$B$16*$B$20*$B$22*$B$24,0)</f>
        <v/>
      </c>
    </row>
    <row r="42" ht="20.1" customHeight="1" s="62">
      <c r="A42" s="67" t="n"/>
      <c r="B42" s="59" t="n"/>
      <c r="C42" s="15" t="inlineStr">
        <is>
          <t>4 référentiels et +</t>
        </is>
      </c>
      <c r="D42" s="10">
        <f>ROUND($B$4*$B$9*$B$12*$B$17*$B$18*$B$21*$B$23,0)</f>
        <v/>
      </c>
      <c r="E42" s="10">
        <f>ROUND($B$4*$B$9*$B$12*$B$17*$B$18*$B$21*$B$24,0)</f>
        <v/>
      </c>
      <c r="F42" s="10">
        <f>ROUND($B$4*$B$9*$B$12*$B$17*$B$18*$B$22*$B$23,0)</f>
        <v/>
      </c>
      <c r="G42" s="10">
        <f>ROUND($B$4*$B$9*$B$12*$B$17*$B$18*$B$22*$B$24,0)</f>
        <v/>
      </c>
      <c r="H42" s="10">
        <f>ROUND($B$4*$B$9*$B$12*$B$17*$B$19*$B$21*$B$23,0)</f>
        <v/>
      </c>
      <c r="I42" s="10">
        <f>ROUND($B$4*$B$9*$B$12*$B$17*$B$19*$B$21*$B$24,0)</f>
        <v/>
      </c>
      <c r="J42" s="10">
        <f>ROUND($B$4*$B$9*$B$12*$B$17*$B$19*$B$22*$B$23,0)</f>
        <v/>
      </c>
      <c r="K42" s="10">
        <f>ROUND($B$4*$B$9*$B$12*$B$17*$B$19*$B$22*$B$24,0)</f>
        <v/>
      </c>
      <c r="L42" s="10">
        <f>ROUND($B$4*$B$9*$B$12*$B$17*$B$20*$B$21*$B$23,0)</f>
        <v/>
      </c>
      <c r="M42" s="10">
        <f>ROUND($B$4*$B$9*$B$12*$B$17*$B$20*$B$21*$B$24,0)</f>
        <v/>
      </c>
      <c r="N42" s="10">
        <f>ROUND($B$4*$B$9*$B$12*$B$17*$B$20*$B$22*$B$23,0)</f>
        <v/>
      </c>
      <c r="O42" s="10">
        <f>ROUND($B$4*$B$9*$B$12*$B$17*$B$20*$B$22*$B$24,0)</f>
        <v/>
      </c>
      <c r="P42" s="10">
        <f>ROUND($B$5*$B$9*$B$12*$B$17*$B$18*$B$21*$B$23,0)</f>
        <v/>
      </c>
      <c r="Q42" s="10">
        <f>ROUND($B$5*$B$9*$B$12*$B$17*$B$18*$B$21*$B$24,0)</f>
        <v/>
      </c>
      <c r="R42" s="10">
        <f>ROUND($B$5*$B$9*$B$12*$B$17*$B$18*$B$22*$B$23,0)</f>
        <v/>
      </c>
      <c r="S42" s="10">
        <f>ROUND($B$5*$B$9*$B$12*$B$17*$B$18*$B$22*$B$24,0)</f>
        <v/>
      </c>
      <c r="T42" s="10">
        <f>ROUND($B$5*$B$9*$B$12*$B$17*$B$19*$B$21*$B$23,0)</f>
        <v/>
      </c>
      <c r="U42" s="10">
        <f>ROUND($B$5*$B$9*$B$12*$B$17*$B$19*$B$21*$B$24,0)</f>
        <v/>
      </c>
      <c r="V42" s="10">
        <f>ROUND($B$5*$B$9*$B$12*$B$17*$B$19*$B$22*$B$23,0)</f>
        <v/>
      </c>
      <c r="W42" s="10">
        <f>ROUND($B$5*$B$9*$B$12*$B$17*$B$19*$B$22*$B$24,0)</f>
        <v/>
      </c>
      <c r="X42" s="10">
        <f>ROUND($B$5*$B$9*$B$12*$B$17*$B$20*$B$21*$B$23,0)</f>
        <v/>
      </c>
      <c r="Y42" s="10">
        <f>ROUND($B$5*$B$9*$B$12*$B$17*$B$20*$B$21*$B$24,0)</f>
        <v/>
      </c>
      <c r="Z42" s="10">
        <f>ROUND($B$5*$B$9*$B$12*$B$17*$B$20*$B$22*$B$23,0)</f>
        <v/>
      </c>
      <c r="AA42" s="10">
        <f>ROUND($B$5*$B$9*$B$12*$B$17*$B$20*$B$22*$B$24,0)</f>
        <v/>
      </c>
      <c r="AB42" s="10">
        <f>ROUND($B$6*$B$9*$B$12*$B$17*$B$18*$B$21*$B$23,0)</f>
        <v/>
      </c>
      <c r="AC42" s="10">
        <f>ROUND($B$6*$B$9*$B$12*$B$17*$B$18*$B$21*$B$24,0)</f>
        <v/>
      </c>
      <c r="AD42" s="10">
        <f>ROUND($B$6*$B$9*$B$12*$B$17*$B$18*$B$22*$B$23,0)</f>
        <v/>
      </c>
      <c r="AE42" s="10">
        <f>ROUND($B$6*$B$9*$B$12*$B$17*$B$18*$B$22*$B$24,0)</f>
        <v/>
      </c>
      <c r="AF42" s="10">
        <f>ROUND($B$6*$B$9*$B$12*$B$17*$B$19*$B$21*$B$23,0)</f>
        <v/>
      </c>
      <c r="AG42" s="10">
        <f>ROUND($B$6*$B$9*$B$12*$B$17*$B$19*$B$21*$B$24,0)</f>
        <v/>
      </c>
      <c r="AH42" s="10">
        <f>ROUND($B$6*$B$9*$B$12*$B$17*$B$19*$B$22*$B$23,0)</f>
        <v/>
      </c>
      <c r="AI42" s="10">
        <f>ROUND($B$6*$B$9*$B$12*$B$17*$B$19*$B$22*$B$24,0)</f>
        <v/>
      </c>
      <c r="AJ42" s="10">
        <f>ROUND($B$6*$B$9*$B$12*$B$17*$B$20*$B$21*$B$23,0)</f>
        <v/>
      </c>
      <c r="AK42" s="10">
        <f>ROUND($B$6*$B$9*$B$12*$B$17*$B$20*$B$21*$B$24,0)</f>
        <v/>
      </c>
      <c r="AL42" s="10">
        <f>ROUND($B$6*$B$9*$B$12*$B$17*$B$20*$B$22*$B$23,0)</f>
        <v/>
      </c>
      <c r="AM42" s="10">
        <f>ROUND($B$6*$B$9*$B$12*$B$17*$B$20*$B$22*$B$24,0)</f>
        <v/>
      </c>
    </row>
    <row r="43" ht="20.1" customHeight="1" s="62">
      <c r="A43" s="67" t="n"/>
      <c r="B43" s="57" t="inlineStr">
        <is>
          <t>Modérée</t>
        </is>
      </c>
      <c r="C43" s="14" t="inlineStr">
        <is>
          <t>1 référentiel</t>
        </is>
      </c>
      <c r="D43" s="10">
        <f>ROUND($B$4*$B$9*$B$13*$B$15*$B$18*$B$21*$B$23,0)</f>
        <v/>
      </c>
      <c r="E43" s="10">
        <f>ROUND($B$4*$B$9*$B$13*$B$15*$B$18*$B$21*$B$24,0)</f>
        <v/>
      </c>
      <c r="F43" s="10">
        <f>ROUND($B$4*$B$9*$B$13*$B$15*$B$18*$B$22*$B$23,0)</f>
        <v/>
      </c>
      <c r="G43" s="10">
        <f>ROUND($B$4*$B$9*$B$13*$B$15*$B$18*$B$22*$B$24,0)</f>
        <v/>
      </c>
      <c r="H43" s="10">
        <f>ROUND($B$4*$B$9*$B$13*$B$15*$B$19*$B$21*$B$23,0)</f>
        <v/>
      </c>
      <c r="I43" s="10">
        <f>ROUND($B$4*$B$9*$B$13*$B$15*$B$19*$B$21*$B$24,0)</f>
        <v/>
      </c>
      <c r="J43" s="10">
        <f>ROUND($B$4*$B$9*$B$13*$B$15*$B$19*$B$22*$B$23,0)</f>
        <v/>
      </c>
      <c r="K43" s="10">
        <f>ROUND($B$4*$B$9*$B$13*$B$15*$B$19*$B$22*$B$24,0)</f>
        <v/>
      </c>
      <c r="L43" s="10">
        <f>ROUND($B$4*$B$9*$B$13*$B$15*$B$20*$B$21*$B$23,0)</f>
        <v/>
      </c>
      <c r="M43" s="10">
        <f>ROUND($B$4*$B$9*$B$13*$B$15*$B$20*$B$21*$B$24,0)</f>
        <v/>
      </c>
      <c r="N43" s="10">
        <f>ROUND($B$4*$B$9*$B$13*$B$15*$B$20*$B$22*$B$23,0)</f>
        <v/>
      </c>
      <c r="O43" s="10">
        <f>ROUND($B$4*$B$9*$B$13*$B$15*$B$20*$B$22*$B$24,0)</f>
        <v/>
      </c>
      <c r="P43" s="10">
        <f>ROUND($B$5*$B$9*$B$13*$B$15*$B$18*$B$21*$B$23,0)</f>
        <v/>
      </c>
      <c r="Q43" s="10">
        <f>ROUND($B$5*$B$9*$B$13*$B$15*$B$18*$B$21*$B$24,0)</f>
        <v/>
      </c>
      <c r="R43" s="10">
        <f>ROUND($B$5*$B$9*$B$13*$B$15*$B$18*$B$22*$B$23,0)</f>
        <v/>
      </c>
      <c r="S43" s="10">
        <f>ROUND($B$5*$B$9*$B$13*$B$15*$B$18*$B$22*$B$24,0)</f>
        <v/>
      </c>
      <c r="T43" s="10">
        <f>ROUND($B$5*$B$9*$B$13*$B$15*$B$19*$B$21*$B$23,0)</f>
        <v/>
      </c>
      <c r="U43" s="10">
        <f>ROUND($B$5*$B$9*$B$13*$B$15*$B$19*$B$21*$B$24,0)</f>
        <v/>
      </c>
      <c r="V43" s="10">
        <f>ROUND($B$5*$B$9*$B$13*$B$15*$B$19*$B$22*$B$23,0)</f>
        <v/>
      </c>
      <c r="W43" s="10">
        <f>ROUND($B$5*$B$9*$B$13*$B$15*$B$19*$B$22*$B$24,0)</f>
        <v/>
      </c>
      <c r="X43" s="10">
        <f>ROUND($B$5*$B$9*$B$13*$B$15*$B$20*$B$21*$B$23,0)</f>
        <v/>
      </c>
      <c r="Y43" s="10">
        <f>ROUND($B$5*$B$9*$B$13*$B$15*$B$20*$B$21*$B$24,0)</f>
        <v/>
      </c>
      <c r="Z43" s="10">
        <f>ROUND($B$5*$B$9*$B$13*$B$15*$B$20*$B$22*$B$23,0)</f>
        <v/>
      </c>
      <c r="AA43" s="10">
        <f>ROUND($B$5*$B$9*$B$13*$B$15*$B$20*$B$22*$B$24,0)</f>
        <v/>
      </c>
      <c r="AB43" s="10">
        <f>ROUND($B$6*$B$9*$B$13*$B$15*$B$18*$B$21*$B$23,0)</f>
        <v/>
      </c>
      <c r="AC43" s="10">
        <f>ROUND($B$6*$B$9*$B$13*$B$15*$B$18*$B$21*$B$24,0)</f>
        <v/>
      </c>
      <c r="AD43" s="10">
        <f>ROUND($B$6*$B$9*$B$13*$B$15*$B$18*$B$22*$B$23,0)</f>
        <v/>
      </c>
      <c r="AE43" s="10">
        <f>ROUND($B$6*$B$9*$B$13*$B$15*$B$18*$B$22*$B$24,0)</f>
        <v/>
      </c>
      <c r="AF43" s="10">
        <f>ROUND($B$6*$B$9*$B$13*$B$15*$B$19*$B$21*$B$23,0)</f>
        <v/>
      </c>
      <c r="AG43" s="10">
        <f>ROUND($B$6*$B$9*$B$13*$B$15*$B$19*$B$21*$B$24,0)</f>
        <v/>
      </c>
      <c r="AH43" s="10">
        <f>ROUND($B$6*$B$9*$B$13*$B$15*$B$19*$B$22*$B$23,0)</f>
        <v/>
      </c>
      <c r="AI43" s="10">
        <f>ROUND($B$6*$B$9*$B$13*$B$15*$B$19*$B$22*$B$24,0)</f>
        <v/>
      </c>
      <c r="AJ43" s="10">
        <f>ROUND($B$6*$B$9*$B$13*$B$15*$B$20*$B$21*$B$23,0)</f>
        <v/>
      </c>
      <c r="AK43" s="10">
        <f>ROUND($B$6*$B$9*$B$13*$B$15*$B$20*$B$21*$B$24,0)</f>
        <v/>
      </c>
      <c r="AL43" s="10">
        <f>ROUND($B$6*$B$9*$B$13*$B$15*$B$20*$B$22*$B$23,0)</f>
        <v/>
      </c>
      <c r="AM43" s="10">
        <f>ROUND($B$6*$B$9*$B$13*$B$15*$B$20*$B$22*$B$24,0)</f>
        <v/>
      </c>
    </row>
    <row r="44" ht="20.1" customHeight="1" s="62">
      <c r="A44" s="67" t="n"/>
      <c r="B44" s="58" t="n"/>
      <c r="C44" s="57" t="inlineStr">
        <is>
          <t>2-3 référentiels</t>
        </is>
      </c>
      <c r="D44" s="10">
        <f>ROUND($B$4*$B$9*$B$13*$B$16*$B$18*$B$21*$B$23,0)</f>
        <v/>
      </c>
      <c r="E44" s="10">
        <f>ROUND($B$4*$B$9*$B$13*$B$16*$B$18*$B$21*$B$24,0)</f>
        <v/>
      </c>
      <c r="F44" s="10">
        <f>ROUND($B$4*$B$9*$B$13*$B$16*$B$18*$B$22*$B$23,0)</f>
        <v/>
      </c>
      <c r="G44" s="10">
        <f>ROUND($B$4*$B$9*$B$13*$B$16*$B$18*$B$22*$B$24,0)</f>
        <v/>
      </c>
      <c r="H44" s="10">
        <f>ROUND($B$4*$B$9*$B$13*$B$16*$B$19*$B$21*$B$23,0)</f>
        <v/>
      </c>
      <c r="I44" s="10">
        <f>ROUND($B$4*$B$9*$B$13*$B$16*$B$19*$B$21*$B$24,0)</f>
        <v/>
      </c>
      <c r="J44" s="10">
        <f>ROUND($B$4*$B$9*$B$13*$B$16*$B$19*$B$22*$B$23,0)</f>
        <v/>
      </c>
      <c r="K44" s="10">
        <f>ROUND($B$4*$B$9*$B$13*$B$16*$B$19*$B$22*$B$24,0)</f>
        <v/>
      </c>
      <c r="L44" s="10">
        <f>ROUND($B$4*$B$9*$B$13*$B$16*$B$20*$B$21*$B$23,0)</f>
        <v/>
      </c>
      <c r="M44" s="10">
        <f>ROUND($B$4*$B$9*$B$13*$B$16*$B$20*$B$21*$B$24,0)</f>
        <v/>
      </c>
      <c r="N44" s="10">
        <f>ROUND($B$4*$B$9*$B$13*$B$16*$B$20*$B$22*$B$23,0)</f>
        <v/>
      </c>
      <c r="O44" s="10">
        <f>ROUND($B$4*$B$9*$B$13*$B$16*$B$20*$B$22*$B$24,0)</f>
        <v/>
      </c>
      <c r="P44" s="10">
        <f>ROUND($B$5*$B$9*$B$13*$B$16*$B$18*$B$21*$B$23,0)</f>
        <v/>
      </c>
      <c r="Q44" s="10">
        <f>ROUND($B$5*$B$9*$B$13*$B$16*$B$18*$B$21*$B$24,0)</f>
        <v/>
      </c>
      <c r="R44" s="10">
        <f>ROUND($B$5*$B$9*$B$13*$B$16*$B$18*$B$22*$B$23,0)</f>
        <v/>
      </c>
      <c r="S44" s="10">
        <f>ROUND($B$5*$B$9*$B$13*$B$16*$B$18*$B$22*$B$24,0)</f>
        <v/>
      </c>
      <c r="T44" s="10">
        <f>ROUND($B$5*$B$9*$B$13*$B$16*$B$19*$B$21*$B$23,0)</f>
        <v/>
      </c>
      <c r="U44" s="10">
        <f>ROUND($B$5*$B$9*$B$13*$B$16*$B$19*$B$21*$B$24,0)</f>
        <v/>
      </c>
      <c r="V44" s="10">
        <f>ROUND($B$5*$B$9*$B$13*$B$16*$B$19*$B$22*$B$23,0)</f>
        <v/>
      </c>
      <c r="W44" s="10">
        <f>ROUND($B$5*$B$9*$B$13*$B$16*$B$19*$B$22*$B$24,0)</f>
        <v/>
      </c>
      <c r="X44" s="10">
        <f>ROUND($B$5*$B$9*$B$13*$B$16*$B$20*$B$21*$B$23,0)</f>
        <v/>
      </c>
      <c r="Y44" s="10">
        <f>ROUND($B$5*$B$9*$B$13*$B$16*$B$20*$B$21*$B$24,0)</f>
        <v/>
      </c>
      <c r="Z44" s="10">
        <f>ROUND($B$5*$B$9*$B$13*$B$16*$B$20*$B$22*$B$23,0)</f>
        <v/>
      </c>
      <c r="AA44" s="10">
        <f>ROUND($B$5*$B$9*$B$13*$B$16*$B$20*$B$22*$B$24,0)</f>
        <v/>
      </c>
      <c r="AB44" s="10">
        <f>ROUND($B$6*$B$9*$B$13*$B$16*$B$18*$B$21*$B$23,0)</f>
        <v/>
      </c>
      <c r="AC44" s="10">
        <f>ROUND($B$6*$B$9*$B$13*$B$16*$B$18*$B$21*$B$24,0)</f>
        <v/>
      </c>
      <c r="AD44" s="10">
        <f>ROUND($B$6*$B$9*$B$13*$B$16*$B$18*$B$22*$B$23,0)</f>
        <v/>
      </c>
      <c r="AE44" s="10">
        <f>ROUND($B$6*$B$9*$B$13*$B$16*$B$18*$B$22*$B$24,0)</f>
        <v/>
      </c>
      <c r="AF44" s="10">
        <f>ROUND($B$6*$B$9*$B$13*$B$16*$B$19*$B$21*$B$23,0)</f>
        <v/>
      </c>
      <c r="AG44" s="10">
        <f>ROUND($B$6*$B$9*$B$13*$B$16*$B$19*$B$21*$B$24,0)</f>
        <v/>
      </c>
      <c r="AH44" s="10">
        <f>ROUND($B$6*$B$9*$B$13*$B$16*$B$19*$B$22*$B$23,0)</f>
        <v/>
      </c>
      <c r="AI44" s="10">
        <f>ROUND($B$6*$B$9*$B$13*$B$16*$B$19*$B$22*$B$24,0)</f>
        <v/>
      </c>
      <c r="AJ44" s="10">
        <f>ROUND($B$6*$B$9*$B$13*$B$16*$B$20*$B$21*$B$23,0)</f>
        <v/>
      </c>
      <c r="AK44" s="10">
        <f>ROUND($B$6*$B$9*$B$13*$B$16*$B$20*$B$21*$B$24,0)</f>
        <v/>
      </c>
      <c r="AL44" s="10">
        <f>ROUND($B$6*$B$9*$B$13*$B$16*$B$20*$B$22*$B$23,0)</f>
        <v/>
      </c>
      <c r="AM44" s="10">
        <f>ROUND($B$6*$B$9*$B$13*$B$16*$B$20*$B$22*$B$24,0)</f>
        <v/>
      </c>
    </row>
    <row r="45" ht="20.1" customHeight="1" s="62">
      <c r="A45" s="67" t="n"/>
      <c r="B45" s="59" t="n"/>
      <c r="C45" s="15" t="inlineStr">
        <is>
          <t>4 référentiels et +</t>
        </is>
      </c>
      <c r="D45" s="10">
        <f>ROUND($B$4*$B$9*$B$13*$B$17*$B$18*$B$21*$B$23,0)</f>
        <v/>
      </c>
      <c r="E45" s="10">
        <f>ROUND($B$4*$B$9*$B$13*$B$17*$B$18*$B$21*$B$24,0)</f>
        <v/>
      </c>
      <c r="F45" s="10">
        <f>ROUND($B$4*$B$9*$B$13*$B$17*$B$18*$B$22*$B$23,0)</f>
        <v/>
      </c>
      <c r="G45" s="10">
        <f>ROUND($B$4*$B$9*$B$13*$B$17*$B$18*$B$22*$B$24,0)</f>
        <v/>
      </c>
      <c r="H45" s="10">
        <f>ROUND($B$4*$B$9*$B$13*$B$17*$B$19*$B$21*$B$23,0)</f>
        <v/>
      </c>
      <c r="I45" s="10">
        <f>ROUND($B$4*$B$9*$B$13*$B$17*$B$19*$B$21*$B$24,0)</f>
        <v/>
      </c>
      <c r="J45" s="10">
        <f>ROUND($B$4*$B$9*$B$13*$B$17*$B$19*$B$22*$B$23,0)</f>
        <v/>
      </c>
      <c r="K45" s="10">
        <f>ROUND($B$4*$B$9*$B$13*$B$17*$B$19*$B$22*$B$24,0)</f>
        <v/>
      </c>
      <c r="L45" s="10">
        <f>ROUND($B$4*$B$9*$B$13*$B$17*$B$20*$B$21*$B$23,0)</f>
        <v/>
      </c>
      <c r="M45" s="10">
        <f>ROUND($B$4*$B$9*$B$13*$B$17*$B$20*$B$21*$B$24,0)</f>
        <v/>
      </c>
      <c r="N45" s="10">
        <f>ROUND($B$4*$B$9*$B$13*$B$17*$B$20*$B$22*$B$23,0)</f>
        <v/>
      </c>
      <c r="O45" s="10">
        <f>ROUND($B$4*$B$9*$B$13*$B$17*$B$20*$B$22*$B$24,0)</f>
        <v/>
      </c>
      <c r="P45" s="10">
        <f>ROUND($B$5*$B$9*$B$13*$B$17*$B$18*$B$21*$B$23,0)</f>
        <v/>
      </c>
      <c r="Q45" s="10">
        <f>ROUND($B$5*$B$9*$B$13*$B$17*$B$18*$B$21*$B$24,0)</f>
        <v/>
      </c>
      <c r="R45" s="10">
        <f>ROUND($B$5*$B$9*$B$13*$B$17*$B$18*$B$22*$B$23,0)</f>
        <v/>
      </c>
      <c r="S45" s="10">
        <f>ROUND($B$5*$B$9*$B$13*$B$17*$B$18*$B$22*$B$24,0)</f>
        <v/>
      </c>
      <c r="T45" s="10">
        <f>ROUND($B$5*$B$9*$B$13*$B$17*$B$19*$B$21*$B$23,0)</f>
        <v/>
      </c>
      <c r="U45" s="10">
        <f>ROUND($B$5*$B$9*$B$13*$B$17*$B$19*$B$21*$B$24,0)</f>
        <v/>
      </c>
      <c r="V45" s="10">
        <f>ROUND($B$5*$B$9*$B$13*$B$17*$B$19*$B$22*$B$23,0)</f>
        <v/>
      </c>
      <c r="W45" s="10">
        <f>ROUND($B$5*$B$9*$B$13*$B$17*$B$19*$B$22*$B$24,0)</f>
        <v/>
      </c>
      <c r="X45" s="10">
        <f>ROUND($B$5*$B$9*$B$13*$B$17*$B$20*$B$21*$B$23,0)</f>
        <v/>
      </c>
      <c r="Y45" s="10">
        <f>ROUND($B$5*$B$9*$B$13*$B$17*$B$20*$B$21*$B$24,0)</f>
        <v/>
      </c>
      <c r="Z45" s="10">
        <f>ROUND($B$5*$B$9*$B$13*$B$17*$B$20*$B$22*$B$23,0)</f>
        <v/>
      </c>
      <c r="AA45" s="10">
        <f>ROUND($B$5*$B$9*$B$13*$B$17*$B$20*$B$22*$B$24,0)</f>
        <v/>
      </c>
      <c r="AB45" s="10">
        <f>ROUND($B$6*$B$9*$B$13*$B$17*$B$18*$B$21*$B$23,0)</f>
        <v/>
      </c>
      <c r="AC45" s="10">
        <f>ROUND($B$6*$B$9*$B$13*$B$17*$B$18*$B$21*$B$24,0)</f>
        <v/>
      </c>
      <c r="AD45" s="10">
        <f>ROUND($B$6*$B$9*$B$13*$B$17*$B$18*$B$22*$B$23,0)</f>
        <v/>
      </c>
      <c r="AE45" s="10">
        <f>ROUND($B$6*$B$9*$B$13*$B$17*$B$18*$B$22*$B$24,0)</f>
        <v/>
      </c>
      <c r="AF45" s="10">
        <f>ROUND($B$6*$B$9*$B$13*$B$17*$B$19*$B$21*$B$23,0)</f>
        <v/>
      </c>
      <c r="AG45" s="10">
        <f>ROUND($B$6*$B$9*$B$13*$B$17*$B$19*$B$21*$B$24,0)</f>
        <v/>
      </c>
      <c r="AH45" s="10">
        <f>ROUND($B$6*$B$9*$B$13*$B$17*$B$19*$B$22*$B$23,0)</f>
        <v/>
      </c>
      <c r="AI45" s="10">
        <f>ROUND($B$6*$B$9*$B$13*$B$17*$B$19*$B$22*$B$24,0)</f>
        <v/>
      </c>
      <c r="AJ45" s="10">
        <f>ROUND($B$6*$B$9*$B$13*$B$17*$B$20*$B$21*$B$23,0)</f>
        <v/>
      </c>
      <c r="AK45" s="10">
        <f>ROUND($B$6*$B$9*$B$13*$B$17*$B$20*$B$21*$B$24,0)</f>
        <v/>
      </c>
      <c r="AL45" s="10">
        <f>ROUND($B$6*$B$9*$B$13*$B$17*$B$20*$B$22*$B$23,0)</f>
        <v/>
      </c>
      <c r="AM45" s="10">
        <f>ROUND($B$6*$B$9*$B$13*$B$17*$B$20*$B$22*$B$24,0)</f>
        <v/>
      </c>
    </row>
    <row r="46" ht="20.1" customHeight="1" s="62">
      <c r="A46" s="67" t="n"/>
      <c r="B46" s="57" t="inlineStr">
        <is>
          <t>Complexe (multi-sites / multi-équipes)</t>
        </is>
      </c>
      <c r="C46" s="14" t="inlineStr">
        <is>
          <t>1 référentiel</t>
        </is>
      </c>
      <c r="D46" s="10">
        <f>ROUND($B$4*$B$9*$B$14*$B$15*$B$18*$B$21*$B$23,0)</f>
        <v/>
      </c>
      <c r="E46" s="10">
        <f>ROUND($B$4*$B$9*$B$14*$B$15*$B$18*$B$21*$B$24,0)</f>
        <v/>
      </c>
      <c r="F46" s="10">
        <f>ROUND($B$4*$B$9*$B$14*$B$15*$B$18*$B$22*$B$23,0)</f>
        <v/>
      </c>
      <c r="G46" s="10">
        <f>ROUND($B$4*$B$9*$B$14*$B$15*$B$18*$B$22*$B$24,0)</f>
        <v/>
      </c>
      <c r="H46" s="10">
        <f>ROUND($B$4*$B$9*$B$14*$B$15*$B$19*$B$21*$B$23,0)</f>
        <v/>
      </c>
      <c r="I46" s="10">
        <f>ROUND($B$4*$B$9*$B$14*$B$15*$B$19*$B$21*$B$24,0)</f>
        <v/>
      </c>
      <c r="J46" s="10">
        <f>ROUND($B$4*$B$9*$B$14*$B$15*$B$19*$B$22*$B$23,0)</f>
        <v/>
      </c>
      <c r="K46" s="10">
        <f>ROUND($B$4*$B$9*$B$14*$B$15*$B$19*$B$22*$B$24,0)</f>
        <v/>
      </c>
      <c r="L46" s="10">
        <f>ROUND($B$4*$B$9*$B$14*$B$15*$B$20*$B$21*$B$23,0)</f>
        <v/>
      </c>
      <c r="M46" s="10">
        <f>ROUND($B$4*$B$9*$B$14*$B$15*$B$20*$B$21*$B$24,0)</f>
        <v/>
      </c>
      <c r="N46" s="10">
        <f>ROUND($B$4*$B$9*$B$14*$B$15*$B$20*$B$22*$B$23,0)</f>
        <v/>
      </c>
      <c r="O46" s="10">
        <f>ROUND($B$4*$B$9*$B$14*$B$15*$B$20*$B$22*$B$24,0)</f>
        <v/>
      </c>
      <c r="P46" s="10">
        <f>ROUND($B$5*$B$9*$B$14*$B$15*$B$18*$B$21*$B$23,0)</f>
        <v/>
      </c>
      <c r="Q46" s="10">
        <f>ROUND($B$5*$B$9*$B$14*$B$15*$B$18*$B$21*$B$24,0)</f>
        <v/>
      </c>
      <c r="R46" s="10">
        <f>ROUND($B$5*$B$9*$B$14*$B$15*$B$18*$B$22*$B$23,0)</f>
        <v/>
      </c>
      <c r="S46" s="10">
        <f>ROUND($B$5*$B$9*$B$14*$B$15*$B$18*$B$22*$B$24,0)</f>
        <v/>
      </c>
      <c r="T46" s="10">
        <f>ROUND($B$5*$B$9*$B$14*$B$15*$B$19*$B$21*$B$23,0)</f>
        <v/>
      </c>
      <c r="U46" s="10">
        <f>ROUND($B$5*$B$9*$B$14*$B$15*$B$19*$B$21*$B$24,0)</f>
        <v/>
      </c>
      <c r="V46" s="10">
        <f>ROUND($B$5*$B$9*$B$14*$B$15*$B$19*$B$22*$B$23,0)</f>
        <v/>
      </c>
      <c r="W46" s="10">
        <f>ROUND($B$5*$B$9*$B$14*$B$15*$B$19*$B$22*$B$24,0)</f>
        <v/>
      </c>
      <c r="X46" s="10">
        <f>ROUND($B$5*$B$9*$B$14*$B$15*$B$20*$B$21*$B$23,0)</f>
        <v/>
      </c>
      <c r="Y46" s="10">
        <f>ROUND($B$5*$B$9*$B$14*$B$15*$B$20*$B$21*$B$24,0)</f>
        <v/>
      </c>
      <c r="Z46" s="10">
        <f>ROUND($B$5*$B$9*$B$14*$B$15*$B$20*$B$22*$B$23,0)</f>
        <v/>
      </c>
      <c r="AA46" s="10">
        <f>ROUND($B$5*$B$9*$B$14*$B$15*$B$20*$B$22*$B$24,0)</f>
        <v/>
      </c>
      <c r="AB46" s="10">
        <f>ROUND($B$6*$B$9*$B$14*$B$15*$B$18*$B$21*$B$23,0)</f>
        <v/>
      </c>
      <c r="AC46" s="10">
        <f>ROUND($B$6*$B$9*$B$14*$B$15*$B$18*$B$21*$B$24,0)</f>
        <v/>
      </c>
      <c r="AD46" s="10">
        <f>ROUND($B$6*$B$9*$B$14*$B$15*$B$18*$B$22*$B$23,0)</f>
        <v/>
      </c>
      <c r="AE46" s="10">
        <f>ROUND($B$6*$B$9*$B$14*$B$15*$B$18*$B$22*$B$24,0)</f>
        <v/>
      </c>
      <c r="AF46" s="10">
        <f>ROUND($B$6*$B$9*$B$14*$B$15*$B$19*$B$21*$B$23,0)</f>
        <v/>
      </c>
      <c r="AG46" s="10">
        <f>ROUND($B$6*$B$9*$B$14*$B$15*$B$19*$B$21*$B$24,0)</f>
        <v/>
      </c>
      <c r="AH46" s="10">
        <f>ROUND($B$6*$B$9*$B$14*$B$15*$B$19*$B$22*$B$23,0)</f>
        <v/>
      </c>
      <c r="AI46" s="10">
        <f>ROUND($B$6*$B$9*$B$14*$B$15*$B$19*$B$22*$B$24,0)</f>
        <v/>
      </c>
      <c r="AJ46" s="10">
        <f>ROUND($B$6*$B$9*$B$14*$B$15*$B$20*$B$21*$B$23,0)</f>
        <v/>
      </c>
      <c r="AK46" s="10">
        <f>ROUND($B$6*$B$9*$B$14*$B$15*$B$20*$B$21*$B$24,0)</f>
        <v/>
      </c>
      <c r="AL46" s="10">
        <f>ROUND($B$6*$B$9*$B$14*$B$15*$B$20*$B$22*$B$23,0)</f>
        <v/>
      </c>
      <c r="AM46" s="10">
        <f>ROUND($B$6*$B$9*$B$14*$B$15*$B$20*$B$22*$B$24,0)</f>
        <v/>
      </c>
    </row>
    <row r="47" ht="20.1" customHeight="1" s="62">
      <c r="A47" s="67" t="n"/>
      <c r="B47" s="58" t="n"/>
      <c r="C47" s="57" t="inlineStr">
        <is>
          <t>2-3 référentiels</t>
        </is>
      </c>
      <c r="D47" s="10">
        <f>ROUND($B$4*$B$9*$B$14*$B$16*$B$18*$B$21*$B$23,0)</f>
        <v/>
      </c>
      <c r="E47" s="10">
        <f>ROUND($B$4*$B$9*$B$14*$B$16*$B$18*$B$21*$B$24,0)</f>
        <v/>
      </c>
      <c r="F47" s="10">
        <f>ROUND($B$4*$B$9*$B$14*$B$16*$B$18*$B$22*$B$23,0)</f>
        <v/>
      </c>
      <c r="G47" s="10">
        <f>ROUND($B$4*$B$9*$B$14*$B$16*$B$18*$B$22*$B$24,0)</f>
        <v/>
      </c>
      <c r="H47" s="10">
        <f>ROUND($B$4*$B$9*$B$14*$B$16*$B$19*$B$21*$B$23,0)</f>
        <v/>
      </c>
      <c r="I47" s="10">
        <f>ROUND($B$4*$B$9*$B$14*$B$16*$B$19*$B$21*$B$24,0)</f>
        <v/>
      </c>
      <c r="J47" s="10">
        <f>ROUND($B$4*$B$9*$B$14*$B$16*$B$19*$B$22*$B$23,0)</f>
        <v/>
      </c>
      <c r="K47" s="10">
        <f>ROUND($B$4*$B$9*$B$14*$B$16*$B$19*$B$22*$B$24,0)</f>
        <v/>
      </c>
      <c r="L47" s="10">
        <f>ROUND($B$4*$B$9*$B$14*$B$16*$B$20*$B$21*$B$23,0)</f>
        <v/>
      </c>
      <c r="M47" s="10">
        <f>ROUND($B$4*$B$9*$B$14*$B$16*$B$20*$B$21*$B$24,0)</f>
        <v/>
      </c>
      <c r="N47" s="10">
        <f>ROUND($B$4*$B$9*$B$14*$B$16*$B$20*$B$22*$B$23,0)</f>
        <v/>
      </c>
      <c r="O47" s="10">
        <f>ROUND($B$4*$B$9*$B$14*$B$16*$B$20*$B$22*$B$24,0)</f>
        <v/>
      </c>
      <c r="P47" s="10">
        <f>ROUND($B$5*$B$9*$B$14*$B$16*$B$18*$B$21*$B$23,0)</f>
        <v/>
      </c>
      <c r="Q47" s="10">
        <f>ROUND($B$5*$B$9*$B$14*$B$16*$B$18*$B$21*$B$24,0)</f>
        <v/>
      </c>
      <c r="R47" s="10">
        <f>ROUND($B$5*$B$9*$B$14*$B$16*$B$18*$B$22*$B$23,0)</f>
        <v/>
      </c>
      <c r="S47" s="10">
        <f>ROUND($B$5*$B$9*$B$14*$B$16*$B$18*$B$22*$B$24,0)</f>
        <v/>
      </c>
      <c r="T47" s="10">
        <f>ROUND($B$5*$B$9*$B$14*$B$16*$B$19*$B$21*$B$23,0)</f>
        <v/>
      </c>
      <c r="U47" s="10">
        <f>ROUND($B$5*$B$9*$B$14*$B$16*$B$19*$B$21*$B$24,0)</f>
        <v/>
      </c>
      <c r="V47" s="10">
        <f>ROUND($B$5*$B$9*$B$14*$B$16*$B$19*$B$22*$B$23,0)</f>
        <v/>
      </c>
      <c r="W47" s="10">
        <f>ROUND($B$5*$B$9*$B$14*$B$16*$B$19*$B$22*$B$24,0)</f>
        <v/>
      </c>
      <c r="X47" s="10">
        <f>ROUND($B$5*$B$9*$B$14*$B$16*$B$20*$B$21*$B$23,0)</f>
        <v/>
      </c>
      <c r="Y47" s="10">
        <f>ROUND($B$5*$B$9*$B$14*$B$16*$B$20*$B$21*$B$24,0)</f>
        <v/>
      </c>
      <c r="Z47" s="10">
        <f>ROUND($B$5*$B$9*$B$14*$B$16*$B$20*$B$22*$B$23,0)</f>
        <v/>
      </c>
      <c r="AA47" s="10">
        <f>ROUND($B$5*$B$9*$B$14*$B$16*$B$20*$B$22*$B$24,0)</f>
        <v/>
      </c>
      <c r="AB47" s="10">
        <f>ROUND($B$6*$B$9*$B$14*$B$16*$B$18*$B$21*$B$23,0)</f>
        <v/>
      </c>
      <c r="AC47" s="10">
        <f>ROUND($B$6*$B$9*$B$14*$B$16*$B$18*$B$21*$B$24,0)</f>
        <v/>
      </c>
      <c r="AD47" s="10">
        <f>ROUND($B$6*$B$9*$B$14*$B$16*$B$18*$B$22*$B$23,0)</f>
        <v/>
      </c>
      <c r="AE47" s="10">
        <f>ROUND($B$6*$B$9*$B$14*$B$16*$B$18*$B$22*$B$24,0)</f>
        <v/>
      </c>
      <c r="AF47" s="10">
        <f>ROUND($B$6*$B$9*$B$14*$B$16*$B$19*$B$21*$B$23,0)</f>
        <v/>
      </c>
      <c r="AG47" s="10">
        <f>ROUND($B$6*$B$9*$B$14*$B$16*$B$19*$B$21*$B$24,0)</f>
        <v/>
      </c>
      <c r="AH47" s="10">
        <f>ROUND($B$6*$B$9*$B$14*$B$16*$B$19*$B$22*$B$23,0)</f>
        <v/>
      </c>
      <c r="AI47" s="10">
        <f>ROUND($B$6*$B$9*$B$14*$B$16*$B$19*$B$22*$B$24,0)</f>
        <v/>
      </c>
      <c r="AJ47" s="10">
        <f>ROUND($B$6*$B$9*$B$14*$B$16*$B$20*$B$21*$B$23,0)</f>
        <v/>
      </c>
      <c r="AK47" s="10">
        <f>ROUND($B$6*$B$9*$B$14*$B$16*$B$20*$B$21*$B$24,0)</f>
        <v/>
      </c>
      <c r="AL47" s="10">
        <f>ROUND($B$6*$B$9*$B$14*$B$16*$B$20*$B$22*$B$23,0)</f>
        <v/>
      </c>
      <c r="AM47" s="10">
        <f>ROUND($B$6*$B$9*$B$14*$B$16*$B$20*$B$22*$B$24,0)</f>
        <v/>
      </c>
    </row>
    <row r="48" ht="20.1" customHeight="1" s="62">
      <c r="A48" s="68" t="n"/>
      <c r="B48" s="59" t="n"/>
      <c r="C48" s="15" t="inlineStr">
        <is>
          <t>4 référentiels et +</t>
        </is>
      </c>
      <c r="D48" s="10">
        <f>ROUND($B$4*$B$9*$B$14*$B$17*$B$18*$B$21*$B$23,0)</f>
        <v/>
      </c>
      <c r="E48" s="10">
        <f>ROUND($B$4*$B$9*$B$14*$B$17*$B$18*$B$21*$B$24,0)</f>
        <v/>
      </c>
      <c r="F48" s="10">
        <f>ROUND($B$4*$B$9*$B$14*$B$17*$B$18*$B$22*$B$23,0)</f>
        <v/>
      </c>
      <c r="G48" s="10">
        <f>ROUND($B$4*$B$9*$B$14*$B$17*$B$18*$B$22*$B$24,0)</f>
        <v/>
      </c>
      <c r="H48" s="10">
        <f>ROUND($B$4*$B$9*$B$14*$B$17*$B$19*$B$21*$B$23,0)</f>
        <v/>
      </c>
      <c r="I48" s="10">
        <f>ROUND($B$4*$B$9*$B$14*$B$17*$B$19*$B$21*$B$24,0)</f>
        <v/>
      </c>
      <c r="J48" s="10">
        <f>ROUND($B$4*$B$9*$B$14*$B$17*$B$19*$B$22*$B$23,0)</f>
        <v/>
      </c>
      <c r="K48" s="10">
        <f>ROUND($B$4*$B$9*$B$14*$B$17*$B$19*$B$22*$B$24,0)</f>
        <v/>
      </c>
      <c r="L48" s="10">
        <f>ROUND($B$4*$B$9*$B$14*$B$17*$B$20*$B$21*$B$23,0)</f>
        <v/>
      </c>
      <c r="M48" s="10">
        <f>ROUND($B$4*$B$9*$B$14*$B$17*$B$20*$B$21*$B$24,0)</f>
        <v/>
      </c>
      <c r="N48" s="10">
        <f>ROUND($B$4*$B$9*$B$14*$B$17*$B$20*$B$22*$B$23,0)</f>
        <v/>
      </c>
      <c r="O48" s="10">
        <f>ROUND($B$4*$B$9*$B$14*$B$17*$B$20*$B$22*$B$24,0)</f>
        <v/>
      </c>
      <c r="P48" s="10">
        <f>ROUND($B$5*$B$9*$B$14*$B$17*$B$18*$B$21*$B$23,0)</f>
        <v/>
      </c>
      <c r="Q48" s="10">
        <f>ROUND($B$5*$B$9*$B$14*$B$17*$B$18*$B$21*$B$24,0)</f>
        <v/>
      </c>
      <c r="R48" s="10">
        <f>ROUND($B$5*$B$9*$B$14*$B$17*$B$18*$B$22*$B$23,0)</f>
        <v/>
      </c>
      <c r="S48" s="10">
        <f>ROUND($B$5*$B$9*$B$14*$B$17*$B$18*$B$22*$B$24,0)</f>
        <v/>
      </c>
      <c r="T48" s="10">
        <f>ROUND($B$5*$B$9*$B$14*$B$17*$B$19*$B$21*$B$23,0)</f>
        <v/>
      </c>
      <c r="U48" s="10">
        <f>ROUND($B$5*$B$9*$B$14*$B$17*$B$19*$B$21*$B$24,0)</f>
        <v/>
      </c>
      <c r="V48" s="10">
        <f>ROUND($B$5*$B$9*$B$14*$B$17*$B$19*$B$22*$B$23,0)</f>
        <v/>
      </c>
      <c r="W48" s="10">
        <f>ROUND($B$5*$B$9*$B$14*$B$17*$B$19*$B$22*$B$24,0)</f>
        <v/>
      </c>
      <c r="X48" s="10">
        <f>ROUND($B$5*$B$9*$B$14*$B$17*$B$20*$B$21*$B$23,0)</f>
        <v/>
      </c>
      <c r="Y48" s="10">
        <f>ROUND($B$5*$B$9*$B$14*$B$17*$B$20*$B$21*$B$24,0)</f>
        <v/>
      </c>
      <c r="Z48" s="10">
        <f>ROUND($B$5*$B$9*$B$14*$B$17*$B$20*$B$22*$B$23,0)</f>
        <v/>
      </c>
      <c r="AA48" s="10">
        <f>ROUND($B$5*$B$9*$B$14*$B$17*$B$20*$B$22*$B$24,0)</f>
        <v/>
      </c>
      <c r="AB48" s="10">
        <f>ROUND($B$6*$B$9*$B$14*$B$17*$B$18*$B$21*$B$23,0)</f>
        <v/>
      </c>
      <c r="AC48" s="10">
        <f>ROUND($B$6*$B$9*$B$14*$B$17*$B$18*$B$21*$B$24,0)</f>
        <v/>
      </c>
      <c r="AD48" s="10">
        <f>ROUND($B$6*$B$9*$B$14*$B$17*$B$18*$B$22*$B$23,0)</f>
        <v/>
      </c>
      <c r="AE48" s="10">
        <f>ROUND($B$6*$B$9*$B$14*$B$17*$B$18*$B$22*$B$24,0)</f>
        <v/>
      </c>
      <c r="AF48" s="10">
        <f>ROUND($B$6*$B$9*$B$14*$B$17*$B$19*$B$21*$B$23,0)</f>
        <v/>
      </c>
      <c r="AG48" s="10">
        <f>ROUND($B$6*$B$9*$B$14*$B$17*$B$19*$B$21*$B$24,0)</f>
        <v/>
      </c>
      <c r="AH48" s="10">
        <f>ROUND($B$6*$B$9*$B$14*$B$17*$B$19*$B$22*$B$23,0)</f>
        <v/>
      </c>
      <c r="AI48" s="10">
        <f>ROUND($B$6*$B$9*$B$14*$B$17*$B$19*$B$22*$B$24,0)</f>
        <v/>
      </c>
      <c r="AJ48" s="10">
        <f>ROUND($B$6*$B$9*$B$14*$B$17*$B$20*$B$21*$B$23,0)</f>
        <v/>
      </c>
      <c r="AK48" s="10">
        <f>ROUND($B$6*$B$9*$B$14*$B$17*$B$20*$B$21*$B$24,0)</f>
        <v/>
      </c>
      <c r="AL48" s="10">
        <f>ROUND($B$6*$B$9*$B$14*$B$17*$B$20*$B$22*$B$23,0)</f>
        <v/>
      </c>
      <c r="AM48" s="10">
        <f>ROUND($B$6*$B$9*$B$14*$B$17*$B$20*$B$22*$B$24,0)</f>
        <v/>
      </c>
    </row>
    <row r="49" ht="20.1" customHeight="1" s="62">
      <c r="A49" s="66" t="inlineStr">
        <is>
          <t>PME (20-99 sal.)</t>
        </is>
      </c>
      <c r="B49" s="57" t="inlineStr">
        <is>
          <t>Simple (processus peu nombreux)</t>
        </is>
      </c>
      <c r="C49" s="14" t="inlineStr">
        <is>
          <t>1 référentiel</t>
        </is>
      </c>
      <c r="D49" s="10">
        <f>ROUND($B$4*$B$10*$B$12*$B$15*$B$18*$B$21*$B$23,0)</f>
        <v/>
      </c>
      <c r="E49" s="10">
        <f>ROUND($B$4*$B$10*$B$12*$B$15*$B$18*$B$21*$B$24,0)</f>
        <v/>
      </c>
      <c r="F49" s="10">
        <f>ROUND($B$4*$B$10*$B$12*$B$15*$B$18*$B$22*$B$23,0)</f>
        <v/>
      </c>
      <c r="G49" s="10">
        <f>ROUND($B$4*$B$10*$B$12*$B$15*$B$18*$B$22*$B$24,0)</f>
        <v/>
      </c>
      <c r="H49" s="10">
        <f>ROUND($B$4*$B$10*$B$12*$B$15*$B$19*$B$21*$B$23,0)</f>
        <v/>
      </c>
      <c r="I49" s="10">
        <f>ROUND($B$4*$B$10*$B$12*$B$15*$B$19*$B$21*$B$24,0)</f>
        <v/>
      </c>
      <c r="J49" s="10">
        <f>ROUND($B$4*$B$10*$B$12*$B$15*$B$19*$B$22*$B$23,0)</f>
        <v/>
      </c>
      <c r="K49" s="10">
        <f>ROUND($B$4*$B$10*$B$12*$B$15*$B$19*$B$22*$B$24,0)</f>
        <v/>
      </c>
      <c r="L49" s="10">
        <f>ROUND($B$4*$B$10*$B$12*$B$15*$B$20*$B$21*$B$23,0)</f>
        <v/>
      </c>
      <c r="M49" s="10">
        <f>ROUND($B$4*$B$10*$B$12*$B$15*$B$20*$B$21*$B$24,0)</f>
        <v/>
      </c>
      <c r="N49" s="10">
        <f>ROUND($B$4*$B$10*$B$12*$B$15*$B$20*$B$22*$B$23,0)</f>
        <v/>
      </c>
      <c r="O49" s="10">
        <f>ROUND($B$4*$B$10*$B$12*$B$15*$B$20*$B$22*$B$24,0)</f>
        <v/>
      </c>
      <c r="P49" s="10">
        <f>ROUND($B$5*$B$10*$B$12*$B$15*$B$18*$B$21*$B$23,0)</f>
        <v/>
      </c>
      <c r="Q49" s="10">
        <f>ROUND($B$5*$B$10*$B$12*$B$15*$B$18*$B$21*$B$24,0)</f>
        <v/>
      </c>
      <c r="R49" s="10">
        <f>ROUND($B$5*$B$10*$B$12*$B$15*$B$18*$B$22*$B$23,0)</f>
        <v/>
      </c>
      <c r="S49" s="10">
        <f>ROUND($B$5*$B$10*$B$12*$B$15*$B$18*$B$22*$B$24,0)</f>
        <v/>
      </c>
      <c r="T49" s="10">
        <f>ROUND($B$5*$B$10*$B$12*$B$15*$B$19*$B$21*$B$23,0)</f>
        <v/>
      </c>
      <c r="U49" s="10">
        <f>ROUND($B$5*$B$10*$B$12*$B$15*$B$19*$B$21*$B$24,0)</f>
        <v/>
      </c>
      <c r="V49" s="10">
        <f>ROUND($B$5*$B$10*$B$12*$B$15*$B$19*$B$22*$B$23,0)</f>
        <v/>
      </c>
      <c r="W49" s="10">
        <f>ROUND($B$5*$B$10*$B$12*$B$15*$B$19*$B$22*$B$24,0)</f>
        <v/>
      </c>
      <c r="X49" s="10">
        <f>ROUND($B$5*$B$10*$B$12*$B$15*$B$20*$B$21*$B$23,0)</f>
        <v/>
      </c>
      <c r="Y49" s="10">
        <f>ROUND($B$5*$B$10*$B$12*$B$15*$B$20*$B$21*$B$24,0)</f>
        <v/>
      </c>
      <c r="Z49" s="10">
        <f>ROUND($B$5*$B$10*$B$12*$B$15*$B$20*$B$22*$B$23,0)</f>
        <v/>
      </c>
      <c r="AA49" s="10">
        <f>ROUND($B$5*$B$10*$B$12*$B$15*$B$20*$B$22*$B$24,0)</f>
        <v/>
      </c>
      <c r="AB49" s="10">
        <f>ROUND($B$6*$B$10*$B$12*$B$15*$B$18*$B$21*$B$23,0)</f>
        <v/>
      </c>
      <c r="AC49" s="10">
        <f>ROUND($B$6*$B$10*$B$12*$B$15*$B$18*$B$21*$B$24,0)</f>
        <v/>
      </c>
      <c r="AD49" s="10">
        <f>ROUND($B$6*$B$10*$B$12*$B$15*$B$18*$B$22*$B$23,0)</f>
        <v/>
      </c>
      <c r="AE49" s="10">
        <f>ROUND($B$6*$B$10*$B$12*$B$15*$B$18*$B$22*$B$24,0)</f>
        <v/>
      </c>
      <c r="AF49" s="10">
        <f>ROUND($B$6*$B$10*$B$12*$B$15*$B$19*$B$21*$B$23,0)</f>
        <v/>
      </c>
      <c r="AG49" s="10">
        <f>ROUND($B$6*$B$10*$B$12*$B$15*$B$19*$B$21*$B$24,0)</f>
        <v/>
      </c>
      <c r="AH49" s="10">
        <f>ROUND($B$6*$B$10*$B$12*$B$15*$B$19*$B$22*$B$23,0)</f>
        <v/>
      </c>
      <c r="AI49" s="10">
        <f>ROUND($B$6*$B$10*$B$12*$B$15*$B$19*$B$22*$B$24,0)</f>
        <v/>
      </c>
      <c r="AJ49" s="10">
        <f>ROUND($B$6*$B$10*$B$12*$B$15*$B$20*$B$21*$B$23,0)</f>
        <v/>
      </c>
      <c r="AK49" s="10">
        <f>ROUND($B$6*$B$10*$B$12*$B$15*$B$20*$B$21*$B$24,0)</f>
        <v/>
      </c>
      <c r="AL49" s="10">
        <f>ROUND($B$6*$B$10*$B$12*$B$15*$B$20*$B$22*$B$23,0)</f>
        <v/>
      </c>
      <c r="AM49" s="10">
        <f>ROUND($B$6*$B$10*$B$12*$B$15*$B$20*$B$22*$B$24,0)</f>
        <v/>
      </c>
    </row>
    <row r="50" ht="20.1" customHeight="1" s="62">
      <c r="A50" s="67" t="n"/>
      <c r="B50" s="58" t="n"/>
      <c r="C50" s="57" t="inlineStr">
        <is>
          <t>2-3 référentiels</t>
        </is>
      </c>
      <c r="D50" s="10">
        <f>ROUND($B$4*$B$10*$B$12*$B$16*$B$18*$B$21*$B$23,0)</f>
        <v/>
      </c>
      <c r="E50" s="10">
        <f>ROUND($B$4*$B$10*$B$12*$B$16*$B$18*$B$21*$B$24,0)</f>
        <v/>
      </c>
      <c r="F50" s="10">
        <f>ROUND($B$4*$B$10*$B$12*$B$16*$B$18*$B$22*$B$23,0)</f>
        <v/>
      </c>
      <c r="G50" s="10">
        <f>ROUND($B$4*$B$10*$B$12*$B$16*$B$18*$B$22*$B$24,0)</f>
        <v/>
      </c>
      <c r="H50" s="10">
        <f>ROUND($B$4*$B$10*$B$12*$B$16*$B$19*$B$21*$B$23,0)</f>
        <v/>
      </c>
      <c r="I50" s="10">
        <f>ROUND($B$4*$B$10*$B$12*$B$16*$B$19*$B$21*$B$24,0)</f>
        <v/>
      </c>
      <c r="J50" s="10">
        <f>ROUND($B$4*$B$10*$B$12*$B$16*$B$19*$B$22*$B$23,0)</f>
        <v/>
      </c>
      <c r="K50" s="10">
        <f>ROUND($B$4*$B$10*$B$12*$B$16*$B$19*$B$22*$B$24,0)</f>
        <v/>
      </c>
      <c r="L50" s="10">
        <f>ROUND($B$4*$B$10*$B$12*$B$16*$B$20*$B$21*$B$23,0)</f>
        <v/>
      </c>
      <c r="M50" s="10">
        <f>ROUND($B$4*$B$10*$B$12*$B$16*$B$20*$B$21*$B$24,0)</f>
        <v/>
      </c>
      <c r="N50" s="10">
        <f>ROUND($B$4*$B$10*$B$12*$B$16*$B$20*$B$22*$B$23,0)</f>
        <v/>
      </c>
      <c r="O50" s="10">
        <f>ROUND($B$4*$B$10*$B$12*$B$16*$B$20*$B$22*$B$24,0)</f>
        <v/>
      </c>
      <c r="P50" s="10">
        <f>ROUND($B$5*$B$10*$B$12*$B$16*$B$18*$B$21*$B$23,0)</f>
        <v/>
      </c>
      <c r="Q50" s="10">
        <f>ROUND($B$5*$B$10*$B$12*$B$16*$B$18*$B$21*$B$24,0)</f>
        <v/>
      </c>
      <c r="R50" s="10">
        <f>ROUND($B$5*$B$10*$B$12*$B$16*$B$18*$B$22*$B$23,0)</f>
        <v/>
      </c>
      <c r="S50" s="10">
        <f>ROUND($B$5*$B$10*$B$12*$B$16*$B$18*$B$22*$B$24,0)</f>
        <v/>
      </c>
      <c r="T50" s="10">
        <f>ROUND($B$5*$B$10*$B$12*$B$16*$B$19*$B$21*$B$23,0)</f>
        <v/>
      </c>
      <c r="U50" s="10">
        <f>ROUND($B$5*$B$10*$B$12*$B$16*$B$19*$B$21*$B$24,0)</f>
        <v/>
      </c>
      <c r="V50" s="10">
        <f>ROUND($B$5*$B$10*$B$12*$B$16*$B$19*$B$22*$B$23,0)</f>
        <v/>
      </c>
      <c r="W50" s="10">
        <f>ROUND($B$5*$B$10*$B$12*$B$16*$B$19*$B$22*$B$24,0)</f>
        <v/>
      </c>
      <c r="X50" s="10">
        <f>ROUND($B$5*$B$10*$B$12*$B$16*$B$20*$B$21*$B$23,0)</f>
        <v/>
      </c>
      <c r="Y50" s="10">
        <f>ROUND($B$5*$B$10*$B$12*$B$16*$B$20*$B$21*$B$24,0)</f>
        <v/>
      </c>
      <c r="Z50" s="10">
        <f>ROUND($B$5*$B$10*$B$12*$B$16*$B$20*$B$22*$B$23,0)</f>
        <v/>
      </c>
      <c r="AA50" s="10">
        <f>ROUND($B$5*$B$10*$B$12*$B$16*$B$20*$B$22*$B$24,0)</f>
        <v/>
      </c>
      <c r="AB50" s="10">
        <f>ROUND($B$6*$B$10*$B$12*$B$16*$B$18*$B$21*$B$23,0)</f>
        <v/>
      </c>
      <c r="AC50" s="10">
        <f>ROUND($B$6*$B$10*$B$12*$B$16*$B$18*$B$21*$B$24,0)</f>
        <v/>
      </c>
      <c r="AD50" s="10">
        <f>ROUND($B$6*$B$10*$B$12*$B$16*$B$18*$B$22*$B$23,0)</f>
        <v/>
      </c>
      <c r="AE50" s="10">
        <f>ROUND($B$6*$B$10*$B$12*$B$16*$B$18*$B$22*$B$24,0)</f>
        <v/>
      </c>
      <c r="AF50" s="10">
        <f>ROUND($B$6*$B$10*$B$12*$B$16*$B$19*$B$21*$B$23,0)</f>
        <v/>
      </c>
      <c r="AG50" s="10">
        <f>ROUND($B$6*$B$10*$B$12*$B$16*$B$19*$B$21*$B$24,0)</f>
        <v/>
      </c>
      <c r="AH50" s="10">
        <f>ROUND($B$6*$B$10*$B$12*$B$16*$B$19*$B$22*$B$23,0)</f>
        <v/>
      </c>
      <c r="AI50" s="10">
        <f>ROUND($B$6*$B$10*$B$12*$B$16*$B$19*$B$22*$B$24,0)</f>
        <v/>
      </c>
      <c r="AJ50" s="10">
        <f>ROUND($B$6*$B$10*$B$12*$B$16*$B$20*$B$21*$B$23,0)</f>
        <v/>
      </c>
      <c r="AK50" s="10">
        <f>ROUND($B$6*$B$10*$B$12*$B$16*$B$20*$B$21*$B$24,0)</f>
        <v/>
      </c>
      <c r="AL50" s="10">
        <f>ROUND($B$6*$B$10*$B$12*$B$16*$B$20*$B$22*$B$23,0)</f>
        <v/>
      </c>
      <c r="AM50" s="10">
        <f>ROUND($B$6*$B$10*$B$12*$B$16*$B$20*$B$22*$B$24,0)</f>
        <v/>
      </c>
    </row>
    <row r="51" ht="20.1" customHeight="1" s="62">
      <c r="A51" s="67" t="n"/>
      <c r="B51" s="59" t="n"/>
      <c r="C51" s="15" t="inlineStr">
        <is>
          <t>4 référentiels et +</t>
        </is>
      </c>
      <c r="D51" s="10">
        <f>ROUND($B$4*$B$10*$B$12*$B$17*$B$18*$B$21*$B$23,0)</f>
        <v/>
      </c>
      <c r="E51" s="10">
        <f>ROUND($B$4*$B$10*$B$12*$B$17*$B$18*$B$21*$B$24,0)</f>
        <v/>
      </c>
      <c r="F51" s="10">
        <f>ROUND($B$4*$B$10*$B$12*$B$17*$B$18*$B$22*$B$23,0)</f>
        <v/>
      </c>
      <c r="G51" s="10">
        <f>ROUND($B$4*$B$10*$B$12*$B$17*$B$18*$B$22*$B$24,0)</f>
        <v/>
      </c>
      <c r="H51" s="10">
        <f>ROUND($B$4*$B$10*$B$12*$B$17*$B$19*$B$21*$B$23,0)</f>
        <v/>
      </c>
      <c r="I51" s="10">
        <f>ROUND($B$4*$B$10*$B$12*$B$17*$B$19*$B$21*$B$24,0)</f>
        <v/>
      </c>
      <c r="J51" s="10">
        <f>ROUND($B$4*$B$10*$B$12*$B$17*$B$19*$B$22*$B$23,0)</f>
        <v/>
      </c>
      <c r="K51" s="10">
        <f>ROUND($B$4*$B$10*$B$12*$B$17*$B$19*$B$22*$B$24,0)</f>
        <v/>
      </c>
      <c r="L51" s="10">
        <f>ROUND($B$4*$B$10*$B$12*$B$17*$B$20*$B$21*$B$23,0)</f>
        <v/>
      </c>
      <c r="M51" s="10">
        <f>ROUND($B$4*$B$10*$B$12*$B$17*$B$20*$B$21*$B$24,0)</f>
        <v/>
      </c>
      <c r="N51" s="10">
        <f>ROUND($B$4*$B$10*$B$12*$B$17*$B$20*$B$22*$B$23,0)</f>
        <v/>
      </c>
      <c r="O51" s="10">
        <f>ROUND($B$4*$B$10*$B$12*$B$17*$B$20*$B$22*$B$24,0)</f>
        <v/>
      </c>
      <c r="P51" s="10">
        <f>ROUND($B$5*$B$10*$B$12*$B$17*$B$18*$B$21*$B$23,0)</f>
        <v/>
      </c>
      <c r="Q51" s="10">
        <f>ROUND($B$5*$B$10*$B$12*$B$17*$B$18*$B$21*$B$24,0)</f>
        <v/>
      </c>
      <c r="R51" s="10">
        <f>ROUND($B$5*$B$10*$B$12*$B$17*$B$18*$B$22*$B$23,0)</f>
        <v/>
      </c>
      <c r="S51" s="10">
        <f>ROUND($B$5*$B$10*$B$12*$B$17*$B$18*$B$22*$B$24,0)</f>
        <v/>
      </c>
      <c r="T51" s="10">
        <f>ROUND($B$5*$B$10*$B$12*$B$17*$B$19*$B$21*$B$23,0)</f>
        <v/>
      </c>
      <c r="U51" s="10">
        <f>ROUND($B$5*$B$10*$B$12*$B$17*$B$19*$B$21*$B$24,0)</f>
        <v/>
      </c>
      <c r="V51" s="10">
        <f>ROUND($B$5*$B$10*$B$12*$B$17*$B$19*$B$22*$B$23,0)</f>
        <v/>
      </c>
      <c r="W51" s="10">
        <f>ROUND($B$5*$B$10*$B$12*$B$17*$B$19*$B$22*$B$24,0)</f>
        <v/>
      </c>
      <c r="X51" s="10">
        <f>ROUND($B$5*$B$10*$B$12*$B$17*$B$20*$B$21*$B$23,0)</f>
        <v/>
      </c>
      <c r="Y51" s="10">
        <f>ROUND($B$5*$B$10*$B$12*$B$17*$B$20*$B$21*$B$24,0)</f>
        <v/>
      </c>
      <c r="Z51" s="10">
        <f>ROUND($B$5*$B$10*$B$12*$B$17*$B$20*$B$22*$B$23,0)</f>
        <v/>
      </c>
      <c r="AA51" s="10">
        <f>ROUND($B$5*$B$10*$B$12*$B$17*$B$20*$B$22*$B$24,0)</f>
        <v/>
      </c>
      <c r="AB51" s="10">
        <f>ROUND($B$6*$B$10*$B$12*$B$17*$B$18*$B$21*$B$23,0)</f>
        <v/>
      </c>
      <c r="AC51" s="10">
        <f>ROUND($B$6*$B$10*$B$12*$B$17*$B$18*$B$21*$B$24,0)</f>
        <v/>
      </c>
      <c r="AD51" s="10">
        <f>ROUND($B$6*$B$10*$B$12*$B$17*$B$18*$B$22*$B$23,0)</f>
        <v/>
      </c>
      <c r="AE51" s="10">
        <f>ROUND($B$6*$B$10*$B$12*$B$17*$B$18*$B$22*$B$24,0)</f>
        <v/>
      </c>
      <c r="AF51" s="10">
        <f>ROUND($B$6*$B$10*$B$12*$B$17*$B$19*$B$21*$B$23,0)</f>
        <v/>
      </c>
      <c r="AG51" s="10">
        <f>ROUND($B$6*$B$10*$B$12*$B$17*$B$19*$B$21*$B$24,0)</f>
        <v/>
      </c>
      <c r="AH51" s="10">
        <f>ROUND($B$6*$B$10*$B$12*$B$17*$B$19*$B$22*$B$23,0)</f>
        <v/>
      </c>
      <c r="AI51" s="10">
        <f>ROUND($B$6*$B$10*$B$12*$B$17*$B$19*$B$22*$B$24,0)</f>
        <v/>
      </c>
      <c r="AJ51" s="10">
        <f>ROUND($B$6*$B$10*$B$12*$B$17*$B$20*$B$21*$B$23,0)</f>
        <v/>
      </c>
      <c r="AK51" s="10">
        <f>ROUND($B$6*$B$10*$B$12*$B$17*$B$20*$B$21*$B$24,0)</f>
        <v/>
      </c>
      <c r="AL51" s="10">
        <f>ROUND($B$6*$B$10*$B$12*$B$17*$B$20*$B$22*$B$23,0)</f>
        <v/>
      </c>
      <c r="AM51" s="10">
        <f>ROUND($B$6*$B$10*$B$12*$B$17*$B$20*$B$22*$B$24,0)</f>
        <v/>
      </c>
    </row>
    <row r="52" ht="20.1" customHeight="1" s="62">
      <c r="A52" s="67" t="n"/>
      <c r="B52" s="57" t="inlineStr">
        <is>
          <t>Modérée</t>
        </is>
      </c>
      <c r="C52" s="14" t="inlineStr">
        <is>
          <t>1 référentiel</t>
        </is>
      </c>
      <c r="D52" s="10">
        <f>ROUND($B$4*$B$10*$B$13*$B$15*$B$18*$B$21*$B$23,0)</f>
        <v/>
      </c>
      <c r="E52" s="10">
        <f>ROUND($B$4*$B$10*$B$13*$B$15*$B$18*$B$21*$B$24,0)</f>
        <v/>
      </c>
      <c r="F52" s="10">
        <f>ROUND($B$4*$B$10*$B$13*$B$15*$B$18*$B$22*$B$23,0)</f>
        <v/>
      </c>
      <c r="G52" s="10">
        <f>ROUND($B$4*$B$10*$B$13*$B$15*$B$18*$B$22*$B$24,0)</f>
        <v/>
      </c>
      <c r="H52" s="10">
        <f>ROUND($B$4*$B$10*$B$13*$B$15*$B$19*$B$21*$B$23,0)</f>
        <v/>
      </c>
      <c r="I52" s="10">
        <f>ROUND($B$4*$B$10*$B$13*$B$15*$B$19*$B$21*$B$24,0)</f>
        <v/>
      </c>
      <c r="J52" s="10">
        <f>ROUND($B$4*$B$10*$B$13*$B$15*$B$19*$B$22*$B$23,0)</f>
        <v/>
      </c>
      <c r="K52" s="10">
        <f>ROUND($B$4*$B$10*$B$13*$B$15*$B$19*$B$22*$B$24,0)</f>
        <v/>
      </c>
      <c r="L52" s="10">
        <f>ROUND($B$4*$B$10*$B$13*$B$15*$B$20*$B$21*$B$23,0)</f>
        <v/>
      </c>
      <c r="M52" s="10">
        <f>ROUND($B$4*$B$10*$B$13*$B$15*$B$20*$B$21*$B$24,0)</f>
        <v/>
      </c>
      <c r="N52" s="10">
        <f>ROUND($B$4*$B$10*$B$13*$B$15*$B$20*$B$22*$B$23,0)</f>
        <v/>
      </c>
      <c r="O52" s="10">
        <f>ROUND($B$4*$B$10*$B$13*$B$15*$B$20*$B$22*$B$24,0)</f>
        <v/>
      </c>
      <c r="P52" s="10">
        <f>ROUND($B$5*$B$10*$B$13*$B$15*$B$18*$B$21*$B$23,0)</f>
        <v/>
      </c>
      <c r="Q52" s="10">
        <f>ROUND($B$5*$B$10*$B$13*$B$15*$B$18*$B$21*$B$24,0)</f>
        <v/>
      </c>
      <c r="R52" s="10">
        <f>ROUND($B$5*$B$10*$B$13*$B$15*$B$18*$B$22*$B$23,0)</f>
        <v/>
      </c>
      <c r="S52" s="10">
        <f>ROUND($B$5*$B$10*$B$13*$B$15*$B$18*$B$22*$B$24,0)</f>
        <v/>
      </c>
      <c r="T52" s="10">
        <f>ROUND($B$5*$B$10*$B$13*$B$15*$B$19*$B$21*$B$23,0)</f>
        <v/>
      </c>
      <c r="U52" s="10">
        <f>ROUND($B$5*$B$10*$B$13*$B$15*$B$19*$B$21*$B$24,0)</f>
        <v/>
      </c>
      <c r="V52" s="10">
        <f>ROUND($B$5*$B$10*$B$13*$B$15*$B$19*$B$22*$B$23,0)</f>
        <v/>
      </c>
      <c r="W52" s="10">
        <f>ROUND($B$5*$B$10*$B$13*$B$15*$B$19*$B$22*$B$24,0)</f>
        <v/>
      </c>
      <c r="X52" s="10">
        <f>ROUND($B$5*$B$10*$B$13*$B$15*$B$20*$B$21*$B$23,0)</f>
        <v/>
      </c>
      <c r="Y52" s="10">
        <f>ROUND($B$5*$B$10*$B$13*$B$15*$B$20*$B$21*$B$24,0)</f>
        <v/>
      </c>
      <c r="Z52" s="10">
        <f>ROUND($B$5*$B$10*$B$13*$B$15*$B$20*$B$22*$B$23,0)</f>
        <v/>
      </c>
      <c r="AA52" s="10">
        <f>ROUND($B$5*$B$10*$B$13*$B$15*$B$20*$B$22*$B$24,0)</f>
        <v/>
      </c>
      <c r="AB52" s="10">
        <f>ROUND($B$6*$B$10*$B$13*$B$15*$B$18*$B$21*$B$23,0)</f>
        <v/>
      </c>
      <c r="AC52" s="10">
        <f>ROUND($B$6*$B$10*$B$13*$B$15*$B$18*$B$21*$B$24,0)</f>
        <v/>
      </c>
      <c r="AD52" s="10">
        <f>ROUND($B$6*$B$10*$B$13*$B$15*$B$18*$B$22*$B$23,0)</f>
        <v/>
      </c>
      <c r="AE52" s="10">
        <f>ROUND($B$6*$B$10*$B$13*$B$15*$B$18*$B$22*$B$24,0)</f>
        <v/>
      </c>
      <c r="AF52" s="10">
        <f>ROUND($B$6*$B$10*$B$13*$B$15*$B$19*$B$21*$B$23,0)</f>
        <v/>
      </c>
      <c r="AG52" s="10">
        <f>ROUND($B$6*$B$10*$B$13*$B$15*$B$19*$B$21*$B$24,0)</f>
        <v/>
      </c>
      <c r="AH52" s="10">
        <f>ROUND($B$6*$B$10*$B$13*$B$15*$B$19*$B$22*$B$23,0)</f>
        <v/>
      </c>
      <c r="AI52" s="10">
        <f>ROUND($B$6*$B$10*$B$13*$B$15*$B$19*$B$22*$B$24,0)</f>
        <v/>
      </c>
      <c r="AJ52" s="10">
        <f>ROUND($B$6*$B$10*$B$13*$B$15*$B$20*$B$21*$B$23,0)</f>
        <v/>
      </c>
      <c r="AK52" s="10">
        <f>ROUND($B$6*$B$10*$B$13*$B$15*$B$20*$B$21*$B$24,0)</f>
        <v/>
      </c>
      <c r="AL52" s="10">
        <f>ROUND($B$6*$B$10*$B$13*$B$15*$B$20*$B$22*$B$23,0)</f>
        <v/>
      </c>
      <c r="AM52" s="10">
        <f>ROUND($B$6*$B$10*$B$13*$B$15*$B$20*$B$22*$B$24,0)</f>
        <v/>
      </c>
    </row>
    <row r="53" ht="20.1" customHeight="1" s="62">
      <c r="A53" s="67" t="n"/>
      <c r="B53" s="58" t="n"/>
      <c r="C53" s="57" t="inlineStr">
        <is>
          <t>2-3 référentiels</t>
        </is>
      </c>
      <c r="D53" s="10">
        <f>ROUND($B$4*$B$10*$B$13*$B$16*$B$18*$B$21*$B$23,0)</f>
        <v/>
      </c>
      <c r="E53" s="10">
        <f>ROUND($B$4*$B$10*$B$13*$B$16*$B$18*$B$21*$B$24,0)</f>
        <v/>
      </c>
      <c r="F53" s="10">
        <f>ROUND($B$4*$B$10*$B$13*$B$16*$B$18*$B$22*$B$23,0)</f>
        <v/>
      </c>
      <c r="G53" s="10">
        <f>ROUND($B$4*$B$10*$B$13*$B$16*$B$18*$B$22*$B$24,0)</f>
        <v/>
      </c>
      <c r="H53" s="10">
        <f>ROUND($B$4*$B$10*$B$13*$B$16*$B$19*$B$21*$B$23,0)</f>
        <v/>
      </c>
      <c r="I53" s="10">
        <f>ROUND($B$4*$B$10*$B$13*$B$16*$B$19*$B$21*$B$24,0)</f>
        <v/>
      </c>
      <c r="J53" s="10">
        <f>ROUND($B$4*$B$10*$B$13*$B$16*$B$19*$B$22*$B$23,0)</f>
        <v/>
      </c>
      <c r="K53" s="10">
        <f>ROUND($B$4*$B$10*$B$13*$B$16*$B$19*$B$22*$B$24,0)</f>
        <v/>
      </c>
      <c r="L53" s="10">
        <f>ROUND($B$4*$B$10*$B$13*$B$16*$B$20*$B$21*$B$23,0)</f>
        <v/>
      </c>
      <c r="M53" s="10">
        <f>ROUND($B$4*$B$10*$B$13*$B$16*$B$20*$B$21*$B$24,0)</f>
        <v/>
      </c>
      <c r="N53" s="10">
        <f>ROUND($B$4*$B$10*$B$13*$B$16*$B$20*$B$22*$B$23,0)</f>
        <v/>
      </c>
      <c r="O53" s="10">
        <f>ROUND($B$4*$B$10*$B$13*$B$16*$B$20*$B$22*$B$24,0)</f>
        <v/>
      </c>
      <c r="P53" s="10">
        <f>ROUND($B$5*$B$10*$B$13*$B$16*$B$18*$B$21*$B$23,0)</f>
        <v/>
      </c>
      <c r="Q53" s="10">
        <f>ROUND($B$5*$B$10*$B$13*$B$16*$B$18*$B$21*$B$24,0)</f>
        <v/>
      </c>
      <c r="R53" s="10">
        <f>ROUND($B$5*$B$10*$B$13*$B$16*$B$18*$B$22*$B$23,0)</f>
        <v/>
      </c>
      <c r="S53" s="10">
        <f>ROUND($B$5*$B$10*$B$13*$B$16*$B$18*$B$22*$B$24,0)</f>
        <v/>
      </c>
      <c r="T53" s="10">
        <f>ROUND($B$5*$B$10*$B$13*$B$16*$B$19*$B$21*$B$23,0)</f>
        <v/>
      </c>
      <c r="U53" s="10">
        <f>ROUND($B$5*$B$10*$B$13*$B$16*$B$19*$B$21*$B$24,0)</f>
        <v/>
      </c>
      <c r="V53" s="10">
        <f>ROUND($B$5*$B$10*$B$13*$B$16*$B$19*$B$22*$B$23,0)</f>
        <v/>
      </c>
      <c r="W53" s="10">
        <f>ROUND($B$5*$B$10*$B$13*$B$16*$B$19*$B$22*$B$24,0)</f>
        <v/>
      </c>
      <c r="X53" s="10">
        <f>ROUND($B$5*$B$10*$B$13*$B$16*$B$20*$B$21*$B$23,0)</f>
        <v/>
      </c>
      <c r="Y53" s="10">
        <f>ROUND($B$5*$B$10*$B$13*$B$16*$B$20*$B$21*$B$24,0)</f>
        <v/>
      </c>
      <c r="Z53" s="10">
        <f>ROUND($B$5*$B$10*$B$13*$B$16*$B$20*$B$22*$B$23,0)</f>
        <v/>
      </c>
      <c r="AA53" s="10">
        <f>ROUND($B$5*$B$10*$B$13*$B$16*$B$20*$B$22*$B$24,0)</f>
        <v/>
      </c>
      <c r="AB53" s="10">
        <f>ROUND($B$6*$B$10*$B$13*$B$16*$B$18*$B$21*$B$23,0)</f>
        <v/>
      </c>
      <c r="AC53" s="10">
        <f>ROUND($B$6*$B$10*$B$13*$B$16*$B$18*$B$21*$B$24,0)</f>
        <v/>
      </c>
      <c r="AD53" s="10">
        <f>ROUND($B$6*$B$10*$B$13*$B$16*$B$18*$B$22*$B$23,0)</f>
        <v/>
      </c>
      <c r="AE53" s="10">
        <f>ROUND($B$6*$B$10*$B$13*$B$16*$B$18*$B$22*$B$24,0)</f>
        <v/>
      </c>
      <c r="AF53" s="10">
        <f>ROUND($B$6*$B$10*$B$13*$B$16*$B$19*$B$21*$B$23,0)</f>
        <v/>
      </c>
      <c r="AG53" s="10">
        <f>ROUND($B$6*$B$10*$B$13*$B$16*$B$19*$B$21*$B$24,0)</f>
        <v/>
      </c>
      <c r="AH53" s="10">
        <f>ROUND($B$6*$B$10*$B$13*$B$16*$B$19*$B$22*$B$23,0)</f>
        <v/>
      </c>
      <c r="AI53" s="10">
        <f>ROUND($B$6*$B$10*$B$13*$B$16*$B$19*$B$22*$B$24,0)</f>
        <v/>
      </c>
      <c r="AJ53" s="10">
        <f>ROUND($B$6*$B$10*$B$13*$B$16*$B$20*$B$21*$B$23,0)</f>
        <v/>
      </c>
      <c r="AK53" s="10">
        <f>ROUND($B$6*$B$10*$B$13*$B$16*$B$20*$B$21*$B$24,0)</f>
        <v/>
      </c>
      <c r="AL53" s="10">
        <f>ROUND($B$6*$B$10*$B$13*$B$16*$B$20*$B$22*$B$23,0)</f>
        <v/>
      </c>
      <c r="AM53" s="10">
        <f>ROUND($B$6*$B$10*$B$13*$B$16*$B$20*$B$22*$B$24,0)</f>
        <v/>
      </c>
    </row>
    <row r="54" ht="20.1" customHeight="1" s="62">
      <c r="A54" s="67" t="n"/>
      <c r="B54" s="59" t="n"/>
      <c r="C54" s="15" t="inlineStr">
        <is>
          <t>4 référentiels et +</t>
        </is>
      </c>
      <c r="D54" s="10">
        <f>ROUND($B$4*$B$10*$B$13*$B$17*$B$18*$B$21*$B$23,0)</f>
        <v/>
      </c>
      <c r="E54" s="10">
        <f>ROUND($B$4*$B$10*$B$13*$B$17*$B$18*$B$21*$B$24,0)</f>
        <v/>
      </c>
      <c r="F54" s="10">
        <f>ROUND($B$4*$B$10*$B$13*$B$17*$B$18*$B$22*$B$23,0)</f>
        <v/>
      </c>
      <c r="G54" s="10">
        <f>ROUND($B$4*$B$10*$B$13*$B$17*$B$18*$B$22*$B$24,0)</f>
        <v/>
      </c>
      <c r="H54" s="10">
        <f>ROUND($B$4*$B$10*$B$13*$B$17*$B$19*$B$21*$B$23,0)</f>
        <v/>
      </c>
      <c r="I54" s="10">
        <f>ROUND($B$4*$B$10*$B$13*$B$17*$B$19*$B$21*$B$24,0)</f>
        <v/>
      </c>
      <c r="J54" s="10">
        <f>ROUND($B$4*$B$10*$B$13*$B$17*$B$19*$B$22*$B$23,0)</f>
        <v/>
      </c>
      <c r="K54" s="10">
        <f>ROUND($B$4*$B$10*$B$13*$B$17*$B$19*$B$22*$B$24,0)</f>
        <v/>
      </c>
      <c r="L54" s="10">
        <f>ROUND($B$4*$B$10*$B$13*$B$17*$B$20*$B$21*$B$23,0)</f>
        <v/>
      </c>
      <c r="M54" s="10">
        <f>ROUND($B$4*$B$10*$B$13*$B$17*$B$20*$B$21*$B$24,0)</f>
        <v/>
      </c>
      <c r="N54" s="10">
        <f>ROUND($B$4*$B$10*$B$13*$B$17*$B$20*$B$22*$B$23,0)</f>
        <v/>
      </c>
      <c r="O54" s="10">
        <f>ROUND($B$4*$B$10*$B$13*$B$17*$B$20*$B$22*$B$24,0)</f>
        <v/>
      </c>
      <c r="P54" s="10">
        <f>ROUND($B$5*$B$10*$B$13*$B$17*$B$18*$B$21*$B$23,0)</f>
        <v/>
      </c>
      <c r="Q54" s="10">
        <f>ROUND($B$5*$B$10*$B$13*$B$17*$B$18*$B$21*$B$24,0)</f>
        <v/>
      </c>
      <c r="R54" s="10">
        <f>ROUND($B$5*$B$10*$B$13*$B$17*$B$18*$B$22*$B$23,0)</f>
        <v/>
      </c>
      <c r="S54" s="10">
        <f>ROUND($B$5*$B$10*$B$13*$B$17*$B$18*$B$22*$B$24,0)</f>
        <v/>
      </c>
      <c r="T54" s="10">
        <f>ROUND($B$5*$B$10*$B$13*$B$17*$B$19*$B$21*$B$23,0)</f>
        <v/>
      </c>
      <c r="U54" s="10">
        <f>ROUND($B$5*$B$10*$B$13*$B$17*$B$19*$B$21*$B$24,0)</f>
        <v/>
      </c>
      <c r="V54" s="10">
        <f>ROUND($B$5*$B$10*$B$13*$B$17*$B$19*$B$22*$B$23,0)</f>
        <v/>
      </c>
      <c r="W54" s="10">
        <f>ROUND($B$5*$B$10*$B$13*$B$17*$B$19*$B$22*$B$24,0)</f>
        <v/>
      </c>
      <c r="X54" s="10">
        <f>ROUND($B$5*$B$10*$B$13*$B$17*$B$20*$B$21*$B$23,0)</f>
        <v/>
      </c>
      <c r="Y54" s="10">
        <f>ROUND($B$5*$B$10*$B$13*$B$17*$B$20*$B$21*$B$24,0)</f>
        <v/>
      </c>
      <c r="Z54" s="10">
        <f>ROUND($B$5*$B$10*$B$13*$B$17*$B$20*$B$22*$B$23,0)</f>
        <v/>
      </c>
      <c r="AA54" s="10">
        <f>ROUND($B$5*$B$10*$B$13*$B$17*$B$20*$B$22*$B$24,0)</f>
        <v/>
      </c>
      <c r="AB54" s="10">
        <f>ROUND($B$6*$B$10*$B$13*$B$17*$B$18*$B$21*$B$23,0)</f>
        <v/>
      </c>
      <c r="AC54" s="10">
        <f>ROUND($B$6*$B$10*$B$13*$B$17*$B$18*$B$21*$B$24,0)</f>
        <v/>
      </c>
      <c r="AD54" s="10">
        <f>ROUND($B$6*$B$10*$B$13*$B$17*$B$18*$B$22*$B$23,0)</f>
        <v/>
      </c>
      <c r="AE54" s="10">
        <f>ROUND($B$6*$B$10*$B$13*$B$17*$B$18*$B$22*$B$24,0)</f>
        <v/>
      </c>
      <c r="AF54" s="10">
        <f>ROUND($B$6*$B$10*$B$13*$B$17*$B$19*$B$21*$B$23,0)</f>
        <v/>
      </c>
      <c r="AG54" s="10">
        <f>ROUND($B$6*$B$10*$B$13*$B$17*$B$19*$B$21*$B$24,0)</f>
        <v/>
      </c>
      <c r="AH54" s="10">
        <f>ROUND($B$6*$B$10*$B$13*$B$17*$B$19*$B$22*$B$23,0)</f>
        <v/>
      </c>
      <c r="AI54" s="10">
        <f>ROUND($B$6*$B$10*$B$13*$B$17*$B$19*$B$22*$B$24,0)</f>
        <v/>
      </c>
      <c r="AJ54" s="10">
        <f>ROUND($B$6*$B$10*$B$13*$B$17*$B$20*$B$21*$B$23,0)</f>
        <v/>
      </c>
      <c r="AK54" s="10">
        <f>ROUND($B$6*$B$10*$B$13*$B$17*$B$20*$B$21*$B$24,0)</f>
        <v/>
      </c>
      <c r="AL54" s="10">
        <f>ROUND($B$6*$B$10*$B$13*$B$17*$B$20*$B$22*$B$23,0)</f>
        <v/>
      </c>
      <c r="AM54" s="10">
        <f>ROUND($B$6*$B$10*$B$13*$B$17*$B$20*$B$22*$B$24,0)</f>
        <v/>
      </c>
    </row>
    <row r="55" ht="20.1" customHeight="1" s="62">
      <c r="A55" s="67" t="n"/>
      <c r="B55" s="57" t="inlineStr">
        <is>
          <t>Complexe (multi-sites / multi-équipes)</t>
        </is>
      </c>
      <c r="C55" s="14" t="inlineStr">
        <is>
          <t>1 référentiel</t>
        </is>
      </c>
      <c r="D55" s="10">
        <f>ROUND($B$4*$B$10*$B$14*$B$15*$B$18*$B$21*$B$23,0)</f>
        <v/>
      </c>
      <c r="E55" s="10">
        <f>ROUND($B$4*$B$10*$B$14*$B$15*$B$18*$B$21*$B$24,0)</f>
        <v/>
      </c>
      <c r="F55" s="10">
        <f>ROUND($B$4*$B$10*$B$14*$B$15*$B$18*$B$22*$B$23,0)</f>
        <v/>
      </c>
      <c r="G55" s="10">
        <f>ROUND($B$4*$B$10*$B$14*$B$15*$B$18*$B$22*$B$24,0)</f>
        <v/>
      </c>
      <c r="H55" s="10">
        <f>ROUND($B$4*$B$10*$B$14*$B$15*$B$19*$B$21*$B$23,0)</f>
        <v/>
      </c>
      <c r="I55" s="10">
        <f>ROUND($B$4*$B$10*$B$14*$B$15*$B$19*$B$21*$B$24,0)</f>
        <v/>
      </c>
      <c r="J55" s="10">
        <f>ROUND($B$4*$B$10*$B$14*$B$15*$B$19*$B$22*$B$23,0)</f>
        <v/>
      </c>
      <c r="K55" s="10">
        <f>ROUND($B$4*$B$10*$B$14*$B$15*$B$19*$B$22*$B$24,0)</f>
        <v/>
      </c>
      <c r="L55" s="10">
        <f>ROUND($B$4*$B$10*$B$14*$B$15*$B$20*$B$21*$B$23,0)</f>
        <v/>
      </c>
      <c r="M55" s="10">
        <f>ROUND($B$4*$B$10*$B$14*$B$15*$B$20*$B$21*$B$24,0)</f>
        <v/>
      </c>
      <c r="N55" s="10">
        <f>ROUND($B$4*$B$10*$B$14*$B$15*$B$20*$B$22*$B$23,0)</f>
        <v/>
      </c>
      <c r="O55" s="10">
        <f>ROUND($B$4*$B$10*$B$14*$B$15*$B$20*$B$22*$B$24,0)</f>
        <v/>
      </c>
      <c r="P55" s="10">
        <f>ROUND($B$5*$B$10*$B$14*$B$15*$B$18*$B$21*$B$23,0)</f>
        <v/>
      </c>
      <c r="Q55" s="10">
        <f>ROUND($B$5*$B$10*$B$14*$B$15*$B$18*$B$21*$B$24,0)</f>
        <v/>
      </c>
      <c r="R55" s="10">
        <f>ROUND($B$5*$B$10*$B$14*$B$15*$B$18*$B$22*$B$23,0)</f>
        <v/>
      </c>
      <c r="S55" s="10">
        <f>ROUND($B$5*$B$10*$B$14*$B$15*$B$18*$B$22*$B$24,0)</f>
        <v/>
      </c>
      <c r="T55" s="10">
        <f>ROUND($B$5*$B$10*$B$14*$B$15*$B$19*$B$21*$B$23,0)</f>
        <v/>
      </c>
      <c r="U55" s="10">
        <f>ROUND($B$5*$B$10*$B$14*$B$15*$B$19*$B$21*$B$24,0)</f>
        <v/>
      </c>
      <c r="V55" s="10">
        <f>ROUND($B$5*$B$10*$B$14*$B$15*$B$19*$B$22*$B$23,0)</f>
        <v/>
      </c>
      <c r="W55" s="10">
        <f>ROUND($B$5*$B$10*$B$14*$B$15*$B$19*$B$22*$B$24,0)</f>
        <v/>
      </c>
      <c r="X55" s="10">
        <f>ROUND($B$5*$B$10*$B$14*$B$15*$B$20*$B$21*$B$23,0)</f>
        <v/>
      </c>
      <c r="Y55" s="10">
        <f>ROUND($B$5*$B$10*$B$14*$B$15*$B$20*$B$21*$B$24,0)</f>
        <v/>
      </c>
      <c r="Z55" s="10">
        <f>ROUND($B$5*$B$10*$B$14*$B$15*$B$20*$B$22*$B$23,0)</f>
        <v/>
      </c>
      <c r="AA55" s="10">
        <f>ROUND($B$5*$B$10*$B$14*$B$15*$B$20*$B$22*$B$24,0)</f>
        <v/>
      </c>
      <c r="AB55" s="10">
        <f>ROUND($B$6*$B$10*$B$14*$B$15*$B$18*$B$21*$B$23,0)</f>
        <v/>
      </c>
      <c r="AC55" s="10">
        <f>ROUND($B$6*$B$10*$B$14*$B$15*$B$18*$B$21*$B$24,0)</f>
        <v/>
      </c>
      <c r="AD55" s="10">
        <f>ROUND($B$6*$B$10*$B$14*$B$15*$B$18*$B$22*$B$23,0)</f>
        <v/>
      </c>
      <c r="AE55" s="10">
        <f>ROUND($B$6*$B$10*$B$14*$B$15*$B$18*$B$22*$B$24,0)</f>
        <v/>
      </c>
      <c r="AF55" s="10">
        <f>ROUND($B$6*$B$10*$B$14*$B$15*$B$19*$B$21*$B$23,0)</f>
        <v/>
      </c>
      <c r="AG55" s="10">
        <f>ROUND($B$6*$B$10*$B$14*$B$15*$B$19*$B$21*$B$24,0)</f>
        <v/>
      </c>
      <c r="AH55" s="10">
        <f>ROUND($B$6*$B$10*$B$14*$B$15*$B$19*$B$22*$B$23,0)</f>
        <v/>
      </c>
      <c r="AI55" s="10">
        <f>ROUND($B$6*$B$10*$B$14*$B$15*$B$19*$B$22*$B$24,0)</f>
        <v/>
      </c>
      <c r="AJ55" s="10">
        <f>ROUND($B$6*$B$10*$B$14*$B$15*$B$20*$B$21*$B$23,0)</f>
        <v/>
      </c>
      <c r="AK55" s="10">
        <f>ROUND($B$6*$B$10*$B$14*$B$15*$B$20*$B$21*$B$24,0)</f>
        <v/>
      </c>
      <c r="AL55" s="10">
        <f>ROUND($B$6*$B$10*$B$14*$B$15*$B$20*$B$22*$B$23,0)</f>
        <v/>
      </c>
      <c r="AM55" s="10">
        <f>ROUND($B$6*$B$10*$B$14*$B$15*$B$20*$B$22*$B$24,0)</f>
        <v/>
      </c>
    </row>
    <row r="56" ht="20.1" customHeight="1" s="62">
      <c r="A56" s="67" t="n"/>
      <c r="B56" s="58" t="n"/>
      <c r="C56" s="57" t="inlineStr">
        <is>
          <t>2-3 référentiels</t>
        </is>
      </c>
      <c r="D56" s="10">
        <f>ROUND($B$4*$B$10*$B$14*$B$16*$B$18*$B$21*$B$23,0)</f>
        <v/>
      </c>
      <c r="E56" s="10">
        <f>ROUND($B$4*$B$10*$B$14*$B$16*$B$18*$B$21*$B$24,0)</f>
        <v/>
      </c>
      <c r="F56" s="10">
        <f>ROUND($B$4*$B$10*$B$14*$B$16*$B$18*$B$22*$B$23,0)</f>
        <v/>
      </c>
      <c r="G56" s="10">
        <f>ROUND($B$4*$B$10*$B$14*$B$16*$B$18*$B$22*$B$24,0)</f>
        <v/>
      </c>
      <c r="H56" s="10">
        <f>ROUND($B$4*$B$10*$B$14*$B$16*$B$19*$B$21*$B$23,0)</f>
        <v/>
      </c>
      <c r="I56" s="10">
        <f>ROUND($B$4*$B$10*$B$14*$B$16*$B$19*$B$21*$B$24,0)</f>
        <v/>
      </c>
      <c r="J56" s="10">
        <f>ROUND($B$4*$B$10*$B$14*$B$16*$B$19*$B$22*$B$23,0)</f>
        <v/>
      </c>
      <c r="K56" s="10">
        <f>ROUND($B$4*$B$10*$B$14*$B$16*$B$19*$B$22*$B$24,0)</f>
        <v/>
      </c>
      <c r="L56" s="10">
        <f>ROUND($B$4*$B$10*$B$14*$B$16*$B$20*$B$21*$B$23,0)</f>
        <v/>
      </c>
      <c r="M56" s="10">
        <f>ROUND($B$4*$B$10*$B$14*$B$16*$B$20*$B$21*$B$24,0)</f>
        <v/>
      </c>
      <c r="N56" s="10">
        <f>ROUND($B$4*$B$10*$B$14*$B$16*$B$20*$B$22*$B$23,0)</f>
        <v/>
      </c>
      <c r="O56" s="10">
        <f>ROUND($B$4*$B$10*$B$14*$B$16*$B$20*$B$22*$B$24,0)</f>
        <v/>
      </c>
      <c r="P56" s="10">
        <f>ROUND($B$5*$B$10*$B$14*$B$16*$B$18*$B$21*$B$23,0)</f>
        <v/>
      </c>
      <c r="Q56" s="10">
        <f>ROUND($B$5*$B$10*$B$14*$B$16*$B$18*$B$21*$B$24,0)</f>
        <v/>
      </c>
      <c r="R56" s="10">
        <f>ROUND($B$5*$B$10*$B$14*$B$16*$B$18*$B$22*$B$23,0)</f>
        <v/>
      </c>
      <c r="S56" s="10">
        <f>ROUND($B$5*$B$10*$B$14*$B$16*$B$18*$B$22*$B$24,0)</f>
        <v/>
      </c>
      <c r="T56" s="10">
        <f>ROUND($B$5*$B$10*$B$14*$B$16*$B$19*$B$21*$B$23,0)</f>
        <v/>
      </c>
      <c r="U56" s="10">
        <f>ROUND($B$5*$B$10*$B$14*$B$16*$B$19*$B$21*$B$24,0)</f>
        <v/>
      </c>
      <c r="V56" s="10">
        <f>ROUND($B$5*$B$10*$B$14*$B$16*$B$19*$B$22*$B$23,0)</f>
        <v/>
      </c>
      <c r="W56" s="10">
        <f>ROUND($B$5*$B$10*$B$14*$B$16*$B$19*$B$22*$B$24,0)</f>
        <v/>
      </c>
      <c r="X56" s="10">
        <f>ROUND($B$5*$B$10*$B$14*$B$16*$B$20*$B$21*$B$23,0)</f>
        <v/>
      </c>
      <c r="Y56" s="10">
        <f>ROUND($B$5*$B$10*$B$14*$B$16*$B$20*$B$21*$B$24,0)</f>
        <v/>
      </c>
      <c r="Z56" s="10">
        <f>ROUND($B$5*$B$10*$B$14*$B$16*$B$20*$B$22*$B$23,0)</f>
        <v/>
      </c>
      <c r="AA56" s="10">
        <f>ROUND($B$5*$B$10*$B$14*$B$16*$B$20*$B$22*$B$24,0)</f>
        <v/>
      </c>
      <c r="AB56" s="10">
        <f>ROUND($B$6*$B$10*$B$14*$B$16*$B$18*$B$21*$B$23,0)</f>
        <v/>
      </c>
      <c r="AC56" s="10">
        <f>ROUND($B$6*$B$10*$B$14*$B$16*$B$18*$B$21*$B$24,0)</f>
        <v/>
      </c>
      <c r="AD56" s="10">
        <f>ROUND($B$6*$B$10*$B$14*$B$16*$B$18*$B$22*$B$23,0)</f>
        <v/>
      </c>
      <c r="AE56" s="10">
        <f>ROUND($B$6*$B$10*$B$14*$B$16*$B$18*$B$22*$B$24,0)</f>
        <v/>
      </c>
      <c r="AF56" s="10">
        <f>ROUND($B$6*$B$10*$B$14*$B$16*$B$19*$B$21*$B$23,0)</f>
        <v/>
      </c>
      <c r="AG56" s="10">
        <f>ROUND($B$6*$B$10*$B$14*$B$16*$B$19*$B$21*$B$24,0)</f>
        <v/>
      </c>
      <c r="AH56" s="10">
        <f>ROUND($B$6*$B$10*$B$14*$B$16*$B$19*$B$22*$B$23,0)</f>
        <v/>
      </c>
      <c r="AI56" s="10">
        <f>ROUND($B$6*$B$10*$B$14*$B$16*$B$19*$B$22*$B$24,0)</f>
        <v/>
      </c>
      <c r="AJ56" s="10">
        <f>ROUND($B$6*$B$10*$B$14*$B$16*$B$20*$B$21*$B$23,0)</f>
        <v/>
      </c>
      <c r="AK56" s="10">
        <f>ROUND($B$6*$B$10*$B$14*$B$16*$B$20*$B$21*$B$24,0)</f>
        <v/>
      </c>
      <c r="AL56" s="10">
        <f>ROUND($B$6*$B$10*$B$14*$B$16*$B$20*$B$22*$B$23,0)</f>
        <v/>
      </c>
      <c r="AM56" s="10">
        <f>ROUND($B$6*$B$10*$B$14*$B$16*$B$20*$B$22*$B$24,0)</f>
        <v/>
      </c>
    </row>
    <row r="57" ht="20.1" customHeight="1" s="62">
      <c r="A57" s="68" t="n"/>
      <c r="B57" s="59" t="n"/>
      <c r="C57" s="15" t="inlineStr">
        <is>
          <t>4 référentiels et +</t>
        </is>
      </c>
      <c r="D57" s="10">
        <f>ROUND($B$4*$B$10*$B$14*$B$17*$B$18*$B$21*$B$23,0)</f>
        <v/>
      </c>
      <c r="E57" s="10">
        <f>ROUND($B$4*$B$10*$B$14*$B$17*$B$18*$B$21*$B$24,0)</f>
        <v/>
      </c>
      <c r="F57" s="10">
        <f>ROUND($B$4*$B$10*$B$14*$B$17*$B$18*$B$22*$B$23,0)</f>
        <v/>
      </c>
      <c r="G57" s="10">
        <f>ROUND($B$4*$B$10*$B$14*$B$17*$B$18*$B$22*$B$24,0)</f>
        <v/>
      </c>
      <c r="H57" s="10">
        <f>ROUND($B$4*$B$10*$B$14*$B$17*$B$19*$B$21*$B$23,0)</f>
        <v/>
      </c>
      <c r="I57" s="10">
        <f>ROUND($B$4*$B$10*$B$14*$B$17*$B$19*$B$21*$B$24,0)</f>
        <v/>
      </c>
      <c r="J57" s="10">
        <f>ROUND($B$4*$B$10*$B$14*$B$17*$B$19*$B$22*$B$23,0)</f>
        <v/>
      </c>
      <c r="K57" s="10">
        <f>ROUND($B$4*$B$10*$B$14*$B$17*$B$19*$B$22*$B$24,0)</f>
        <v/>
      </c>
      <c r="L57" s="10">
        <f>ROUND($B$4*$B$10*$B$14*$B$17*$B$20*$B$21*$B$23,0)</f>
        <v/>
      </c>
      <c r="M57" s="10">
        <f>ROUND($B$4*$B$10*$B$14*$B$17*$B$20*$B$21*$B$24,0)</f>
        <v/>
      </c>
      <c r="N57" s="10">
        <f>ROUND($B$4*$B$10*$B$14*$B$17*$B$20*$B$22*$B$23,0)</f>
        <v/>
      </c>
      <c r="O57" s="10">
        <f>ROUND($B$4*$B$10*$B$14*$B$17*$B$20*$B$22*$B$24,0)</f>
        <v/>
      </c>
      <c r="P57" s="10">
        <f>ROUND($B$5*$B$10*$B$14*$B$17*$B$18*$B$21*$B$23,0)</f>
        <v/>
      </c>
      <c r="Q57" s="10">
        <f>ROUND($B$5*$B$10*$B$14*$B$17*$B$18*$B$21*$B$24,0)</f>
        <v/>
      </c>
      <c r="R57" s="10">
        <f>ROUND($B$5*$B$10*$B$14*$B$17*$B$18*$B$22*$B$23,0)</f>
        <v/>
      </c>
      <c r="S57" s="10">
        <f>ROUND($B$5*$B$10*$B$14*$B$17*$B$18*$B$22*$B$24,0)</f>
        <v/>
      </c>
      <c r="T57" s="10">
        <f>ROUND($B$5*$B$10*$B$14*$B$17*$B$19*$B$21*$B$23,0)</f>
        <v/>
      </c>
      <c r="U57" s="10">
        <f>ROUND($B$5*$B$10*$B$14*$B$17*$B$19*$B$21*$B$24,0)</f>
        <v/>
      </c>
      <c r="V57" s="10">
        <f>ROUND($B$5*$B$10*$B$14*$B$17*$B$19*$B$22*$B$23,0)</f>
        <v/>
      </c>
      <c r="W57" s="10">
        <f>ROUND($B$5*$B$10*$B$14*$B$17*$B$19*$B$22*$B$24,0)</f>
        <v/>
      </c>
      <c r="X57" s="10">
        <f>ROUND($B$5*$B$10*$B$14*$B$17*$B$20*$B$21*$B$23,0)</f>
        <v/>
      </c>
      <c r="Y57" s="10">
        <f>ROUND($B$5*$B$10*$B$14*$B$17*$B$20*$B$21*$B$24,0)</f>
        <v/>
      </c>
      <c r="Z57" s="10">
        <f>ROUND($B$5*$B$10*$B$14*$B$17*$B$20*$B$22*$B$23,0)</f>
        <v/>
      </c>
      <c r="AA57" s="10">
        <f>ROUND($B$5*$B$10*$B$14*$B$17*$B$20*$B$22*$B$24,0)</f>
        <v/>
      </c>
      <c r="AB57" s="10">
        <f>ROUND($B$6*$B$10*$B$14*$B$17*$B$18*$B$21*$B$23,0)</f>
        <v/>
      </c>
      <c r="AC57" s="10">
        <f>ROUND($B$6*$B$10*$B$14*$B$17*$B$18*$B$21*$B$24,0)</f>
        <v/>
      </c>
      <c r="AD57" s="10">
        <f>ROUND($B$6*$B$10*$B$14*$B$17*$B$18*$B$22*$B$23,0)</f>
        <v/>
      </c>
      <c r="AE57" s="10">
        <f>ROUND($B$6*$B$10*$B$14*$B$17*$B$18*$B$22*$B$24,0)</f>
        <v/>
      </c>
      <c r="AF57" s="10">
        <f>ROUND($B$6*$B$10*$B$14*$B$17*$B$19*$B$21*$B$23,0)</f>
        <v/>
      </c>
      <c r="AG57" s="10">
        <f>ROUND($B$6*$B$10*$B$14*$B$17*$B$19*$B$21*$B$24,0)</f>
        <v/>
      </c>
      <c r="AH57" s="10">
        <f>ROUND($B$6*$B$10*$B$14*$B$17*$B$19*$B$22*$B$23,0)</f>
        <v/>
      </c>
      <c r="AI57" s="10">
        <f>ROUND($B$6*$B$10*$B$14*$B$17*$B$19*$B$22*$B$24,0)</f>
        <v/>
      </c>
      <c r="AJ57" s="10">
        <f>ROUND($B$6*$B$10*$B$14*$B$17*$B$20*$B$21*$B$23,0)</f>
        <v/>
      </c>
      <c r="AK57" s="10">
        <f>ROUND($B$6*$B$10*$B$14*$B$17*$B$20*$B$21*$B$24,0)</f>
        <v/>
      </c>
      <c r="AL57" s="10">
        <f>ROUND($B$6*$B$10*$B$14*$B$17*$B$20*$B$22*$B$23,0)</f>
        <v/>
      </c>
      <c r="AM57" s="10">
        <f>ROUND($B$6*$B$10*$B$14*$B$17*$B$20*$B$22*$B$24,0)</f>
        <v/>
      </c>
    </row>
    <row r="58" ht="20.1" customHeight="1" s="62">
      <c r="A58" s="66" t="inlineStr">
        <is>
          <t>ETI / Grand compte (100+)</t>
        </is>
      </c>
      <c r="B58" s="57" t="inlineStr">
        <is>
          <t>Simple (processus peu nombreux)</t>
        </is>
      </c>
      <c r="C58" s="14" t="inlineStr">
        <is>
          <t>1 référentiel</t>
        </is>
      </c>
      <c r="D58" s="10">
        <f>ROUND($B$4*$B$11*$B$12*$B$15*$B$18*$B$21*$B$23,0)</f>
        <v/>
      </c>
      <c r="E58" s="10">
        <f>ROUND($B$4*$B$11*$B$12*$B$15*$B$18*$B$21*$B$24,0)</f>
        <v/>
      </c>
      <c r="F58" s="10">
        <f>ROUND($B$4*$B$11*$B$12*$B$15*$B$18*$B$22*$B$23,0)</f>
        <v/>
      </c>
      <c r="G58" s="10">
        <f>ROUND($B$4*$B$11*$B$12*$B$15*$B$18*$B$22*$B$24,0)</f>
        <v/>
      </c>
      <c r="H58" s="10">
        <f>ROUND($B$4*$B$11*$B$12*$B$15*$B$19*$B$21*$B$23,0)</f>
        <v/>
      </c>
      <c r="I58" s="10">
        <f>ROUND($B$4*$B$11*$B$12*$B$15*$B$19*$B$21*$B$24,0)</f>
        <v/>
      </c>
      <c r="J58" s="10">
        <f>ROUND($B$4*$B$11*$B$12*$B$15*$B$19*$B$22*$B$23,0)</f>
        <v/>
      </c>
      <c r="K58" s="10">
        <f>ROUND($B$4*$B$11*$B$12*$B$15*$B$19*$B$22*$B$24,0)</f>
        <v/>
      </c>
      <c r="L58" s="10">
        <f>ROUND($B$4*$B$11*$B$12*$B$15*$B$20*$B$21*$B$23,0)</f>
        <v/>
      </c>
      <c r="M58" s="10">
        <f>ROUND($B$4*$B$11*$B$12*$B$15*$B$20*$B$21*$B$24,0)</f>
        <v/>
      </c>
      <c r="N58" s="10">
        <f>ROUND($B$4*$B$11*$B$12*$B$15*$B$20*$B$22*$B$23,0)</f>
        <v/>
      </c>
      <c r="O58" s="10">
        <f>ROUND($B$4*$B$11*$B$12*$B$15*$B$20*$B$22*$B$24,0)</f>
        <v/>
      </c>
      <c r="P58" s="10">
        <f>ROUND($B$5*$B$11*$B$12*$B$15*$B$18*$B$21*$B$23,0)</f>
        <v/>
      </c>
      <c r="Q58" s="10">
        <f>ROUND($B$5*$B$11*$B$12*$B$15*$B$18*$B$21*$B$24,0)</f>
        <v/>
      </c>
      <c r="R58" s="10">
        <f>ROUND($B$5*$B$11*$B$12*$B$15*$B$18*$B$22*$B$23,0)</f>
        <v/>
      </c>
      <c r="S58" s="10">
        <f>ROUND($B$5*$B$11*$B$12*$B$15*$B$18*$B$22*$B$24,0)</f>
        <v/>
      </c>
      <c r="T58" s="10">
        <f>ROUND($B$5*$B$11*$B$12*$B$15*$B$19*$B$21*$B$23,0)</f>
        <v/>
      </c>
      <c r="U58" s="10">
        <f>ROUND($B$5*$B$11*$B$12*$B$15*$B$19*$B$21*$B$24,0)</f>
        <v/>
      </c>
      <c r="V58" s="10">
        <f>ROUND($B$5*$B$11*$B$12*$B$15*$B$19*$B$22*$B$23,0)</f>
        <v/>
      </c>
      <c r="W58" s="10">
        <f>ROUND($B$5*$B$11*$B$12*$B$15*$B$19*$B$22*$B$24,0)</f>
        <v/>
      </c>
      <c r="X58" s="10">
        <f>ROUND($B$5*$B$11*$B$12*$B$15*$B$20*$B$21*$B$23,0)</f>
        <v/>
      </c>
      <c r="Y58" s="10">
        <f>ROUND($B$5*$B$11*$B$12*$B$15*$B$20*$B$21*$B$24,0)</f>
        <v/>
      </c>
      <c r="Z58" s="10">
        <f>ROUND($B$5*$B$11*$B$12*$B$15*$B$20*$B$22*$B$23,0)</f>
        <v/>
      </c>
      <c r="AA58" s="10">
        <f>ROUND($B$5*$B$11*$B$12*$B$15*$B$20*$B$22*$B$24,0)</f>
        <v/>
      </c>
      <c r="AB58" s="10">
        <f>ROUND($B$6*$B$11*$B$12*$B$15*$B$18*$B$21*$B$23,0)</f>
        <v/>
      </c>
      <c r="AC58" s="10">
        <f>ROUND($B$6*$B$11*$B$12*$B$15*$B$18*$B$21*$B$24,0)</f>
        <v/>
      </c>
      <c r="AD58" s="10">
        <f>ROUND($B$6*$B$11*$B$12*$B$15*$B$18*$B$22*$B$23,0)</f>
        <v/>
      </c>
      <c r="AE58" s="10">
        <f>ROUND($B$6*$B$11*$B$12*$B$15*$B$18*$B$22*$B$24,0)</f>
        <v/>
      </c>
      <c r="AF58" s="10">
        <f>ROUND($B$6*$B$11*$B$12*$B$15*$B$19*$B$21*$B$23,0)</f>
        <v/>
      </c>
      <c r="AG58" s="10">
        <f>ROUND($B$6*$B$11*$B$12*$B$15*$B$19*$B$21*$B$24,0)</f>
        <v/>
      </c>
      <c r="AH58" s="10">
        <f>ROUND($B$6*$B$11*$B$12*$B$15*$B$19*$B$22*$B$23,0)</f>
        <v/>
      </c>
      <c r="AI58" s="10">
        <f>ROUND($B$6*$B$11*$B$12*$B$15*$B$19*$B$22*$B$24,0)</f>
        <v/>
      </c>
      <c r="AJ58" s="10">
        <f>ROUND($B$6*$B$11*$B$12*$B$15*$B$20*$B$21*$B$23,0)</f>
        <v/>
      </c>
      <c r="AK58" s="10">
        <f>ROUND($B$6*$B$11*$B$12*$B$15*$B$20*$B$21*$B$24,0)</f>
        <v/>
      </c>
      <c r="AL58" s="10">
        <f>ROUND($B$6*$B$11*$B$12*$B$15*$B$20*$B$22*$B$23,0)</f>
        <v/>
      </c>
      <c r="AM58" s="10">
        <f>ROUND($B$6*$B$11*$B$12*$B$15*$B$20*$B$22*$B$24,0)</f>
        <v/>
      </c>
    </row>
    <row r="59" ht="20.1" customHeight="1" s="62">
      <c r="A59" s="67" t="n"/>
      <c r="B59" s="58" t="n"/>
      <c r="C59" s="57" t="inlineStr">
        <is>
          <t>2-3 référentiels</t>
        </is>
      </c>
      <c r="D59" s="10">
        <f>ROUND($B$4*$B$11*$B$12*$B$16*$B$18*$B$21*$B$23,0)</f>
        <v/>
      </c>
      <c r="E59" s="10">
        <f>ROUND($B$4*$B$11*$B$12*$B$16*$B$18*$B$21*$B$24,0)</f>
        <v/>
      </c>
      <c r="F59" s="10">
        <f>ROUND($B$4*$B$11*$B$12*$B$16*$B$18*$B$22*$B$23,0)</f>
        <v/>
      </c>
      <c r="G59" s="10">
        <f>ROUND($B$4*$B$11*$B$12*$B$16*$B$18*$B$22*$B$24,0)</f>
        <v/>
      </c>
      <c r="H59" s="10">
        <f>ROUND($B$4*$B$11*$B$12*$B$16*$B$19*$B$21*$B$23,0)</f>
        <v/>
      </c>
      <c r="I59" s="10">
        <f>ROUND($B$4*$B$11*$B$12*$B$16*$B$19*$B$21*$B$24,0)</f>
        <v/>
      </c>
      <c r="J59" s="10">
        <f>ROUND($B$4*$B$11*$B$12*$B$16*$B$19*$B$22*$B$23,0)</f>
        <v/>
      </c>
      <c r="K59" s="10">
        <f>ROUND($B$4*$B$11*$B$12*$B$16*$B$19*$B$22*$B$24,0)</f>
        <v/>
      </c>
      <c r="L59" s="10">
        <f>ROUND($B$4*$B$11*$B$12*$B$16*$B$20*$B$21*$B$23,0)</f>
        <v/>
      </c>
      <c r="M59" s="10">
        <f>ROUND($B$4*$B$11*$B$12*$B$16*$B$20*$B$21*$B$24,0)</f>
        <v/>
      </c>
      <c r="N59" s="10">
        <f>ROUND($B$4*$B$11*$B$12*$B$16*$B$20*$B$22*$B$23,0)</f>
        <v/>
      </c>
      <c r="O59" s="10">
        <f>ROUND($B$4*$B$11*$B$12*$B$16*$B$20*$B$22*$B$24,0)</f>
        <v/>
      </c>
      <c r="P59" s="10">
        <f>ROUND($B$5*$B$11*$B$12*$B$16*$B$18*$B$21*$B$23,0)</f>
        <v/>
      </c>
      <c r="Q59" s="10">
        <f>ROUND($B$5*$B$11*$B$12*$B$16*$B$18*$B$21*$B$24,0)</f>
        <v/>
      </c>
      <c r="R59" s="10">
        <f>ROUND($B$5*$B$11*$B$12*$B$16*$B$18*$B$22*$B$23,0)</f>
        <v/>
      </c>
      <c r="S59" s="10">
        <f>ROUND($B$5*$B$11*$B$12*$B$16*$B$18*$B$22*$B$24,0)</f>
        <v/>
      </c>
      <c r="T59" s="10">
        <f>ROUND($B$5*$B$11*$B$12*$B$16*$B$19*$B$21*$B$23,0)</f>
        <v/>
      </c>
      <c r="U59" s="10">
        <f>ROUND($B$5*$B$11*$B$12*$B$16*$B$19*$B$21*$B$24,0)</f>
        <v/>
      </c>
      <c r="V59" s="10">
        <f>ROUND($B$5*$B$11*$B$12*$B$16*$B$19*$B$22*$B$23,0)</f>
        <v/>
      </c>
      <c r="W59" s="10">
        <f>ROUND($B$5*$B$11*$B$12*$B$16*$B$19*$B$22*$B$24,0)</f>
        <v/>
      </c>
      <c r="X59" s="10">
        <f>ROUND($B$5*$B$11*$B$12*$B$16*$B$20*$B$21*$B$23,0)</f>
        <v/>
      </c>
      <c r="Y59" s="10">
        <f>ROUND($B$5*$B$11*$B$12*$B$16*$B$20*$B$21*$B$24,0)</f>
        <v/>
      </c>
      <c r="Z59" s="10">
        <f>ROUND($B$5*$B$11*$B$12*$B$16*$B$20*$B$22*$B$23,0)</f>
        <v/>
      </c>
      <c r="AA59" s="10">
        <f>ROUND($B$5*$B$11*$B$12*$B$16*$B$20*$B$22*$B$24,0)</f>
        <v/>
      </c>
      <c r="AB59" s="10">
        <f>ROUND($B$6*$B$11*$B$12*$B$16*$B$18*$B$21*$B$23,0)</f>
        <v/>
      </c>
      <c r="AC59" s="10">
        <f>ROUND($B$6*$B$11*$B$12*$B$16*$B$18*$B$21*$B$24,0)</f>
        <v/>
      </c>
      <c r="AD59" s="10">
        <f>ROUND($B$6*$B$11*$B$12*$B$16*$B$18*$B$22*$B$23,0)</f>
        <v/>
      </c>
      <c r="AE59" s="10">
        <f>ROUND($B$6*$B$11*$B$12*$B$16*$B$18*$B$22*$B$24,0)</f>
        <v/>
      </c>
      <c r="AF59" s="10">
        <f>ROUND($B$6*$B$11*$B$12*$B$16*$B$19*$B$21*$B$23,0)</f>
        <v/>
      </c>
      <c r="AG59" s="10">
        <f>ROUND($B$6*$B$11*$B$12*$B$16*$B$19*$B$21*$B$24,0)</f>
        <v/>
      </c>
      <c r="AH59" s="10">
        <f>ROUND($B$6*$B$11*$B$12*$B$16*$B$19*$B$22*$B$23,0)</f>
        <v/>
      </c>
      <c r="AI59" s="10">
        <f>ROUND($B$6*$B$11*$B$12*$B$16*$B$19*$B$22*$B$24,0)</f>
        <v/>
      </c>
      <c r="AJ59" s="10">
        <f>ROUND($B$6*$B$11*$B$12*$B$16*$B$20*$B$21*$B$23,0)</f>
        <v/>
      </c>
      <c r="AK59" s="10">
        <f>ROUND($B$6*$B$11*$B$12*$B$16*$B$20*$B$21*$B$24,0)</f>
        <v/>
      </c>
      <c r="AL59" s="10">
        <f>ROUND($B$6*$B$11*$B$12*$B$16*$B$20*$B$22*$B$23,0)</f>
        <v/>
      </c>
      <c r="AM59" s="10">
        <f>ROUND($B$6*$B$11*$B$12*$B$16*$B$20*$B$22*$B$24,0)</f>
        <v/>
      </c>
    </row>
    <row r="60" ht="20.1" customHeight="1" s="62">
      <c r="A60" s="67" t="n"/>
      <c r="B60" s="59" t="n"/>
      <c r="C60" s="15" t="inlineStr">
        <is>
          <t>4 référentiels et +</t>
        </is>
      </c>
      <c r="D60" s="10">
        <f>ROUND($B$4*$B$11*$B$12*$B$17*$B$18*$B$21*$B$23,0)</f>
        <v/>
      </c>
      <c r="E60" s="10">
        <f>ROUND($B$4*$B$11*$B$12*$B$17*$B$18*$B$21*$B$24,0)</f>
        <v/>
      </c>
      <c r="F60" s="10">
        <f>ROUND($B$4*$B$11*$B$12*$B$17*$B$18*$B$22*$B$23,0)</f>
        <v/>
      </c>
      <c r="G60" s="10">
        <f>ROUND($B$4*$B$11*$B$12*$B$17*$B$18*$B$22*$B$24,0)</f>
        <v/>
      </c>
      <c r="H60" s="10">
        <f>ROUND($B$4*$B$11*$B$12*$B$17*$B$19*$B$21*$B$23,0)</f>
        <v/>
      </c>
      <c r="I60" s="10">
        <f>ROUND($B$4*$B$11*$B$12*$B$17*$B$19*$B$21*$B$24,0)</f>
        <v/>
      </c>
      <c r="J60" s="10">
        <f>ROUND($B$4*$B$11*$B$12*$B$17*$B$19*$B$22*$B$23,0)</f>
        <v/>
      </c>
      <c r="K60" s="10">
        <f>ROUND($B$4*$B$11*$B$12*$B$17*$B$19*$B$22*$B$24,0)</f>
        <v/>
      </c>
      <c r="L60" s="10">
        <f>ROUND($B$4*$B$11*$B$12*$B$17*$B$20*$B$21*$B$23,0)</f>
        <v/>
      </c>
      <c r="M60" s="10">
        <f>ROUND($B$4*$B$11*$B$12*$B$17*$B$20*$B$21*$B$24,0)</f>
        <v/>
      </c>
      <c r="N60" s="10">
        <f>ROUND($B$4*$B$11*$B$12*$B$17*$B$20*$B$22*$B$23,0)</f>
        <v/>
      </c>
      <c r="O60" s="10">
        <f>ROUND($B$4*$B$11*$B$12*$B$17*$B$20*$B$22*$B$24,0)</f>
        <v/>
      </c>
      <c r="P60" s="10">
        <f>ROUND($B$5*$B$11*$B$12*$B$17*$B$18*$B$21*$B$23,0)</f>
        <v/>
      </c>
      <c r="Q60" s="10">
        <f>ROUND($B$5*$B$11*$B$12*$B$17*$B$18*$B$21*$B$24,0)</f>
        <v/>
      </c>
      <c r="R60" s="10">
        <f>ROUND($B$5*$B$11*$B$12*$B$17*$B$18*$B$22*$B$23,0)</f>
        <v/>
      </c>
      <c r="S60" s="10">
        <f>ROUND($B$5*$B$11*$B$12*$B$17*$B$18*$B$22*$B$24,0)</f>
        <v/>
      </c>
      <c r="T60" s="10">
        <f>ROUND($B$5*$B$11*$B$12*$B$17*$B$19*$B$21*$B$23,0)</f>
        <v/>
      </c>
      <c r="U60" s="10">
        <f>ROUND($B$5*$B$11*$B$12*$B$17*$B$19*$B$21*$B$24,0)</f>
        <v/>
      </c>
      <c r="V60" s="10">
        <f>ROUND($B$5*$B$11*$B$12*$B$17*$B$19*$B$22*$B$23,0)</f>
        <v/>
      </c>
      <c r="W60" s="10">
        <f>ROUND($B$5*$B$11*$B$12*$B$17*$B$19*$B$22*$B$24,0)</f>
        <v/>
      </c>
      <c r="X60" s="10">
        <f>ROUND($B$5*$B$11*$B$12*$B$17*$B$20*$B$21*$B$23,0)</f>
        <v/>
      </c>
      <c r="Y60" s="10">
        <f>ROUND($B$5*$B$11*$B$12*$B$17*$B$20*$B$21*$B$24,0)</f>
        <v/>
      </c>
      <c r="Z60" s="10">
        <f>ROUND($B$5*$B$11*$B$12*$B$17*$B$20*$B$22*$B$23,0)</f>
        <v/>
      </c>
      <c r="AA60" s="10">
        <f>ROUND($B$5*$B$11*$B$12*$B$17*$B$20*$B$22*$B$24,0)</f>
        <v/>
      </c>
      <c r="AB60" s="10">
        <f>ROUND($B$6*$B$11*$B$12*$B$17*$B$18*$B$21*$B$23,0)</f>
        <v/>
      </c>
      <c r="AC60" s="10">
        <f>ROUND($B$6*$B$11*$B$12*$B$17*$B$18*$B$21*$B$24,0)</f>
        <v/>
      </c>
      <c r="AD60" s="10">
        <f>ROUND($B$6*$B$11*$B$12*$B$17*$B$18*$B$22*$B$23,0)</f>
        <v/>
      </c>
      <c r="AE60" s="10">
        <f>ROUND($B$6*$B$11*$B$12*$B$17*$B$18*$B$22*$B$24,0)</f>
        <v/>
      </c>
      <c r="AF60" s="10">
        <f>ROUND($B$6*$B$11*$B$12*$B$17*$B$19*$B$21*$B$23,0)</f>
        <v/>
      </c>
      <c r="AG60" s="10">
        <f>ROUND($B$6*$B$11*$B$12*$B$17*$B$19*$B$21*$B$24,0)</f>
        <v/>
      </c>
      <c r="AH60" s="10">
        <f>ROUND($B$6*$B$11*$B$12*$B$17*$B$19*$B$22*$B$23,0)</f>
        <v/>
      </c>
      <c r="AI60" s="10">
        <f>ROUND($B$6*$B$11*$B$12*$B$17*$B$19*$B$22*$B$24,0)</f>
        <v/>
      </c>
      <c r="AJ60" s="10">
        <f>ROUND($B$6*$B$11*$B$12*$B$17*$B$20*$B$21*$B$23,0)</f>
        <v/>
      </c>
      <c r="AK60" s="10">
        <f>ROUND($B$6*$B$11*$B$12*$B$17*$B$20*$B$21*$B$24,0)</f>
        <v/>
      </c>
      <c r="AL60" s="10">
        <f>ROUND($B$6*$B$11*$B$12*$B$17*$B$20*$B$22*$B$23,0)</f>
        <v/>
      </c>
      <c r="AM60" s="10">
        <f>ROUND($B$6*$B$11*$B$12*$B$17*$B$20*$B$22*$B$24,0)</f>
        <v/>
      </c>
    </row>
    <row r="61" ht="20.1" customHeight="1" s="62">
      <c r="A61" s="67" t="n"/>
      <c r="B61" s="57" t="inlineStr">
        <is>
          <t>Modérée</t>
        </is>
      </c>
      <c r="C61" s="14" t="inlineStr">
        <is>
          <t>1 référentiel</t>
        </is>
      </c>
      <c r="D61" s="10">
        <f>ROUND($B$4*$B$11*$B$13*$B$15*$B$18*$B$21*$B$23,0)</f>
        <v/>
      </c>
      <c r="E61" s="10">
        <f>ROUND($B$4*$B$11*$B$13*$B$15*$B$18*$B$21*$B$24,0)</f>
        <v/>
      </c>
      <c r="F61" s="10">
        <f>ROUND($B$4*$B$11*$B$13*$B$15*$B$18*$B$22*$B$23,0)</f>
        <v/>
      </c>
      <c r="G61" s="10">
        <f>ROUND($B$4*$B$11*$B$13*$B$15*$B$18*$B$22*$B$24,0)</f>
        <v/>
      </c>
      <c r="H61" s="10">
        <f>ROUND($B$4*$B$11*$B$13*$B$15*$B$19*$B$21*$B$23,0)</f>
        <v/>
      </c>
      <c r="I61" s="10">
        <f>ROUND($B$4*$B$11*$B$13*$B$15*$B$19*$B$21*$B$24,0)</f>
        <v/>
      </c>
      <c r="J61" s="10">
        <f>ROUND($B$4*$B$11*$B$13*$B$15*$B$19*$B$22*$B$23,0)</f>
        <v/>
      </c>
      <c r="K61" s="10">
        <f>ROUND($B$4*$B$11*$B$13*$B$15*$B$19*$B$22*$B$24,0)</f>
        <v/>
      </c>
      <c r="L61" s="10">
        <f>ROUND($B$4*$B$11*$B$13*$B$15*$B$20*$B$21*$B$23,0)</f>
        <v/>
      </c>
      <c r="M61" s="10">
        <f>ROUND($B$4*$B$11*$B$13*$B$15*$B$20*$B$21*$B$24,0)</f>
        <v/>
      </c>
      <c r="N61" s="10">
        <f>ROUND($B$4*$B$11*$B$13*$B$15*$B$20*$B$22*$B$23,0)</f>
        <v/>
      </c>
      <c r="O61" s="10">
        <f>ROUND($B$4*$B$11*$B$13*$B$15*$B$20*$B$22*$B$24,0)</f>
        <v/>
      </c>
      <c r="P61" s="10">
        <f>ROUND($B$5*$B$11*$B$13*$B$15*$B$18*$B$21*$B$23,0)</f>
        <v/>
      </c>
      <c r="Q61" s="10">
        <f>ROUND($B$5*$B$11*$B$13*$B$15*$B$18*$B$21*$B$24,0)</f>
        <v/>
      </c>
      <c r="R61" s="10">
        <f>ROUND($B$5*$B$11*$B$13*$B$15*$B$18*$B$22*$B$23,0)</f>
        <v/>
      </c>
      <c r="S61" s="10">
        <f>ROUND($B$5*$B$11*$B$13*$B$15*$B$18*$B$22*$B$24,0)</f>
        <v/>
      </c>
      <c r="T61" s="10">
        <f>ROUND($B$5*$B$11*$B$13*$B$15*$B$19*$B$21*$B$23,0)</f>
        <v/>
      </c>
      <c r="U61" s="10">
        <f>ROUND($B$5*$B$11*$B$13*$B$15*$B$19*$B$21*$B$24,0)</f>
        <v/>
      </c>
      <c r="V61" s="10">
        <f>ROUND($B$5*$B$11*$B$13*$B$15*$B$19*$B$22*$B$23,0)</f>
        <v/>
      </c>
      <c r="W61" s="10">
        <f>ROUND($B$5*$B$11*$B$13*$B$15*$B$19*$B$22*$B$24,0)</f>
        <v/>
      </c>
      <c r="X61" s="10">
        <f>ROUND($B$5*$B$11*$B$13*$B$15*$B$20*$B$21*$B$23,0)</f>
        <v/>
      </c>
      <c r="Y61" s="10">
        <f>ROUND($B$5*$B$11*$B$13*$B$15*$B$20*$B$21*$B$24,0)</f>
        <v/>
      </c>
      <c r="Z61" s="10">
        <f>ROUND($B$5*$B$11*$B$13*$B$15*$B$20*$B$22*$B$23,0)</f>
        <v/>
      </c>
      <c r="AA61" s="10">
        <f>ROUND($B$5*$B$11*$B$13*$B$15*$B$20*$B$22*$B$24,0)</f>
        <v/>
      </c>
      <c r="AB61" s="10">
        <f>ROUND($B$6*$B$11*$B$13*$B$15*$B$18*$B$21*$B$23,0)</f>
        <v/>
      </c>
      <c r="AC61" s="10">
        <f>ROUND($B$6*$B$11*$B$13*$B$15*$B$18*$B$21*$B$24,0)</f>
        <v/>
      </c>
      <c r="AD61" s="10">
        <f>ROUND($B$6*$B$11*$B$13*$B$15*$B$18*$B$22*$B$23,0)</f>
        <v/>
      </c>
      <c r="AE61" s="10">
        <f>ROUND($B$6*$B$11*$B$13*$B$15*$B$18*$B$22*$B$24,0)</f>
        <v/>
      </c>
      <c r="AF61" s="10">
        <f>ROUND($B$6*$B$11*$B$13*$B$15*$B$19*$B$21*$B$23,0)</f>
        <v/>
      </c>
      <c r="AG61" s="10">
        <f>ROUND($B$6*$B$11*$B$13*$B$15*$B$19*$B$21*$B$24,0)</f>
        <v/>
      </c>
      <c r="AH61" s="10">
        <f>ROUND($B$6*$B$11*$B$13*$B$15*$B$19*$B$22*$B$23,0)</f>
        <v/>
      </c>
      <c r="AI61" s="10">
        <f>ROUND($B$6*$B$11*$B$13*$B$15*$B$19*$B$22*$B$24,0)</f>
        <v/>
      </c>
      <c r="AJ61" s="10">
        <f>ROUND($B$6*$B$11*$B$13*$B$15*$B$20*$B$21*$B$23,0)</f>
        <v/>
      </c>
      <c r="AK61" s="10">
        <f>ROUND($B$6*$B$11*$B$13*$B$15*$B$20*$B$21*$B$24,0)</f>
        <v/>
      </c>
      <c r="AL61" s="10">
        <f>ROUND($B$6*$B$11*$B$13*$B$15*$B$20*$B$22*$B$23,0)</f>
        <v/>
      </c>
      <c r="AM61" s="10">
        <f>ROUND($B$6*$B$11*$B$13*$B$15*$B$20*$B$22*$B$24,0)</f>
        <v/>
      </c>
    </row>
    <row r="62" ht="20.1" customHeight="1" s="62">
      <c r="A62" s="67" t="n"/>
      <c r="B62" s="58" t="n"/>
      <c r="C62" s="57" t="inlineStr">
        <is>
          <t>2-3 référentiels</t>
        </is>
      </c>
      <c r="D62" s="10">
        <f>ROUND($B$4*$B$11*$B$13*$B$16*$B$18*$B$21*$B$23,0)</f>
        <v/>
      </c>
      <c r="E62" s="10">
        <f>ROUND($B$4*$B$11*$B$13*$B$16*$B$18*$B$21*$B$24,0)</f>
        <v/>
      </c>
      <c r="F62" s="10">
        <f>ROUND($B$4*$B$11*$B$13*$B$16*$B$18*$B$22*$B$23,0)</f>
        <v/>
      </c>
      <c r="G62" s="10">
        <f>ROUND($B$4*$B$11*$B$13*$B$16*$B$18*$B$22*$B$24,0)</f>
        <v/>
      </c>
      <c r="H62" s="10">
        <f>ROUND($B$4*$B$11*$B$13*$B$16*$B$19*$B$21*$B$23,0)</f>
        <v/>
      </c>
      <c r="I62" s="10">
        <f>ROUND($B$4*$B$11*$B$13*$B$16*$B$19*$B$21*$B$24,0)</f>
        <v/>
      </c>
      <c r="J62" s="10">
        <f>ROUND($B$4*$B$11*$B$13*$B$16*$B$19*$B$22*$B$23,0)</f>
        <v/>
      </c>
      <c r="K62" s="10">
        <f>ROUND($B$4*$B$11*$B$13*$B$16*$B$19*$B$22*$B$24,0)</f>
        <v/>
      </c>
      <c r="L62" s="10">
        <f>ROUND($B$4*$B$11*$B$13*$B$16*$B$20*$B$21*$B$23,0)</f>
        <v/>
      </c>
      <c r="M62" s="10">
        <f>ROUND($B$4*$B$11*$B$13*$B$16*$B$20*$B$21*$B$24,0)</f>
        <v/>
      </c>
      <c r="N62" s="10">
        <f>ROUND($B$4*$B$11*$B$13*$B$16*$B$20*$B$22*$B$23,0)</f>
        <v/>
      </c>
      <c r="O62" s="10">
        <f>ROUND($B$4*$B$11*$B$13*$B$16*$B$20*$B$22*$B$24,0)</f>
        <v/>
      </c>
      <c r="P62" s="10">
        <f>ROUND($B$5*$B$11*$B$13*$B$16*$B$18*$B$21*$B$23,0)</f>
        <v/>
      </c>
      <c r="Q62" s="10">
        <f>ROUND($B$5*$B$11*$B$13*$B$16*$B$18*$B$21*$B$24,0)</f>
        <v/>
      </c>
      <c r="R62" s="10">
        <f>ROUND($B$5*$B$11*$B$13*$B$16*$B$18*$B$22*$B$23,0)</f>
        <v/>
      </c>
      <c r="S62" s="10">
        <f>ROUND($B$5*$B$11*$B$13*$B$16*$B$18*$B$22*$B$24,0)</f>
        <v/>
      </c>
      <c r="T62" s="10">
        <f>ROUND($B$5*$B$11*$B$13*$B$16*$B$19*$B$21*$B$23,0)</f>
        <v/>
      </c>
      <c r="U62" s="10">
        <f>ROUND($B$5*$B$11*$B$13*$B$16*$B$19*$B$21*$B$24,0)</f>
        <v/>
      </c>
      <c r="V62" s="10">
        <f>ROUND($B$5*$B$11*$B$13*$B$16*$B$19*$B$22*$B$23,0)</f>
        <v/>
      </c>
      <c r="W62" s="10">
        <f>ROUND($B$5*$B$11*$B$13*$B$16*$B$19*$B$22*$B$24,0)</f>
        <v/>
      </c>
      <c r="X62" s="10">
        <f>ROUND($B$5*$B$11*$B$13*$B$16*$B$20*$B$21*$B$23,0)</f>
        <v/>
      </c>
      <c r="Y62" s="10">
        <f>ROUND($B$5*$B$11*$B$13*$B$16*$B$20*$B$21*$B$24,0)</f>
        <v/>
      </c>
      <c r="Z62" s="10">
        <f>ROUND($B$5*$B$11*$B$13*$B$16*$B$20*$B$22*$B$23,0)</f>
        <v/>
      </c>
      <c r="AA62" s="10">
        <f>ROUND($B$5*$B$11*$B$13*$B$16*$B$20*$B$22*$B$24,0)</f>
        <v/>
      </c>
      <c r="AB62" s="10">
        <f>ROUND($B$6*$B$11*$B$13*$B$16*$B$18*$B$21*$B$23,0)</f>
        <v/>
      </c>
      <c r="AC62" s="10">
        <f>ROUND($B$6*$B$11*$B$13*$B$16*$B$18*$B$21*$B$24,0)</f>
        <v/>
      </c>
      <c r="AD62" s="10">
        <f>ROUND($B$6*$B$11*$B$13*$B$16*$B$18*$B$22*$B$23,0)</f>
        <v/>
      </c>
      <c r="AE62" s="10">
        <f>ROUND($B$6*$B$11*$B$13*$B$16*$B$18*$B$22*$B$24,0)</f>
        <v/>
      </c>
      <c r="AF62" s="10">
        <f>ROUND($B$6*$B$11*$B$13*$B$16*$B$19*$B$21*$B$23,0)</f>
        <v/>
      </c>
      <c r="AG62" s="10">
        <f>ROUND($B$6*$B$11*$B$13*$B$16*$B$19*$B$21*$B$24,0)</f>
        <v/>
      </c>
      <c r="AH62" s="10">
        <f>ROUND($B$6*$B$11*$B$13*$B$16*$B$19*$B$22*$B$23,0)</f>
        <v/>
      </c>
      <c r="AI62" s="10">
        <f>ROUND($B$6*$B$11*$B$13*$B$16*$B$19*$B$22*$B$24,0)</f>
        <v/>
      </c>
      <c r="AJ62" s="10">
        <f>ROUND($B$6*$B$11*$B$13*$B$16*$B$20*$B$21*$B$23,0)</f>
        <v/>
      </c>
      <c r="AK62" s="10">
        <f>ROUND($B$6*$B$11*$B$13*$B$16*$B$20*$B$21*$B$24,0)</f>
        <v/>
      </c>
      <c r="AL62" s="10">
        <f>ROUND($B$6*$B$11*$B$13*$B$16*$B$20*$B$22*$B$23,0)</f>
        <v/>
      </c>
      <c r="AM62" s="10">
        <f>ROUND($B$6*$B$11*$B$13*$B$16*$B$20*$B$22*$B$24,0)</f>
        <v/>
      </c>
    </row>
    <row r="63" ht="20.1" customHeight="1" s="62">
      <c r="A63" s="67" t="n"/>
      <c r="B63" s="59" t="n"/>
      <c r="C63" s="15" t="inlineStr">
        <is>
          <t>4 référentiels et +</t>
        </is>
      </c>
      <c r="D63" s="10">
        <f>ROUND($B$4*$B$11*$B$13*$B$17*$B$18*$B$21*$B$23,0)</f>
        <v/>
      </c>
      <c r="E63" s="10">
        <f>ROUND($B$4*$B$11*$B$13*$B$17*$B$18*$B$21*$B$24,0)</f>
        <v/>
      </c>
      <c r="F63" s="10">
        <f>ROUND($B$4*$B$11*$B$13*$B$17*$B$18*$B$22*$B$23,0)</f>
        <v/>
      </c>
      <c r="G63" s="10">
        <f>ROUND($B$4*$B$11*$B$13*$B$17*$B$18*$B$22*$B$24,0)</f>
        <v/>
      </c>
      <c r="H63" s="10">
        <f>ROUND($B$4*$B$11*$B$13*$B$17*$B$19*$B$21*$B$23,0)</f>
        <v/>
      </c>
      <c r="I63" s="10">
        <f>ROUND($B$4*$B$11*$B$13*$B$17*$B$19*$B$21*$B$24,0)</f>
        <v/>
      </c>
      <c r="J63" s="10">
        <f>ROUND($B$4*$B$11*$B$13*$B$17*$B$19*$B$22*$B$23,0)</f>
        <v/>
      </c>
      <c r="K63" s="10">
        <f>ROUND($B$4*$B$11*$B$13*$B$17*$B$19*$B$22*$B$24,0)</f>
        <v/>
      </c>
      <c r="L63" s="10">
        <f>ROUND($B$4*$B$11*$B$13*$B$17*$B$20*$B$21*$B$23,0)</f>
        <v/>
      </c>
      <c r="M63" s="10">
        <f>ROUND($B$4*$B$11*$B$13*$B$17*$B$20*$B$21*$B$24,0)</f>
        <v/>
      </c>
      <c r="N63" s="10">
        <f>ROUND($B$4*$B$11*$B$13*$B$17*$B$20*$B$22*$B$23,0)</f>
        <v/>
      </c>
      <c r="O63" s="10">
        <f>ROUND($B$4*$B$11*$B$13*$B$17*$B$20*$B$22*$B$24,0)</f>
        <v/>
      </c>
      <c r="P63" s="10">
        <f>ROUND($B$5*$B$11*$B$13*$B$17*$B$18*$B$21*$B$23,0)</f>
        <v/>
      </c>
      <c r="Q63" s="10">
        <f>ROUND($B$5*$B$11*$B$13*$B$17*$B$18*$B$21*$B$24,0)</f>
        <v/>
      </c>
      <c r="R63" s="10">
        <f>ROUND($B$5*$B$11*$B$13*$B$17*$B$18*$B$22*$B$23,0)</f>
        <v/>
      </c>
      <c r="S63" s="10">
        <f>ROUND($B$5*$B$11*$B$13*$B$17*$B$18*$B$22*$B$24,0)</f>
        <v/>
      </c>
      <c r="T63" s="10">
        <f>ROUND($B$5*$B$11*$B$13*$B$17*$B$19*$B$21*$B$23,0)</f>
        <v/>
      </c>
      <c r="U63" s="10">
        <f>ROUND($B$5*$B$11*$B$13*$B$17*$B$19*$B$21*$B$24,0)</f>
        <v/>
      </c>
      <c r="V63" s="10">
        <f>ROUND($B$5*$B$11*$B$13*$B$17*$B$19*$B$22*$B$23,0)</f>
        <v/>
      </c>
      <c r="W63" s="10">
        <f>ROUND($B$5*$B$11*$B$13*$B$17*$B$19*$B$22*$B$24,0)</f>
        <v/>
      </c>
      <c r="X63" s="10">
        <f>ROUND($B$5*$B$11*$B$13*$B$17*$B$20*$B$21*$B$23,0)</f>
        <v/>
      </c>
      <c r="Y63" s="10">
        <f>ROUND($B$5*$B$11*$B$13*$B$17*$B$20*$B$21*$B$24,0)</f>
        <v/>
      </c>
      <c r="Z63" s="10">
        <f>ROUND($B$5*$B$11*$B$13*$B$17*$B$20*$B$22*$B$23,0)</f>
        <v/>
      </c>
      <c r="AA63" s="10">
        <f>ROUND($B$5*$B$11*$B$13*$B$17*$B$20*$B$22*$B$24,0)</f>
        <v/>
      </c>
      <c r="AB63" s="10">
        <f>ROUND($B$6*$B$11*$B$13*$B$17*$B$18*$B$21*$B$23,0)</f>
        <v/>
      </c>
      <c r="AC63" s="10">
        <f>ROUND($B$6*$B$11*$B$13*$B$17*$B$18*$B$21*$B$24,0)</f>
        <v/>
      </c>
      <c r="AD63" s="10">
        <f>ROUND($B$6*$B$11*$B$13*$B$17*$B$18*$B$22*$B$23,0)</f>
        <v/>
      </c>
      <c r="AE63" s="10">
        <f>ROUND($B$6*$B$11*$B$13*$B$17*$B$18*$B$22*$B$24,0)</f>
        <v/>
      </c>
      <c r="AF63" s="10">
        <f>ROUND($B$6*$B$11*$B$13*$B$17*$B$19*$B$21*$B$23,0)</f>
        <v/>
      </c>
      <c r="AG63" s="10">
        <f>ROUND($B$6*$B$11*$B$13*$B$17*$B$19*$B$21*$B$24,0)</f>
        <v/>
      </c>
      <c r="AH63" s="10">
        <f>ROUND($B$6*$B$11*$B$13*$B$17*$B$19*$B$22*$B$23,0)</f>
        <v/>
      </c>
      <c r="AI63" s="10">
        <f>ROUND($B$6*$B$11*$B$13*$B$17*$B$19*$B$22*$B$24,0)</f>
        <v/>
      </c>
      <c r="AJ63" s="10">
        <f>ROUND($B$6*$B$11*$B$13*$B$17*$B$20*$B$21*$B$23,0)</f>
        <v/>
      </c>
      <c r="AK63" s="10">
        <f>ROUND($B$6*$B$11*$B$13*$B$17*$B$20*$B$21*$B$24,0)</f>
        <v/>
      </c>
      <c r="AL63" s="10">
        <f>ROUND($B$6*$B$11*$B$13*$B$17*$B$20*$B$22*$B$23,0)</f>
        <v/>
      </c>
      <c r="AM63" s="10">
        <f>ROUND($B$6*$B$11*$B$13*$B$17*$B$20*$B$22*$B$24,0)</f>
        <v/>
      </c>
    </row>
    <row r="64" ht="20.1" customHeight="1" s="62">
      <c r="A64" s="67" t="n"/>
      <c r="B64" s="57" t="inlineStr">
        <is>
          <t>Complexe (multi-sites / multi-équipes)</t>
        </is>
      </c>
      <c r="C64" s="14" t="inlineStr">
        <is>
          <t>1 référentiel</t>
        </is>
      </c>
      <c r="D64" s="10">
        <f>ROUND($B$4*$B$11*$B$14*$B$15*$B$18*$B$21*$B$23,0)</f>
        <v/>
      </c>
      <c r="E64" s="10">
        <f>ROUND($B$4*$B$11*$B$14*$B$15*$B$18*$B$21*$B$24,0)</f>
        <v/>
      </c>
      <c r="F64" s="10">
        <f>ROUND($B$4*$B$11*$B$14*$B$15*$B$18*$B$22*$B$23,0)</f>
        <v/>
      </c>
      <c r="G64" s="10">
        <f>ROUND($B$4*$B$11*$B$14*$B$15*$B$18*$B$22*$B$24,0)</f>
        <v/>
      </c>
      <c r="H64" s="10">
        <f>ROUND($B$4*$B$11*$B$14*$B$15*$B$19*$B$21*$B$23,0)</f>
        <v/>
      </c>
      <c r="I64" s="10">
        <f>ROUND($B$4*$B$11*$B$14*$B$15*$B$19*$B$21*$B$24,0)</f>
        <v/>
      </c>
      <c r="J64" s="10">
        <f>ROUND($B$4*$B$11*$B$14*$B$15*$B$19*$B$22*$B$23,0)</f>
        <v/>
      </c>
      <c r="K64" s="10">
        <f>ROUND($B$4*$B$11*$B$14*$B$15*$B$19*$B$22*$B$24,0)</f>
        <v/>
      </c>
      <c r="L64" s="10">
        <f>ROUND($B$4*$B$11*$B$14*$B$15*$B$20*$B$21*$B$23,0)</f>
        <v/>
      </c>
      <c r="M64" s="10">
        <f>ROUND($B$4*$B$11*$B$14*$B$15*$B$20*$B$21*$B$24,0)</f>
        <v/>
      </c>
      <c r="N64" s="10">
        <f>ROUND($B$4*$B$11*$B$14*$B$15*$B$20*$B$22*$B$23,0)</f>
        <v/>
      </c>
      <c r="O64" s="10">
        <f>ROUND($B$4*$B$11*$B$14*$B$15*$B$20*$B$22*$B$24,0)</f>
        <v/>
      </c>
      <c r="P64" s="10">
        <f>ROUND($B$5*$B$11*$B$14*$B$15*$B$18*$B$21*$B$23,0)</f>
        <v/>
      </c>
      <c r="Q64" s="10">
        <f>ROUND($B$5*$B$11*$B$14*$B$15*$B$18*$B$21*$B$24,0)</f>
        <v/>
      </c>
      <c r="R64" s="10">
        <f>ROUND($B$5*$B$11*$B$14*$B$15*$B$18*$B$22*$B$23,0)</f>
        <v/>
      </c>
      <c r="S64" s="10">
        <f>ROUND($B$5*$B$11*$B$14*$B$15*$B$18*$B$22*$B$24,0)</f>
        <v/>
      </c>
      <c r="T64" s="10">
        <f>ROUND($B$5*$B$11*$B$14*$B$15*$B$19*$B$21*$B$23,0)</f>
        <v/>
      </c>
      <c r="U64" s="10">
        <f>ROUND($B$5*$B$11*$B$14*$B$15*$B$19*$B$21*$B$24,0)</f>
        <v/>
      </c>
      <c r="V64" s="10">
        <f>ROUND($B$5*$B$11*$B$14*$B$15*$B$19*$B$22*$B$23,0)</f>
        <v/>
      </c>
      <c r="W64" s="10">
        <f>ROUND($B$5*$B$11*$B$14*$B$15*$B$19*$B$22*$B$24,0)</f>
        <v/>
      </c>
      <c r="X64" s="10">
        <f>ROUND($B$5*$B$11*$B$14*$B$15*$B$20*$B$21*$B$23,0)</f>
        <v/>
      </c>
      <c r="Y64" s="10">
        <f>ROUND($B$5*$B$11*$B$14*$B$15*$B$20*$B$21*$B$24,0)</f>
        <v/>
      </c>
      <c r="Z64" s="10">
        <f>ROUND($B$5*$B$11*$B$14*$B$15*$B$20*$B$22*$B$23,0)</f>
        <v/>
      </c>
      <c r="AA64" s="10">
        <f>ROUND($B$5*$B$11*$B$14*$B$15*$B$20*$B$22*$B$24,0)</f>
        <v/>
      </c>
      <c r="AB64" s="10">
        <f>ROUND($B$6*$B$11*$B$14*$B$15*$B$18*$B$21*$B$23,0)</f>
        <v/>
      </c>
      <c r="AC64" s="10">
        <f>ROUND($B$6*$B$11*$B$14*$B$15*$B$18*$B$21*$B$24,0)</f>
        <v/>
      </c>
      <c r="AD64" s="10">
        <f>ROUND($B$6*$B$11*$B$14*$B$15*$B$18*$B$22*$B$23,0)</f>
        <v/>
      </c>
      <c r="AE64" s="10">
        <f>ROUND($B$6*$B$11*$B$14*$B$15*$B$18*$B$22*$B$24,0)</f>
        <v/>
      </c>
      <c r="AF64" s="10">
        <f>ROUND($B$6*$B$11*$B$14*$B$15*$B$19*$B$21*$B$23,0)</f>
        <v/>
      </c>
      <c r="AG64" s="10">
        <f>ROUND($B$6*$B$11*$B$14*$B$15*$B$19*$B$21*$B$24,0)</f>
        <v/>
      </c>
      <c r="AH64" s="10">
        <f>ROUND($B$6*$B$11*$B$14*$B$15*$B$19*$B$22*$B$23,0)</f>
        <v/>
      </c>
      <c r="AI64" s="10">
        <f>ROUND($B$6*$B$11*$B$14*$B$15*$B$19*$B$22*$B$24,0)</f>
        <v/>
      </c>
      <c r="AJ64" s="10">
        <f>ROUND($B$6*$B$11*$B$14*$B$15*$B$20*$B$21*$B$23,0)</f>
        <v/>
      </c>
      <c r="AK64" s="10">
        <f>ROUND($B$6*$B$11*$B$14*$B$15*$B$20*$B$21*$B$24,0)</f>
        <v/>
      </c>
      <c r="AL64" s="10">
        <f>ROUND($B$6*$B$11*$B$14*$B$15*$B$20*$B$22*$B$23,0)</f>
        <v/>
      </c>
      <c r="AM64" s="10">
        <f>ROUND($B$6*$B$11*$B$14*$B$15*$B$20*$B$22*$B$24,0)</f>
        <v/>
      </c>
    </row>
    <row r="65" ht="20.1" customHeight="1" s="62">
      <c r="A65" s="67" t="n"/>
      <c r="B65" s="58" t="n"/>
      <c r="C65" s="57" t="inlineStr">
        <is>
          <t>2-3 référentiels</t>
        </is>
      </c>
      <c r="D65" s="10">
        <f>ROUND($B$4*$B$11*$B$14*$B$16*$B$18*$B$21*$B$23,0)</f>
        <v/>
      </c>
      <c r="E65" s="10">
        <f>ROUND($B$4*$B$11*$B$14*$B$16*$B$18*$B$21*$B$24,0)</f>
        <v/>
      </c>
      <c r="F65" s="10">
        <f>ROUND($B$4*$B$11*$B$14*$B$16*$B$18*$B$22*$B$23,0)</f>
        <v/>
      </c>
      <c r="G65" s="10">
        <f>ROUND($B$4*$B$11*$B$14*$B$16*$B$18*$B$22*$B$24,0)</f>
        <v/>
      </c>
      <c r="H65" s="10">
        <f>ROUND($B$4*$B$11*$B$14*$B$16*$B$19*$B$21*$B$23,0)</f>
        <v/>
      </c>
      <c r="I65" s="10">
        <f>ROUND($B$4*$B$11*$B$14*$B$16*$B$19*$B$21*$B$24,0)</f>
        <v/>
      </c>
      <c r="J65" s="10">
        <f>ROUND($B$4*$B$11*$B$14*$B$16*$B$19*$B$22*$B$23,0)</f>
        <v/>
      </c>
      <c r="K65" s="10">
        <f>ROUND($B$4*$B$11*$B$14*$B$16*$B$19*$B$22*$B$24,0)</f>
        <v/>
      </c>
      <c r="L65" s="10">
        <f>ROUND($B$4*$B$11*$B$14*$B$16*$B$20*$B$21*$B$23,0)</f>
        <v/>
      </c>
      <c r="M65" s="10">
        <f>ROUND($B$4*$B$11*$B$14*$B$16*$B$20*$B$21*$B$24,0)</f>
        <v/>
      </c>
      <c r="N65" s="10">
        <f>ROUND($B$4*$B$11*$B$14*$B$16*$B$20*$B$22*$B$23,0)</f>
        <v/>
      </c>
      <c r="O65" s="10">
        <f>ROUND($B$4*$B$11*$B$14*$B$16*$B$20*$B$22*$B$24,0)</f>
        <v/>
      </c>
      <c r="P65" s="10">
        <f>ROUND($B$5*$B$11*$B$14*$B$16*$B$18*$B$21*$B$23,0)</f>
        <v/>
      </c>
      <c r="Q65" s="10">
        <f>ROUND($B$5*$B$11*$B$14*$B$16*$B$18*$B$21*$B$24,0)</f>
        <v/>
      </c>
      <c r="R65" s="10">
        <f>ROUND($B$5*$B$11*$B$14*$B$16*$B$18*$B$22*$B$23,0)</f>
        <v/>
      </c>
      <c r="S65" s="10">
        <f>ROUND($B$5*$B$11*$B$14*$B$16*$B$18*$B$22*$B$24,0)</f>
        <v/>
      </c>
      <c r="T65" s="10">
        <f>ROUND($B$5*$B$11*$B$14*$B$16*$B$19*$B$21*$B$23,0)</f>
        <v/>
      </c>
      <c r="U65" s="10">
        <f>ROUND($B$5*$B$11*$B$14*$B$16*$B$19*$B$21*$B$24,0)</f>
        <v/>
      </c>
      <c r="V65" s="10">
        <f>ROUND($B$5*$B$11*$B$14*$B$16*$B$19*$B$22*$B$23,0)</f>
        <v/>
      </c>
      <c r="W65" s="10">
        <f>ROUND($B$5*$B$11*$B$14*$B$16*$B$19*$B$22*$B$24,0)</f>
        <v/>
      </c>
      <c r="X65" s="10">
        <f>ROUND($B$5*$B$11*$B$14*$B$16*$B$20*$B$21*$B$23,0)</f>
        <v/>
      </c>
      <c r="Y65" s="10">
        <f>ROUND($B$5*$B$11*$B$14*$B$16*$B$20*$B$21*$B$24,0)</f>
        <v/>
      </c>
      <c r="Z65" s="10">
        <f>ROUND($B$5*$B$11*$B$14*$B$16*$B$20*$B$22*$B$23,0)</f>
        <v/>
      </c>
      <c r="AA65" s="10">
        <f>ROUND($B$5*$B$11*$B$14*$B$16*$B$20*$B$22*$B$24,0)</f>
        <v/>
      </c>
      <c r="AB65" s="10">
        <f>ROUND($B$6*$B$11*$B$14*$B$16*$B$18*$B$21*$B$23,0)</f>
        <v/>
      </c>
      <c r="AC65" s="10">
        <f>ROUND($B$6*$B$11*$B$14*$B$16*$B$18*$B$21*$B$24,0)</f>
        <v/>
      </c>
      <c r="AD65" s="10">
        <f>ROUND($B$6*$B$11*$B$14*$B$16*$B$18*$B$22*$B$23,0)</f>
        <v/>
      </c>
      <c r="AE65" s="10">
        <f>ROUND($B$6*$B$11*$B$14*$B$16*$B$18*$B$22*$B$24,0)</f>
        <v/>
      </c>
      <c r="AF65" s="10">
        <f>ROUND($B$6*$B$11*$B$14*$B$16*$B$19*$B$21*$B$23,0)</f>
        <v/>
      </c>
      <c r="AG65" s="10">
        <f>ROUND($B$6*$B$11*$B$14*$B$16*$B$19*$B$21*$B$24,0)</f>
        <v/>
      </c>
      <c r="AH65" s="10">
        <f>ROUND($B$6*$B$11*$B$14*$B$16*$B$19*$B$22*$B$23,0)</f>
        <v/>
      </c>
      <c r="AI65" s="10">
        <f>ROUND($B$6*$B$11*$B$14*$B$16*$B$19*$B$22*$B$24,0)</f>
        <v/>
      </c>
      <c r="AJ65" s="10">
        <f>ROUND($B$6*$B$11*$B$14*$B$16*$B$20*$B$21*$B$23,0)</f>
        <v/>
      </c>
      <c r="AK65" s="10">
        <f>ROUND($B$6*$B$11*$B$14*$B$16*$B$20*$B$21*$B$24,0)</f>
        <v/>
      </c>
      <c r="AL65" s="10">
        <f>ROUND($B$6*$B$11*$B$14*$B$16*$B$20*$B$22*$B$23,0)</f>
        <v/>
      </c>
      <c r="AM65" s="10">
        <f>ROUND($B$6*$B$11*$B$14*$B$16*$B$20*$B$22*$B$24,0)</f>
        <v/>
      </c>
    </row>
    <row r="66" ht="20.1" customHeight="1" s="62">
      <c r="A66" s="68" t="n"/>
      <c r="B66" s="59" t="n"/>
      <c r="C66" s="15" t="inlineStr">
        <is>
          <t>4 référentiels et +</t>
        </is>
      </c>
      <c r="D66" s="10">
        <f>ROUND($B$4*$B$11*$B$14*$B$17*$B$18*$B$21*$B$23,0)</f>
        <v/>
      </c>
      <c r="E66" s="10">
        <f>ROUND($B$4*$B$11*$B$14*$B$17*$B$18*$B$21*$B$24,0)</f>
        <v/>
      </c>
      <c r="F66" s="10">
        <f>ROUND($B$4*$B$11*$B$14*$B$17*$B$18*$B$22*$B$23,0)</f>
        <v/>
      </c>
      <c r="G66" s="10">
        <f>ROUND($B$4*$B$11*$B$14*$B$17*$B$18*$B$22*$B$24,0)</f>
        <v/>
      </c>
      <c r="H66" s="10">
        <f>ROUND($B$4*$B$11*$B$14*$B$17*$B$19*$B$21*$B$23,0)</f>
        <v/>
      </c>
      <c r="I66" s="10">
        <f>ROUND($B$4*$B$11*$B$14*$B$17*$B$19*$B$21*$B$24,0)</f>
        <v/>
      </c>
      <c r="J66" s="10">
        <f>ROUND($B$4*$B$11*$B$14*$B$17*$B$19*$B$22*$B$23,0)</f>
        <v/>
      </c>
      <c r="K66" s="10">
        <f>ROUND($B$4*$B$11*$B$14*$B$17*$B$19*$B$22*$B$24,0)</f>
        <v/>
      </c>
      <c r="L66" s="10">
        <f>ROUND($B$4*$B$11*$B$14*$B$17*$B$20*$B$21*$B$23,0)</f>
        <v/>
      </c>
      <c r="M66" s="10">
        <f>ROUND($B$4*$B$11*$B$14*$B$17*$B$20*$B$21*$B$24,0)</f>
        <v/>
      </c>
      <c r="N66" s="10">
        <f>ROUND($B$4*$B$11*$B$14*$B$17*$B$20*$B$22*$B$23,0)</f>
        <v/>
      </c>
      <c r="O66" s="10">
        <f>ROUND($B$4*$B$11*$B$14*$B$17*$B$20*$B$22*$B$24,0)</f>
        <v/>
      </c>
      <c r="P66" s="10">
        <f>ROUND($B$5*$B$11*$B$14*$B$17*$B$18*$B$21*$B$23,0)</f>
        <v/>
      </c>
      <c r="Q66" s="10">
        <f>ROUND($B$5*$B$11*$B$14*$B$17*$B$18*$B$21*$B$24,0)</f>
        <v/>
      </c>
      <c r="R66" s="10">
        <f>ROUND($B$5*$B$11*$B$14*$B$17*$B$18*$B$22*$B$23,0)</f>
        <v/>
      </c>
      <c r="S66" s="10">
        <f>ROUND($B$5*$B$11*$B$14*$B$17*$B$18*$B$22*$B$24,0)</f>
        <v/>
      </c>
      <c r="T66" s="10">
        <f>ROUND($B$5*$B$11*$B$14*$B$17*$B$19*$B$21*$B$23,0)</f>
        <v/>
      </c>
      <c r="U66" s="10">
        <f>ROUND($B$5*$B$11*$B$14*$B$17*$B$19*$B$21*$B$24,0)</f>
        <v/>
      </c>
      <c r="V66" s="10">
        <f>ROUND($B$5*$B$11*$B$14*$B$17*$B$19*$B$22*$B$23,0)</f>
        <v/>
      </c>
      <c r="W66" s="10">
        <f>ROUND($B$5*$B$11*$B$14*$B$17*$B$19*$B$22*$B$24,0)</f>
        <v/>
      </c>
      <c r="X66" s="10">
        <f>ROUND($B$5*$B$11*$B$14*$B$17*$B$20*$B$21*$B$23,0)</f>
        <v/>
      </c>
      <c r="Y66" s="10">
        <f>ROUND($B$5*$B$11*$B$14*$B$17*$B$20*$B$21*$B$24,0)</f>
        <v/>
      </c>
      <c r="Z66" s="10">
        <f>ROUND($B$5*$B$11*$B$14*$B$17*$B$20*$B$22*$B$23,0)</f>
        <v/>
      </c>
      <c r="AA66" s="10">
        <f>ROUND($B$5*$B$11*$B$14*$B$17*$B$20*$B$22*$B$24,0)</f>
        <v/>
      </c>
      <c r="AB66" s="10">
        <f>ROUND($B$6*$B$11*$B$14*$B$17*$B$18*$B$21*$B$23,0)</f>
        <v/>
      </c>
      <c r="AC66" s="10">
        <f>ROUND($B$6*$B$11*$B$14*$B$17*$B$18*$B$21*$B$24,0)</f>
        <v/>
      </c>
      <c r="AD66" s="10">
        <f>ROUND($B$6*$B$11*$B$14*$B$17*$B$18*$B$22*$B$23,0)</f>
        <v/>
      </c>
      <c r="AE66" s="10">
        <f>ROUND($B$6*$B$11*$B$14*$B$17*$B$18*$B$22*$B$24,0)</f>
        <v/>
      </c>
      <c r="AF66" s="10">
        <f>ROUND($B$6*$B$11*$B$14*$B$17*$B$19*$B$21*$B$23,0)</f>
        <v/>
      </c>
      <c r="AG66" s="10">
        <f>ROUND($B$6*$B$11*$B$14*$B$17*$B$19*$B$21*$B$24,0)</f>
        <v/>
      </c>
      <c r="AH66" s="10">
        <f>ROUND($B$6*$B$11*$B$14*$B$17*$B$19*$B$22*$B$23,0)</f>
        <v/>
      </c>
      <c r="AI66" s="10">
        <f>ROUND($B$6*$B$11*$B$14*$B$17*$B$19*$B$22*$B$24,0)</f>
        <v/>
      </c>
      <c r="AJ66" s="10">
        <f>ROUND($B$6*$B$11*$B$14*$B$17*$B$20*$B$21*$B$23,0)</f>
        <v/>
      </c>
      <c r="AK66" s="10">
        <f>ROUND($B$6*$B$11*$B$14*$B$17*$B$20*$B$21*$B$24,0)</f>
        <v/>
      </c>
      <c r="AL66" s="10">
        <f>ROUND($B$6*$B$11*$B$14*$B$17*$B$20*$B$22*$B$23,0)</f>
        <v/>
      </c>
      <c r="AM66" s="10">
        <f>ROUND($B$6*$B$11*$B$14*$B$17*$B$20*$B$22*$B$24,0)</f>
        <v/>
      </c>
    </row>
  </sheetData>
  <mergeCells count="54">
    <mergeCell ref="H28:K28"/>
    <mergeCell ref="A1:AM1"/>
    <mergeCell ref="J29:K29"/>
    <mergeCell ref="P28:S28"/>
    <mergeCell ref="B49:B51"/>
    <mergeCell ref="F29:G29"/>
    <mergeCell ref="B34:B36"/>
    <mergeCell ref="B40:B42"/>
    <mergeCell ref="P29:Q29"/>
    <mergeCell ref="H29:I29"/>
    <mergeCell ref="D27:O27"/>
    <mergeCell ref="R29:S29"/>
    <mergeCell ref="AB29:AC29"/>
    <mergeCell ref="T29:U29"/>
    <mergeCell ref="AD29:AE29"/>
    <mergeCell ref="A7:AM7"/>
    <mergeCell ref="B55:B57"/>
    <mergeCell ref="A25:AM25"/>
    <mergeCell ref="P27:AA27"/>
    <mergeCell ref="AB27:AM27"/>
    <mergeCell ref="B27:B30"/>
    <mergeCell ref="AB28:AE28"/>
    <mergeCell ref="T28:W28"/>
    <mergeCell ref="AF28:AI28"/>
    <mergeCell ref="V29:W29"/>
    <mergeCell ref="AF29:AG29"/>
    <mergeCell ref="B64:B66"/>
    <mergeCell ref="AH29:AI29"/>
    <mergeCell ref="A3:AM3"/>
    <mergeCell ref="A2:AM2"/>
    <mergeCell ref="C27:C30"/>
    <mergeCell ref="A27:A30"/>
    <mergeCell ref="B31:B33"/>
    <mergeCell ref="L28:O28"/>
    <mergeCell ref="L29:M29"/>
    <mergeCell ref="N29:O29"/>
    <mergeCell ref="B43:B45"/>
    <mergeCell ref="X29:Y29"/>
    <mergeCell ref="B52:B54"/>
    <mergeCell ref="Z29:AA29"/>
    <mergeCell ref="B46:B48"/>
    <mergeCell ref="A31:A39"/>
    <mergeCell ref="A49:A57"/>
    <mergeCell ref="A58:A66"/>
    <mergeCell ref="A40:A48"/>
    <mergeCell ref="B58:B60"/>
    <mergeCell ref="X28:AA28"/>
    <mergeCell ref="AJ28:AM28"/>
    <mergeCell ref="B61:B63"/>
    <mergeCell ref="AJ29:AK29"/>
    <mergeCell ref="D29:E29"/>
    <mergeCell ref="AL29:AM29"/>
    <mergeCell ref="D28:G28"/>
    <mergeCell ref="B37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3864"/>
    <outlinePr summaryBelow="1" summaryRight="1"/>
    <pageSetUpPr/>
  </sheetPr>
  <dimension ref="A1:BE67"/>
  <sheetViews>
    <sheetView workbookViewId="0">
      <pane xSplit="3" topLeftCell="D1" activePane="topRight" state="frozen"/>
      <selection pane="topRight" activeCell="B24" sqref="B24"/>
    </sheetView>
  </sheetViews>
  <sheetFormatPr baseColWidth="10" defaultColWidth="9.140625" defaultRowHeight="15"/>
  <cols>
    <col width="24" customWidth="1" style="62" min="1" max="1"/>
    <col width="20" customWidth="1" style="62" min="2" max="2"/>
    <col width="26" customWidth="1" style="62" min="3" max="3"/>
    <col width="13" customWidth="1" style="62" min="4" max="57"/>
  </cols>
  <sheetData>
    <row r="1" ht="33.95" customHeight="1" s="62">
      <c r="A1" s="72" t="inlineStr">
        <is>
          <t>GRILLE TARIFAIRE — Mise en place SMQ / Qualité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Point de départ du calcul pour chaque niveau de SMQ</t>
        </is>
      </c>
    </row>
    <row r="4" ht="21.95" customHeight="1" s="62">
      <c r="A4" s="1" t="inlineStr">
        <is>
          <t>Tarif de base — Organisation interne</t>
        </is>
      </c>
      <c r="B4" s="2" t="n">
        <v>8500</v>
      </c>
      <c r="C4" s="3" t="inlineStr">
        <is>
          <t>Fourchette indicative : 5 000 – 10 000 €</t>
        </is>
      </c>
    </row>
    <row r="5" ht="21.95" customHeight="1" s="62">
      <c r="A5" s="1" t="inlineStr">
        <is>
          <t>Tarif de base — Préparation certification</t>
        </is>
      </c>
      <c r="B5" s="2" t="n">
        <v>18500</v>
      </c>
      <c r="C5" s="3" t="inlineStr">
        <is>
          <t>Fourchette indicative : 10 000 – 25 000 €</t>
        </is>
      </c>
    </row>
    <row r="6" ht="21.95" customHeight="1" s="62">
      <c r="A6" s="1" t="inlineStr">
        <is>
          <t>Tarif de base — Certification complète (ISO…)</t>
        </is>
      </c>
      <c r="B6" s="2" t="n">
        <v>32000</v>
      </c>
      <c r="C6" s="3" t="inlineStr">
        <is>
          <t>Fourchette indicative : 25 000 € +</t>
        </is>
      </c>
    </row>
    <row r="7" ht="21.95" customHeight="1" s="62">
      <c r="A7" s="61" t="inlineStr">
        <is>
          <t>COEFFICIENTS MULTIPLICATEURS  —  1,00 = neutre. Ex : 1,20 = +20 %</t>
        </is>
      </c>
    </row>
    <row r="8" ht="20.1" customHeight="1" s="62">
      <c r="A8" s="13" t="inlineStr">
        <is>
          <t>Coeff. taille — Micro (1-5 sal.)</t>
        </is>
      </c>
      <c r="B8" s="5" t="n">
        <v>0.7</v>
      </c>
      <c r="C8" s="6" t="inlineStr">
        <is>
          <t>Entreprise très petite</t>
        </is>
      </c>
    </row>
    <row r="9" ht="20.1" customHeight="1" s="62">
      <c r="A9" s="13" t="inlineStr">
        <is>
          <t>Coeff. taille — TPE (6-19 sal.)</t>
        </is>
      </c>
      <c r="B9" s="5" t="n">
        <v>1</v>
      </c>
      <c r="C9" s="6" t="inlineStr">
        <is>
          <t>Référence</t>
        </is>
      </c>
    </row>
    <row r="10" ht="20.1" customHeight="1" s="62">
      <c r="A10" s="13" t="inlineStr">
        <is>
          <t>Coeff. taille — PME (20-99 sal.)</t>
        </is>
      </c>
      <c r="B10" s="5" t="n">
        <v>1.4</v>
      </c>
      <c r="C10" s="6" t="inlineStr">
        <is>
          <t>Complexité accrue</t>
        </is>
      </c>
    </row>
    <row r="11" ht="20.1" customHeight="1" s="62">
      <c r="A11" s="13" t="inlineStr">
        <is>
          <t>Coeff. taille — ETI / Grand compte (100+)</t>
        </is>
      </c>
      <c r="B11" s="5" t="n">
        <v>2.2</v>
      </c>
      <c r="C11" s="6" t="inlineStr">
        <is>
          <t>Structure complexe</t>
        </is>
      </c>
    </row>
    <row r="12" ht="20.1" customHeight="1" s="62">
      <c r="A12" s="13" t="inlineStr">
        <is>
          <t>Coeff. processus — 1-5 processus</t>
        </is>
      </c>
      <c r="B12" s="5" t="n">
        <v>0.8</v>
      </c>
      <c r="C12" s="6" t="inlineStr">
        <is>
          <t>Périmètre réduit</t>
        </is>
      </c>
    </row>
    <row r="13" ht="20.1" customHeight="1" s="62">
      <c r="A13" s="13" t="inlineStr">
        <is>
          <t>Coeff. processus — 6-15 processus</t>
        </is>
      </c>
      <c r="B13" s="5" t="n">
        <v>1</v>
      </c>
      <c r="C13" s="6" t="inlineStr">
        <is>
          <t>Référence</t>
        </is>
      </c>
    </row>
    <row r="14" ht="20.1" customHeight="1" s="62">
      <c r="A14" s="13" t="inlineStr">
        <is>
          <t>Coeff. processus — 16 processus et +</t>
        </is>
      </c>
      <c r="B14" s="5" t="n">
        <v>1.6</v>
      </c>
      <c r="C14" s="6" t="inlineStr">
        <is>
          <t>Charge de travail élevée</t>
        </is>
      </c>
    </row>
    <row r="15" ht="20.1" customHeight="1" s="62">
      <c r="A15" s="13" t="inlineStr">
        <is>
          <t>Coeff. maturité — Faible</t>
        </is>
      </c>
      <c r="B15" s="5" t="n">
        <v>1.35</v>
      </c>
      <c r="C15" s="6" t="inlineStr">
        <is>
          <t>Travail de fond important</t>
        </is>
      </c>
    </row>
    <row r="16" ht="20.1" customHeight="1" s="62">
      <c r="A16" s="13" t="inlineStr">
        <is>
          <t>Coeff. maturité — Intermédiaire</t>
        </is>
      </c>
      <c r="B16" s="5" t="n">
        <v>1</v>
      </c>
      <c r="C16" s="6" t="inlineStr">
        <is>
          <t>Référence</t>
        </is>
      </c>
    </row>
    <row r="17" ht="20.1" customHeight="1" s="62">
      <c r="A17" s="13" t="inlineStr">
        <is>
          <t>Coeff. maturité — Avancée</t>
        </is>
      </c>
      <c r="B17" s="5" t="n">
        <v>0.8</v>
      </c>
      <c r="C17" s="6" t="inlineStr">
        <is>
          <t>Base existante → gain de temps</t>
        </is>
      </c>
    </row>
    <row r="18" ht="20.1" customHeight="1" s="62">
      <c r="A18" s="13" t="inlineStr">
        <is>
          <t>Coeff. secteur — Standard</t>
        </is>
      </c>
      <c r="B18" s="5" t="n">
        <v>1</v>
      </c>
      <c r="C18" s="6" t="inlineStr">
        <is>
          <t>Référence</t>
        </is>
      </c>
    </row>
    <row r="19" ht="20.1" customHeight="1" s="62">
      <c r="A19" s="13" t="inlineStr">
        <is>
          <t>Coeff. secteur — Industrie / Tech</t>
        </is>
      </c>
      <c r="B19" s="5" t="n">
        <v>1.2</v>
      </c>
      <c r="C19" s="6" t="inlineStr">
        <is>
          <t>Contraintes techniques</t>
        </is>
      </c>
    </row>
    <row r="20" ht="20.1" customHeight="1" s="62">
      <c r="A20" s="13" t="inlineStr">
        <is>
          <t>Coeff. secteur — Santé (exigences fortes)</t>
        </is>
      </c>
      <c r="B20" s="5" t="n">
        <v>1.5</v>
      </c>
      <c r="C20" s="6" t="inlineStr">
        <is>
          <t>ISO 13485 / exigences maximales</t>
        </is>
      </c>
    </row>
    <row r="21" ht="20.1" customHeight="1" s="62">
      <c r="A21" s="13" t="inlineStr">
        <is>
          <t>Coeff. mode — Distanciel</t>
        </is>
      </c>
      <c r="B21" s="5" t="n">
        <v>1</v>
      </c>
      <c r="C21" s="6" t="inlineStr">
        <is>
          <t>Référence</t>
        </is>
      </c>
    </row>
    <row r="22" ht="20.1" customHeight="1" s="62">
      <c r="A22" s="13" t="inlineStr">
        <is>
          <t>Coeff. mode — Présentiel</t>
        </is>
      </c>
      <c r="B22" s="5" t="n">
        <v>1.25</v>
      </c>
      <c r="C22" s="6" t="inlineStr">
        <is>
          <t>Déplacement + ateliers sur site</t>
        </is>
      </c>
    </row>
    <row r="23" ht="20.1" customHeight="1" s="62">
      <c r="A23" s="13" t="inlineStr">
        <is>
          <t>Coeff. durée — &lt; 3 mois</t>
        </is>
      </c>
      <c r="B23" s="5" t="n">
        <v>1.3</v>
      </c>
      <c r="C23" s="6" t="inlineStr">
        <is>
          <t>Urgence / intensité accrue</t>
        </is>
      </c>
    </row>
    <row r="24" ht="20.1" customHeight="1" s="62">
      <c r="A24" s="13" t="inlineStr">
        <is>
          <t>Coeff. durée — 3-6 mois</t>
        </is>
      </c>
      <c r="B24" s="5" t="n">
        <v>1</v>
      </c>
      <c r="C24" s="6" t="inlineStr">
        <is>
          <t>Référence</t>
        </is>
      </c>
    </row>
    <row r="25" ht="20.1" customHeight="1" s="62">
      <c r="A25" s="13" t="inlineStr">
        <is>
          <t>Coeff. durée — 6 mois et +</t>
        </is>
      </c>
      <c r="B25" s="5" t="n">
        <v>0.9</v>
      </c>
      <c r="C25" s="6" t="inlineStr">
        <is>
          <t>Étalement → optimisation</t>
        </is>
      </c>
    </row>
    <row r="26" ht="24" customHeight="1" s="62">
      <c r="A26" s="71" t="inlineStr">
        <is>
          <t>▼  GRILLE TARIFAIRE CALCULÉE AUTOMATIQUEMENT  — Les cellules bleues sont en lecture seule (formules).</t>
        </is>
      </c>
    </row>
    <row r="27" ht="6" customHeight="1" s="62"/>
    <row r="28" ht="38.1" customHeight="1" s="62">
      <c r="A28" s="54" t="inlineStr">
        <is>
          <t>Taille de l'entreprise</t>
        </is>
      </c>
      <c r="B28" s="60" t="inlineStr">
        <is>
          <t>Nb de processus</t>
        </is>
      </c>
      <c r="C28" s="63" t="inlineStr">
        <is>
          <t>Maturité initiale</t>
        </is>
      </c>
      <c r="D28" s="54" t="inlineStr">
        <is>
          <t>Organisation interne</t>
        </is>
      </c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 t="n"/>
      <c r="V28" s="54" t="inlineStr">
        <is>
          <t>Préparation certification</t>
        </is>
      </c>
      <c r="W28" s="55" t="n"/>
      <c r="X28" s="55" t="n"/>
      <c r="Y28" s="55" t="n"/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6" t="n"/>
      <c r="AN28" s="54" t="inlineStr">
        <is>
          <t>Certification complète (ISO…)</t>
        </is>
      </c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6" t="n"/>
    </row>
    <row r="29" ht="38.1" customHeight="1" s="62">
      <c r="A29" s="64" t="n"/>
      <c r="B29" s="64" t="n"/>
      <c r="C29" s="64" t="n"/>
      <c r="D29" s="60" t="inlineStr">
        <is>
          <t>Standard</t>
        </is>
      </c>
      <c r="E29" s="55" t="n"/>
      <c r="F29" s="55" t="n"/>
      <c r="G29" s="55" t="n"/>
      <c r="H29" s="55" t="n"/>
      <c r="I29" s="56" t="n"/>
      <c r="J29" s="60" t="inlineStr">
        <is>
          <t>Industrie / Tech</t>
        </is>
      </c>
      <c r="K29" s="55" t="n"/>
      <c r="L29" s="55" t="n"/>
      <c r="M29" s="55" t="n"/>
      <c r="N29" s="55" t="n"/>
      <c r="O29" s="56" t="n"/>
      <c r="P29" s="60" t="inlineStr">
        <is>
          <t>Santé (exigences fortes)</t>
        </is>
      </c>
      <c r="Q29" s="55" t="n"/>
      <c r="R29" s="55" t="n"/>
      <c r="S29" s="55" t="n"/>
      <c r="T29" s="55" t="n"/>
      <c r="U29" s="56" t="n"/>
      <c r="V29" s="60" t="inlineStr">
        <is>
          <t>Standard</t>
        </is>
      </c>
      <c r="W29" s="55" t="n"/>
      <c r="X29" s="55" t="n"/>
      <c r="Y29" s="55" t="n"/>
      <c r="Z29" s="55" t="n"/>
      <c r="AA29" s="56" t="n"/>
      <c r="AB29" s="60" t="inlineStr">
        <is>
          <t>Industrie / Tech</t>
        </is>
      </c>
      <c r="AC29" s="55" t="n"/>
      <c r="AD29" s="55" t="n"/>
      <c r="AE29" s="55" t="n"/>
      <c r="AF29" s="55" t="n"/>
      <c r="AG29" s="56" t="n"/>
      <c r="AH29" s="60" t="inlineStr">
        <is>
          <t>Santé (exigences fortes)</t>
        </is>
      </c>
      <c r="AI29" s="55" t="n"/>
      <c r="AJ29" s="55" t="n"/>
      <c r="AK29" s="55" t="n"/>
      <c r="AL29" s="55" t="n"/>
      <c r="AM29" s="56" t="n"/>
      <c r="AN29" s="60" t="inlineStr">
        <is>
          <t>Standard</t>
        </is>
      </c>
      <c r="AO29" s="55" t="n"/>
      <c r="AP29" s="55" t="n"/>
      <c r="AQ29" s="55" t="n"/>
      <c r="AR29" s="55" t="n"/>
      <c r="AS29" s="56" t="n"/>
      <c r="AT29" s="60" t="inlineStr">
        <is>
          <t>Industrie / Tech</t>
        </is>
      </c>
      <c r="AU29" s="55" t="n"/>
      <c r="AV29" s="55" t="n"/>
      <c r="AW29" s="55" t="n"/>
      <c r="AX29" s="55" t="n"/>
      <c r="AY29" s="56" t="n"/>
      <c r="AZ29" s="60" t="inlineStr">
        <is>
          <t>Santé (exigences fortes)</t>
        </is>
      </c>
      <c r="BA29" s="55" t="n"/>
      <c r="BB29" s="55" t="n"/>
      <c r="BC29" s="55" t="n"/>
      <c r="BD29" s="55" t="n"/>
      <c r="BE29" s="56" t="n"/>
    </row>
    <row r="30" ht="38.1" customHeight="1" s="62">
      <c r="A30" s="64" t="n"/>
      <c r="B30" s="64" t="n"/>
      <c r="C30" s="64" t="n"/>
      <c r="D30" s="63" t="inlineStr">
        <is>
          <t>Distanciel</t>
        </is>
      </c>
      <c r="E30" s="55" t="n"/>
      <c r="F30" s="56" t="n"/>
      <c r="G30" s="63" t="inlineStr">
        <is>
          <t>Présentiel</t>
        </is>
      </c>
      <c r="H30" s="55" t="n"/>
      <c r="I30" s="56" t="n"/>
      <c r="J30" s="63" t="inlineStr">
        <is>
          <t>Distanciel</t>
        </is>
      </c>
      <c r="K30" s="55" t="n"/>
      <c r="L30" s="56" t="n"/>
      <c r="M30" s="63" t="inlineStr">
        <is>
          <t>Présentiel</t>
        </is>
      </c>
      <c r="N30" s="55" t="n"/>
      <c r="O30" s="56" t="n"/>
      <c r="P30" s="63" t="inlineStr">
        <is>
          <t>Distanciel</t>
        </is>
      </c>
      <c r="Q30" s="55" t="n"/>
      <c r="R30" s="56" t="n"/>
      <c r="S30" s="63" t="inlineStr">
        <is>
          <t>Présentiel</t>
        </is>
      </c>
      <c r="T30" s="55" t="n"/>
      <c r="U30" s="56" t="n"/>
      <c r="V30" s="63" t="inlineStr">
        <is>
          <t>Distanciel</t>
        </is>
      </c>
      <c r="W30" s="55" t="n"/>
      <c r="X30" s="56" t="n"/>
      <c r="Y30" s="63" t="inlineStr">
        <is>
          <t>Présentiel</t>
        </is>
      </c>
      <c r="Z30" s="55" t="n"/>
      <c r="AA30" s="56" t="n"/>
      <c r="AB30" s="63" t="inlineStr">
        <is>
          <t>Distanciel</t>
        </is>
      </c>
      <c r="AC30" s="55" t="n"/>
      <c r="AD30" s="56" t="n"/>
      <c r="AE30" s="63" t="inlineStr">
        <is>
          <t>Présentiel</t>
        </is>
      </c>
      <c r="AF30" s="55" t="n"/>
      <c r="AG30" s="56" t="n"/>
      <c r="AH30" s="63" t="inlineStr">
        <is>
          <t>Distanciel</t>
        </is>
      </c>
      <c r="AI30" s="55" t="n"/>
      <c r="AJ30" s="56" t="n"/>
      <c r="AK30" s="63" t="inlineStr">
        <is>
          <t>Présentiel</t>
        </is>
      </c>
      <c r="AL30" s="55" t="n"/>
      <c r="AM30" s="56" t="n"/>
      <c r="AN30" s="63" t="inlineStr">
        <is>
          <t>Distanciel</t>
        </is>
      </c>
      <c r="AO30" s="55" t="n"/>
      <c r="AP30" s="56" t="n"/>
      <c r="AQ30" s="63" t="inlineStr">
        <is>
          <t>Présentiel</t>
        </is>
      </c>
      <c r="AR30" s="55" t="n"/>
      <c r="AS30" s="56" t="n"/>
      <c r="AT30" s="63" t="inlineStr">
        <is>
          <t>Distanciel</t>
        </is>
      </c>
      <c r="AU30" s="55" t="n"/>
      <c r="AV30" s="56" t="n"/>
      <c r="AW30" s="63" t="inlineStr">
        <is>
          <t>Présentiel</t>
        </is>
      </c>
      <c r="AX30" s="55" t="n"/>
      <c r="AY30" s="56" t="n"/>
      <c r="AZ30" s="63" t="inlineStr">
        <is>
          <t>Distanciel</t>
        </is>
      </c>
      <c r="BA30" s="55" t="n"/>
      <c r="BB30" s="56" t="n"/>
      <c r="BC30" s="63" t="inlineStr">
        <is>
          <t>Présentiel</t>
        </is>
      </c>
      <c r="BD30" s="55" t="n"/>
      <c r="BE30" s="56" t="n"/>
    </row>
    <row r="31" ht="38.1" customHeight="1" s="62">
      <c r="A31" s="65" t="n"/>
      <c r="B31" s="65" t="n"/>
      <c r="C31" s="65" t="n"/>
      <c r="D31" s="7" t="inlineStr">
        <is>
          <t>&lt; 3 mois</t>
        </is>
      </c>
      <c r="E31" s="7" t="inlineStr">
        <is>
          <t>3-6 mois</t>
        </is>
      </c>
      <c r="F31" s="7" t="inlineStr">
        <is>
          <t>6 mois et +</t>
        </is>
      </c>
      <c r="G31" s="7" t="inlineStr">
        <is>
          <t>&lt; 3 mois</t>
        </is>
      </c>
      <c r="H31" s="7" t="inlineStr">
        <is>
          <t>3-6 mois</t>
        </is>
      </c>
      <c r="I31" s="7" t="inlineStr">
        <is>
          <t>6 mois et +</t>
        </is>
      </c>
      <c r="J31" s="7" t="inlineStr">
        <is>
          <t>&lt; 3 mois</t>
        </is>
      </c>
      <c r="K31" s="7" t="inlineStr">
        <is>
          <t>3-6 mois</t>
        </is>
      </c>
      <c r="L31" s="7" t="inlineStr">
        <is>
          <t>6 mois et +</t>
        </is>
      </c>
      <c r="M31" s="7" t="inlineStr">
        <is>
          <t>&lt; 3 mois</t>
        </is>
      </c>
      <c r="N31" s="7" t="inlineStr">
        <is>
          <t>3-6 mois</t>
        </is>
      </c>
      <c r="O31" s="7" t="inlineStr">
        <is>
          <t>6 mois et +</t>
        </is>
      </c>
      <c r="P31" s="7" t="inlineStr">
        <is>
          <t>&lt; 3 mois</t>
        </is>
      </c>
      <c r="Q31" s="7" t="inlineStr">
        <is>
          <t>3-6 mois</t>
        </is>
      </c>
      <c r="R31" s="7" t="inlineStr">
        <is>
          <t>6 mois et +</t>
        </is>
      </c>
      <c r="S31" s="7" t="inlineStr">
        <is>
          <t>&lt; 3 mois</t>
        </is>
      </c>
      <c r="T31" s="7" t="inlineStr">
        <is>
          <t>3-6 mois</t>
        </is>
      </c>
      <c r="U31" s="7" t="inlineStr">
        <is>
          <t>6 mois et +</t>
        </is>
      </c>
      <c r="V31" s="7" t="inlineStr">
        <is>
          <t>&lt; 3 mois</t>
        </is>
      </c>
      <c r="W31" s="7" t="inlineStr">
        <is>
          <t>3-6 mois</t>
        </is>
      </c>
      <c r="X31" s="7" t="inlineStr">
        <is>
          <t>6 mois et +</t>
        </is>
      </c>
      <c r="Y31" s="7" t="inlineStr">
        <is>
          <t>&lt; 3 mois</t>
        </is>
      </c>
      <c r="Z31" s="7" t="inlineStr">
        <is>
          <t>3-6 mois</t>
        </is>
      </c>
      <c r="AA31" s="7" t="inlineStr">
        <is>
          <t>6 mois et +</t>
        </is>
      </c>
      <c r="AB31" s="7" t="inlineStr">
        <is>
          <t>&lt; 3 mois</t>
        </is>
      </c>
      <c r="AC31" s="7" t="inlineStr">
        <is>
          <t>3-6 mois</t>
        </is>
      </c>
      <c r="AD31" s="7" t="inlineStr">
        <is>
          <t>6 mois et +</t>
        </is>
      </c>
      <c r="AE31" s="7" t="inlineStr">
        <is>
          <t>&lt; 3 mois</t>
        </is>
      </c>
      <c r="AF31" s="7" t="inlineStr">
        <is>
          <t>3-6 mois</t>
        </is>
      </c>
      <c r="AG31" s="7" t="inlineStr">
        <is>
          <t>6 mois et +</t>
        </is>
      </c>
      <c r="AH31" s="7" t="inlineStr">
        <is>
          <t>&lt; 3 mois</t>
        </is>
      </c>
      <c r="AI31" s="7" t="inlineStr">
        <is>
          <t>3-6 mois</t>
        </is>
      </c>
      <c r="AJ31" s="7" t="inlineStr">
        <is>
          <t>6 mois et +</t>
        </is>
      </c>
      <c r="AK31" s="7" t="inlineStr">
        <is>
          <t>&lt; 3 mois</t>
        </is>
      </c>
      <c r="AL31" s="7" t="inlineStr">
        <is>
          <t>3-6 mois</t>
        </is>
      </c>
      <c r="AM31" s="7" t="inlineStr">
        <is>
          <t>6 mois et +</t>
        </is>
      </c>
      <c r="AN31" s="7" t="inlineStr">
        <is>
          <t>&lt; 3 mois</t>
        </is>
      </c>
      <c r="AO31" s="7" t="inlineStr">
        <is>
          <t>3-6 mois</t>
        </is>
      </c>
      <c r="AP31" s="7" t="inlineStr">
        <is>
          <t>6 mois et +</t>
        </is>
      </c>
      <c r="AQ31" s="7" t="inlineStr">
        <is>
          <t>&lt; 3 mois</t>
        </is>
      </c>
      <c r="AR31" s="7" t="inlineStr">
        <is>
          <t>3-6 mois</t>
        </is>
      </c>
      <c r="AS31" s="7" t="inlineStr">
        <is>
          <t>6 mois et +</t>
        </is>
      </c>
      <c r="AT31" s="7" t="inlineStr">
        <is>
          <t>&lt; 3 mois</t>
        </is>
      </c>
      <c r="AU31" s="7" t="inlineStr">
        <is>
          <t>3-6 mois</t>
        </is>
      </c>
      <c r="AV31" s="7" t="inlineStr">
        <is>
          <t>6 mois et +</t>
        </is>
      </c>
      <c r="AW31" s="7" t="inlineStr">
        <is>
          <t>&lt; 3 mois</t>
        </is>
      </c>
      <c r="AX31" s="7" t="inlineStr">
        <is>
          <t>3-6 mois</t>
        </is>
      </c>
      <c r="AY31" s="7" t="inlineStr">
        <is>
          <t>6 mois et +</t>
        </is>
      </c>
      <c r="AZ31" s="7" t="inlineStr">
        <is>
          <t>&lt; 3 mois</t>
        </is>
      </c>
      <c r="BA31" s="7" t="inlineStr">
        <is>
          <t>3-6 mois</t>
        </is>
      </c>
      <c r="BB31" s="7" t="inlineStr">
        <is>
          <t>6 mois et +</t>
        </is>
      </c>
      <c r="BC31" s="7" t="inlineStr">
        <is>
          <t>&lt; 3 mois</t>
        </is>
      </c>
      <c r="BD31" s="7" t="inlineStr">
        <is>
          <t>3-6 mois</t>
        </is>
      </c>
      <c r="BE31" s="7" t="inlineStr">
        <is>
          <t>6 mois et +</t>
        </is>
      </c>
    </row>
    <row r="32" ht="20.1" customHeight="1" s="62">
      <c r="A32" s="66" t="inlineStr">
        <is>
          <t>Micro (1-5 sal.)</t>
        </is>
      </c>
      <c r="B32" s="57" t="inlineStr">
        <is>
          <t>1-5 processus</t>
        </is>
      </c>
      <c r="C32" s="14" t="inlineStr">
        <is>
          <t>Faible (peu ou pas de formalisation)</t>
        </is>
      </c>
      <c r="D32" s="10">
        <f>ROUND($B$4*$B$8*$B$12*$B$15*$B$18*$B$21*$B$23,0)</f>
        <v/>
      </c>
      <c r="E32" s="10">
        <f>ROUND($B$4*$B$8*$B$12*$B$15*$B$18*$B$21*$B$24,0)</f>
        <v/>
      </c>
      <c r="F32" s="10">
        <f>ROUND($B$4*$B$8*$B$12*$B$15*$B$18*$B$21*$B$25,0)</f>
        <v/>
      </c>
      <c r="G32" s="10">
        <f>ROUND($B$4*$B$8*$B$12*$B$15*$B$18*$B$22*$B$23,0)</f>
        <v/>
      </c>
      <c r="H32" s="10">
        <f>ROUND($B$4*$B$8*$B$12*$B$15*$B$18*$B$22*$B$24,0)</f>
        <v/>
      </c>
      <c r="I32" s="10">
        <f>ROUND($B$4*$B$8*$B$12*$B$15*$B$18*$B$22*$B$25,0)</f>
        <v/>
      </c>
      <c r="J32" s="10">
        <f>ROUND($B$4*$B$8*$B$12*$B$15*$B$19*$B$21*$B$23,0)</f>
        <v/>
      </c>
      <c r="K32" s="10">
        <f>ROUND($B$4*$B$8*$B$12*$B$15*$B$19*$B$21*$B$24,0)</f>
        <v/>
      </c>
      <c r="L32" s="10">
        <f>ROUND($B$4*$B$8*$B$12*$B$15*$B$19*$B$21*$B$25,0)</f>
        <v/>
      </c>
      <c r="M32" s="10">
        <f>ROUND($B$4*$B$8*$B$12*$B$15*$B$19*$B$22*$B$23,0)</f>
        <v/>
      </c>
      <c r="N32" s="10">
        <f>ROUND($B$4*$B$8*$B$12*$B$15*$B$19*$B$22*$B$24,0)</f>
        <v/>
      </c>
      <c r="O32" s="10">
        <f>ROUND($B$4*$B$8*$B$12*$B$15*$B$19*$B$22*$B$25,0)</f>
        <v/>
      </c>
      <c r="P32" s="10">
        <f>ROUND($B$4*$B$8*$B$12*$B$15*$B$20*$B$21*$B$23,0)</f>
        <v/>
      </c>
      <c r="Q32" s="10">
        <f>ROUND($B$4*$B$8*$B$12*$B$15*$B$20*$B$21*$B$24,0)</f>
        <v/>
      </c>
      <c r="R32" s="10">
        <f>ROUND($B$4*$B$8*$B$12*$B$15*$B$20*$B$21*$B$25,0)</f>
        <v/>
      </c>
      <c r="S32" s="10">
        <f>ROUND($B$4*$B$8*$B$12*$B$15*$B$20*$B$22*$B$23,0)</f>
        <v/>
      </c>
      <c r="T32" s="10">
        <f>ROUND($B$4*$B$8*$B$12*$B$15*$B$20*$B$22*$B$24,0)</f>
        <v/>
      </c>
      <c r="U32" s="10">
        <f>ROUND($B$4*$B$8*$B$12*$B$15*$B$20*$B$22*$B$25,0)</f>
        <v/>
      </c>
      <c r="V32" s="10">
        <f>ROUND($B$5*$B$8*$B$12*$B$15*$B$18*$B$21*$B$23,0)</f>
        <v/>
      </c>
      <c r="W32" s="10">
        <f>ROUND($B$5*$B$8*$B$12*$B$15*$B$18*$B$21*$B$24,0)</f>
        <v/>
      </c>
      <c r="X32" s="10">
        <f>ROUND($B$5*$B$8*$B$12*$B$15*$B$18*$B$21*$B$25,0)</f>
        <v/>
      </c>
      <c r="Y32" s="10">
        <f>ROUND($B$5*$B$8*$B$12*$B$15*$B$18*$B$22*$B$23,0)</f>
        <v/>
      </c>
      <c r="Z32" s="10">
        <f>ROUND($B$5*$B$8*$B$12*$B$15*$B$18*$B$22*$B$24,0)</f>
        <v/>
      </c>
      <c r="AA32" s="10">
        <f>ROUND($B$5*$B$8*$B$12*$B$15*$B$18*$B$22*$B$25,0)</f>
        <v/>
      </c>
      <c r="AB32" s="10">
        <f>ROUND($B$5*$B$8*$B$12*$B$15*$B$19*$B$21*$B$23,0)</f>
        <v/>
      </c>
      <c r="AC32" s="10">
        <f>ROUND($B$5*$B$8*$B$12*$B$15*$B$19*$B$21*$B$24,0)</f>
        <v/>
      </c>
      <c r="AD32" s="10">
        <f>ROUND($B$5*$B$8*$B$12*$B$15*$B$19*$B$21*$B$25,0)</f>
        <v/>
      </c>
      <c r="AE32" s="10">
        <f>ROUND($B$5*$B$8*$B$12*$B$15*$B$19*$B$22*$B$23,0)</f>
        <v/>
      </c>
      <c r="AF32" s="10">
        <f>ROUND($B$5*$B$8*$B$12*$B$15*$B$19*$B$22*$B$24,0)</f>
        <v/>
      </c>
      <c r="AG32" s="10">
        <f>ROUND($B$5*$B$8*$B$12*$B$15*$B$19*$B$22*$B$25,0)</f>
        <v/>
      </c>
      <c r="AH32" s="10">
        <f>ROUND($B$5*$B$8*$B$12*$B$15*$B$20*$B$21*$B$23,0)</f>
        <v/>
      </c>
      <c r="AI32" s="10">
        <f>ROUND($B$5*$B$8*$B$12*$B$15*$B$20*$B$21*$B$24,0)</f>
        <v/>
      </c>
      <c r="AJ32" s="10">
        <f>ROUND($B$5*$B$8*$B$12*$B$15*$B$20*$B$21*$B$25,0)</f>
        <v/>
      </c>
      <c r="AK32" s="10">
        <f>ROUND($B$5*$B$8*$B$12*$B$15*$B$20*$B$22*$B$23,0)</f>
        <v/>
      </c>
      <c r="AL32" s="10">
        <f>ROUND($B$5*$B$8*$B$12*$B$15*$B$20*$B$22*$B$24,0)</f>
        <v/>
      </c>
      <c r="AM32" s="10">
        <f>ROUND($B$5*$B$8*$B$12*$B$15*$B$20*$B$22*$B$25,0)</f>
        <v/>
      </c>
      <c r="AN32" s="10">
        <f>ROUND($B$6*$B$8*$B$12*$B$15*$B$18*$B$21*$B$23,0)</f>
        <v/>
      </c>
      <c r="AO32" s="10">
        <f>ROUND($B$6*$B$8*$B$12*$B$15*$B$18*$B$21*$B$24,0)</f>
        <v/>
      </c>
      <c r="AP32" s="10">
        <f>ROUND($B$6*$B$8*$B$12*$B$15*$B$18*$B$21*$B$25,0)</f>
        <v/>
      </c>
      <c r="AQ32" s="10">
        <f>ROUND($B$6*$B$8*$B$12*$B$15*$B$18*$B$22*$B$23,0)</f>
        <v/>
      </c>
      <c r="AR32" s="10">
        <f>ROUND($B$6*$B$8*$B$12*$B$15*$B$18*$B$22*$B$24,0)</f>
        <v/>
      </c>
      <c r="AS32" s="10">
        <f>ROUND($B$6*$B$8*$B$12*$B$15*$B$18*$B$22*$B$25,0)</f>
        <v/>
      </c>
      <c r="AT32" s="10">
        <f>ROUND($B$6*$B$8*$B$12*$B$15*$B$19*$B$21*$B$23,0)</f>
        <v/>
      </c>
      <c r="AU32" s="10">
        <f>ROUND($B$6*$B$8*$B$12*$B$15*$B$19*$B$21*$B$24,0)</f>
        <v/>
      </c>
      <c r="AV32" s="10">
        <f>ROUND($B$6*$B$8*$B$12*$B$15*$B$19*$B$21*$B$25,0)</f>
        <v/>
      </c>
      <c r="AW32" s="10">
        <f>ROUND($B$6*$B$8*$B$12*$B$15*$B$19*$B$22*$B$23,0)</f>
        <v/>
      </c>
      <c r="AX32" s="10">
        <f>ROUND($B$6*$B$8*$B$12*$B$15*$B$19*$B$22*$B$24,0)</f>
        <v/>
      </c>
      <c r="AY32" s="10">
        <f>ROUND($B$6*$B$8*$B$12*$B$15*$B$19*$B$22*$B$25,0)</f>
        <v/>
      </c>
      <c r="AZ32" s="10">
        <f>ROUND($B$6*$B$8*$B$12*$B$15*$B$20*$B$21*$B$23,0)</f>
        <v/>
      </c>
      <c r="BA32" s="10">
        <f>ROUND($B$6*$B$8*$B$12*$B$15*$B$20*$B$21*$B$24,0)</f>
        <v/>
      </c>
      <c r="BB32" s="10">
        <f>ROUND($B$6*$B$8*$B$12*$B$15*$B$20*$B$21*$B$25,0)</f>
        <v/>
      </c>
      <c r="BC32" s="10">
        <f>ROUND($B$6*$B$8*$B$12*$B$15*$B$20*$B$22*$B$23,0)</f>
        <v/>
      </c>
      <c r="BD32" s="10">
        <f>ROUND($B$6*$B$8*$B$12*$B$15*$B$20*$B$22*$B$24,0)</f>
        <v/>
      </c>
      <c r="BE32" s="10">
        <f>ROUND($B$6*$B$8*$B$12*$B$15*$B$20*$B$22*$B$25,0)</f>
        <v/>
      </c>
    </row>
    <row r="33" ht="20.1" customHeight="1" s="62">
      <c r="A33" s="67" t="n"/>
      <c r="B33" s="58" t="n"/>
      <c r="C33" s="57" t="inlineStr">
        <is>
          <t>Intermédiaire</t>
        </is>
      </c>
      <c r="D33" s="10">
        <f>ROUND($B$4*$B$8*$B$12*$B$16*$B$18*$B$21*$B$23,0)</f>
        <v/>
      </c>
      <c r="E33" s="10">
        <f>ROUND($B$4*$B$8*$B$12*$B$16*$B$18*$B$21*$B$24,0)</f>
        <v/>
      </c>
      <c r="F33" s="10">
        <f>ROUND($B$4*$B$8*$B$12*$B$16*$B$18*$B$21*$B$25,0)</f>
        <v/>
      </c>
      <c r="G33" s="10">
        <f>ROUND($B$4*$B$8*$B$12*$B$16*$B$18*$B$22*$B$23,0)</f>
        <v/>
      </c>
      <c r="H33" s="10">
        <f>ROUND($B$4*$B$8*$B$12*$B$16*$B$18*$B$22*$B$24,0)</f>
        <v/>
      </c>
      <c r="I33" s="10">
        <f>ROUND($B$4*$B$8*$B$12*$B$16*$B$18*$B$22*$B$25,0)</f>
        <v/>
      </c>
      <c r="J33" s="10">
        <f>ROUND($B$4*$B$8*$B$12*$B$16*$B$19*$B$21*$B$23,0)</f>
        <v/>
      </c>
      <c r="K33" s="10">
        <f>ROUND($B$4*$B$8*$B$12*$B$16*$B$19*$B$21*$B$24,0)</f>
        <v/>
      </c>
      <c r="L33" s="10">
        <f>ROUND($B$4*$B$8*$B$12*$B$16*$B$19*$B$21*$B$25,0)</f>
        <v/>
      </c>
      <c r="M33" s="10">
        <f>ROUND($B$4*$B$8*$B$12*$B$16*$B$19*$B$22*$B$23,0)</f>
        <v/>
      </c>
      <c r="N33" s="10">
        <f>ROUND($B$4*$B$8*$B$12*$B$16*$B$19*$B$22*$B$24,0)</f>
        <v/>
      </c>
      <c r="O33" s="10">
        <f>ROUND($B$4*$B$8*$B$12*$B$16*$B$19*$B$22*$B$25,0)</f>
        <v/>
      </c>
      <c r="P33" s="10">
        <f>ROUND($B$4*$B$8*$B$12*$B$16*$B$20*$B$21*$B$23,0)</f>
        <v/>
      </c>
      <c r="Q33" s="10">
        <f>ROUND($B$4*$B$8*$B$12*$B$16*$B$20*$B$21*$B$24,0)</f>
        <v/>
      </c>
      <c r="R33" s="10">
        <f>ROUND($B$4*$B$8*$B$12*$B$16*$B$20*$B$21*$B$25,0)</f>
        <v/>
      </c>
      <c r="S33" s="10">
        <f>ROUND($B$4*$B$8*$B$12*$B$16*$B$20*$B$22*$B$23,0)</f>
        <v/>
      </c>
      <c r="T33" s="10">
        <f>ROUND($B$4*$B$8*$B$12*$B$16*$B$20*$B$22*$B$24,0)</f>
        <v/>
      </c>
      <c r="U33" s="10">
        <f>ROUND($B$4*$B$8*$B$12*$B$16*$B$20*$B$22*$B$25,0)</f>
        <v/>
      </c>
      <c r="V33" s="10">
        <f>ROUND($B$5*$B$8*$B$12*$B$16*$B$18*$B$21*$B$23,0)</f>
        <v/>
      </c>
      <c r="W33" s="10">
        <f>ROUND($B$5*$B$8*$B$12*$B$16*$B$18*$B$21*$B$24,0)</f>
        <v/>
      </c>
      <c r="X33" s="10">
        <f>ROUND($B$5*$B$8*$B$12*$B$16*$B$18*$B$21*$B$25,0)</f>
        <v/>
      </c>
      <c r="Y33" s="10">
        <f>ROUND($B$5*$B$8*$B$12*$B$16*$B$18*$B$22*$B$23,0)</f>
        <v/>
      </c>
      <c r="Z33" s="10">
        <f>ROUND($B$5*$B$8*$B$12*$B$16*$B$18*$B$22*$B$24,0)</f>
        <v/>
      </c>
      <c r="AA33" s="10">
        <f>ROUND($B$5*$B$8*$B$12*$B$16*$B$18*$B$22*$B$25,0)</f>
        <v/>
      </c>
      <c r="AB33" s="10">
        <f>ROUND($B$5*$B$8*$B$12*$B$16*$B$19*$B$21*$B$23,0)</f>
        <v/>
      </c>
      <c r="AC33" s="10">
        <f>ROUND($B$5*$B$8*$B$12*$B$16*$B$19*$B$21*$B$24,0)</f>
        <v/>
      </c>
      <c r="AD33" s="10">
        <f>ROUND($B$5*$B$8*$B$12*$B$16*$B$19*$B$21*$B$25,0)</f>
        <v/>
      </c>
      <c r="AE33" s="10">
        <f>ROUND($B$5*$B$8*$B$12*$B$16*$B$19*$B$22*$B$23,0)</f>
        <v/>
      </c>
      <c r="AF33" s="10">
        <f>ROUND($B$5*$B$8*$B$12*$B$16*$B$19*$B$22*$B$24,0)</f>
        <v/>
      </c>
      <c r="AG33" s="10">
        <f>ROUND($B$5*$B$8*$B$12*$B$16*$B$19*$B$22*$B$25,0)</f>
        <v/>
      </c>
      <c r="AH33" s="10">
        <f>ROUND($B$5*$B$8*$B$12*$B$16*$B$20*$B$21*$B$23,0)</f>
        <v/>
      </c>
      <c r="AI33" s="10">
        <f>ROUND($B$5*$B$8*$B$12*$B$16*$B$20*$B$21*$B$24,0)</f>
        <v/>
      </c>
      <c r="AJ33" s="10">
        <f>ROUND($B$5*$B$8*$B$12*$B$16*$B$20*$B$21*$B$25,0)</f>
        <v/>
      </c>
      <c r="AK33" s="10">
        <f>ROUND($B$5*$B$8*$B$12*$B$16*$B$20*$B$22*$B$23,0)</f>
        <v/>
      </c>
      <c r="AL33" s="10">
        <f>ROUND($B$5*$B$8*$B$12*$B$16*$B$20*$B$22*$B$24,0)</f>
        <v/>
      </c>
      <c r="AM33" s="10">
        <f>ROUND($B$5*$B$8*$B$12*$B$16*$B$20*$B$22*$B$25,0)</f>
        <v/>
      </c>
      <c r="AN33" s="10">
        <f>ROUND($B$6*$B$8*$B$12*$B$16*$B$18*$B$21*$B$23,0)</f>
        <v/>
      </c>
      <c r="AO33" s="10">
        <f>ROUND($B$6*$B$8*$B$12*$B$16*$B$18*$B$21*$B$24,0)</f>
        <v/>
      </c>
      <c r="AP33" s="10">
        <f>ROUND($B$6*$B$8*$B$12*$B$16*$B$18*$B$21*$B$25,0)</f>
        <v/>
      </c>
      <c r="AQ33" s="10">
        <f>ROUND($B$6*$B$8*$B$12*$B$16*$B$18*$B$22*$B$23,0)</f>
        <v/>
      </c>
      <c r="AR33" s="10">
        <f>ROUND($B$6*$B$8*$B$12*$B$16*$B$18*$B$22*$B$24,0)</f>
        <v/>
      </c>
      <c r="AS33" s="10">
        <f>ROUND($B$6*$B$8*$B$12*$B$16*$B$18*$B$22*$B$25,0)</f>
        <v/>
      </c>
      <c r="AT33" s="10">
        <f>ROUND($B$6*$B$8*$B$12*$B$16*$B$19*$B$21*$B$23,0)</f>
        <v/>
      </c>
      <c r="AU33" s="10">
        <f>ROUND($B$6*$B$8*$B$12*$B$16*$B$19*$B$21*$B$24,0)</f>
        <v/>
      </c>
      <c r="AV33" s="10">
        <f>ROUND($B$6*$B$8*$B$12*$B$16*$B$19*$B$21*$B$25,0)</f>
        <v/>
      </c>
      <c r="AW33" s="10">
        <f>ROUND($B$6*$B$8*$B$12*$B$16*$B$19*$B$22*$B$23,0)</f>
        <v/>
      </c>
      <c r="AX33" s="10">
        <f>ROUND($B$6*$B$8*$B$12*$B$16*$B$19*$B$22*$B$24,0)</f>
        <v/>
      </c>
      <c r="AY33" s="10">
        <f>ROUND($B$6*$B$8*$B$12*$B$16*$B$19*$B$22*$B$25,0)</f>
        <v/>
      </c>
      <c r="AZ33" s="10">
        <f>ROUND($B$6*$B$8*$B$12*$B$16*$B$20*$B$21*$B$23,0)</f>
        <v/>
      </c>
      <c r="BA33" s="10">
        <f>ROUND($B$6*$B$8*$B$12*$B$16*$B$20*$B$21*$B$24,0)</f>
        <v/>
      </c>
      <c r="BB33" s="10">
        <f>ROUND($B$6*$B$8*$B$12*$B$16*$B$20*$B$21*$B$25,0)</f>
        <v/>
      </c>
      <c r="BC33" s="10">
        <f>ROUND($B$6*$B$8*$B$12*$B$16*$B$20*$B$22*$B$23,0)</f>
        <v/>
      </c>
      <c r="BD33" s="10">
        <f>ROUND($B$6*$B$8*$B$12*$B$16*$B$20*$B$22*$B$24,0)</f>
        <v/>
      </c>
      <c r="BE33" s="10">
        <f>ROUND($B$6*$B$8*$B$12*$B$16*$B$20*$B$22*$B$25,0)</f>
        <v/>
      </c>
    </row>
    <row r="34" ht="20.1" customHeight="1" s="62">
      <c r="A34" s="67" t="n"/>
      <c r="B34" s="59" t="n"/>
      <c r="C34" s="15" t="inlineStr">
        <is>
          <t>Avancée (base existante)</t>
        </is>
      </c>
      <c r="D34" s="10">
        <f>ROUND($B$4*$B$8*$B$12*$B$17*$B$18*$B$21*$B$23,0)</f>
        <v/>
      </c>
      <c r="E34" s="10">
        <f>ROUND($B$4*$B$8*$B$12*$B$17*$B$18*$B$21*$B$24,0)</f>
        <v/>
      </c>
      <c r="F34" s="10">
        <f>ROUND($B$4*$B$8*$B$12*$B$17*$B$18*$B$21*$B$25,0)</f>
        <v/>
      </c>
      <c r="G34" s="10">
        <f>ROUND($B$4*$B$8*$B$12*$B$17*$B$18*$B$22*$B$23,0)</f>
        <v/>
      </c>
      <c r="H34" s="10">
        <f>ROUND($B$4*$B$8*$B$12*$B$17*$B$18*$B$22*$B$24,0)</f>
        <v/>
      </c>
      <c r="I34" s="10">
        <f>ROUND($B$4*$B$8*$B$12*$B$17*$B$18*$B$22*$B$25,0)</f>
        <v/>
      </c>
      <c r="J34" s="10">
        <f>ROUND($B$4*$B$8*$B$12*$B$17*$B$19*$B$21*$B$23,0)</f>
        <v/>
      </c>
      <c r="K34" s="10">
        <f>ROUND($B$4*$B$8*$B$12*$B$17*$B$19*$B$21*$B$24,0)</f>
        <v/>
      </c>
      <c r="L34" s="10">
        <f>ROUND($B$4*$B$8*$B$12*$B$17*$B$19*$B$21*$B$25,0)</f>
        <v/>
      </c>
      <c r="M34" s="10">
        <f>ROUND($B$4*$B$8*$B$12*$B$17*$B$19*$B$22*$B$23,0)</f>
        <v/>
      </c>
      <c r="N34" s="10">
        <f>ROUND($B$4*$B$8*$B$12*$B$17*$B$19*$B$22*$B$24,0)</f>
        <v/>
      </c>
      <c r="O34" s="10">
        <f>ROUND($B$4*$B$8*$B$12*$B$17*$B$19*$B$22*$B$25,0)</f>
        <v/>
      </c>
      <c r="P34" s="10">
        <f>ROUND($B$4*$B$8*$B$12*$B$17*$B$20*$B$21*$B$23,0)</f>
        <v/>
      </c>
      <c r="Q34" s="10">
        <f>ROUND($B$4*$B$8*$B$12*$B$17*$B$20*$B$21*$B$24,0)</f>
        <v/>
      </c>
      <c r="R34" s="10">
        <f>ROUND($B$4*$B$8*$B$12*$B$17*$B$20*$B$21*$B$25,0)</f>
        <v/>
      </c>
      <c r="S34" s="10">
        <f>ROUND($B$4*$B$8*$B$12*$B$17*$B$20*$B$22*$B$23,0)</f>
        <v/>
      </c>
      <c r="T34" s="10">
        <f>ROUND($B$4*$B$8*$B$12*$B$17*$B$20*$B$22*$B$24,0)</f>
        <v/>
      </c>
      <c r="U34" s="10">
        <f>ROUND($B$4*$B$8*$B$12*$B$17*$B$20*$B$22*$B$25,0)</f>
        <v/>
      </c>
      <c r="V34" s="10">
        <f>ROUND($B$5*$B$8*$B$12*$B$17*$B$18*$B$21*$B$23,0)</f>
        <v/>
      </c>
      <c r="W34" s="10">
        <f>ROUND($B$5*$B$8*$B$12*$B$17*$B$18*$B$21*$B$24,0)</f>
        <v/>
      </c>
      <c r="X34" s="10">
        <f>ROUND($B$5*$B$8*$B$12*$B$17*$B$18*$B$21*$B$25,0)</f>
        <v/>
      </c>
      <c r="Y34" s="10">
        <f>ROUND($B$5*$B$8*$B$12*$B$17*$B$18*$B$22*$B$23,0)</f>
        <v/>
      </c>
      <c r="Z34" s="10">
        <f>ROUND($B$5*$B$8*$B$12*$B$17*$B$18*$B$22*$B$24,0)</f>
        <v/>
      </c>
      <c r="AA34" s="10">
        <f>ROUND($B$5*$B$8*$B$12*$B$17*$B$18*$B$22*$B$25,0)</f>
        <v/>
      </c>
      <c r="AB34" s="10">
        <f>ROUND($B$5*$B$8*$B$12*$B$17*$B$19*$B$21*$B$23,0)</f>
        <v/>
      </c>
      <c r="AC34" s="10">
        <f>ROUND($B$5*$B$8*$B$12*$B$17*$B$19*$B$21*$B$24,0)</f>
        <v/>
      </c>
      <c r="AD34" s="10">
        <f>ROUND($B$5*$B$8*$B$12*$B$17*$B$19*$B$21*$B$25,0)</f>
        <v/>
      </c>
      <c r="AE34" s="10">
        <f>ROUND($B$5*$B$8*$B$12*$B$17*$B$19*$B$22*$B$23,0)</f>
        <v/>
      </c>
      <c r="AF34" s="10">
        <f>ROUND($B$5*$B$8*$B$12*$B$17*$B$19*$B$22*$B$24,0)</f>
        <v/>
      </c>
      <c r="AG34" s="10">
        <f>ROUND($B$5*$B$8*$B$12*$B$17*$B$19*$B$22*$B$25,0)</f>
        <v/>
      </c>
      <c r="AH34" s="10">
        <f>ROUND($B$5*$B$8*$B$12*$B$17*$B$20*$B$21*$B$23,0)</f>
        <v/>
      </c>
      <c r="AI34" s="10">
        <f>ROUND($B$5*$B$8*$B$12*$B$17*$B$20*$B$21*$B$24,0)</f>
        <v/>
      </c>
      <c r="AJ34" s="10">
        <f>ROUND($B$5*$B$8*$B$12*$B$17*$B$20*$B$21*$B$25,0)</f>
        <v/>
      </c>
      <c r="AK34" s="10">
        <f>ROUND($B$5*$B$8*$B$12*$B$17*$B$20*$B$22*$B$23,0)</f>
        <v/>
      </c>
      <c r="AL34" s="10">
        <f>ROUND($B$5*$B$8*$B$12*$B$17*$B$20*$B$22*$B$24,0)</f>
        <v/>
      </c>
      <c r="AM34" s="10">
        <f>ROUND($B$5*$B$8*$B$12*$B$17*$B$20*$B$22*$B$25,0)</f>
        <v/>
      </c>
      <c r="AN34" s="10">
        <f>ROUND($B$6*$B$8*$B$12*$B$17*$B$18*$B$21*$B$23,0)</f>
        <v/>
      </c>
      <c r="AO34" s="10">
        <f>ROUND($B$6*$B$8*$B$12*$B$17*$B$18*$B$21*$B$24,0)</f>
        <v/>
      </c>
      <c r="AP34" s="10">
        <f>ROUND($B$6*$B$8*$B$12*$B$17*$B$18*$B$21*$B$25,0)</f>
        <v/>
      </c>
      <c r="AQ34" s="10">
        <f>ROUND($B$6*$B$8*$B$12*$B$17*$B$18*$B$22*$B$23,0)</f>
        <v/>
      </c>
      <c r="AR34" s="10">
        <f>ROUND($B$6*$B$8*$B$12*$B$17*$B$18*$B$22*$B$24,0)</f>
        <v/>
      </c>
      <c r="AS34" s="10">
        <f>ROUND($B$6*$B$8*$B$12*$B$17*$B$18*$B$22*$B$25,0)</f>
        <v/>
      </c>
      <c r="AT34" s="10">
        <f>ROUND($B$6*$B$8*$B$12*$B$17*$B$19*$B$21*$B$23,0)</f>
        <v/>
      </c>
      <c r="AU34" s="10">
        <f>ROUND($B$6*$B$8*$B$12*$B$17*$B$19*$B$21*$B$24,0)</f>
        <v/>
      </c>
      <c r="AV34" s="10">
        <f>ROUND($B$6*$B$8*$B$12*$B$17*$B$19*$B$21*$B$25,0)</f>
        <v/>
      </c>
      <c r="AW34" s="10">
        <f>ROUND($B$6*$B$8*$B$12*$B$17*$B$19*$B$22*$B$23,0)</f>
        <v/>
      </c>
      <c r="AX34" s="10">
        <f>ROUND($B$6*$B$8*$B$12*$B$17*$B$19*$B$22*$B$24,0)</f>
        <v/>
      </c>
      <c r="AY34" s="10">
        <f>ROUND($B$6*$B$8*$B$12*$B$17*$B$19*$B$22*$B$25,0)</f>
        <v/>
      </c>
      <c r="AZ34" s="10">
        <f>ROUND($B$6*$B$8*$B$12*$B$17*$B$20*$B$21*$B$23,0)</f>
        <v/>
      </c>
      <c r="BA34" s="10">
        <f>ROUND($B$6*$B$8*$B$12*$B$17*$B$20*$B$21*$B$24,0)</f>
        <v/>
      </c>
      <c r="BB34" s="10">
        <f>ROUND($B$6*$B$8*$B$12*$B$17*$B$20*$B$21*$B$25,0)</f>
        <v/>
      </c>
      <c r="BC34" s="10">
        <f>ROUND($B$6*$B$8*$B$12*$B$17*$B$20*$B$22*$B$23,0)</f>
        <v/>
      </c>
      <c r="BD34" s="10">
        <f>ROUND($B$6*$B$8*$B$12*$B$17*$B$20*$B$22*$B$24,0)</f>
        <v/>
      </c>
      <c r="BE34" s="10">
        <f>ROUND($B$6*$B$8*$B$12*$B$17*$B$20*$B$22*$B$25,0)</f>
        <v/>
      </c>
    </row>
    <row r="35" ht="20.1" customHeight="1" s="62">
      <c r="A35" s="67" t="n"/>
      <c r="B35" s="57" t="inlineStr">
        <is>
          <t>6-15 processus</t>
        </is>
      </c>
      <c r="C35" s="14" t="inlineStr">
        <is>
          <t>Faible (peu ou pas de formalisation)</t>
        </is>
      </c>
      <c r="D35" s="10">
        <f>ROUND($B$4*$B$8*$B$13*$B$15*$B$18*$B$21*$B$23,0)</f>
        <v/>
      </c>
      <c r="E35" s="10">
        <f>ROUND($B$4*$B$8*$B$13*$B$15*$B$18*$B$21*$B$24,0)</f>
        <v/>
      </c>
      <c r="F35" s="10">
        <f>ROUND($B$4*$B$8*$B$13*$B$15*$B$18*$B$21*$B$25,0)</f>
        <v/>
      </c>
      <c r="G35" s="10">
        <f>ROUND($B$4*$B$8*$B$13*$B$15*$B$18*$B$22*$B$23,0)</f>
        <v/>
      </c>
      <c r="H35" s="10">
        <f>ROUND($B$4*$B$8*$B$13*$B$15*$B$18*$B$22*$B$24,0)</f>
        <v/>
      </c>
      <c r="I35" s="10">
        <f>ROUND($B$4*$B$8*$B$13*$B$15*$B$18*$B$22*$B$25,0)</f>
        <v/>
      </c>
      <c r="J35" s="10">
        <f>ROUND($B$4*$B$8*$B$13*$B$15*$B$19*$B$21*$B$23,0)</f>
        <v/>
      </c>
      <c r="K35" s="10">
        <f>ROUND($B$4*$B$8*$B$13*$B$15*$B$19*$B$21*$B$24,0)</f>
        <v/>
      </c>
      <c r="L35" s="10">
        <f>ROUND($B$4*$B$8*$B$13*$B$15*$B$19*$B$21*$B$25,0)</f>
        <v/>
      </c>
      <c r="M35" s="10">
        <f>ROUND($B$4*$B$8*$B$13*$B$15*$B$19*$B$22*$B$23,0)</f>
        <v/>
      </c>
      <c r="N35" s="10">
        <f>ROUND($B$4*$B$8*$B$13*$B$15*$B$19*$B$22*$B$24,0)</f>
        <v/>
      </c>
      <c r="O35" s="10">
        <f>ROUND($B$4*$B$8*$B$13*$B$15*$B$19*$B$22*$B$25,0)</f>
        <v/>
      </c>
      <c r="P35" s="10">
        <f>ROUND($B$4*$B$8*$B$13*$B$15*$B$20*$B$21*$B$23,0)</f>
        <v/>
      </c>
      <c r="Q35" s="10">
        <f>ROUND($B$4*$B$8*$B$13*$B$15*$B$20*$B$21*$B$24,0)</f>
        <v/>
      </c>
      <c r="R35" s="10">
        <f>ROUND($B$4*$B$8*$B$13*$B$15*$B$20*$B$21*$B$25,0)</f>
        <v/>
      </c>
      <c r="S35" s="10">
        <f>ROUND($B$4*$B$8*$B$13*$B$15*$B$20*$B$22*$B$23,0)</f>
        <v/>
      </c>
      <c r="T35" s="10">
        <f>ROUND($B$4*$B$8*$B$13*$B$15*$B$20*$B$22*$B$24,0)</f>
        <v/>
      </c>
      <c r="U35" s="10">
        <f>ROUND($B$4*$B$8*$B$13*$B$15*$B$20*$B$22*$B$25,0)</f>
        <v/>
      </c>
      <c r="V35" s="10">
        <f>ROUND($B$5*$B$8*$B$13*$B$15*$B$18*$B$21*$B$23,0)</f>
        <v/>
      </c>
      <c r="W35" s="10">
        <f>ROUND($B$5*$B$8*$B$13*$B$15*$B$18*$B$21*$B$24,0)</f>
        <v/>
      </c>
      <c r="X35" s="10">
        <f>ROUND($B$5*$B$8*$B$13*$B$15*$B$18*$B$21*$B$25,0)</f>
        <v/>
      </c>
      <c r="Y35" s="10">
        <f>ROUND($B$5*$B$8*$B$13*$B$15*$B$18*$B$22*$B$23,0)</f>
        <v/>
      </c>
      <c r="Z35" s="10">
        <f>ROUND($B$5*$B$8*$B$13*$B$15*$B$18*$B$22*$B$24,0)</f>
        <v/>
      </c>
      <c r="AA35" s="10">
        <f>ROUND($B$5*$B$8*$B$13*$B$15*$B$18*$B$22*$B$25,0)</f>
        <v/>
      </c>
      <c r="AB35" s="10">
        <f>ROUND($B$5*$B$8*$B$13*$B$15*$B$19*$B$21*$B$23,0)</f>
        <v/>
      </c>
      <c r="AC35" s="10">
        <f>ROUND($B$5*$B$8*$B$13*$B$15*$B$19*$B$21*$B$24,0)</f>
        <v/>
      </c>
      <c r="AD35" s="10">
        <f>ROUND($B$5*$B$8*$B$13*$B$15*$B$19*$B$21*$B$25,0)</f>
        <v/>
      </c>
      <c r="AE35" s="10">
        <f>ROUND($B$5*$B$8*$B$13*$B$15*$B$19*$B$22*$B$23,0)</f>
        <v/>
      </c>
      <c r="AF35" s="10">
        <f>ROUND($B$5*$B$8*$B$13*$B$15*$B$19*$B$22*$B$24,0)</f>
        <v/>
      </c>
      <c r="AG35" s="10">
        <f>ROUND($B$5*$B$8*$B$13*$B$15*$B$19*$B$22*$B$25,0)</f>
        <v/>
      </c>
      <c r="AH35" s="10">
        <f>ROUND($B$5*$B$8*$B$13*$B$15*$B$20*$B$21*$B$23,0)</f>
        <v/>
      </c>
      <c r="AI35" s="10">
        <f>ROUND($B$5*$B$8*$B$13*$B$15*$B$20*$B$21*$B$24,0)</f>
        <v/>
      </c>
      <c r="AJ35" s="10">
        <f>ROUND($B$5*$B$8*$B$13*$B$15*$B$20*$B$21*$B$25,0)</f>
        <v/>
      </c>
      <c r="AK35" s="10">
        <f>ROUND($B$5*$B$8*$B$13*$B$15*$B$20*$B$22*$B$23,0)</f>
        <v/>
      </c>
      <c r="AL35" s="10">
        <f>ROUND($B$5*$B$8*$B$13*$B$15*$B$20*$B$22*$B$24,0)</f>
        <v/>
      </c>
      <c r="AM35" s="10">
        <f>ROUND($B$5*$B$8*$B$13*$B$15*$B$20*$B$22*$B$25,0)</f>
        <v/>
      </c>
      <c r="AN35" s="10">
        <f>ROUND($B$6*$B$8*$B$13*$B$15*$B$18*$B$21*$B$23,0)</f>
        <v/>
      </c>
      <c r="AO35" s="10">
        <f>ROUND($B$6*$B$8*$B$13*$B$15*$B$18*$B$21*$B$24,0)</f>
        <v/>
      </c>
      <c r="AP35" s="10">
        <f>ROUND($B$6*$B$8*$B$13*$B$15*$B$18*$B$21*$B$25,0)</f>
        <v/>
      </c>
      <c r="AQ35" s="10">
        <f>ROUND($B$6*$B$8*$B$13*$B$15*$B$18*$B$22*$B$23,0)</f>
        <v/>
      </c>
      <c r="AR35" s="10">
        <f>ROUND($B$6*$B$8*$B$13*$B$15*$B$18*$B$22*$B$24,0)</f>
        <v/>
      </c>
      <c r="AS35" s="10">
        <f>ROUND($B$6*$B$8*$B$13*$B$15*$B$18*$B$22*$B$25,0)</f>
        <v/>
      </c>
      <c r="AT35" s="10">
        <f>ROUND($B$6*$B$8*$B$13*$B$15*$B$19*$B$21*$B$23,0)</f>
        <v/>
      </c>
      <c r="AU35" s="10">
        <f>ROUND($B$6*$B$8*$B$13*$B$15*$B$19*$B$21*$B$24,0)</f>
        <v/>
      </c>
      <c r="AV35" s="10">
        <f>ROUND($B$6*$B$8*$B$13*$B$15*$B$19*$B$21*$B$25,0)</f>
        <v/>
      </c>
      <c r="AW35" s="10">
        <f>ROUND($B$6*$B$8*$B$13*$B$15*$B$19*$B$22*$B$23,0)</f>
        <v/>
      </c>
      <c r="AX35" s="10">
        <f>ROUND($B$6*$B$8*$B$13*$B$15*$B$19*$B$22*$B$24,0)</f>
        <v/>
      </c>
      <c r="AY35" s="10">
        <f>ROUND($B$6*$B$8*$B$13*$B$15*$B$19*$B$22*$B$25,0)</f>
        <v/>
      </c>
      <c r="AZ35" s="10">
        <f>ROUND($B$6*$B$8*$B$13*$B$15*$B$20*$B$21*$B$23,0)</f>
        <v/>
      </c>
      <c r="BA35" s="10">
        <f>ROUND($B$6*$B$8*$B$13*$B$15*$B$20*$B$21*$B$24,0)</f>
        <v/>
      </c>
      <c r="BB35" s="10">
        <f>ROUND($B$6*$B$8*$B$13*$B$15*$B$20*$B$21*$B$25,0)</f>
        <v/>
      </c>
      <c r="BC35" s="10">
        <f>ROUND($B$6*$B$8*$B$13*$B$15*$B$20*$B$22*$B$23,0)</f>
        <v/>
      </c>
      <c r="BD35" s="10">
        <f>ROUND($B$6*$B$8*$B$13*$B$15*$B$20*$B$22*$B$24,0)</f>
        <v/>
      </c>
      <c r="BE35" s="10">
        <f>ROUND($B$6*$B$8*$B$13*$B$15*$B$20*$B$22*$B$25,0)</f>
        <v/>
      </c>
    </row>
    <row r="36" ht="20.1" customHeight="1" s="62">
      <c r="A36" s="67" t="n"/>
      <c r="B36" s="58" t="n"/>
      <c r="C36" s="57" t="inlineStr">
        <is>
          <t>Intermédiaire</t>
        </is>
      </c>
      <c r="D36" s="10">
        <f>ROUND($B$4*$B$8*$B$13*$B$16*$B$18*$B$21*$B$23,0)</f>
        <v/>
      </c>
      <c r="E36" s="10">
        <f>ROUND($B$4*$B$8*$B$13*$B$16*$B$18*$B$21*$B$24,0)</f>
        <v/>
      </c>
      <c r="F36" s="10">
        <f>ROUND($B$4*$B$8*$B$13*$B$16*$B$18*$B$21*$B$25,0)</f>
        <v/>
      </c>
      <c r="G36" s="10">
        <f>ROUND($B$4*$B$8*$B$13*$B$16*$B$18*$B$22*$B$23,0)</f>
        <v/>
      </c>
      <c r="H36" s="10">
        <f>ROUND($B$4*$B$8*$B$13*$B$16*$B$18*$B$22*$B$24,0)</f>
        <v/>
      </c>
      <c r="I36" s="10">
        <f>ROUND($B$4*$B$8*$B$13*$B$16*$B$18*$B$22*$B$25,0)</f>
        <v/>
      </c>
      <c r="J36" s="10">
        <f>ROUND($B$4*$B$8*$B$13*$B$16*$B$19*$B$21*$B$23,0)</f>
        <v/>
      </c>
      <c r="K36" s="10">
        <f>ROUND($B$4*$B$8*$B$13*$B$16*$B$19*$B$21*$B$24,0)</f>
        <v/>
      </c>
      <c r="L36" s="10">
        <f>ROUND($B$4*$B$8*$B$13*$B$16*$B$19*$B$21*$B$25,0)</f>
        <v/>
      </c>
      <c r="M36" s="10">
        <f>ROUND($B$4*$B$8*$B$13*$B$16*$B$19*$B$22*$B$23,0)</f>
        <v/>
      </c>
      <c r="N36" s="10">
        <f>ROUND($B$4*$B$8*$B$13*$B$16*$B$19*$B$22*$B$24,0)</f>
        <v/>
      </c>
      <c r="O36" s="10">
        <f>ROUND($B$4*$B$8*$B$13*$B$16*$B$19*$B$22*$B$25,0)</f>
        <v/>
      </c>
      <c r="P36" s="10">
        <f>ROUND($B$4*$B$8*$B$13*$B$16*$B$20*$B$21*$B$23,0)</f>
        <v/>
      </c>
      <c r="Q36" s="10">
        <f>ROUND($B$4*$B$8*$B$13*$B$16*$B$20*$B$21*$B$24,0)</f>
        <v/>
      </c>
      <c r="R36" s="10">
        <f>ROUND($B$4*$B$8*$B$13*$B$16*$B$20*$B$21*$B$25,0)</f>
        <v/>
      </c>
      <c r="S36" s="10">
        <f>ROUND($B$4*$B$8*$B$13*$B$16*$B$20*$B$22*$B$23,0)</f>
        <v/>
      </c>
      <c r="T36" s="10">
        <f>ROUND($B$4*$B$8*$B$13*$B$16*$B$20*$B$22*$B$24,0)</f>
        <v/>
      </c>
      <c r="U36" s="10">
        <f>ROUND($B$4*$B$8*$B$13*$B$16*$B$20*$B$22*$B$25,0)</f>
        <v/>
      </c>
      <c r="V36" s="10">
        <f>ROUND($B$5*$B$8*$B$13*$B$16*$B$18*$B$21*$B$23,0)</f>
        <v/>
      </c>
      <c r="W36" s="10">
        <f>ROUND($B$5*$B$8*$B$13*$B$16*$B$18*$B$21*$B$24,0)</f>
        <v/>
      </c>
      <c r="X36" s="10">
        <f>ROUND($B$5*$B$8*$B$13*$B$16*$B$18*$B$21*$B$25,0)</f>
        <v/>
      </c>
      <c r="Y36" s="10">
        <f>ROUND($B$5*$B$8*$B$13*$B$16*$B$18*$B$22*$B$23,0)</f>
        <v/>
      </c>
      <c r="Z36" s="10">
        <f>ROUND($B$5*$B$8*$B$13*$B$16*$B$18*$B$22*$B$24,0)</f>
        <v/>
      </c>
      <c r="AA36" s="10">
        <f>ROUND($B$5*$B$8*$B$13*$B$16*$B$18*$B$22*$B$25,0)</f>
        <v/>
      </c>
      <c r="AB36" s="10">
        <f>ROUND($B$5*$B$8*$B$13*$B$16*$B$19*$B$21*$B$23,0)</f>
        <v/>
      </c>
      <c r="AC36" s="10">
        <f>ROUND($B$5*$B$8*$B$13*$B$16*$B$19*$B$21*$B$24,0)</f>
        <v/>
      </c>
      <c r="AD36" s="10">
        <f>ROUND($B$5*$B$8*$B$13*$B$16*$B$19*$B$21*$B$25,0)</f>
        <v/>
      </c>
      <c r="AE36" s="10">
        <f>ROUND($B$5*$B$8*$B$13*$B$16*$B$19*$B$22*$B$23,0)</f>
        <v/>
      </c>
      <c r="AF36" s="10">
        <f>ROUND($B$5*$B$8*$B$13*$B$16*$B$19*$B$22*$B$24,0)</f>
        <v/>
      </c>
      <c r="AG36" s="10">
        <f>ROUND($B$5*$B$8*$B$13*$B$16*$B$19*$B$22*$B$25,0)</f>
        <v/>
      </c>
      <c r="AH36" s="10">
        <f>ROUND($B$5*$B$8*$B$13*$B$16*$B$20*$B$21*$B$23,0)</f>
        <v/>
      </c>
      <c r="AI36" s="10">
        <f>ROUND($B$5*$B$8*$B$13*$B$16*$B$20*$B$21*$B$24,0)</f>
        <v/>
      </c>
      <c r="AJ36" s="10">
        <f>ROUND($B$5*$B$8*$B$13*$B$16*$B$20*$B$21*$B$25,0)</f>
        <v/>
      </c>
      <c r="AK36" s="10">
        <f>ROUND($B$5*$B$8*$B$13*$B$16*$B$20*$B$22*$B$23,0)</f>
        <v/>
      </c>
      <c r="AL36" s="10">
        <f>ROUND($B$5*$B$8*$B$13*$B$16*$B$20*$B$22*$B$24,0)</f>
        <v/>
      </c>
      <c r="AM36" s="10">
        <f>ROUND($B$5*$B$8*$B$13*$B$16*$B$20*$B$22*$B$25,0)</f>
        <v/>
      </c>
      <c r="AN36" s="10">
        <f>ROUND($B$6*$B$8*$B$13*$B$16*$B$18*$B$21*$B$23,0)</f>
        <v/>
      </c>
      <c r="AO36" s="10">
        <f>ROUND($B$6*$B$8*$B$13*$B$16*$B$18*$B$21*$B$24,0)</f>
        <v/>
      </c>
      <c r="AP36" s="10">
        <f>ROUND($B$6*$B$8*$B$13*$B$16*$B$18*$B$21*$B$25,0)</f>
        <v/>
      </c>
      <c r="AQ36" s="10">
        <f>ROUND($B$6*$B$8*$B$13*$B$16*$B$18*$B$22*$B$23,0)</f>
        <v/>
      </c>
      <c r="AR36" s="10">
        <f>ROUND($B$6*$B$8*$B$13*$B$16*$B$18*$B$22*$B$24,0)</f>
        <v/>
      </c>
      <c r="AS36" s="10">
        <f>ROUND($B$6*$B$8*$B$13*$B$16*$B$18*$B$22*$B$25,0)</f>
        <v/>
      </c>
      <c r="AT36" s="10">
        <f>ROUND($B$6*$B$8*$B$13*$B$16*$B$19*$B$21*$B$23,0)</f>
        <v/>
      </c>
      <c r="AU36" s="10">
        <f>ROUND($B$6*$B$8*$B$13*$B$16*$B$19*$B$21*$B$24,0)</f>
        <v/>
      </c>
      <c r="AV36" s="10">
        <f>ROUND($B$6*$B$8*$B$13*$B$16*$B$19*$B$21*$B$25,0)</f>
        <v/>
      </c>
      <c r="AW36" s="10">
        <f>ROUND($B$6*$B$8*$B$13*$B$16*$B$19*$B$22*$B$23,0)</f>
        <v/>
      </c>
      <c r="AX36" s="10">
        <f>ROUND($B$6*$B$8*$B$13*$B$16*$B$19*$B$22*$B$24,0)</f>
        <v/>
      </c>
      <c r="AY36" s="10">
        <f>ROUND($B$6*$B$8*$B$13*$B$16*$B$19*$B$22*$B$25,0)</f>
        <v/>
      </c>
      <c r="AZ36" s="10">
        <f>ROUND($B$6*$B$8*$B$13*$B$16*$B$20*$B$21*$B$23,0)</f>
        <v/>
      </c>
      <c r="BA36" s="10">
        <f>ROUND($B$6*$B$8*$B$13*$B$16*$B$20*$B$21*$B$24,0)</f>
        <v/>
      </c>
      <c r="BB36" s="10">
        <f>ROUND($B$6*$B$8*$B$13*$B$16*$B$20*$B$21*$B$25,0)</f>
        <v/>
      </c>
      <c r="BC36" s="10">
        <f>ROUND($B$6*$B$8*$B$13*$B$16*$B$20*$B$22*$B$23,0)</f>
        <v/>
      </c>
      <c r="BD36" s="10">
        <f>ROUND($B$6*$B$8*$B$13*$B$16*$B$20*$B$22*$B$24,0)</f>
        <v/>
      </c>
      <c r="BE36" s="10">
        <f>ROUND($B$6*$B$8*$B$13*$B$16*$B$20*$B$22*$B$25,0)</f>
        <v/>
      </c>
    </row>
    <row r="37" ht="20.1" customHeight="1" s="62">
      <c r="A37" s="67" t="n"/>
      <c r="B37" s="59" t="n"/>
      <c r="C37" s="15" t="inlineStr">
        <is>
          <t>Avancée (base existante)</t>
        </is>
      </c>
      <c r="D37" s="10">
        <f>ROUND($B$4*$B$8*$B$13*$B$17*$B$18*$B$21*$B$23,0)</f>
        <v/>
      </c>
      <c r="E37" s="10">
        <f>ROUND($B$4*$B$8*$B$13*$B$17*$B$18*$B$21*$B$24,0)</f>
        <v/>
      </c>
      <c r="F37" s="10">
        <f>ROUND($B$4*$B$8*$B$13*$B$17*$B$18*$B$21*$B$25,0)</f>
        <v/>
      </c>
      <c r="G37" s="10">
        <f>ROUND($B$4*$B$8*$B$13*$B$17*$B$18*$B$22*$B$23,0)</f>
        <v/>
      </c>
      <c r="H37" s="10">
        <f>ROUND($B$4*$B$8*$B$13*$B$17*$B$18*$B$22*$B$24,0)</f>
        <v/>
      </c>
      <c r="I37" s="10">
        <f>ROUND($B$4*$B$8*$B$13*$B$17*$B$18*$B$22*$B$25,0)</f>
        <v/>
      </c>
      <c r="J37" s="10">
        <f>ROUND($B$4*$B$8*$B$13*$B$17*$B$19*$B$21*$B$23,0)</f>
        <v/>
      </c>
      <c r="K37" s="10">
        <f>ROUND($B$4*$B$8*$B$13*$B$17*$B$19*$B$21*$B$24,0)</f>
        <v/>
      </c>
      <c r="L37" s="10">
        <f>ROUND($B$4*$B$8*$B$13*$B$17*$B$19*$B$21*$B$25,0)</f>
        <v/>
      </c>
      <c r="M37" s="10">
        <f>ROUND($B$4*$B$8*$B$13*$B$17*$B$19*$B$22*$B$23,0)</f>
        <v/>
      </c>
      <c r="N37" s="10">
        <f>ROUND($B$4*$B$8*$B$13*$B$17*$B$19*$B$22*$B$24,0)</f>
        <v/>
      </c>
      <c r="O37" s="10">
        <f>ROUND($B$4*$B$8*$B$13*$B$17*$B$19*$B$22*$B$25,0)</f>
        <v/>
      </c>
      <c r="P37" s="10">
        <f>ROUND($B$4*$B$8*$B$13*$B$17*$B$20*$B$21*$B$23,0)</f>
        <v/>
      </c>
      <c r="Q37" s="10">
        <f>ROUND($B$4*$B$8*$B$13*$B$17*$B$20*$B$21*$B$24,0)</f>
        <v/>
      </c>
      <c r="R37" s="10">
        <f>ROUND($B$4*$B$8*$B$13*$B$17*$B$20*$B$21*$B$25,0)</f>
        <v/>
      </c>
      <c r="S37" s="10">
        <f>ROUND($B$4*$B$8*$B$13*$B$17*$B$20*$B$22*$B$23,0)</f>
        <v/>
      </c>
      <c r="T37" s="10">
        <f>ROUND($B$4*$B$8*$B$13*$B$17*$B$20*$B$22*$B$24,0)</f>
        <v/>
      </c>
      <c r="U37" s="10">
        <f>ROUND($B$4*$B$8*$B$13*$B$17*$B$20*$B$22*$B$25,0)</f>
        <v/>
      </c>
      <c r="V37" s="10">
        <f>ROUND($B$5*$B$8*$B$13*$B$17*$B$18*$B$21*$B$23,0)</f>
        <v/>
      </c>
      <c r="W37" s="10">
        <f>ROUND($B$5*$B$8*$B$13*$B$17*$B$18*$B$21*$B$24,0)</f>
        <v/>
      </c>
      <c r="X37" s="10">
        <f>ROUND($B$5*$B$8*$B$13*$B$17*$B$18*$B$21*$B$25,0)</f>
        <v/>
      </c>
      <c r="Y37" s="10">
        <f>ROUND($B$5*$B$8*$B$13*$B$17*$B$18*$B$22*$B$23,0)</f>
        <v/>
      </c>
      <c r="Z37" s="10">
        <f>ROUND($B$5*$B$8*$B$13*$B$17*$B$18*$B$22*$B$24,0)</f>
        <v/>
      </c>
      <c r="AA37" s="10">
        <f>ROUND($B$5*$B$8*$B$13*$B$17*$B$18*$B$22*$B$25,0)</f>
        <v/>
      </c>
      <c r="AB37" s="10">
        <f>ROUND($B$5*$B$8*$B$13*$B$17*$B$19*$B$21*$B$23,0)</f>
        <v/>
      </c>
      <c r="AC37" s="10">
        <f>ROUND($B$5*$B$8*$B$13*$B$17*$B$19*$B$21*$B$24,0)</f>
        <v/>
      </c>
      <c r="AD37" s="10">
        <f>ROUND($B$5*$B$8*$B$13*$B$17*$B$19*$B$21*$B$25,0)</f>
        <v/>
      </c>
      <c r="AE37" s="10">
        <f>ROUND($B$5*$B$8*$B$13*$B$17*$B$19*$B$22*$B$23,0)</f>
        <v/>
      </c>
      <c r="AF37" s="10">
        <f>ROUND($B$5*$B$8*$B$13*$B$17*$B$19*$B$22*$B$24,0)</f>
        <v/>
      </c>
      <c r="AG37" s="10">
        <f>ROUND($B$5*$B$8*$B$13*$B$17*$B$19*$B$22*$B$25,0)</f>
        <v/>
      </c>
      <c r="AH37" s="10">
        <f>ROUND($B$5*$B$8*$B$13*$B$17*$B$20*$B$21*$B$23,0)</f>
        <v/>
      </c>
      <c r="AI37" s="10">
        <f>ROUND($B$5*$B$8*$B$13*$B$17*$B$20*$B$21*$B$24,0)</f>
        <v/>
      </c>
      <c r="AJ37" s="10">
        <f>ROUND($B$5*$B$8*$B$13*$B$17*$B$20*$B$21*$B$25,0)</f>
        <v/>
      </c>
      <c r="AK37" s="10">
        <f>ROUND($B$5*$B$8*$B$13*$B$17*$B$20*$B$22*$B$23,0)</f>
        <v/>
      </c>
      <c r="AL37" s="10">
        <f>ROUND($B$5*$B$8*$B$13*$B$17*$B$20*$B$22*$B$24,0)</f>
        <v/>
      </c>
      <c r="AM37" s="10">
        <f>ROUND($B$5*$B$8*$B$13*$B$17*$B$20*$B$22*$B$25,0)</f>
        <v/>
      </c>
      <c r="AN37" s="10">
        <f>ROUND($B$6*$B$8*$B$13*$B$17*$B$18*$B$21*$B$23,0)</f>
        <v/>
      </c>
      <c r="AO37" s="10">
        <f>ROUND($B$6*$B$8*$B$13*$B$17*$B$18*$B$21*$B$24,0)</f>
        <v/>
      </c>
      <c r="AP37" s="10">
        <f>ROUND($B$6*$B$8*$B$13*$B$17*$B$18*$B$21*$B$25,0)</f>
        <v/>
      </c>
      <c r="AQ37" s="10">
        <f>ROUND($B$6*$B$8*$B$13*$B$17*$B$18*$B$22*$B$23,0)</f>
        <v/>
      </c>
      <c r="AR37" s="10">
        <f>ROUND($B$6*$B$8*$B$13*$B$17*$B$18*$B$22*$B$24,0)</f>
        <v/>
      </c>
      <c r="AS37" s="10">
        <f>ROUND($B$6*$B$8*$B$13*$B$17*$B$18*$B$22*$B$25,0)</f>
        <v/>
      </c>
      <c r="AT37" s="10">
        <f>ROUND($B$6*$B$8*$B$13*$B$17*$B$19*$B$21*$B$23,0)</f>
        <v/>
      </c>
      <c r="AU37" s="10">
        <f>ROUND($B$6*$B$8*$B$13*$B$17*$B$19*$B$21*$B$24,0)</f>
        <v/>
      </c>
      <c r="AV37" s="10">
        <f>ROUND($B$6*$B$8*$B$13*$B$17*$B$19*$B$21*$B$25,0)</f>
        <v/>
      </c>
      <c r="AW37" s="10">
        <f>ROUND($B$6*$B$8*$B$13*$B$17*$B$19*$B$22*$B$23,0)</f>
        <v/>
      </c>
      <c r="AX37" s="10">
        <f>ROUND($B$6*$B$8*$B$13*$B$17*$B$19*$B$22*$B$24,0)</f>
        <v/>
      </c>
      <c r="AY37" s="10">
        <f>ROUND($B$6*$B$8*$B$13*$B$17*$B$19*$B$22*$B$25,0)</f>
        <v/>
      </c>
      <c r="AZ37" s="10">
        <f>ROUND($B$6*$B$8*$B$13*$B$17*$B$20*$B$21*$B$23,0)</f>
        <v/>
      </c>
      <c r="BA37" s="10">
        <f>ROUND($B$6*$B$8*$B$13*$B$17*$B$20*$B$21*$B$24,0)</f>
        <v/>
      </c>
      <c r="BB37" s="10">
        <f>ROUND($B$6*$B$8*$B$13*$B$17*$B$20*$B$21*$B$25,0)</f>
        <v/>
      </c>
      <c r="BC37" s="10">
        <f>ROUND($B$6*$B$8*$B$13*$B$17*$B$20*$B$22*$B$23,0)</f>
        <v/>
      </c>
      <c r="BD37" s="10">
        <f>ROUND($B$6*$B$8*$B$13*$B$17*$B$20*$B$22*$B$24,0)</f>
        <v/>
      </c>
      <c r="BE37" s="10">
        <f>ROUND($B$6*$B$8*$B$13*$B$17*$B$20*$B$22*$B$25,0)</f>
        <v/>
      </c>
    </row>
    <row r="38" ht="20.1" customHeight="1" s="62">
      <c r="A38" s="67" t="n"/>
      <c r="B38" s="57" t="inlineStr">
        <is>
          <t>16 processus et +</t>
        </is>
      </c>
      <c r="C38" s="14" t="inlineStr">
        <is>
          <t>Faible (peu ou pas de formalisation)</t>
        </is>
      </c>
      <c r="D38" s="10">
        <f>ROUND($B$4*$B$8*$B$14*$B$15*$B$18*$B$21*$B$23,0)</f>
        <v/>
      </c>
      <c r="E38" s="10">
        <f>ROUND($B$4*$B$8*$B$14*$B$15*$B$18*$B$21*$B$24,0)</f>
        <v/>
      </c>
      <c r="F38" s="10">
        <f>ROUND($B$4*$B$8*$B$14*$B$15*$B$18*$B$21*$B$25,0)</f>
        <v/>
      </c>
      <c r="G38" s="10">
        <f>ROUND($B$4*$B$8*$B$14*$B$15*$B$18*$B$22*$B$23,0)</f>
        <v/>
      </c>
      <c r="H38" s="10">
        <f>ROUND($B$4*$B$8*$B$14*$B$15*$B$18*$B$22*$B$24,0)</f>
        <v/>
      </c>
      <c r="I38" s="10">
        <f>ROUND($B$4*$B$8*$B$14*$B$15*$B$18*$B$22*$B$25,0)</f>
        <v/>
      </c>
      <c r="J38" s="10">
        <f>ROUND($B$4*$B$8*$B$14*$B$15*$B$19*$B$21*$B$23,0)</f>
        <v/>
      </c>
      <c r="K38" s="10">
        <f>ROUND($B$4*$B$8*$B$14*$B$15*$B$19*$B$21*$B$24,0)</f>
        <v/>
      </c>
      <c r="L38" s="10">
        <f>ROUND($B$4*$B$8*$B$14*$B$15*$B$19*$B$21*$B$25,0)</f>
        <v/>
      </c>
      <c r="M38" s="10">
        <f>ROUND($B$4*$B$8*$B$14*$B$15*$B$19*$B$22*$B$23,0)</f>
        <v/>
      </c>
      <c r="N38" s="10">
        <f>ROUND($B$4*$B$8*$B$14*$B$15*$B$19*$B$22*$B$24,0)</f>
        <v/>
      </c>
      <c r="O38" s="10">
        <f>ROUND($B$4*$B$8*$B$14*$B$15*$B$19*$B$22*$B$25,0)</f>
        <v/>
      </c>
      <c r="P38" s="10">
        <f>ROUND($B$4*$B$8*$B$14*$B$15*$B$20*$B$21*$B$23,0)</f>
        <v/>
      </c>
      <c r="Q38" s="10">
        <f>ROUND($B$4*$B$8*$B$14*$B$15*$B$20*$B$21*$B$24,0)</f>
        <v/>
      </c>
      <c r="R38" s="10">
        <f>ROUND($B$4*$B$8*$B$14*$B$15*$B$20*$B$21*$B$25,0)</f>
        <v/>
      </c>
      <c r="S38" s="10">
        <f>ROUND($B$4*$B$8*$B$14*$B$15*$B$20*$B$22*$B$23,0)</f>
        <v/>
      </c>
      <c r="T38" s="10">
        <f>ROUND($B$4*$B$8*$B$14*$B$15*$B$20*$B$22*$B$24,0)</f>
        <v/>
      </c>
      <c r="U38" s="10">
        <f>ROUND($B$4*$B$8*$B$14*$B$15*$B$20*$B$22*$B$25,0)</f>
        <v/>
      </c>
      <c r="V38" s="10">
        <f>ROUND($B$5*$B$8*$B$14*$B$15*$B$18*$B$21*$B$23,0)</f>
        <v/>
      </c>
      <c r="W38" s="10">
        <f>ROUND($B$5*$B$8*$B$14*$B$15*$B$18*$B$21*$B$24,0)</f>
        <v/>
      </c>
      <c r="X38" s="10">
        <f>ROUND($B$5*$B$8*$B$14*$B$15*$B$18*$B$21*$B$25,0)</f>
        <v/>
      </c>
      <c r="Y38" s="10">
        <f>ROUND($B$5*$B$8*$B$14*$B$15*$B$18*$B$22*$B$23,0)</f>
        <v/>
      </c>
      <c r="Z38" s="10">
        <f>ROUND($B$5*$B$8*$B$14*$B$15*$B$18*$B$22*$B$24,0)</f>
        <v/>
      </c>
      <c r="AA38" s="10">
        <f>ROUND($B$5*$B$8*$B$14*$B$15*$B$18*$B$22*$B$25,0)</f>
        <v/>
      </c>
      <c r="AB38" s="10">
        <f>ROUND($B$5*$B$8*$B$14*$B$15*$B$19*$B$21*$B$23,0)</f>
        <v/>
      </c>
      <c r="AC38" s="10">
        <f>ROUND($B$5*$B$8*$B$14*$B$15*$B$19*$B$21*$B$24,0)</f>
        <v/>
      </c>
      <c r="AD38" s="10">
        <f>ROUND($B$5*$B$8*$B$14*$B$15*$B$19*$B$21*$B$25,0)</f>
        <v/>
      </c>
      <c r="AE38" s="10">
        <f>ROUND($B$5*$B$8*$B$14*$B$15*$B$19*$B$22*$B$23,0)</f>
        <v/>
      </c>
      <c r="AF38" s="10">
        <f>ROUND($B$5*$B$8*$B$14*$B$15*$B$19*$B$22*$B$24,0)</f>
        <v/>
      </c>
      <c r="AG38" s="10">
        <f>ROUND($B$5*$B$8*$B$14*$B$15*$B$19*$B$22*$B$25,0)</f>
        <v/>
      </c>
      <c r="AH38" s="10">
        <f>ROUND($B$5*$B$8*$B$14*$B$15*$B$20*$B$21*$B$23,0)</f>
        <v/>
      </c>
      <c r="AI38" s="10">
        <f>ROUND($B$5*$B$8*$B$14*$B$15*$B$20*$B$21*$B$24,0)</f>
        <v/>
      </c>
      <c r="AJ38" s="10">
        <f>ROUND($B$5*$B$8*$B$14*$B$15*$B$20*$B$21*$B$25,0)</f>
        <v/>
      </c>
      <c r="AK38" s="10">
        <f>ROUND($B$5*$B$8*$B$14*$B$15*$B$20*$B$22*$B$23,0)</f>
        <v/>
      </c>
      <c r="AL38" s="10">
        <f>ROUND($B$5*$B$8*$B$14*$B$15*$B$20*$B$22*$B$24,0)</f>
        <v/>
      </c>
      <c r="AM38" s="10">
        <f>ROUND($B$5*$B$8*$B$14*$B$15*$B$20*$B$22*$B$25,0)</f>
        <v/>
      </c>
      <c r="AN38" s="10">
        <f>ROUND($B$6*$B$8*$B$14*$B$15*$B$18*$B$21*$B$23,0)</f>
        <v/>
      </c>
      <c r="AO38" s="10">
        <f>ROUND($B$6*$B$8*$B$14*$B$15*$B$18*$B$21*$B$24,0)</f>
        <v/>
      </c>
      <c r="AP38" s="10">
        <f>ROUND($B$6*$B$8*$B$14*$B$15*$B$18*$B$21*$B$25,0)</f>
        <v/>
      </c>
      <c r="AQ38" s="10">
        <f>ROUND($B$6*$B$8*$B$14*$B$15*$B$18*$B$22*$B$23,0)</f>
        <v/>
      </c>
      <c r="AR38" s="10">
        <f>ROUND($B$6*$B$8*$B$14*$B$15*$B$18*$B$22*$B$24,0)</f>
        <v/>
      </c>
      <c r="AS38" s="10">
        <f>ROUND($B$6*$B$8*$B$14*$B$15*$B$18*$B$22*$B$25,0)</f>
        <v/>
      </c>
      <c r="AT38" s="10">
        <f>ROUND($B$6*$B$8*$B$14*$B$15*$B$19*$B$21*$B$23,0)</f>
        <v/>
      </c>
      <c r="AU38" s="10">
        <f>ROUND($B$6*$B$8*$B$14*$B$15*$B$19*$B$21*$B$24,0)</f>
        <v/>
      </c>
      <c r="AV38" s="10">
        <f>ROUND($B$6*$B$8*$B$14*$B$15*$B$19*$B$21*$B$25,0)</f>
        <v/>
      </c>
      <c r="AW38" s="10">
        <f>ROUND($B$6*$B$8*$B$14*$B$15*$B$19*$B$22*$B$23,0)</f>
        <v/>
      </c>
      <c r="AX38" s="10">
        <f>ROUND($B$6*$B$8*$B$14*$B$15*$B$19*$B$22*$B$24,0)</f>
        <v/>
      </c>
      <c r="AY38" s="10">
        <f>ROUND($B$6*$B$8*$B$14*$B$15*$B$19*$B$22*$B$25,0)</f>
        <v/>
      </c>
      <c r="AZ38" s="10">
        <f>ROUND($B$6*$B$8*$B$14*$B$15*$B$20*$B$21*$B$23,0)</f>
        <v/>
      </c>
      <c r="BA38" s="10">
        <f>ROUND($B$6*$B$8*$B$14*$B$15*$B$20*$B$21*$B$24,0)</f>
        <v/>
      </c>
      <c r="BB38" s="10">
        <f>ROUND($B$6*$B$8*$B$14*$B$15*$B$20*$B$21*$B$25,0)</f>
        <v/>
      </c>
      <c r="BC38" s="10">
        <f>ROUND($B$6*$B$8*$B$14*$B$15*$B$20*$B$22*$B$23,0)</f>
        <v/>
      </c>
      <c r="BD38" s="10">
        <f>ROUND($B$6*$B$8*$B$14*$B$15*$B$20*$B$22*$B$24,0)</f>
        <v/>
      </c>
      <c r="BE38" s="10">
        <f>ROUND($B$6*$B$8*$B$14*$B$15*$B$20*$B$22*$B$25,0)</f>
        <v/>
      </c>
    </row>
    <row r="39" ht="20.1" customHeight="1" s="62">
      <c r="A39" s="67" t="n"/>
      <c r="B39" s="58" t="n"/>
      <c r="C39" s="57" t="inlineStr">
        <is>
          <t>Intermédiaire</t>
        </is>
      </c>
      <c r="D39" s="10">
        <f>ROUND($B$4*$B$8*$B$14*$B$16*$B$18*$B$21*$B$23,0)</f>
        <v/>
      </c>
      <c r="E39" s="10">
        <f>ROUND($B$4*$B$8*$B$14*$B$16*$B$18*$B$21*$B$24,0)</f>
        <v/>
      </c>
      <c r="F39" s="10">
        <f>ROUND($B$4*$B$8*$B$14*$B$16*$B$18*$B$21*$B$25,0)</f>
        <v/>
      </c>
      <c r="G39" s="10">
        <f>ROUND($B$4*$B$8*$B$14*$B$16*$B$18*$B$22*$B$23,0)</f>
        <v/>
      </c>
      <c r="H39" s="10">
        <f>ROUND($B$4*$B$8*$B$14*$B$16*$B$18*$B$22*$B$24,0)</f>
        <v/>
      </c>
      <c r="I39" s="10">
        <f>ROUND($B$4*$B$8*$B$14*$B$16*$B$18*$B$22*$B$25,0)</f>
        <v/>
      </c>
      <c r="J39" s="10">
        <f>ROUND($B$4*$B$8*$B$14*$B$16*$B$19*$B$21*$B$23,0)</f>
        <v/>
      </c>
      <c r="K39" s="10">
        <f>ROUND($B$4*$B$8*$B$14*$B$16*$B$19*$B$21*$B$24,0)</f>
        <v/>
      </c>
      <c r="L39" s="10">
        <f>ROUND($B$4*$B$8*$B$14*$B$16*$B$19*$B$21*$B$25,0)</f>
        <v/>
      </c>
      <c r="M39" s="10">
        <f>ROUND($B$4*$B$8*$B$14*$B$16*$B$19*$B$22*$B$23,0)</f>
        <v/>
      </c>
      <c r="N39" s="10">
        <f>ROUND($B$4*$B$8*$B$14*$B$16*$B$19*$B$22*$B$24,0)</f>
        <v/>
      </c>
      <c r="O39" s="10">
        <f>ROUND($B$4*$B$8*$B$14*$B$16*$B$19*$B$22*$B$25,0)</f>
        <v/>
      </c>
      <c r="P39" s="10">
        <f>ROUND($B$4*$B$8*$B$14*$B$16*$B$20*$B$21*$B$23,0)</f>
        <v/>
      </c>
      <c r="Q39" s="10">
        <f>ROUND($B$4*$B$8*$B$14*$B$16*$B$20*$B$21*$B$24,0)</f>
        <v/>
      </c>
      <c r="R39" s="10">
        <f>ROUND($B$4*$B$8*$B$14*$B$16*$B$20*$B$21*$B$25,0)</f>
        <v/>
      </c>
      <c r="S39" s="10">
        <f>ROUND($B$4*$B$8*$B$14*$B$16*$B$20*$B$22*$B$23,0)</f>
        <v/>
      </c>
      <c r="T39" s="10">
        <f>ROUND($B$4*$B$8*$B$14*$B$16*$B$20*$B$22*$B$24,0)</f>
        <v/>
      </c>
      <c r="U39" s="10">
        <f>ROUND($B$4*$B$8*$B$14*$B$16*$B$20*$B$22*$B$25,0)</f>
        <v/>
      </c>
      <c r="V39" s="10">
        <f>ROUND($B$5*$B$8*$B$14*$B$16*$B$18*$B$21*$B$23,0)</f>
        <v/>
      </c>
      <c r="W39" s="10">
        <f>ROUND($B$5*$B$8*$B$14*$B$16*$B$18*$B$21*$B$24,0)</f>
        <v/>
      </c>
      <c r="X39" s="10">
        <f>ROUND($B$5*$B$8*$B$14*$B$16*$B$18*$B$21*$B$25,0)</f>
        <v/>
      </c>
      <c r="Y39" s="10">
        <f>ROUND($B$5*$B$8*$B$14*$B$16*$B$18*$B$22*$B$23,0)</f>
        <v/>
      </c>
      <c r="Z39" s="10">
        <f>ROUND($B$5*$B$8*$B$14*$B$16*$B$18*$B$22*$B$24,0)</f>
        <v/>
      </c>
      <c r="AA39" s="10">
        <f>ROUND($B$5*$B$8*$B$14*$B$16*$B$18*$B$22*$B$25,0)</f>
        <v/>
      </c>
      <c r="AB39" s="10">
        <f>ROUND($B$5*$B$8*$B$14*$B$16*$B$19*$B$21*$B$23,0)</f>
        <v/>
      </c>
      <c r="AC39" s="10">
        <f>ROUND($B$5*$B$8*$B$14*$B$16*$B$19*$B$21*$B$24,0)</f>
        <v/>
      </c>
      <c r="AD39" s="10">
        <f>ROUND($B$5*$B$8*$B$14*$B$16*$B$19*$B$21*$B$25,0)</f>
        <v/>
      </c>
      <c r="AE39" s="10">
        <f>ROUND($B$5*$B$8*$B$14*$B$16*$B$19*$B$22*$B$23,0)</f>
        <v/>
      </c>
      <c r="AF39" s="10">
        <f>ROUND($B$5*$B$8*$B$14*$B$16*$B$19*$B$22*$B$24,0)</f>
        <v/>
      </c>
      <c r="AG39" s="10">
        <f>ROUND($B$5*$B$8*$B$14*$B$16*$B$19*$B$22*$B$25,0)</f>
        <v/>
      </c>
      <c r="AH39" s="10">
        <f>ROUND($B$5*$B$8*$B$14*$B$16*$B$20*$B$21*$B$23,0)</f>
        <v/>
      </c>
      <c r="AI39" s="10">
        <f>ROUND($B$5*$B$8*$B$14*$B$16*$B$20*$B$21*$B$24,0)</f>
        <v/>
      </c>
      <c r="AJ39" s="10">
        <f>ROUND($B$5*$B$8*$B$14*$B$16*$B$20*$B$21*$B$25,0)</f>
        <v/>
      </c>
      <c r="AK39" s="10">
        <f>ROUND($B$5*$B$8*$B$14*$B$16*$B$20*$B$22*$B$23,0)</f>
        <v/>
      </c>
      <c r="AL39" s="10">
        <f>ROUND($B$5*$B$8*$B$14*$B$16*$B$20*$B$22*$B$24,0)</f>
        <v/>
      </c>
      <c r="AM39" s="10">
        <f>ROUND($B$5*$B$8*$B$14*$B$16*$B$20*$B$22*$B$25,0)</f>
        <v/>
      </c>
      <c r="AN39" s="10">
        <f>ROUND($B$6*$B$8*$B$14*$B$16*$B$18*$B$21*$B$23,0)</f>
        <v/>
      </c>
      <c r="AO39" s="10">
        <f>ROUND($B$6*$B$8*$B$14*$B$16*$B$18*$B$21*$B$24,0)</f>
        <v/>
      </c>
      <c r="AP39" s="10">
        <f>ROUND($B$6*$B$8*$B$14*$B$16*$B$18*$B$21*$B$25,0)</f>
        <v/>
      </c>
      <c r="AQ39" s="10">
        <f>ROUND($B$6*$B$8*$B$14*$B$16*$B$18*$B$22*$B$23,0)</f>
        <v/>
      </c>
      <c r="AR39" s="10">
        <f>ROUND($B$6*$B$8*$B$14*$B$16*$B$18*$B$22*$B$24,0)</f>
        <v/>
      </c>
      <c r="AS39" s="10">
        <f>ROUND($B$6*$B$8*$B$14*$B$16*$B$18*$B$22*$B$25,0)</f>
        <v/>
      </c>
      <c r="AT39" s="10">
        <f>ROUND($B$6*$B$8*$B$14*$B$16*$B$19*$B$21*$B$23,0)</f>
        <v/>
      </c>
      <c r="AU39" s="10">
        <f>ROUND($B$6*$B$8*$B$14*$B$16*$B$19*$B$21*$B$24,0)</f>
        <v/>
      </c>
      <c r="AV39" s="10">
        <f>ROUND($B$6*$B$8*$B$14*$B$16*$B$19*$B$21*$B$25,0)</f>
        <v/>
      </c>
      <c r="AW39" s="10">
        <f>ROUND($B$6*$B$8*$B$14*$B$16*$B$19*$B$22*$B$23,0)</f>
        <v/>
      </c>
      <c r="AX39" s="10">
        <f>ROUND($B$6*$B$8*$B$14*$B$16*$B$19*$B$22*$B$24,0)</f>
        <v/>
      </c>
      <c r="AY39" s="10">
        <f>ROUND($B$6*$B$8*$B$14*$B$16*$B$19*$B$22*$B$25,0)</f>
        <v/>
      </c>
      <c r="AZ39" s="10">
        <f>ROUND($B$6*$B$8*$B$14*$B$16*$B$20*$B$21*$B$23,0)</f>
        <v/>
      </c>
      <c r="BA39" s="10">
        <f>ROUND($B$6*$B$8*$B$14*$B$16*$B$20*$B$21*$B$24,0)</f>
        <v/>
      </c>
      <c r="BB39" s="10">
        <f>ROUND($B$6*$B$8*$B$14*$B$16*$B$20*$B$21*$B$25,0)</f>
        <v/>
      </c>
      <c r="BC39" s="10">
        <f>ROUND($B$6*$B$8*$B$14*$B$16*$B$20*$B$22*$B$23,0)</f>
        <v/>
      </c>
      <c r="BD39" s="10">
        <f>ROUND($B$6*$B$8*$B$14*$B$16*$B$20*$B$22*$B$24,0)</f>
        <v/>
      </c>
      <c r="BE39" s="10">
        <f>ROUND($B$6*$B$8*$B$14*$B$16*$B$20*$B$22*$B$25,0)</f>
        <v/>
      </c>
    </row>
    <row r="40" ht="20.1" customHeight="1" s="62">
      <c r="A40" s="68" t="n"/>
      <c r="B40" s="59" t="n"/>
      <c r="C40" s="15" t="inlineStr">
        <is>
          <t>Avancée (base existante)</t>
        </is>
      </c>
      <c r="D40" s="10">
        <f>ROUND($B$4*$B$8*$B$14*$B$17*$B$18*$B$21*$B$23,0)</f>
        <v/>
      </c>
      <c r="E40" s="10">
        <f>ROUND($B$4*$B$8*$B$14*$B$17*$B$18*$B$21*$B$24,0)</f>
        <v/>
      </c>
      <c r="F40" s="10">
        <f>ROUND($B$4*$B$8*$B$14*$B$17*$B$18*$B$21*$B$25,0)</f>
        <v/>
      </c>
      <c r="G40" s="10">
        <f>ROUND($B$4*$B$8*$B$14*$B$17*$B$18*$B$22*$B$23,0)</f>
        <v/>
      </c>
      <c r="H40" s="10">
        <f>ROUND($B$4*$B$8*$B$14*$B$17*$B$18*$B$22*$B$24,0)</f>
        <v/>
      </c>
      <c r="I40" s="10">
        <f>ROUND($B$4*$B$8*$B$14*$B$17*$B$18*$B$22*$B$25,0)</f>
        <v/>
      </c>
      <c r="J40" s="10">
        <f>ROUND($B$4*$B$8*$B$14*$B$17*$B$19*$B$21*$B$23,0)</f>
        <v/>
      </c>
      <c r="K40" s="10">
        <f>ROUND($B$4*$B$8*$B$14*$B$17*$B$19*$B$21*$B$24,0)</f>
        <v/>
      </c>
      <c r="L40" s="10">
        <f>ROUND($B$4*$B$8*$B$14*$B$17*$B$19*$B$21*$B$25,0)</f>
        <v/>
      </c>
      <c r="M40" s="10">
        <f>ROUND($B$4*$B$8*$B$14*$B$17*$B$19*$B$22*$B$23,0)</f>
        <v/>
      </c>
      <c r="N40" s="10">
        <f>ROUND($B$4*$B$8*$B$14*$B$17*$B$19*$B$22*$B$24,0)</f>
        <v/>
      </c>
      <c r="O40" s="10">
        <f>ROUND($B$4*$B$8*$B$14*$B$17*$B$19*$B$22*$B$25,0)</f>
        <v/>
      </c>
      <c r="P40" s="10">
        <f>ROUND($B$4*$B$8*$B$14*$B$17*$B$20*$B$21*$B$23,0)</f>
        <v/>
      </c>
      <c r="Q40" s="10">
        <f>ROUND($B$4*$B$8*$B$14*$B$17*$B$20*$B$21*$B$24,0)</f>
        <v/>
      </c>
      <c r="R40" s="10">
        <f>ROUND($B$4*$B$8*$B$14*$B$17*$B$20*$B$21*$B$25,0)</f>
        <v/>
      </c>
      <c r="S40" s="10">
        <f>ROUND($B$4*$B$8*$B$14*$B$17*$B$20*$B$22*$B$23,0)</f>
        <v/>
      </c>
      <c r="T40" s="10">
        <f>ROUND($B$4*$B$8*$B$14*$B$17*$B$20*$B$22*$B$24,0)</f>
        <v/>
      </c>
      <c r="U40" s="10">
        <f>ROUND($B$4*$B$8*$B$14*$B$17*$B$20*$B$22*$B$25,0)</f>
        <v/>
      </c>
      <c r="V40" s="10">
        <f>ROUND($B$5*$B$8*$B$14*$B$17*$B$18*$B$21*$B$23,0)</f>
        <v/>
      </c>
      <c r="W40" s="10">
        <f>ROUND($B$5*$B$8*$B$14*$B$17*$B$18*$B$21*$B$24,0)</f>
        <v/>
      </c>
      <c r="X40" s="10">
        <f>ROUND($B$5*$B$8*$B$14*$B$17*$B$18*$B$21*$B$25,0)</f>
        <v/>
      </c>
      <c r="Y40" s="10">
        <f>ROUND($B$5*$B$8*$B$14*$B$17*$B$18*$B$22*$B$23,0)</f>
        <v/>
      </c>
      <c r="Z40" s="10">
        <f>ROUND($B$5*$B$8*$B$14*$B$17*$B$18*$B$22*$B$24,0)</f>
        <v/>
      </c>
      <c r="AA40" s="10">
        <f>ROUND($B$5*$B$8*$B$14*$B$17*$B$18*$B$22*$B$25,0)</f>
        <v/>
      </c>
      <c r="AB40" s="10">
        <f>ROUND($B$5*$B$8*$B$14*$B$17*$B$19*$B$21*$B$23,0)</f>
        <v/>
      </c>
      <c r="AC40" s="10">
        <f>ROUND($B$5*$B$8*$B$14*$B$17*$B$19*$B$21*$B$24,0)</f>
        <v/>
      </c>
      <c r="AD40" s="10">
        <f>ROUND($B$5*$B$8*$B$14*$B$17*$B$19*$B$21*$B$25,0)</f>
        <v/>
      </c>
      <c r="AE40" s="10">
        <f>ROUND($B$5*$B$8*$B$14*$B$17*$B$19*$B$22*$B$23,0)</f>
        <v/>
      </c>
      <c r="AF40" s="10">
        <f>ROUND($B$5*$B$8*$B$14*$B$17*$B$19*$B$22*$B$24,0)</f>
        <v/>
      </c>
      <c r="AG40" s="10">
        <f>ROUND($B$5*$B$8*$B$14*$B$17*$B$19*$B$22*$B$25,0)</f>
        <v/>
      </c>
      <c r="AH40" s="10">
        <f>ROUND($B$5*$B$8*$B$14*$B$17*$B$20*$B$21*$B$23,0)</f>
        <v/>
      </c>
      <c r="AI40" s="10">
        <f>ROUND($B$5*$B$8*$B$14*$B$17*$B$20*$B$21*$B$24,0)</f>
        <v/>
      </c>
      <c r="AJ40" s="10">
        <f>ROUND($B$5*$B$8*$B$14*$B$17*$B$20*$B$21*$B$25,0)</f>
        <v/>
      </c>
      <c r="AK40" s="10">
        <f>ROUND($B$5*$B$8*$B$14*$B$17*$B$20*$B$22*$B$23,0)</f>
        <v/>
      </c>
      <c r="AL40" s="10">
        <f>ROUND($B$5*$B$8*$B$14*$B$17*$B$20*$B$22*$B$24,0)</f>
        <v/>
      </c>
      <c r="AM40" s="10">
        <f>ROUND($B$5*$B$8*$B$14*$B$17*$B$20*$B$22*$B$25,0)</f>
        <v/>
      </c>
      <c r="AN40" s="10">
        <f>ROUND($B$6*$B$8*$B$14*$B$17*$B$18*$B$21*$B$23,0)</f>
        <v/>
      </c>
      <c r="AO40" s="10">
        <f>ROUND($B$6*$B$8*$B$14*$B$17*$B$18*$B$21*$B$24,0)</f>
        <v/>
      </c>
      <c r="AP40" s="10">
        <f>ROUND($B$6*$B$8*$B$14*$B$17*$B$18*$B$21*$B$25,0)</f>
        <v/>
      </c>
      <c r="AQ40" s="10">
        <f>ROUND($B$6*$B$8*$B$14*$B$17*$B$18*$B$22*$B$23,0)</f>
        <v/>
      </c>
      <c r="AR40" s="10">
        <f>ROUND($B$6*$B$8*$B$14*$B$17*$B$18*$B$22*$B$24,0)</f>
        <v/>
      </c>
      <c r="AS40" s="10">
        <f>ROUND($B$6*$B$8*$B$14*$B$17*$B$18*$B$22*$B$25,0)</f>
        <v/>
      </c>
      <c r="AT40" s="10">
        <f>ROUND($B$6*$B$8*$B$14*$B$17*$B$19*$B$21*$B$23,0)</f>
        <v/>
      </c>
      <c r="AU40" s="10">
        <f>ROUND($B$6*$B$8*$B$14*$B$17*$B$19*$B$21*$B$24,0)</f>
        <v/>
      </c>
      <c r="AV40" s="10">
        <f>ROUND($B$6*$B$8*$B$14*$B$17*$B$19*$B$21*$B$25,0)</f>
        <v/>
      </c>
      <c r="AW40" s="10">
        <f>ROUND($B$6*$B$8*$B$14*$B$17*$B$19*$B$22*$B$23,0)</f>
        <v/>
      </c>
      <c r="AX40" s="10">
        <f>ROUND($B$6*$B$8*$B$14*$B$17*$B$19*$B$22*$B$24,0)</f>
        <v/>
      </c>
      <c r="AY40" s="10">
        <f>ROUND($B$6*$B$8*$B$14*$B$17*$B$19*$B$22*$B$25,0)</f>
        <v/>
      </c>
      <c r="AZ40" s="10">
        <f>ROUND($B$6*$B$8*$B$14*$B$17*$B$20*$B$21*$B$23,0)</f>
        <v/>
      </c>
      <c r="BA40" s="10">
        <f>ROUND($B$6*$B$8*$B$14*$B$17*$B$20*$B$21*$B$24,0)</f>
        <v/>
      </c>
      <c r="BB40" s="10">
        <f>ROUND($B$6*$B$8*$B$14*$B$17*$B$20*$B$21*$B$25,0)</f>
        <v/>
      </c>
      <c r="BC40" s="10">
        <f>ROUND($B$6*$B$8*$B$14*$B$17*$B$20*$B$22*$B$23,0)</f>
        <v/>
      </c>
      <c r="BD40" s="10">
        <f>ROUND($B$6*$B$8*$B$14*$B$17*$B$20*$B$22*$B$24,0)</f>
        <v/>
      </c>
      <c r="BE40" s="10">
        <f>ROUND($B$6*$B$8*$B$14*$B$17*$B$20*$B$22*$B$25,0)</f>
        <v/>
      </c>
    </row>
    <row r="41" ht="20.1" customHeight="1" s="62">
      <c r="A41" s="66" t="inlineStr">
        <is>
          <t>TPE (6-19 sal.)</t>
        </is>
      </c>
      <c r="B41" s="57" t="inlineStr">
        <is>
          <t>1-5 processus</t>
        </is>
      </c>
      <c r="C41" s="14" t="inlineStr">
        <is>
          <t>Faible (peu ou pas de formalisation)</t>
        </is>
      </c>
      <c r="D41" s="10">
        <f>ROUND($B$4*$B$9*$B$12*$B$15*$B$18*$B$21*$B$23,0)</f>
        <v/>
      </c>
      <c r="E41" s="10">
        <f>ROUND($B$4*$B$9*$B$12*$B$15*$B$18*$B$21*$B$24,0)</f>
        <v/>
      </c>
      <c r="F41" s="10">
        <f>ROUND($B$4*$B$9*$B$12*$B$15*$B$18*$B$21*$B$25,0)</f>
        <v/>
      </c>
      <c r="G41" s="10">
        <f>ROUND($B$4*$B$9*$B$12*$B$15*$B$18*$B$22*$B$23,0)</f>
        <v/>
      </c>
      <c r="H41" s="10">
        <f>ROUND($B$4*$B$9*$B$12*$B$15*$B$18*$B$22*$B$24,0)</f>
        <v/>
      </c>
      <c r="I41" s="10">
        <f>ROUND($B$4*$B$9*$B$12*$B$15*$B$18*$B$22*$B$25,0)</f>
        <v/>
      </c>
      <c r="J41" s="10">
        <f>ROUND($B$4*$B$9*$B$12*$B$15*$B$19*$B$21*$B$23,0)</f>
        <v/>
      </c>
      <c r="K41" s="10">
        <f>ROUND($B$4*$B$9*$B$12*$B$15*$B$19*$B$21*$B$24,0)</f>
        <v/>
      </c>
      <c r="L41" s="10">
        <f>ROUND($B$4*$B$9*$B$12*$B$15*$B$19*$B$21*$B$25,0)</f>
        <v/>
      </c>
      <c r="M41" s="10">
        <f>ROUND($B$4*$B$9*$B$12*$B$15*$B$19*$B$22*$B$23,0)</f>
        <v/>
      </c>
      <c r="N41" s="10">
        <f>ROUND($B$4*$B$9*$B$12*$B$15*$B$19*$B$22*$B$24,0)</f>
        <v/>
      </c>
      <c r="O41" s="10">
        <f>ROUND($B$4*$B$9*$B$12*$B$15*$B$19*$B$22*$B$25,0)</f>
        <v/>
      </c>
      <c r="P41" s="10">
        <f>ROUND($B$4*$B$9*$B$12*$B$15*$B$20*$B$21*$B$23,0)</f>
        <v/>
      </c>
      <c r="Q41" s="10">
        <f>ROUND($B$4*$B$9*$B$12*$B$15*$B$20*$B$21*$B$24,0)</f>
        <v/>
      </c>
      <c r="R41" s="10">
        <f>ROUND($B$4*$B$9*$B$12*$B$15*$B$20*$B$21*$B$25,0)</f>
        <v/>
      </c>
      <c r="S41" s="10">
        <f>ROUND($B$4*$B$9*$B$12*$B$15*$B$20*$B$22*$B$23,0)</f>
        <v/>
      </c>
      <c r="T41" s="10">
        <f>ROUND($B$4*$B$9*$B$12*$B$15*$B$20*$B$22*$B$24,0)</f>
        <v/>
      </c>
      <c r="U41" s="10">
        <f>ROUND($B$4*$B$9*$B$12*$B$15*$B$20*$B$22*$B$25,0)</f>
        <v/>
      </c>
      <c r="V41" s="10">
        <f>ROUND($B$5*$B$9*$B$12*$B$15*$B$18*$B$21*$B$23,0)</f>
        <v/>
      </c>
      <c r="W41" s="10">
        <f>ROUND($B$5*$B$9*$B$12*$B$15*$B$18*$B$21*$B$24,0)</f>
        <v/>
      </c>
      <c r="X41" s="10">
        <f>ROUND($B$5*$B$9*$B$12*$B$15*$B$18*$B$21*$B$25,0)</f>
        <v/>
      </c>
      <c r="Y41" s="10">
        <f>ROUND($B$5*$B$9*$B$12*$B$15*$B$18*$B$22*$B$23,0)</f>
        <v/>
      </c>
      <c r="Z41" s="10">
        <f>ROUND($B$5*$B$9*$B$12*$B$15*$B$18*$B$22*$B$24,0)</f>
        <v/>
      </c>
      <c r="AA41" s="10">
        <f>ROUND($B$5*$B$9*$B$12*$B$15*$B$18*$B$22*$B$25,0)</f>
        <v/>
      </c>
      <c r="AB41" s="10">
        <f>ROUND($B$5*$B$9*$B$12*$B$15*$B$19*$B$21*$B$23,0)</f>
        <v/>
      </c>
      <c r="AC41" s="10">
        <f>ROUND($B$5*$B$9*$B$12*$B$15*$B$19*$B$21*$B$24,0)</f>
        <v/>
      </c>
      <c r="AD41" s="10">
        <f>ROUND($B$5*$B$9*$B$12*$B$15*$B$19*$B$21*$B$25,0)</f>
        <v/>
      </c>
      <c r="AE41" s="10">
        <f>ROUND($B$5*$B$9*$B$12*$B$15*$B$19*$B$22*$B$23,0)</f>
        <v/>
      </c>
      <c r="AF41" s="10">
        <f>ROUND($B$5*$B$9*$B$12*$B$15*$B$19*$B$22*$B$24,0)</f>
        <v/>
      </c>
      <c r="AG41" s="10">
        <f>ROUND($B$5*$B$9*$B$12*$B$15*$B$19*$B$22*$B$25,0)</f>
        <v/>
      </c>
      <c r="AH41" s="10">
        <f>ROUND($B$5*$B$9*$B$12*$B$15*$B$20*$B$21*$B$23,0)</f>
        <v/>
      </c>
      <c r="AI41" s="10">
        <f>ROUND($B$5*$B$9*$B$12*$B$15*$B$20*$B$21*$B$24,0)</f>
        <v/>
      </c>
      <c r="AJ41" s="10">
        <f>ROUND($B$5*$B$9*$B$12*$B$15*$B$20*$B$21*$B$25,0)</f>
        <v/>
      </c>
      <c r="AK41" s="10">
        <f>ROUND($B$5*$B$9*$B$12*$B$15*$B$20*$B$22*$B$23,0)</f>
        <v/>
      </c>
      <c r="AL41" s="10">
        <f>ROUND($B$5*$B$9*$B$12*$B$15*$B$20*$B$22*$B$24,0)</f>
        <v/>
      </c>
      <c r="AM41" s="10">
        <f>ROUND($B$5*$B$9*$B$12*$B$15*$B$20*$B$22*$B$25,0)</f>
        <v/>
      </c>
      <c r="AN41" s="10">
        <f>ROUND($B$6*$B$9*$B$12*$B$15*$B$18*$B$21*$B$23,0)</f>
        <v/>
      </c>
      <c r="AO41" s="10">
        <f>ROUND($B$6*$B$9*$B$12*$B$15*$B$18*$B$21*$B$24,0)</f>
        <v/>
      </c>
      <c r="AP41" s="10">
        <f>ROUND($B$6*$B$9*$B$12*$B$15*$B$18*$B$21*$B$25,0)</f>
        <v/>
      </c>
      <c r="AQ41" s="10">
        <f>ROUND($B$6*$B$9*$B$12*$B$15*$B$18*$B$22*$B$23,0)</f>
        <v/>
      </c>
      <c r="AR41" s="10">
        <f>ROUND($B$6*$B$9*$B$12*$B$15*$B$18*$B$22*$B$24,0)</f>
        <v/>
      </c>
      <c r="AS41" s="10">
        <f>ROUND($B$6*$B$9*$B$12*$B$15*$B$18*$B$22*$B$25,0)</f>
        <v/>
      </c>
      <c r="AT41" s="10">
        <f>ROUND($B$6*$B$9*$B$12*$B$15*$B$19*$B$21*$B$23,0)</f>
        <v/>
      </c>
      <c r="AU41" s="10">
        <f>ROUND($B$6*$B$9*$B$12*$B$15*$B$19*$B$21*$B$24,0)</f>
        <v/>
      </c>
      <c r="AV41" s="10">
        <f>ROUND($B$6*$B$9*$B$12*$B$15*$B$19*$B$21*$B$25,0)</f>
        <v/>
      </c>
      <c r="AW41" s="10">
        <f>ROUND($B$6*$B$9*$B$12*$B$15*$B$19*$B$22*$B$23,0)</f>
        <v/>
      </c>
      <c r="AX41" s="10">
        <f>ROUND($B$6*$B$9*$B$12*$B$15*$B$19*$B$22*$B$24,0)</f>
        <v/>
      </c>
      <c r="AY41" s="10">
        <f>ROUND($B$6*$B$9*$B$12*$B$15*$B$19*$B$22*$B$25,0)</f>
        <v/>
      </c>
      <c r="AZ41" s="10">
        <f>ROUND($B$6*$B$9*$B$12*$B$15*$B$20*$B$21*$B$23,0)</f>
        <v/>
      </c>
      <c r="BA41" s="10">
        <f>ROUND($B$6*$B$9*$B$12*$B$15*$B$20*$B$21*$B$24,0)</f>
        <v/>
      </c>
      <c r="BB41" s="10">
        <f>ROUND($B$6*$B$9*$B$12*$B$15*$B$20*$B$21*$B$25,0)</f>
        <v/>
      </c>
      <c r="BC41" s="10">
        <f>ROUND($B$6*$B$9*$B$12*$B$15*$B$20*$B$22*$B$23,0)</f>
        <v/>
      </c>
      <c r="BD41" s="10">
        <f>ROUND($B$6*$B$9*$B$12*$B$15*$B$20*$B$22*$B$24,0)</f>
        <v/>
      </c>
      <c r="BE41" s="10">
        <f>ROUND($B$6*$B$9*$B$12*$B$15*$B$20*$B$22*$B$25,0)</f>
        <v/>
      </c>
    </row>
    <row r="42" ht="20.1" customHeight="1" s="62">
      <c r="A42" s="67" t="n"/>
      <c r="B42" s="58" t="n"/>
      <c r="C42" s="57" t="inlineStr">
        <is>
          <t>Intermédiaire</t>
        </is>
      </c>
      <c r="D42" s="10">
        <f>ROUND($B$4*$B$9*$B$12*$B$16*$B$18*$B$21*$B$23,0)</f>
        <v/>
      </c>
      <c r="E42" s="10">
        <f>ROUND($B$4*$B$9*$B$12*$B$16*$B$18*$B$21*$B$24,0)</f>
        <v/>
      </c>
      <c r="F42" s="10">
        <f>ROUND($B$4*$B$9*$B$12*$B$16*$B$18*$B$21*$B$25,0)</f>
        <v/>
      </c>
      <c r="G42" s="10">
        <f>ROUND($B$4*$B$9*$B$12*$B$16*$B$18*$B$22*$B$23,0)</f>
        <v/>
      </c>
      <c r="H42" s="10">
        <f>ROUND($B$4*$B$9*$B$12*$B$16*$B$18*$B$22*$B$24,0)</f>
        <v/>
      </c>
      <c r="I42" s="10">
        <f>ROUND($B$4*$B$9*$B$12*$B$16*$B$18*$B$22*$B$25,0)</f>
        <v/>
      </c>
      <c r="J42" s="10">
        <f>ROUND($B$4*$B$9*$B$12*$B$16*$B$19*$B$21*$B$23,0)</f>
        <v/>
      </c>
      <c r="K42" s="10">
        <f>ROUND($B$4*$B$9*$B$12*$B$16*$B$19*$B$21*$B$24,0)</f>
        <v/>
      </c>
      <c r="L42" s="10">
        <f>ROUND($B$4*$B$9*$B$12*$B$16*$B$19*$B$21*$B$25,0)</f>
        <v/>
      </c>
      <c r="M42" s="10">
        <f>ROUND($B$4*$B$9*$B$12*$B$16*$B$19*$B$22*$B$23,0)</f>
        <v/>
      </c>
      <c r="N42" s="10">
        <f>ROUND($B$4*$B$9*$B$12*$B$16*$B$19*$B$22*$B$24,0)</f>
        <v/>
      </c>
      <c r="O42" s="10">
        <f>ROUND($B$4*$B$9*$B$12*$B$16*$B$19*$B$22*$B$25,0)</f>
        <v/>
      </c>
      <c r="P42" s="10">
        <f>ROUND($B$4*$B$9*$B$12*$B$16*$B$20*$B$21*$B$23,0)</f>
        <v/>
      </c>
      <c r="Q42" s="10">
        <f>ROUND($B$4*$B$9*$B$12*$B$16*$B$20*$B$21*$B$24,0)</f>
        <v/>
      </c>
      <c r="R42" s="10">
        <f>ROUND($B$4*$B$9*$B$12*$B$16*$B$20*$B$21*$B$25,0)</f>
        <v/>
      </c>
      <c r="S42" s="10">
        <f>ROUND($B$4*$B$9*$B$12*$B$16*$B$20*$B$22*$B$23,0)</f>
        <v/>
      </c>
      <c r="T42" s="10">
        <f>ROUND($B$4*$B$9*$B$12*$B$16*$B$20*$B$22*$B$24,0)</f>
        <v/>
      </c>
      <c r="U42" s="10">
        <f>ROUND($B$4*$B$9*$B$12*$B$16*$B$20*$B$22*$B$25,0)</f>
        <v/>
      </c>
      <c r="V42" s="10">
        <f>ROUND($B$5*$B$9*$B$12*$B$16*$B$18*$B$21*$B$23,0)</f>
        <v/>
      </c>
      <c r="W42" s="10">
        <f>ROUND($B$5*$B$9*$B$12*$B$16*$B$18*$B$21*$B$24,0)</f>
        <v/>
      </c>
      <c r="X42" s="10">
        <f>ROUND($B$5*$B$9*$B$12*$B$16*$B$18*$B$21*$B$25,0)</f>
        <v/>
      </c>
      <c r="Y42" s="10">
        <f>ROUND($B$5*$B$9*$B$12*$B$16*$B$18*$B$22*$B$23,0)</f>
        <v/>
      </c>
      <c r="Z42" s="10">
        <f>ROUND($B$5*$B$9*$B$12*$B$16*$B$18*$B$22*$B$24,0)</f>
        <v/>
      </c>
      <c r="AA42" s="10">
        <f>ROUND($B$5*$B$9*$B$12*$B$16*$B$18*$B$22*$B$25,0)</f>
        <v/>
      </c>
      <c r="AB42" s="10">
        <f>ROUND($B$5*$B$9*$B$12*$B$16*$B$19*$B$21*$B$23,0)</f>
        <v/>
      </c>
      <c r="AC42" s="10">
        <f>ROUND($B$5*$B$9*$B$12*$B$16*$B$19*$B$21*$B$24,0)</f>
        <v/>
      </c>
      <c r="AD42" s="10">
        <f>ROUND($B$5*$B$9*$B$12*$B$16*$B$19*$B$21*$B$25,0)</f>
        <v/>
      </c>
      <c r="AE42" s="10">
        <f>ROUND($B$5*$B$9*$B$12*$B$16*$B$19*$B$22*$B$23,0)</f>
        <v/>
      </c>
      <c r="AF42" s="10">
        <f>ROUND($B$5*$B$9*$B$12*$B$16*$B$19*$B$22*$B$24,0)</f>
        <v/>
      </c>
      <c r="AG42" s="10">
        <f>ROUND($B$5*$B$9*$B$12*$B$16*$B$19*$B$22*$B$25,0)</f>
        <v/>
      </c>
      <c r="AH42" s="10">
        <f>ROUND($B$5*$B$9*$B$12*$B$16*$B$20*$B$21*$B$23,0)</f>
        <v/>
      </c>
      <c r="AI42" s="10">
        <f>ROUND($B$5*$B$9*$B$12*$B$16*$B$20*$B$21*$B$24,0)</f>
        <v/>
      </c>
      <c r="AJ42" s="10">
        <f>ROUND($B$5*$B$9*$B$12*$B$16*$B$20*$B$21*$B$25,0)</f>
        <v/>
      </c>
      <c r="AK42" s="10">
        <f>ROUND($B$5*$B$9*$B$12*$B$16*$B$20*$B$22*$B$23,0)</f>
        <v/>
      </c>
      <c r="AL42" s="10">
        <f>ROUND($B$5*$B$9*$B$12*$B$16*$B$20*$B$22*$B$24,0)</f>
        <v/>
      </c>
      <c r="AM42" s="10">
        <f>ROUND($B$5*$B$9*$B$12*$B$16*$B$20*$B$22*$B$25,0)</f>
        <v/>
      </c>
      <c r="AN42" s="10">
        <f>ROUND($B$6*$B$9*$B$12*$B$16*$B$18*$B$21*$B$23,0)</f>
        <v/>
      </c>
      <c r="AO42" s="10">
        <f>ROUND($B$6*$B$9*$B$12*$B$16*$B$18*$B$21*$B$24,0)</f>
        <v/>
      </c>
      <c r="AP42" s="10">
        <f>ROUND($B$6*$B$9*$B$12*$B$16*$B$18*$B$21*$B$25,0)</f>
        <v/>
      </c>
      <c r="AQ42" s="10">
        <f>ROUND($B$6*$B$9*$B$12*$B$16*$B$18*$B$22*$B$23,0)</f>
        <v/>
      </c>
      <c r="AR42" s="10">
        <f>ROUND($B$6*$B$9*$B$12*$B$16*$B$18*$B$22*$B$24,0)</f>
        <v/>
      </c>
      <c r="AS42" s="10">
        <f>ROUND($B$6*$B$9*$B$12*$B$16*$B$18*$B$22*$B$25,0)</f>
        <v/>
      </c>
      <c r="AT42" s="10">
        <f>ROUND($B$6*$B$9*$B$12*$B$16*$B$19*$B$21*$B$23,0)</f>
        <v/>
      </c>
      <c r="AU42" s="10">
        <f>ROUND($B$6*$B$9*$B$12*$B$16*$B$19*$B$21*$B$24,0)</f>
        <v/>
      </c>
      <c r="AV42" s="10">
        <f>ROUND($B$6*$B$9*$B$12*$B$16*$B$19*$B$21*$B$25,0)</f>
        <v/>
      </c>
      <c r="AW42" s="10">
        <f>ROUND($B$6*$B$9*$B$12*$B$16*$B$19*$B$22*$B$23,0)</f>
        <v/>
      </c>
      <c r="AX42" s="10">
        <f>ROUND($B$6*$B$9*$B$12*$B$16*$B$19*$B$22*$B$24,0)</f>
        <v/>
      </c>
      <c r="AY42" s="10">
        <f>ROUND($B$6*$B$9*$B$12*$B$16*$B$19*$B$22*$B$25,0)</f>
        <v/>
      </c>
      <c r="AZ42" s="10">
        <f>ROUND($B$6*$B$9*$B$12*$B$16*$B$20*$B$21*$B$23,0)</f>
        <v/>
      </c>
      <c r="BA42" s="10">
        <f>ROUND($B$6*$B$9*$B$12*$B$16*$B$20*$B$21*$B$24,0)</f>
        <v/>
      </c>
      <c r="BB42" s="10">
        <f>ROUND($B$6*$B$9*$B$12*$B$16*$B$20*$B$21*$B$25,0)</f>
        <v/>
      </c>
      <c r="BC42" s="10">
        <f>ROUND($B$6*$B$9*$B$12*$B$16*$B$20*$B$22*$B$23,0)</f>
        <v/>
      </c>
      <c r="BD42" s="10">
        <f>ROUND($B$6*$B$9*$B$12*$B$16*$B$20*$B$22*$B$24,0)</f>
        <v/>
      </c>
      <c r="BE42" s="10">
        <f>ROUND($B$6*$B$9*$B$12*$B$16*$B$20*$B$22*$B$25,0)</f>
        <v/>
      </c>
    </row>
    <row r="43" ht="20.1" customHeight="1" s="62">
      <c r="A43" s="67" t="n"/>
      <c r="B43" s="59" t="n"/>
      <c r="C43" s="15" t="inlineStr">
        <is>
          <t>Avancée (base existante)</t>
        </is>
      </c>
      <c r="D43" s="10">
        <f>ROUND($B$4*$B$9*$B$12*$B$17*$B$18*$B$21*$B$23,0)</f>
        <v/>
      </c>
      <c r="E43" s="10">
        <f>ROUND($B$4*$B$9*$B$12*$B$17*$B$18*$B$21*$B$24,0)</f>
        <v/>
      </c>
      <c r="F43" s="10">
        <f>ROUND($B$4*$B$9*$B$12*$B$17*$B$18*$B$21*$B$25,0)</f>
        <v/>
      </c>
      <c r="G43" s="10">
        <f>ROUND($B$4*$B$9*$B$12*$B$17*$B$18*$B$22*$B$23,0)</f>
        <v/>
      </c>
      <c r="H43" s="10">
        <f>ROUND($B$4*$B$9*$B$12*$B$17*$B$18*$B$22*$B$24,0)</f>
        <v/>
      </c>
      <c r="I43" s="10">
        <f>ROUND($B$4*$B$9*$B$12*$B$17*$B$18*$B$22*$B$25,0)</f>
        <v/>
      </c>
      <c r="J43" s="10">
        <f>ROUND($B$4*$B$9*$B$12*$B$17*$B$19*$B$21*$B$23,0)</f>
        <v/>
      </c>
      <c r="K43" s="10">
        <f>ROUND($B$4*$B$9*$B$12*$B$17*$B$19*$B$21*$B$24,0)</f>
        <v/>
      </c>
      <c r="L43" s="10">
        <f>ROUND($B$4*$B$9*$B$12*$B$17*$B$19*$B$21*$B$25,0)</f>
        <v/>
      </c>
      <c r="M43" s="10">
        <f>ROUND($B$4*$B$9*$B$12*$B$17*$B$19*$B$22*$B$23,0)</f>
        <v/>
      </c>
      <c r="N43" s="10">
        <f>ROUND($B$4*$B$9*$B$12*$B$17*$B$19*$B$22*$B$24,0)</f>
        <v/>
      </c>
      <c r="O43" s="10">
        <f>ROUND($B$4*$B$9*$B$12*$B$17*$B$19*$B$22*$B$25,0)</f>
        <v/>
      </c>
      <c r="P43" s="10">
        <f>ROUND($B$4*$B$9*$B$12*$B$17*$B$20*$B$21*$B$23,0)</f>
        <v/>
      </c>
      <c r="Q43" s="10">
        <f>ROUND($B$4*$B$9*$B$12*$B$17*$B$20*$B$21*$B$24,0)</f>
        <v/>
      </c>
      <c r="R43" s="10">
        <f>ROUND($B$4*$B$9*$B$12*$B$17*$B$20*$B$21*$B$25,0)</f>
        <v/>
      </c>
      <c r="S43" s="10">
        <f>ROUND($B$4*$B$9*$B$12*$B$17*$B$20*$B$22*$B$23,0)</f>
        <v/>
      </c>
      <c r="T43" s="10">
        <f>ROUND($B$4*$B$9*$B$12*$B$17*$B$20*$B$22*$B$24,0)</f>
        <v/>
      </c>
      <c r="U43" s="10">
        <f>ROUND($B$4*$B$9*$B$12*$B$17*$B$20*$B$22*$B$25,0)</f>
        <v/>
      </c>
      <c r="V43" s="10">
        <f>ROUND($B$5*$B$9*$B$12*$B$17*$B$18*$B$21*$B$23,0)</f>
        <v/>
      </c>
      <c r="W43" s="10">
        <f>ROUND($B$5*$B$9*$B$12*$B$17*$B$18*$B$21*$B$24,0)</f>
        <v/>
      </c>
      <c r="X43" s="10">
        <f>ROUND($B$5*$B$9*$B$12*$B$17*$B$18*$B$21*$B$25,0)</f>
        <v/>
      </c>
      <c r="Y43" s="10">
        <f>ROUND($B$5*$B$9*$B$12*$B$17*$B$18*$B$22*$B$23,0)</f>
        <v/>
      </c>
      <c r="Z43" s="10">
        <f>ROUND($B$5*$B$9*$B$12*$B$17*$B$18*$B$22*$B$24,0)</f>
        <v/>
      </c>
      <c r="AA43" s="10">
        <f>ROUND($B$5*$B$9*$B$12*$B$17*$B$18*$B$22*$B$25,0)</f>
        <v/>
      </c>
      <c r="AB43" s="10">
        <f>ROUND($B$5*$B$9*$B$12*$B$17*$B$19*$B$21*$B$23,0)</f>
        <v/>
      </c>
      <c r="AC43" s="10">
        <f>ROUND($B$5*$B$9*$B$12*$B$17*$B$19*$B$21*$B$24,0)</f>
        <v/>
      </c>
      <c r="AD43" s="10">
        <f>ROUND($B$5*$B$9*$B$12*$B$17*$B$19*$B$21*$B$25,0)</f>
        <v/>
      </c>
      <c r="AE43" s="10">
        <f>ROUND($B$5*$B$9*$B$12*$B$17*$B$19*$B$22*$B$23,0)</f>
        <v/>
      </c>
      <c r="AF43" s="10">
        <f>ROUND($B$5*$B$9*$B$12*$B$17*$B$19*$B$22*$B$24,0)</f>
        <v/>
      </c>
      <c r="AG43" s="10">
        <f>ROUND($B$5*$B$9*$B$12*$B$17*$B$19*$B$22*$B$25,0)</f>
        <v/>
      </c>
      <c r="AH43" s="10">
        <f>ROUND($B$5*$B$9*$B$12*$B$17*$B$20*$B$21*$B$23,0)</f>
        <v/>
      </c>
      <c r="AI43" s="10">
        <f>ROUND($B$5*$B$9*$B$12*$B$17*$B$20*$B$21*$B$24,0)</f>
        <v/>
      </c>
      <c r="AJ43" s="10">
        <f>ROUND($B$5*$B$9*$B$12*$B$17*$B$20*$B$21*$B$25,0)</f>
        <v/>
      </c>
      <c r="AK43" s="10">
        <f>ROUND($B$5*$B$9*$B$12*$B$17*$B$20*$B$22*$B$23,0)</f>
        <v/>
      </c>
      <c r="AL43" s="10">
        <f>ROUND($B$5*$B$9*$B$12*$B$17*$B$20*$B$22*$B$24,0)</f>
        <v/>
      </c>
      <c r="AM43" s="10">
        <f>ROUND($B$5*$B$9*$B$12*$B$17*$B$20*$B$22*$B$25,0)</f>
        <v/>
      </c>
      <c r="AN43" s="10">
        <f>ROUND($B$6*$B$9*$B$12*$B$17*$B$18*$B$21*$B$23,0)</f>
        <v/>
      </c>
      <c r="AO43" s="10">
        <f>ROUND($B$6*$B$9*$B$12*$B$17*$B$18*$B$21*$B$24,0)</f>
        <v/>
      </c>
      <c r="AP43" s="10">
        <f>ROUND($B$6*$B$9*$B$12*$B$17*$B$18*$B$21*$B$25,0)</f>
        <v/>
      </c>
      <c r="AQ43" s="10">
        <f>ROUND($B$6*$B$9*$B$12*$B$17*$B$18*$B$22*$B$23,0)</f>
        <v/>
      </c>
      <c r="AR43" s="10">
        <f>ROUND($B$6*$B$9*$B$12*$B$17*$B$18*$B$22*$B$24,0)</f>
        <v/>
      </c>
      <c r="AS43" s="10">
        <f>ROUND($B$6*$B$9*$B$12*$B$17*$B$18*$B$22*$B$25,0)</f>
        <v/>
      </c>
      <c r="AT43" s="10">
        <f>ROUND($B$6*$B$9*$B$12*$B$17*$B$19*$B$21*$B$23,0)</f>
        <v/>
      </c>
      <c r="AU43" s="10">
        <f>ROUND($B$6*$B$9*$B$12*$B$17*$B$19*$B$21*$B$24,0)</f>
        <v/>
      </c>
      <c r="AV43" s="10">
        <f>ROUND($B$6*$B$9*$B$12*$B$17*$B$19*$B$21*$B$25,0)</f>
        <v/>
      </c>
      <c r="AW43" s="10">
        <f>ROUND($B$6*$B$9*$B$12*$B$17*$B$19*$B$22*$B$23,0)</f>
        <v/>
      </c>
      <c r="AX43" s="10">
        <f>ROUND($B$6*$B$9*$B$12*$B$17*$B$19*$B$22*$B$24,0)</f>
        <v/>
      </c>
      <c r="AY43" s="10">
        <f>ROUND($B$6*$B$9*$B$12*$B$17*$B$19*$B$22*$B$25,0)</f>
        <v/>
      </c>
      <c r="AZ43" s="10">
        <f>ROUND($B$6*$B$9*$B$12*$B$17*$B$20*$B$21*$B$23,0)</f>
        <v/>
      </c>
      <c r="BA43" s="10">
        <f>ROUND($B$6*$B$9*$B$12*$B$17*$B$20*$B$21*$B$24,0)</f>
        <v/>
      </c>
      <c r="BB43" s="10">
        <f>ROUND($B$6*$B$9*$B$12*$B$17*$B$20*$B$21*$B$25,0)</f>
        <v/>
      </c>
      <c r="BC43" s="10">
        <f>ROUND($B$6*$B$9*$B$12*$B$17*$B$20*$B$22*$B$23,0)</f>
        <v/>
      </c>
      <c r="BD43" s="10">
        <f>ROUND($B$6*$B$9*$B$12*$B$17*$B$20*$B$22*$B$24,0)</f>
        <v/>
      </c>
      <c r="BE43" s="10">
        <f>ROUND($B$6*$B$9*$B$12*$B$17*$B$20*$B$22*$B$25,0)</f>
        <v/>
      </c>
    </row>
    <row r="44" ht="20.1" customHeight="1" s="62">
      <c r="A44" s="67" t="n"/>
      <c r="B44" s="57" t="inlineStr">
        <is>
          <t>6-15 processus</t>
        </is>
      </c>
      <c r="C44" s="14" t="inlineStr">
        <is>
          <t>Faible (peu ou pas de formalisation)</t>
        </is>
      </c>
      <c r="D44" s="10">
        <f>ROUND($B$4*$B$9*$B$13*$B$15*$B$18*$B$21*$B$23,0)</f>
        <v/>
      </c>
      <c r="E44" s="10">
        <f>ROUND($B$4*$B$9*$B$13*$B$15*$B$18*$B$21*$B$24,0)</f>
        <v/>
      </c>
      <c r="F44" s="10">
        <f>ROUND($B$4*$B$9*$B$13*$B$15*$B$18*$B$21*$B$25,0)</f>
        <v/>
      </c>
      <c r="G44" s="10">
        <f>ROUND($B$4*$B$9*$B$13*$B$15*$B$18*$B$22*$B$23,0)</f>
        <v/>
      </c>
      <c r="H44" s="10">
        <f>ROUND($B$4*$B$9*$B$13*$B$15*$B$18*$B$22*$B$24,0)</f>
        <v/>
      </c>
      <c r="I44" s="10">
        <f>ROUND($B$4*$B$9*$B$13*$B$15*$B$18*$B$22*$B$25,0)</f>
        <v/>
      </c>
      <c r="J44" s="10">
        <f>ROUND($B$4*$B$9*$B$13*$B$15*$B$19*$B$21*$B$23,0)</f>
        <v/>
      </c>
      <c r="K44" s="10">
        <f>ROUND($B$4*$B$9*$B$13*$B$15*$B$19*$B$21*$B$24,0)</f>
        <v/>
      </c>
      <c r="L44" s="10">
        <f>ROUND($B$4*$B$9*$B$13*$B$15*$B$19*$B$21*$B$25,0)</f>
        <v/>
      </c>
      <c r="M44" s="10">
        <f>ROUND($B$4*$B$9*$B$13*$B$15*$B$19*$B$22*$B$23,0)</f>
        <v/>
      </c>
      <c r="N44" s="10">
        <f>ROUND($B$4*$B$9*$B$13*$B$15*$B$19*$B$22*$B$24,0)</f>
        <v/>
      </c>
      <c r="O44" s="10">
        <f>ROUND($B$4*$B$9*$B$13*$B$15*$B$19*$B$22*$B$25,0)</f>
        <v/>
      </c>
      <c r="P44" s="10">
        <f>ROUND($B$4*$B$9*$B$13*$B$15*$B$20*$B$21*$B$23,0)</f>
        <v/>
      </c>
      <c r="Q44" s="10">
        <f>ROUND($B$4*$B$9*$B$13*$B$15*$B$20*$B$21*$B$24,0)</f>
        <v/>
      </c>
      <c r="R44" s="10">
        <f>ROUND($B$4*$B$9*$B$13*$B$15*$B$20*$B$21*$B$25,0)</f>
        <v/>
      </c>
      <c r="S44" s="10">
        <f>ROUND($B$4*$B$9*$B$13*$B$15*$B$20*$B$22*$B$23,0)</f>
        <v/>
      </c>
      <c r="T44" s="10">
        <f>ROUND($B$4*$B$9*$B$13*$B$15*$B$20*$B$22*$B$24,0)</f>
        <v/>
      </c>
      <c r="U44" s="10">
        <f>ROUND($B$4*$B$9*$B$13*$B$15*$B$20*$B$22*$B$25,0)</f>
        <v/>
      </c>
      <c r="V44" s="10">
        <f>ROUND($B$5*$B$9*$B$13*$B$15*$B$18*$B$21*$B$23,0)</f>
        <v/>
      </c>
      <c r="W44" s="10">
        <f>ROUND($B$5*$B$9*$B$13*$B$15*$B$18*$B$21*$B$24,0)</f>
        <v/>
      </c>
      <c r="X44" s="10">
        <f>ROUND($B$5*$B$9*$B$13*$B$15*$B$18*$B$21*$B$25,0)</f>
        <v/>
      </c>
      <c r="Y44" s="10">
        <f>ROUND($B$5*$B$9*$B$13*$B$15*$B$18*$B$22*$B$23,0)</f>
        <v/>
      </c>
      <c r="Z44" s="10">
        <f>ROUND($B$5*$B$9*$B$13*$B$15*$B$18*$B$22*$B$24,0)</f>
        <v/>
      </c>
      <c r="AA44" s="10">
        <f>ROUND($B$5*$B$9*$B$13*$B$15*$B$18*$B$22*$B$25,0)</f>
        <v/>
      </c>
      <c r="AB44" s="10">
        <f>ROUND($B$5*$B$9*$B$13*$B$15*$B$19*$B$21*$B$23,0)</f>
        <v/>
      </c>
      <c r="AC44" s="10">
        <f>ROUND($B$5*$B$9*$B$13*$B$15*$B$19*$B$21*$B$24,0)</f>
        <v/>
      </c>
      <c r="AD44" s="10">
        <f>ROUND($B$5*$B$9*$B$13*$B$15*$B$19*$B$21*$B$25,0)</f>
        <v/>
      </c>
      <c r="AE44" s="10">
        <f>ROUND($B$5*$B$9*$B$13*$B$15*$B$19*$B$22*$B$23,0)</f>
        <v/>
      </c>
      <c r="AF44" s="10">
        <f>ROUND($B$5*$B$9*$B$13*$B$15*$B$19*$B$22*$B$24,0)</f>
        <v/>
      </c>
      <c r="AG44" s="10">
        <f>ROUND($B$5*$B$9*$B$13*$B$15*$B$19*$B$22*$B$25,0)</f>
        <v/>
      </c>
      <c r="AH44" s="10">
        <f>ROUND($B$5*$B$9*$B$13*$B$15*$B$20*$B$21*$B$23,0)</f>
        <v/>
      </c>
      <c r="AI44" s="10">
        <f>ROUND($B$5*$B$9*$B$13*$B$15*$B$20*$B$21*$B$24,0)</f>
        <v/>
      </c>
      <c r="AJ44" s="10">
        <f>ROUND($B$5*$B$9*$B$13*$B$15*$B$20*$B$21*$B$25,0)</f>
        <v/>
      </c>
      <c r="AK44" s="10">
        <f>ROUND($B$5*$B$9*$B$13*$B$15*$B$20*$B$22*$B$23,0)</f>
        <v/>
      </c>
      <c r="AL44" s="10">
        <f>ROUND($B$5*$B$9*$B$13*$B$15*$B$20*$B$22*$B$24,0)</f>
        <v/>
      </c>
      <c r="AM44" s="10">
        <f>ROUND($B$5*$B$9*$B$13*$B$15*$B$20*$B$22*$B$25,0)</f>
        <v/>
      </c>
      <c r="AN44" s="10">
        <f>ROUND($B$6*$B$9*$B$13*$B$15*$B$18*$B$21*$B$23,0)</f>
        <v/>
      </c>
      <c r="AO44" s="10">
        <f>ROUND($B$6*$B$9*$B$13*$B$15*$B$18*$B$21*$B$24,0)</f>
        <v/>
      </c>
      <c r="AP44" s="10">
        <f>ROUND($B$6*$B$9*$B$13*$B$15*$B$18*$B$21*$B$25,0)</f>
        <v/>
      </c>
      <c r="AQ44" s="10">
        <f>ROUND($B$6*$B$9*$B$13*$B$15*$B$18*$B$22*$B$23,0)</f>
        <v/>
      </c>
      <c r="AR44" s="10">
        <f>ROUND($B$6*$B$9*$B$13*$B$15*$B$18*$B$22*$B$24,0)</f>
        <v/>
      </c>
      <c r="AS44" s="10">
        <f>ROUND($B$6*$B$9*$B$13*$B$15*$B$18*$B$22*$B$25,0)</f>
        <v/>
      </c>
      <c r="AT44" s="10">
        <f>ROUND($B$6*$B$9*$B$13*$B$15*$B$19*$B$21*$B$23,0)</f>
        <v/>
      </c>
      <c r="AU44" s="10">
        <f>ROUND($B$6*$B$9*$B$13*$B$15*$B$19*$B$21*$B$24,0)</f>
        <v/>
      </c>
      <c r="AV44" s="10">
        <f>ROUND($B$6*$B$9*$B$13*$B$15*$B$19*$B$21*$B$25,0)</f>
        <v/>
      </c>
      <c r="AW44" s="10">
        <f>ROUND($B$6*$B$9*$B$13*$B$15*$B$19*$B$22*$B$23,0)</f>
        <v/>
      </c>
      <c r="AX44" s="10">
        <f>ROUND($B$6*$B$9*$B$13*$B$15*$B$19*$B$22*$B$24,0)</f>
        <v/>
      </c>
      <c r="AY44" s="10">
        <f>ROUND($B$6*$B$9*$B$13*$B$15*$B$19*$B$22*$B$25,0)</f>
        <v/>
      </c>
      <c r="AZ44" s="10">
        <f>ROUND($B$6*$B$9*$B$13*$B$15*$B$20*$B$21*$B$23,0)</f>
        <v/>
      </c>
      <c r="BA44" s="10">
        <f>ROUND($B$6*$B$9*$B$13*$B$15*$B$20*$B$21*$B$24,0)</f>
        <v/>
      </c>
      <c r="BB44" s="10">
        <f>ROUND($B$6*$B$9*$B$13*$B$15*$B$20*$B$21*$B$25,0)</f>
        <v/>
      </c>
      <c r="BC44" s="10">
        <f>ROUND($B$6*$B$9*$B$13*$B$15*$B$20*$B$22*$B$23,0)</f>
        <v/>
      </c>
      <c r="BD44" s="10">
        <f>ROUND($B$6*$B$9*$B$13*$B$15*$B$20*$B$22*$B$24,0)</f>
        <v/>
      </c>
      <c r="BE44" s="10">
        <f>ROUND($B$6*$B$9*$B$13*$B$15*$B$20*$B$22*$B$25,0)</f>
        <v/>
      </c>
    </row>
    <row r="45" ht="20.1" customHeight="1" s="62">
      <c r="A45" s="67" t="n"/>
      <c r="B45" s="58" t="n"/>
      <c r="C45" s="57" t="inlineStr">
        <is>
          <t>Intermédiaire</t>
        </is>
      </c>
      <c r="D45" s="10">
        <f>ROUND($B$4*$B$9*$B$13*$B$16*$B$18*$B$21*$B$23,0)</f>
        <v/>
      </c>
      <c r="E45" s="10">
        <f>ROUND($B$4*$B$9*$B$13*$B$16*$B$18*$B$21*$B$24,0)</f>
        <v/>
      </c>
      <c r="F45" s="10">
        <f>ROUND($B$4*$B$9*$B$13*$B$16*$B$18*$B$21*$B$25,0)</f>
        <v/>
      </c>
      <c r="G45" s="10">
        <f>ROUND($B$4*$B$9*$B$13*$B$16*$B$18*$B$22*$B$23,0)</f>
        <v/>
      </c>
      <c r="H45" s="10">
        <f>ROUND($B$4*$B$9*$B$13*$B$16*$B$18*$B$22*$B$24,0)</f>
        <v/>
      </c>
      <c r="I45" s="10">
        <f>ROUND($B$4*$B$9*$B$13*$B$16*$B$18*$B$22*$B$25,0)</f>
        <v/>
      </c>
      <c r="J45" s="10">
        <f>ROUND($B$4*$B$9*$B$13*$B$16*$B$19*$B$21*$B$23,0)</f>
        <v/>
      </c>
      <c r="K45" s="10">
        <f>ROUND($B$4*$B$9*$B$13*$B$16*$B$19*$B$21*$B$24,0)</f>
        <v/>
      </c>
      <c r="L45" s="10">
        <f>ROUND($B$4*$B$9*$B$13*$B$16*$B$19*$B$21*$B$25,0)</f>
        <v/>
      </c>
      <c r="M45" s="10">
        <f>ROUND($B$4*$B$9*$B$13*$B$16*$B$19*$B$22*$B$23,0)</f>
        <v/>
      </c>
      <c r="N45" s="10">
        <f>ROUND($B$4*$B$9*$B$13*$B$16*$B$19*$B$22*$B$24,0)</f>
        <v/>
      </c>
      <c r="O45" s="10">
        <f>ROUND($B$4*$B$9*$B$13*$B$16*$B$19*$B$22*$B$25,0)</f>
        <v/>
      </c>
      <c r="P45" s="10">
        <f>ROUND($B$4*$B$9*$B$13*$B$16*$B$20*$B$21*$B$23,0)</f>
        <v/>
      </c>
      <c r="Q45" s="10">
        <f>ROUND($B$4*$B$9*$B$13*$B$16*$B$20*$B$21*$B$24,0)</f>
        <v/>
      </c>
      <c r="R45" s="10">
        <f>ROUND($B$4*$B$9*$B$13*$B$16*$B$20*$B$21*$B$25,0)</f>
        <v/>
      </c>
      <c r="S45" s="10">
        <f>ROUND($B$4*$B$9*$B$13*$B$16*$B$20*$B$22*$B$23,0)</f>
        <v/>
      </c>
      <c r="T45" s="10">
        <f>ROUND($B$4*$B$9*$B$13*$B$16*$B$20*$B$22*$B$24,0)</f>
        <v/>
      </c>
      <c r="U45" s="10">
        <f>ROUND($B$4*$B$9*$B$13*$B$16*$B$20*$B$22*$B$25,0)</f>
        <v/>
      </c>
      <c r="V45" s="10">
        <f>ROUND($B$5*$B$9*$B$13*$B$16*$B$18*$B$21*$B$23,0)</f>
        <v/>
      </c>
      <c r="W45" s="10">
        <f>ROUND($B$5*$B$9*$B$13*$B$16*$B$18*$B$21*$B$24,0)</f>
        <v/>
      </c>
      <c r="X45" s="10">
        <f>ROUND($B$5*$B$9*$B$13*$B$16*$B$18*$B$21*$B$25,0)</f>
        <v/>
      </c>
      <c r="Y45" s="10">
        <f>ROUND($B$5*$B$9*$B$13*$B$16*$B$18*$B$22*$B$23,0)</f>
        <v/>
      </c>
      <c r="Z45" s="10">
        <f>ROUND($B$5*$B$9*$B$13*$B$16*$B$18*$B$22*$B$24,0)</f>
        <v/>
      </c>
      <c r="AA45" s="10">
        <f>ROUND($B$5*$B$9*$B$13*$B$16*$B$18*$B$22*$B$25,0)</f>
        <v/>
      </c>
      <c r="AB45" s="10">
        <f>ROUND($B$5*$B$9*$B$13*$B$16*$B$19*$B$21*$B$23,0)</f>
        <v/>
      </c>
      <c r="AC45" s="10">
        <f>ROUND($B$5*$B$9*$B$13*$B$16*$B$19*$B$21*$B$24,0)</f>
        <v/>
      </c>
      <c r="AD45" s="10">
        <f>ROUND($B$5*$B$9*$B$13*$B$16*$B$19*$B$21*$B$25,0)</f>
        <v/>
      </c>
      <c r="AE45" s="10">
        <f>ROUND($B$5*$B$9*$B$13*$B$16*$B$19*$B$22*$B$23,0)</f>
        <v/>
      </c>
      <c r="AF45" s="10">
        <f>ROUND($B$5*$B$9*$B$13*$B$16*$B$19*$B$22*$B$24,0)</f>
        <v/>
      </c>
      <c r="AG45" s="10">
        <f>ROUND($B$5*$B$9*$B$13*$B$16*$B$19*$B$22*$B$25,0)</f>
        <v/>
      </c>
      <c r="AH45" s="10">
        <f>ROUND($B$5*$B$9*$B$13*$B$16*$B$20*$B$21*$B$23,0)</f>
        <v/>
      </c>
      <c r="AI45" s="10">
        <f>ROUND($B$5*$B$9*$B$13*$B$16*$B$20*$B$21*$B$24,0)</f>
        <v/>
      </c>
      <c r="AJ45" s="10">
        <f>ROUND($B$5*$B$9*$B$13*$B$16*$B$20*$B$21*$B$25,0)</f>
        <v/>
      </c>
      <c r="AK45" s="10">
        <f>ROUND($B$5*$B$9*$B$13*$B$16*$B$20*$B$22*$B$23,0)</f>
        <v/>
      </c>
      <c r="AL45" s="10">
        <f>ROUND($B$5*$B$9*$B$13*$B$16*$B$20*$B$22*$B$24,0)</f>
        <v/>
      </c>
      <c r="AM45" s="10">
        <f>ROUND($B$5*$B$9*$B$13*$B$16*$B$20*$B$22*$B$25,0)</f>
        <v/>
      </c>
      <c r="AN45" s="10">
        <f>ROUND($B$6*$B$9*$B$13*$B$16*$B$18*$B$21*$B$23,0)</f>
        <v/>
      </c>
      <c r="AO45" s="10">
        <f>ROUND($B$6*$B$9*$B$13*$B$16*$B$18*$B$21*$B$24,0)</f>
        <v/>
      </c>
      <c r="AP45" s="10">
        <f>ROUND($B$6*$B$9*$B$13*$B$16*$B$18*$B$21*$B$25,0)</f>
        <v/>
      </c>
      <c r="AQ45" s="10">
        <f>ROUND($B$6*$B$9*$B$13*$B$16*$B$18*$B$22*$B$23,0)</f>
        <v/>
      </c>
      <c r="AR45" s="10">
        <f>ROUND($B$6*$B$9*$B$13*$B$16*$B$18*$B$22*$B$24,0)</f>
        <v/>
      </c>
      <c r="AS45" s="10">
        <f>ROUND($B$6*$B$9*$B$13*$B$16*$B$18*$B$22*$B$25,0)</f>
        <v/>
      </c>
      <c r="AT45" s="10">
        <f>ROUND($B$6*$B$9*$B$13*$B$16*$B$19*$B$21*$B$23,0)</f>
        <v/>
      </c>
      <c r="AU45" s="10">
        <f>ROUND($B$6*$B$9*$B$13*$B$16*$B$19*$B$21*$B$24,0)</f>
        <v/>
      </c>
      <c r="AV45" s="10">
        <f>ROUND($B$6*$B$9*$B$13*$B$16*$B$19*$B$21*$B$25,0)</f>
        <v/>
      </c>
      <c r="AW45" s="10">
        <f>ROUND($B$6*$B$9*$B$13*$B$16*$B$19*$B$22*$B$23,0)</f>
        <v/>
      </c>
      <c r="AX45" s="10">
        <f>ROUND($B$6*$B$9*$B$13*$B$16*$B$19*$B$22*$B$24,0)</f>
        <v/>
      </c>
      <c r="AY45" s="10">
        <f>ROUND($B$6*$B$9*$B$13*$B$16*$B$19*$B$22*$B$25,0)</f>
        <v/>
      </c>
      <c r="AZ45" s="10">
        <f>ROUND($B$6*$B$9*$B$13*$B$16*$B$20*$B$21*$B$23,0)</f>
        <v/>
      </c>
      <c r="BA45" s="10">
        <f>ROUND($B$6*$B$9*$B$13*$B$16*$B$20*$B$21*$B$24,0)</f>
        <v/>
      </c>
      <c r="BB45" s="10">
        <f>ROUND($B$6*$B$9*$B$13*$B$16*$B$20*$B$21*$B$25,0)</f>
        <v/>
      </c>
      <c r="BC45" s="10">
        <f>ROUND($B$6*$B$9*$B$13*$B$16*$B$20*$B$22*$B$23,0)</f>
        <v/>
      </c>
      <c r="BD45" s="10">
        <f>ROUND($B$6*$B$9*$B$13*$B$16*$B$20*$B$22*$B$24,0)</f>
        <v/>
      </c>
      <c r="BE45" s="10">
        <f>ROUND($B$6*$B$9*$B$13*$B$16*$B$20*$B$22*$B$25,0)</f>
        <v/>
      </c>
    </row>
    <row r="46" ht="20.1" customHeight="1" s="62">
      <c r="A46" s="67" t="n"/>
      <c r="B46" s="59" t="n"/>
      <c r="C46" s="15" t="inlineStr">
        <is>
          <t>Avancée (base existante)</t>
        </is>
      </c>
      <c r="D46" s="10">
        <f>ROUND($B$4*$B$9*$B$13*$B$17*$B$18*$B$21*$B$23,0)</f>
        <v/>
      </c>
      <c r="E46" s="10">
        <f>ROUND($B$4*$B$9*$B$13*$B$17*$B$18*$B$21*$B$24,0)</f>
        <v/>
      </c>
      <c r="F46" s="10">
        <f>ROUND($B$4*$B$9*$B$13*$B$17*$B$18*$B$21*$B$25,0)</f>
        <v/>
      </c>
      <c r="G46" s="10">
        <f>ROUND($B$4*$B$9*$B$13*$B$17*$B$18*$B$22*$B$23,0)</f>
        <v/>
      </c>
      <c r="H46" s="10">
        <f>ROUND($B$4*$B$9*$B$13*$B$17*$B$18*$B$22*$B$24,0)</f>
        <v/>
      </c>
      <c r="I46" s="10">
        <f>ROUND($B$4*$B$9*$B$13*$B$17*$B$18*$B$22*$B$25,0)</f>
        <v/>
      </c>
      <c r="J46" s="10">
        <f>ROUND($B$4*$B$9*$B$13*$B$17*$B$19*$B$21*$B$23,0)</f>
        <v/>
      </c>
      <c r="K46" s="10">
        <f>ROUND($B$4*$B$9*$B$13*$B$17*$B$19*$B$21*$B$24,0)</f>
        <v/>
      </c>
      <c r="L46" s="10">
        <f>ROUND($B$4*$B$9*$B$13*$B$17*$B$19*$B$21*$B$25,0)</f>
        <v/>
      </c>
      <c r="M46" s="10">
        <f>ROUND($B$4*$B$9*$B$13*$B$17*$B$19*$B$22*$B$23,0)</f>
        <v/>
      </c>
      <c r="N46" s="10">
        <f>ROUND($B$4*$B$9*$B$13*$B$17*$B$19*$B$22*$B$24,0)</f>
        <v/>
      </c>
      <c r="O46" s="10">
        <f>ROUND($B$4*$B$9*$B$13*$B$17*$B$19*$B$22*$B$25,0)</f>
        <v/>
      </c>
      <c r="P46" s="10">
        <f>ROUND($B$4*$B$9*$B$13*$B$17*$B$20*$B$21*$B$23,0)</f>
        <v/>
      </c>
      <c r="Q46" s="10">
        <f>ROUND($B$4*$B$9*$B$13*$B$17*$B$20*$B$21*$B$24,0)</f>
        <v/>
      </c>
      <c r="R46" s="10">
        <f>ROUND($B$4*$B$9*$B$13*$B$17*$B$20*$B$21*$B$25,0)</f>
        <v/>
      </c>
      <c r="S46" s="10">
        <f>ROUND($B$4*$B$9*$B$13*$B$17*$B$20*$B$22*$B$23,0)</f>
        <v/>
      </c>
      <c r="T46" s="10">
        <f>ROUND($B$4*$B$9*$B$13*$B$17*$B$20*$B$22*$B$24,0)</f>
        <v/>
      </c>
      <c r="U46" s="10">
        <f>ROUND($B$4*$B$9*$B$13*$B$17*$B$20*$B$22*$B$25,0)</f>
        <v/>
      </c>
      <c r="V46" s="10">
        <f>ROUND($B$5*$B$9*$B$13*$B$17*$B$18*$B$21*$B$23,0)</f>
        <v/>
      </c>
      <c r="W46" s="10">
        <f>ROUND($B$5*$B$9*$B$13*$B$17*$B$18*$B$21*$B$24,0)</f>
        <v/>
      </c>
      <c r="X46" s="10">
        <f>ROUND($B$5*$B$9*$B$13*$B$17*$B$18*$B$21*$B$25,0)</f>
        <v/>
      </c>
      <c r="Y46" s="10">
        <f>ROUND($B$5*$B$9*$B$13*$B$17*$B$18*$B$22*$B$23,0)</f>
        <v/>
      </c>
      <c r="Z46" s="10">
        <f>ROUND($B$5*$B$9*$B$13*$B$17*$B$18*$B$22*$B$24,0)</f>
        <v/>
      </c>
      <c r="AA46" s="10">
        <f>ROUND($B$5*$B$9*$B$13*$B$17*$B$18*$B$22*$B$25,0)</f>
        <v/>
      </c>
      <c r="AB46" s="10">
        <f>ROUND($B$5*$B$9*$B$13*$B$17*$B$19*$B$21*$B$23,0)</f>
        <v/>
      </c>
      <c r="AC46" s="10">
        <f>ROUND($B$5*$B$9*$B$13*$B$17*$B$19*$B$21*$B$24,0)</f>
        <v/>
      </c>
      <c r="AD46" s="10">
        <f>ROUND($B$5*$B$9*$B$13*$B$17*$B$19*$B$21*$B$25,0)</f>
        <v/>
      </c>
      <c r="AE46" s="10">
        <f>ROUND($B$5*$B$9*$B$13*$B$17*$B$19*$B$22*$B$23,0)</f>
        <v/>
      </c>
      <c r="AF46" s="10">
        <f>ROUND($B$5*$B$9*$B$13*$B$17*$B$19*$B$22*$B$24,0)</f>
        <v/>
      </c>
      <c r="AG46" s="10">
        <f>ROUND($B$5*$B$9*$B$13*$B$17*$B$19*$B$22*$B$25,0)</f>
        <v/>
      </c>
      <c r="AH46" s="10">
        <f>ROUND($B$5*$B$9*$B$13*$B$17*$B$20*$B$21*$B$23,0)</f>
        <v/>
      </c>
      <c r="AI46" s="10">
        <f>ROUND($B$5*$B$9*$B$13*$B$17*$B$20*$B$21*$B$24,0)</f>
        <v/>
      </c>
      <c r="AJ46" s="10">
        <f>ROUND($B$5*$B$9*$B$13*$B$17*$B$20*$B$21*$B$25,0)</f>
        <v/>
      </c>
      <c r="AK46" s="10">
        <f>ROUND($B$5*$B$9*$B$13*$B$17*$B$20*$B$22*$B$23,0)</f>
        <v/>
      </c>
      <c r="AL46" s="10">
        <f>ROUND($B$5*$B$9*$B$13*$B$17*$B$20*$B$22*$B$24,0)</f>
        <v/>
      </c>
      <c r="AM46" s="10">
        <f>ROUND($B$5*$B$9*$B$13*$B$17*$B$20*$B$22*$B$25,0)</f>
        <v/>
      </c>
      <c r="AN46" s="10">
        <f>ROUND($B$6*$B$9*$B$13*$B$17*$B$18*$B$21*$B$23,0)</f>
        <v/>
      </c>
      <c r="AO46" s="10">
        <f>ROUND($B$6*$B$9*$B$13*$B$17*$B$18*$B$21*$B$24,0)</f>
        <v/>
      </c>
      <c r="AP46" s="10">
        <f>ROUND($B$6*$B$9*$B$13*$B$17*$B$18*$B$21*$B$25,0)</f>
        <v/>
      </c>
      <c r="AQ46" s="10">
        <f>ROUND($B$6*$B$9*$B$13*$B$17*$B$18*$B$22*$B$23,0)</f>
        <v/>
      </c>
      <c r="AR46" s="10">
        <f>ROUND($B$6*$B$9*$B$13*$B$17*$B$18*$B$22*$B$24,0)</f>
        <v/>
      </c>
      <c r="AS46" s="10">
        <f>ROUND($B$6*$B$9*$B$13*$B$17*$B$18*$B$22*$B$25,0)</f>
        <v/>
      </c>
      <c r="AT46" s="10">
        <f>ROUND($B$6*$B$9*$B$13*$B$17*$B$19*$B$21*$B$23,0)</f>
        <v/>
      </c>
      <c r="AU46" s="10">
        <f>ROUND($B$6*$B$9*$B$13*$B$17*$B$19*$B$21*$B$24,0)</f>
        <v/>
      </c>
      <c r="AV46" s="10">
        <f>ROUND($B$6*$B$9*$B$13*$B$17*$B$19*$B$21*$B$25,0)</f>
        <v/>
      </c>
      <c r="AW46" s="10">
        <f>ROUND($B$6*$B$9*$B$13*$B$17*$B$19*$B$22*$B$23,0)</f>
        <v/>
      </c>
      <c r="AX46" s="10">
        <f>ROUND($B$6*$B$9*$B$13*$B$17*$B$19*$B$22*$B$24,0)</f>
        <v/>
      </c>
      <c r="AY46" s="10">
        <f>ROUND($B$6*$B$9*$B$13*$B$17*$B$19*$B$22*$B$25,0)</f>
        <v/>
      </c>
      <c r="AZ46" s="10">
        <f>ROUND($B$6*$B$9*$B$13*$B$17*$B$20*$B$21*$B$23,0)</f>
        <v/>
      </c>
      <c r="BA46" s="10">
        <f>ROUND($B$6*$B$9*$B$13*$B$17*$B$20*$B$21*$B$24,0)</f>
        <v/>
      </c>
      <c r="BB46" s="10">
        <f>ROUND($B$6*$B$9*$B$13*$B$17*$B$20*$B$21*$B$25,0)</f>
        <v/>
      </c>
      <c r="BC46" s="10">
        <f>ROUND($B$6*$B$9*$B$13*$B$17*$B$20*$B$22*$B$23,0)</f>
        <v/>
      </c>
      <c r="BD46" s="10">
        <f>ROUND($B$6*$B$9*$B$13*$B$17*$B$20*$B$22*$B$24,0)</f>
        <v/>
      </c>
      <c r="BE46" s="10">
        <f>ROUND($B$6*$B$9*$B$13*$B$17*$B$20*$B$22*$B$25,0)</f>
        <v/>
      </c>
    </row>
    <row r="47" ht="20.1" customHeight="1" s="62">
      <c r="A47" s="67" t="n"/>
      <c r="B47" s="57" t="inlineStr">
        <is>
          <t>16 processus et +</t>
        </is>
      </c>
      <c r="C47" s="14" t="inlineStr">
        <is>
          <t>Faible (peu ou pas de formalisation)</t>
        </is>
      </c>
      <c r="D47" s="10">
        <f>ROUND($B$4*$B$9*$B$14*$B$15*$B$18*$B$21*$B$23,0)</f>
        <v/>
      </c>
      <c r="E47" s="10">
        <f>ROUND($B$4*$B$9*$B$14*$B$15*$B$18*$B$21*$B$24,0)</f>
        <v/>
      </c>
      <c r="F47" s="10">
        <f>ROUND($B$4*$B$9*$B$14*$B$15*$B$18*$B$21*$B$25,0)</f>
        <v/>
      </c>
      <c r="G47" s="10">
        <f>ROUND($B$4*$B$9*$B$14*$B$15*$B$18*$B$22*$B$23,0)</f>
        <v/>
      </c>
      <c r="H47" s="10">
        <f>ROUND($B$4*$B$9*$B$14*$B$15*$B$18*$B$22*$B$24,0)</f>
        <v/>
      </c>
      <c r="I47" s="10">
        <f>ROUND($B$4*$B$9*$B$14*$B$15*$B$18*$B$22*$B$25,0)</f>
        <v/>
      </c>
      <c r="J47" s="10">
        <f>ROUND($B$4*$B$9*$B$14*$B$15*$B$19*$B$21*$B$23,0)</f>
        <v/>
      </c>
      <c r="K47" s="10">
        <f>ROUND($B$4*$B$9*$B$14*$B$15*$B$19*$B$21*$B$24,0)</f>
        <v/>
      </c>
      <c r="L47" s="10">
        <f>ROUND($B$4*$B$9*$B$14*$B$15*$B$19*$B$21*$B$25,0)</f>
        <v/>
      </c>
      <c r="M47" s="10">
        <f>ROUND($B$4*$B$9*$B$14*$B$15*$B$19*$B$22*$B$23,0)</f>
        <v/>
      </c>
      <c r="N47" s="10">
        <f>ROUND($B$4*$B$9*$B$14*$B$15*$B$19*$B$22*$B$24,0)</f>
        <v/>
      </c>
      <c r="O47" s="10">
        <f>ROUND($B$4*$B$9*$B$14*$B$15*$B$19*$B$22*$B$25,0)</f>
        <v/>
      </c>
      <c r="P47" s="10">
        <f>ROUND($B$4*$B$9*$B$14*$B$15*$B$20*$B$21*$B$23,0)</f>
        <v/>
      </c>
      <c r="Q47" s="10">
        <f>ROUND($B$4*$B$9*$B$14*$B$15*$B$20*$B$21*$B$24,0)</f>
        <v/>
      </c>
      <c r="R47" s="10">
        <f>ROUND($B$4*$B$9*$B$14*$B$15*$B$20*$B$21*$B$25,0)</f>
        <v/>
      </c>
      <c r="S47" s="10">
        <f>ROUND($B$4*$B$9*$B$14*$B$15*$B$20*$B$22*$B$23,0)</f>
        <v/>
      </c>
      <c r="T47" s="10">
        <f>ROUND($B$4*$B$9*$B$14*$B$15*$B$20*$B$22*$B$24,0)</f>
        <v/>
      </c>
      <c r="U47" s="10">
        <f>ROUND($B$4*$B$9*$B$14*$B$15*$B$20*$B$22*$B$25,0)</f>
        <v/>
      </c>
      <c r="V47" s="10">
        <f>ROUND($B$5*$B$9*$B$14*$B$15*$B$18*$B$21*$B$23,0)</f>
        <v/>
      </c>
      <c r="W47" s="10">
        <f>ROUND($B$5*$B$9*$B$14*$B$15*$B$18*$B$21*$B$24,0)</f>
        <v/>
      </c>
      <c r="X47" s="10">
        <f>ROUND($B$5*$B$9*$B$14*$B$15*$B$18*$B$21*$B$25,0)</f>
        <v/>
      </c>
      <c r="Y47" s="10">
        <f>ROUND($B$5*$B$9*$B$14*$B$15*$B$18*$B$22*$B$23,0)</f>
        <v/>
      </c>
      <c r="Z47" s="10">
        <f>ROUND($B$5*$B$9*$B$14*$B$15*$B$18*$B$22*$B$24,0)</f>
        <v/>
      </c>
      <c r="AA47" s="10">
        <f>ROUND($B$5*$B$9*$B$14*$B$15*$B$18*$B$22*$B$25,0)</f>
        <v/>
      </c>
      <c r="AB47" s="10">
        <f>ROUND($B$5*$B$9*$B$14*$B$15*$B$19*$B$21*$B$23,0)</f>
        <v/>
      </c>
      <c r="AC47" s="10">
        <f>ROUND($B$5*$B$9*$B$14*$B$15*$B$19*$B$21*$B$24,0)</f>
        <v/>
      </c>
      <c r="AD47" s="10">
        <f>ROUND($B$5*$B$9*$B$14*$B$15*$B$19*$B$21*$B$25,0)</f>
        <v/>
      </c>
      <c r="AE47" s="10">
        <f>ROUND($B$5*$B$9*$B$14*$B$15*$B$19*$B$22*$B$23,0)</f>
        <v/>
      </c>
      <c r="AF47" s="10">
        <f>ROUND($B$5*$B$9*$B$14*$B$15*$B$19*$B$22*$B$24,0)</f>
        <v/>
      </c>
      <c r="AG47" s="10">
        <f>ROUND($B$5*$B$9*$B$14*$B$15*$B$19*$B$22*$B$25,0)</f>
        <v/>
      </c>
      <c r="AH47" s="10">
        <f>ROUND($B$5*$B$9*$B$14*$B$15*$B$20*$B$21*$B$23,0)</f>
        <v/>
      </c>
      <c r="AI47" s="10">
        <f>ROUND($B$5*$B$9*$B$14*$B$15*$B$20*$B$21*$B$24,0)</f>
        <v/>
      </c>
      <c r="AJ47" s="10">
        <f>ROUND($B$5*$B$9*$B$14*$B$15*$B$20*$B$21*$B$25,0)</f>
        <v/>
      </c>
      <c r="AK47" s="10">
        <f>ROUND($B$5*$B$9*$B$14*$B$15*$B$20*$B$22*$B$23,0)</f>
        <v/>
      </c>
      <c r="AL47" s="10">
        <f>ROUND($B$5*$B$9*$B$14*$B$15*$B$20*$B$22*$B$24,0)</f>
        <v/>
      </c>
      <c r="AM47" s="10">
        <f>ROUND($B$5*$B$9*$B$14*$B$15*$B$20*$B$22*$B$25,0)</f>
        <v/>
      </c>
      <c r="AN47" s="10">
        <f>ROUND($B$6*$B$9*$B$14*$B$15*$B$18*$B$21*$B$23,0)</f>
        <v/>
      </c>
      <c r="AO47" s="10">
        <f>ROUND($B$6*$B$9*$B$14*$B$15*$B$18*$B$21*$B$24,0)</f>
        <v/>
      </c>
      <c r="AP47" s="10">
        <f>ROUND($B$6*$B$9*$B$14*$B$15*$B$18*$B$21*$B$25,0)</f>
        <v/>
      </c>
      <c r="AQ47" s="10">
        <f>ROUND($B$6*$B$9*$B$14*$B$15*$B$18*$B$22*$B$23,0)</f>
        <v/>
      </c>
      <c r="AR47" s="10">
        <f>ROUND($B$6*$B$9*$B$14*$B$15*$B$18*$B$22*$B$24,0)</f>
        <v/>
      </c>
      <c r="AS47" s="10">
        <f>ROUND($B$6*$B$9*$B$14*$B$15*$B$18*$B$22*$B$25,0)</f>
        <v/>
      </c>
      <c r="AT47" s="10">
        <f>ROUND($B$6*$B$9*$B$14*$B$15*$B$19*$B$21*$B$23,0)</f>
        <v/>
      </c>
      <c r="AU47" s="10">
        <f>ROUND($B$6*$B$9*$B$14*$B$15*$B$19*$B$21*$B$24,0)</f>
        <v/>
      </c>
      <c r="AV47" s="10">
        <f>ROUND($B$6*$B$9*$B$14*$B$15*$B$19*$B$21*$B$25,0)</f>
        <v/>
      </c>
      <c r="AW47" s="10">
        <f>ROUND($B$6*$B$9*$B$14*$B$15*$B$19*$B$22*$B$23,0)</f>
        <v/>
      </c>
      <c r="AX47" s="10">
        <f>ROUND($B$6*$B$9*$B$14*$B$15*$B$19*$B$22*$B$24,0)</f>
        <v/>
      </c>
      <c r="AY47" s="10">
        <f>ROUND($B$6*$B$9*$B$14*$B$15*$B$19*$B$22*$B$25,0)</f>
        <v/>
      </c>
      <c r="AZ47" s="10">
        <f>ROUND($B$6*$B$9*$B$14*$B$15*$B$20*$B$21*$B$23,0)</f>
        <v/>
      </c>
      <c r="BA47" s="10">
        <f>ROUND($B$6*$B$9*$B$14*$B$15*$B$20*$B$21*$B$24,0)</f>
        <v/>
      </c>
      <c r="BB47" s="10">
        <f>ROUND($B$6*$B$9*$B$14*$B$15*$B$20*$B$21*$B$25,0)</f>
        <v/>
      </c>
      <c r="BC47" s="10">
        <f>ROUND($B$6*$B$9*$B$14*$B$15*$B$20*$B$22*$B$23,0)</f>
        <v/>
      </c>
      <c r="BD47" s="10">
        <f>ROUND($B$6*$B$9*$B$14*$B$15*$B$20*$B$22*$B$24,0)</f>
        <v/>
      </c>
      <c r="BE47" s="10">
        <f>ROUND($B$6*$B$9*$B$14*$B$15*$B$20*$B$22*$B$25,0)</f>
        <v/>
      </c>
    </row>
    <row r="48" ht="20.1" customHeight="1" s="62">
      <c r="A48" s="67" t="n"/>
      <c r="B48" s="58" t="n"/>
      <c r="C48" s="57" t="inlineStr">
        <is>
          <t>Intermédiaire</t>
        </is>
      </c>
      <c r="D48" s="10">
        <f>ROUND($B$4*$B$9*$B$14*$B$16*$B$18*$B$21*$B$23,0)</f>
        <v/>
      </c>
      <c r="E48" s="10">
        <f>ROUND($B$4*$B$9*$B$14*$B$16*$B$18*$B$21*$B$24,0)</f>
        <v/>
      </c>
      <c r="F48" s="10">
        <f>ROUND($B$4*$B$9*$B$14*$B$16*$B$18*$B$21*$B$25,0)</f>
        <v/>
      </c>
      <c r="G48" s="10">
        <f>ROUND($B$4*$B$9*$B$14*$B$16*$B$18*$B$22*$B$23,0)</f>
        <v/>
      </c>
      <c r="H48" s="10">
        <f>ROUND($B$4*$B$9*$B$14*$B$16*$B$18*$B$22*$B$24,0)</f>
        <v/>
      </c>
      <c r="I48" s="10">
        <f>ROUND($B$4*$B$9*$B$14*$B$16*$B$18*$B$22*$B$25,0)</f>
        <v/>
      </c>
      <c r="J48" s="10">
        <f>ROUND($B$4*$B$9*$B$14*$B$16*$B$19*$B$21*$B$23,0)</f>
        <v/>
      </c>
      <c r="K48" s="10">
        <f>ROUND($B$4*$B$9*$B$14*$B$16*$B$19*$B$21*$B$24,0)</f>
        <v/>
      </c>
      <c r="L48" s="10">
        <f>ROUND($B$4*$B$9*$B$14*$B$16*$B$19*$B$21*$B$25,0)</f>
        <v/>
      </c>
      <c r="M48" s="10">
        <f>ROUND($B$4*$B$9*$B$14*$B$16*$B$19*$B$22*$B$23,0)</f>
        <v/>
      </c>
      <c r="N48" s="10">
        <f>ROUND($B$4*$B$9*$B$14*$B$16*$B$19*$B$22*$B$24,0)</f>
        <v/>
      </c>
      <c r="O48" s="10">
        <f>ROUND($B$4*$B$9*$B$14*$B$16*$B$19*$B$22*$B$25,0)</f>
        <v/>
      </c>
      <c r="P48" s="10">
        <f>ROUND($B$4*$B$9*$B$14*$B$16*$B$20*$B$21*$B$23,0)</f>
        <v/>
      </c>
      <c r="Q48" s="10">
        <f>ROUND($B$4*$B$9*$B$14*$B$16*$B$20*$B$21*$B$24,0)</f>
        <v/>
      </c>
      <c r="R48" s="10">
        <f>ROUND($B$4*$B$9*$B$14*$B$16*$B$20*$B$21*$B$25,0)</f>
        <v/>
      </c>
      <c r="S48" s="10">
        <f>ROUND($B$4*$B$9*$B$14*$B$16*$B$20*$B$22*$B$23,0)</f>
        <v/>
      </c>
      <c r="T48" s="10">
        <f>ROUND($B$4*$B$9*$B$14*$B$16*$B$20*$B$22*$B$24,0)</f>
        <v/>
      </c>
      <c r="U48" s="10">
        <f>ROUND($B$4*$B$9*$B$14*$B$16*$B$20*$B$22*$B$25,0)</f>
        <v/>
      </c>
      <c r="V48" s="10">
        <f>ROUND($B$5*$B$9*$B$14*$B$16*$B$18*$B$21*$B$23,0)</f>
        <v/>
      </c>
      <c r="W48" s="10">
        <f>ROUND($B$5*$B$9*$B$14*$B$16*$B$18*$B$21*$B$24,0)</f>
        <v/>
      </c>
      <c r="X48" s="10">
        <f>ROUND($B$5*$B$9*$B$14*$B$16*$B$18*$B$21*$B$25,0)</f>
        <v/>
      </c>
      <c r="Y48" s="10">
        <f>ROUND($B$5*$B$9*$B$14*$B$16*$B$18*$B$22*$B$23,0)</f>
        <v/>
      </c>
      <c r="Z48" s="10">
        <f>ROUND($B$5*$B$9*$B$14*$B$16*$B$18*$B$22*$B$24,0)</f>
        <v/>
      </c>
      <c r="AA48" s="10">
        <f>ROUND($B$5*$B$9*$B$14*$B$16*$B$18*$B$22*$B$25,0)</f>
        <v/>
      </c>
      <c r="AB48" s="10">
        <f>ROUND($B$5*$B$9*$B$14*$B$16*$B$19*$B$21*$B$23,0)</f>
        <v/>
      </c>
      <c r="AC48" s="10">
        <f>ROUND($B$5*$B$9*$B$14*$B$16*$B$19*$B$21*$B$24,0)</f>
        <v/>
      </c>
      <c r="AD48" s="10">
        <f>ROUND($B$5*$B$9*$B$14*$B$16*$B$19*$B$21*$B$25,0)</f>
        <v/>
      </c>
      <c r="AE48" s="10">
        <f>ROUND($B$5*$B$9*$B$14*$B$16*$B$19*$B$22*$B$23,0)</f>
        <v/>
      </c>
      <c r="AF48" s="10">
        <f>ROUND($B$5*$B$9*$B$14*$B$16*$B$19*$B$22*$B$24,0)</f>
        <v/>
      </c>
      <c r="AG48" s="10">
        <f>ROUND($B$5*$B$9*$B$14*$B$16*$B$19*$B$22*$B$25,0)</f>
        <v/>
      </c>
      <c r="AH48" s="10">
        <f>ROUND($B$5*$B$9*$B$14*$B$16*$B$20*$B$21*$B$23,0)</f>
        <v/>
      </c>
      <c r="AI48" s="10">
        <f>ROUND($B$5*$B$9*$B$14*$B$16*$B$20*$B$21*$B$24,0)</f>
        <v/>
      </c>
      <c r="AJ48" s="10">
        <f>ROUND($B$5*$B$9*$B$14*$B$16*$B$20*$B$21*$B$25,0)</f>
        <v/>
      </c>
      <c r="AK48" s="10">
        <f>ROUND($B$5*$B$9*$B$14*$B$16*$B$20*$B$22*$B$23,0)</f>
        <v/>
      </c>
      <c r="AL48" s="10">
        <f>ROUND($B$5*$B$9*$B$14*$B$16*$B$20*$B$22*$B$24,0)</f>
        <v/>
      </c>
      <c r="AM48" s="10">
        <f>ROUND($B$5*$B$9*$B$14*$B$16*$B$20*$B$22*$B$25,0)</f>
        <v/>
      </c>
      <c r="AN48" s="10">
        <f>ROUND($B$6*$B$9*$B$14*$B$16*$B$18*$B$21*$B$23,0)</f>
        <v/>
      </c>
      <c r="AO48" s="10">
        <f>ROUND($B$6*$B$9*$B$14*$B$16*$B$18*$B$21*$B$24,0)</f>
        <v/>
      </c>
      <c r="AP48" s="10">
        <f>ROUND($B$6*$B$9*$B$14*$B$16*$B$18*$B$21*$B$25,0)</f>
        <v/>
      </c>
      <c r="AQ48" s="10">
        <f>ROUND($B$6*$B$9*$B$14*$B$16*$B$18*$B$22*$B$23,0)</f>
        <v/>
      </c>
      <c r="AR48" s="10">
        <f>ROUND($B$6*$B$9*$B$14*$B$16*$B$18*$B$22*$B$24,0)</f>
        <v/>
      </c>
      <c r="AS48" s="10">
        <f>ROUND($B$6*$B$9*$B$14*$B$16*$B$18*$B$22*$B$25,0)</f>
        <v/>
      </c>
      <c r="AT48" s="10">
        <f>ROUND($B$6*$B$9*$B$14*$B$16*$B$19*$B$21*$B$23,0)</f>
        <v/>
      </c>
      <c r="AU48" s="10">
        <f>ROUND($B$6*$B$9*$B$14*$B$16*$B$19*$B$21*$B$24,0)</f>
        <v/>
      </c>
      <c r="AV48" s="10">
        <f>ROUND($B$6*$B$9*$B$14*$B$16*$B$19*$B$21*$B$25,0)</f>
        <v/>
      </c>
      <c r="AW48" s="10">
        <f>ROUND($B$6*$B$9*$B$14*$B$16*$B$19*$B$22*$B$23,0)</f>
        <v/>
      </c>
      <c r="AX48" s="10">
        <f>ROUND($B$6*$B$9*$B$14*$B$16*$B$19*$B$22*$B$24,0)</f>
        <v/>
      </c>
      <c r="AY48" s="10">
        <f>ROUND($B$6*$B$9*$B$14*$B$16*$B$19*$B$22*$B$25,0)</f>
        <v/>
      </c>
      <c r="AZ48" s="10">
        <f>ROUND($B$6*$B$9*$B$14*$B$16*$B$20*$B$21*$B$23,0)</f>
        <v/>
      </c>
      <c r="BA48" s="10">
        <f>ROUND($B$6*$B$9*$B$14*$B$16*$B$20*$B$21*$B$24,0)</f>
        <v/>
      </c>
      <c r="BB48" s="10">
        <f>ROUND($B$6*$B$9*$B$14*$B$16*$B$20*$B$21*$B$25,0)</f>
        <v/>
      </c>
      <c r="BC48" s="10">
        <f>ROUND($B$6*$B$9*$B$14*$B$16*$B$20*$B$22*$B$23,0)</f>
        <v/>
      </c>
      <c r="BD48" s="10">
        <f>ROUND($B$6*$B$9*$B$14*$B$16*$B$20*$B$22*$B$24,0)</f>
        <v/>
      </c>
      <c r="BE48" s="10">
        <f>ROUND($B$6*$B$9*$B$14*$B$16*$B$20*$B$22*$B$25,0)</f>
        <v/>
      </c>
    </row>
    <row r="49" ht="20.1" customHeight="1" s="62">
      <c r="A49" s="68" t="n"/>
      <c r="B49" s="59" t="n"/>
      <c r="C49" s="15" t="inlineStr">
        <is>
          <t>Avancée (base existante)</t>
        </is>
      </c>
      <c r="D49" s="10">
        <f>ROUND($B$4*$B$9*$B$14*$B$17*$B$18*$B$21*$B$23,0)</f>
        <v/>
      </c>
      <c r="E49" s="10">
        <f>ROUND($B$4*$B$9*$B$14*$B$17*$B$18*$B$21*$B$24,0)</f>
        <v/>
      </c>
      <c r="F49" s="10">
        <f>ROUND($B$4*$B$9*$B$14*$B$17*$B$18*$B$21*$B$25,0)</f>
        <v/>
      </c>
      <c r="G49" s="10">
        <f>ROUND($B$4*$B$9*$B$14*$B$17*$B$18*$B$22*$B$23,0)</f>
        <v/>
      </c>
      <c r="H49" s="10">
        <f>ROUND($B$4*$B$9*$B$14*$B$17*$B$18*$B$22*$B$24,0)</f>
        <v/>
      </c>
      <c r="I49" s="10">
        <f>ROUND($B$4*$B$9*$B$14*$B$17*$B$18*$B$22*$B$25,0)</f>
        <v/>
      </c>
      <c r="J49" s="10">
        <f>ROUND($B$4*$B$9*$B$14*$B$17*$B$19*$B$21*$B$23,0)</f>
        <v/>
      </c>
      <c r="K49" s="10">
        <f>ROUND($B$4*$B$9*$B$14*$B$17*$B$19*$B$21*$B$24,0)</f>
        <v/>
      </c>
      <c r="L49" s="10">
        <f>ROUND($B$4*$B$9*$B$14*$B$17*$B$19*$B$21*$B$25,0)</f>
        <v/>
      </c>
      <c r="M49" s="10">
        <f>ROUND($B$4*$B$9*$B$14*$B$17*$B$19*$B$22*$B$23,0)</f>
        <v/>
      </c>
      <c r="N49" s="10">
        <f>ROUND($B$4*$B$9*$B$14*$B$17*$B$19*$B$22*$B$24,0)</f>
        <v/>
      </c>
      <c r="O49" s="10">
        <f>ROUND($B$4*$B$9*$B$14*$B$17*$B$19*$B$22*$B$25,0)</f>
        <v/>
      </c>
      <c r="P49" s="10">
        <f>ROUND($B$4*$B$9*$B$14*$B$17*$B$20*$B$21*$B$23,0)</f>
        <v/>
      </c>
      <c r="Q49" s="10">
        <f>ROUND($B$4*$B$9*$B$14*$B$17*$B$20*$B$21*$B$24,0)</f>
        <v/>
      </c>
      <c r="R49" s="10">
        <f>ROUND($B$4*$B$9*$B$14*$B$17*$B$20*$B$21*$B$25,0)</f>
        <v/>
      </c>
      <c r="S49" s="10">
        <f>ROUND($B$4*$B$9*$B$14*$B$17*$B$20*$B$22*$B$23,0)</f>
        <v/>
      </c>
      <c r="T49" s="10">
        <f>ROUND($B$4*$B$9*$B$14*$B$17*$B$20*$B$22*$B$24,0)</f>
        <v/>
      </c>
      <c r="U49" s="10">
        <f>ROUND($B$4*$B$9*$B$14*$B$17*$B$20*$B$22*$B$25,0)</f>
        <v/>
      </c>
      <c r="V49" s="10">
        <f>ROUND($B$5*$B$9*$B$14*$B$17*$B$18*$B$21*$B$23,0)</f>
        <v/>
      </c>
      <c r="W49" s="10">
        <f>ROUND($B$5*$B$9*$B$14*$B$17*$B$18*$B$21*$B$24,0)</f>
        <v/>
      </c>
      <c r="X49" s="10">
        <f>ROUND($B$5*$B$9*$B$14*$B$17*$B$18*$B$21*$B$25,0)</f>
        <v/>
      </c>
      <c r="Y49" s="10">
        <f>ROUND($B$5*$B$9*$B$14*$B$17*$B$18*$B$22*$B$23,0)</f>
        <v/>
      </c>
      <c r="Z49" s="10">
        <f>ROUND($B$5*$B$9*$B$14*$B$17*$B$18*$B$22*$B$24,0)</f>
        <v/>
      </c>
      <c r="AA49" s="10">
        <f>ROUND($B$5*$B$9*$B$14*$B$17*$B$18*$B$22*$B$25,0)</f>
        <v/>
      </c>
      <c r="AB49" s="10">
        <f>ROUND($B$5*$B$9*$B$14*$B$17*$B$19*$B$21*$B$23,0)</f>
        <v/>
      </c>
      <c r="AC49" s="10">
        <f>ROUND($B$5*$B$9*$B$14*$B$17*$B$19*$B$21*$B$24,0)</f>
        <v/>
      </c>
      <c r="AD49" s="10">
        <f>ROUND($B$5*$B$9*$B$14*$B$17*$B$19*$B$21*$B$25,0)</f>
        <v/>
      </c>
      <c r="AE49" s="10">
        <f>ROUND($B$5*$B$9*$B$14*$B$17*$B$19*$B$22*$B$23,0)</f>
        <v/>
      </c>
      <c r="AF49" s="10">
        <f>ROUND($B$5*$B$9*$B$14*$B$17*$B$19*$B$22*$B$24,0)</f>
        <v/>
      </c>
      <c r="AG49" s="10">
        <f>ROUND($B$5*$B$9*$B$14*$B$17*$B$19*$B$22*$B$25,0)</f>
        <v/>
      </c>
      <c r="AH49" s="10">
        <f>ROUND($B$5*$B$9*$B$14*$B$17*$B$20*$B$21*$B$23,0)</f>
        <v/>
      </c>
      <c r="AI49" s="10">
        <f>ROUND($B$5*$B$9*$B$14*$B$17*$B$20*$B$21*$B$24,0)</f>
        <v/>
      </c>
      <c r="AJ49" s="10">
        <f>ROUND($B$5*$B$9*$B$14*$B$17*$B$20*$B$21*$B$25,0)</f>
        <v/>
      </c>
      <c r="AK49" s="10">
        <f>ROUND($B$5*$B$9*$B$14*$B$17*$B$20*$B$22*$B$23,0)</f>
        <v/>
      </c>
      <c r="AL49" s="10">
        <f>ROUND($B$5*$B$9*$B$14*$B$17*$B$20*$B$22*$B$24,0)</f>
        <v/>
      </c>
      <c r="AM49" s="10">
        <f>ROUND($B$5*$B$9*$B$14*$B$17*$B$20*$B$22*$B$25,0)</f>
        <v/>
      </c>
      <c r="AN49" s="10">
        <f>ROUND($B$6*$B$9*$B$14*$B$17*$B$18*$B$21*$B$23,0)</f>
        <v/>
      </c>
      <c r="AO49" s="10">
        <f>ROUND($B$6*$B$9*$B$14*$B$17*$B$18*$B$21*$B$24,0)</f>
        <v/>
      </c>
      <c r="AP49" s="10">
        <f>ROUND($B$6*$B$9*$B$14*$B$17*$B$18*$B$21*$B$25,0)</f>
        <v/>
      </c>
      <c r="AQ49" s="10">
        <f>ROUND($B$6*$B$9*$B$14*$B$17*$B$18*$B$22*$B$23,0)</f>
        <v/>
      </c>
      <c r="AR49" s="10">
        <f>ROUND($B$6*$B$9*$B$14*$B$17*$B$18*$B$22*$B$24,0)</f>
        <v/>
      </c>
      <c r="AS49" s="10">
        <f>ROUND($B$6*$B$9*$B$14*$B$17*$B$18*$B$22*$B$25,0)</f>
        <v/>
      </c>
      <c r="AT49" s="10">
        <f>ROUND($B$6*$B$9*$B$14*$B$17*$B$19*$B$21*$B$23,0)</f>
        <v/>
      </c>
      <c r="AU49" s="10">
        <f>ROUND($B$6*$B$9*$B$14*$B$17*$B$19*$B$21*$B$24,0)</f>
        <v/>
      </c>
      <c r="AV49" s="10">
        <f>ROUND($B$6*$B$9*$B$14*$B$17*$B$19*$B$21*$B$25,0)</f>
        <v/>
      </c>
      <c r="AW49" s="10">
        <f>ROUND($B$6*$B$9*$B$14*$B$17*$B$19*$B$22*$B$23,0)</f>
        <v/>
      </c>
      <c r="AX49" s="10">
        <f>ROUND($B$6*$B$9*$B$14*$B$17*$B$19*$B$22*$B$24,0)</f>
        <v/>
      </c>
      <c r="AY49" s="10">
        <f>ROUND($B$6*$B$9*$B$14*$B$17*$B$19*$B$22*$B$25,0)</f>
        <v/>
      </c>
      <c r="AZ49" s="10">
        <f>ROUND($B$6*$B$9*$B$14*$B$17*$B$20*$B$21*$B$23,0)</f>
        <v/>
      </c>
      <c r="BA49" s="10">
        <f>ROUND($B$6*$B$9*$B$14*$B$17*$B$20*$B$21*$B$24,0)</f>
        <v/>
      </c>
      <c r="BB49" s="10">
        <f>ROUND($B$6*$B$9*$B$14*$B$17*$B$20*$B$21*$B$25,0)</f>
        <v/>
      </c>
      <c r="BC49" s="10">
        <f>ROUND($B$6*$B$9*$B$14*$B$17*$B$20*$B$22*$B$23,0)</f>
        <v/>
      </c>
      <c r="BD49" s="10">
        <f>ROUND($B$6*$B$9*$B$14*$B$17*$B$20*$B$22*$B$24,0)</f>
        <v/>
      </c>
      <c r="BE49" s="10">
        <f>ROUND($B$6*$B$9*$B$14*$B$17*$B$20*$B$22*$B$25,0)</f>
        <v/>
      </c>
    </row>
    <row r="50" ht="20.1" customHeight="1" s="62">
      <c r="A50" s="66" t="inlineStr">
        <is>
          <t>PME (20-99 sal.)</t>
        </is>
      </c>
      <c r="B50" s="57" t="inlineStr">
        <is>
          <t>1-5 processus</t>
        </is>
      </c>
      <c r="C50" s="14" t="inlineStr">
        <is>
          <t>Faible (peu ou pas de formalisation)</t>
        </is>
      </c>
      <c r="D50" s="10">
        <f>ROUND($B$4*$B$10*$B$12*$B$15*$B$18*$B$21*$B$23,0)</f>
        <v/>
      </c>
      <c r="E50" s="10">
        <f>ROUND($B$4*$B$10*$B$12*$B$15*$B$18*$B$21*$B$24,0)</f>
        <v/>
      </c>
      <c r="F50" s="10">
        <f>ROUND($B$4*$B$10*$B$12*$B$15*$B$18*$B$21*$B$25,0)</f>
        <v/>
      </c>
      <c r="G50" s="10">
        <f>ROUND($B$4*$B$10*$B$12*$B$15*$B$18*$B$22*$B$23,0)</f>
        <v/>
      </c>
      <c r="H50" s="10">
        <f>ROUND($B$4*$B$10*$B$12*$B$15*$B$18*$B$22*$B$24,0)</f>
        <v/>
      </c>
      <c r="I50" s="10">
        <f>ROUND($B$4*$B$10*$B$12*$B$15*$B$18*$B$22*$B$25,0)</f>
        <v/>
      </c>
      <c r="J50" s="10">
        <f>ROUND($B$4*$B$10*$B$12*$B$15*$B$19*$B$21*$B$23,0)</f>
        <v/>
      </c>
      <c r="K50" s="10">
        <f>ROUND($B$4*$B$10*$B$12*$B$15*$B$19*$B$21*$B$24,0)</f>
        <v/>
      </c>
      <c r="L50" s="10">
        <f>ROUND($B$4*$B$10*$B$12*$B$15*$B$19*$B$21*$B$25,0)</f>
        <v/>
      </c>
      <c r="M50" s="10">
        <f>ROUND($B$4*$B$10*$B$12*$B$15*$B$19*$B$22*$B$23,0)</f>
        <v/>
      </c>
      <c r="N50" s="10">
        <f>ROUND($B$4*$B$10*$B$12*$B$15*$B$19*$B$22*$B$24,0)</f>
        <v/>
      </c>
      <c r="O50" s="10">
        <f>ROUND($B$4*$B$10*$B$12*$B$15*$B$19*$B$22*$B$25,0)</f>
        <v/>
      </c>
      <c r="P50" s="10">
        <f>ROUND($B$4*$B$10*$B$12*$B$15*$B$20*$B$21*$B$23,0)</f>
        <v/>
      </c>
      <c r="Q50" s="10">
        <f>ROUND($B$4*$B$10*$B$12*$B$15*$B$20*$B$21*$B$24,0)</f>
        <v/>
      </c>
      <c r="R50" s="10">
        <f>ROUND($B$4*$B$10*$B$12*$B$15*$B$20*$B$21*$B$25,0)</f>
        <v/>
      </c>
      <c r="S50" s="10">
        <f>ROUND($B$4*$B$10*$B$12*$B$15*$B$20*$B$22*$B$23,0)</f>
        <v/>
      </c>
      <c r="T50" s="10">
        <f>ROUND($B$4*$B$10*$B$12*$B$15*$B$20*$B$22*$B$24,0)</f>
        <v/>
      </c>
      <c r="U50" s="10">
        <f>ROUND($B$4*$B$10*$B$12*$B$15*$B$20*$B$22*$B$25,0)</f>
        <v/>
      </c>
      <c r="V50" s="10">
        <f>ROUND($B$5*$B$10*$B$12*$B$15*$B$18*$B$21*$B$23,0)</f>
        <v/>
      </c>
      <c r="W50" s="10">
        <f>ROUND($B$5*$B$10*$B$12*$B$15*$B$18*$B$21*$B$24,0)</f>
        <v/>
      </c>
      <c r="X50" s="10">
        <f>ROUND($B$5*$B$10*$B$12*$B$15*$B$18*$B$21*$B$25,0)</f>
        <v/>
      </c>
      <c r="Y50" s="10">
        <f>ROUND($B$5*$B$10*$B$12*$B$15*$B$18*$B$22*$B$23,0)</f>
        <v/>
      </c>
      <c r="Z50" s="10">
        <f>ROUND($B$5*$B$10*$B$12*$B$15*$B$18*$B$22*$B$24,0)</f>
        <v/>
      </c>
      <c r="AA50" s="10">
        <f>ROUND($B$5*$B$10*$B$12*$B$15*$B$18*$B$22*$B$25,0)</f>
        <v/>
      </c>
      <c r="AB50" s="10">
        <f>ROUND($B$5*$B$10*$B$12*$B$15*$B$19*$B$21*$B$23,0)</f>
        <v/>
      </c>
      <c r="AC50" s="10">
        <f>ROUND($B$5*$B$10*$B$12*$B$15*$B$19*$B$21*$B$24,0)</f>
        <v/>
      </c>
      <c r="AD50" s="10">
        <f>ROUND($B$5*$B$10*$B$12*$B$15*$B$19*$B$21*$B$25,0)</f>
        <v/>
      </c>
      <c r="AE50" s="10">
        <f>ROUND($B$5*$B$10*$B$12*$B$15*$B$19*$B$22*$B$23,0)</f>
        <v/>
      </c>
      <c r="AF50" s="10">
        <f>ROUND($B$5*$B$10*$B$12*$B$15*$B$19*$B$22*$B$24,0)</f>
        <v/>
      </c>
      <c r="AG50" s="10">
        <f>ROUND($B$5*$B$10*$B$12*$B$15*$B$19*$B$22*$B$25,0)</f>
        <v/>
      </c>
      <c r="AH50" s="10">
        <f>ROUND($B$5*$B$10*$B$12*$B$15*$B$20*$B$21*$B$23,0)</f>
        <v/>
      </c>
      <c r="AI50" s="10">
        <f>ROUND($B$5*$B$10*$B$12*$B$15*$B$20*$B$21*$B$24,0)</f>
        <v/>
      </c>
      <c r="AJ50" s="10">
        <f>ROUND($B$5*$B$10*$B$12*$B$15*$B$20*$B$21*$B$25,0)</f>
        <v/>
      </c>
      <c r="AK50" s="10">
        <f>ROUND($B$5*$B$10*$B$12*$B$15*$B$20*$B$22*$B$23,0)</f>
        <v/>
      </c>
      <c r="AL50" s="10">
        <f>ROUND($B$5*$B$10*$B$12*$B$15*$B$20*$B$22*$B$24,0)</f>
        <v/>
      </c>
      <c r="AM50" s="10">
        <f>ROUND($B$5*$B$10*$B$12*$B$15*$B$20*$B$22*$B$25,0)</f>
        <v/>
      </c>
      <c r="AN50" s="10">
        <f>ROUND($B$6*$B$10*$B$12*$B$15*$B$18*$B$21*$B$23,0)</f>
        <v/>
      </c>
      <c r="AO50" s="10">
        <f>ROUND($B$6*$B$10*$B$12*$B$15*$B$18*$B$21*$B$24,0)</f>
        <v/>
      </c>
      <c r="AP50" s="10">
        <f>ROUND($B$6*$B$10*$B$12*$B$15*$B$18*$B$21*$B$25,0)</f>
        <v/>
      </c>
      <c r="AQ50" s="10">
        <f>ROUND($B$6*$B$10*$B$12*$B$15*$B$18*$B$22*$B$23,0)</f>
        <v/>
      </c>
      <c r="AR50" s="10">
        <f>ROUND($B$6*$B$10*$B$12*$B$15*$B$18*$B$22*$B$24,0)</f>
        <v/>
      </c>
      <c r="AS50" s="10">
        <f>ROUND($B$6*$B$10*$B$12*$B$15*$B$18*$B$22*$B$25,0)</f>
        <v/>
      </c>
      <c r="AT50" s="10">
        <f>ROUND($B$6*$B$10*$B$12*$B$15*$B$19*$B$21*$B$23,0)</f>
        <v/>
      </c>
      <c r="AU50" s="10">
        <f>ROUND($B$6*$B$10*$B$12*$B$15*$B$19*$B$21*$B$24,0)</f>
        <v/>
      </c>
      <c r="AV50" s="10">
        <f>ROUND($B$6*$B$10*$B$12*$B$15*$B$19*$B$21*$B$25,0)</f>
        <v/>
      </c>
      <c r="AW50" s="10">
        <f>ROUND($B$6*$B$10*$B$12*$B$15*$B$19*$B$22*$B$23,0)</f>
        <v/>
      </c>
      <c r="AX50" s="10">
        <f>ROUND($B$6*$B$10*$B$12*$B$15*$B$19*$B$22*$B$24,0)</f>
        <v/>
      </c>
      <c r="AY50" s="10">
        <f>ROUND($B$6*$B$10*$B$12*$B$15*$B$19*$B$22*$B$25,0)</f>
        <v/>
      </c>
      <c r="AZ50" s="10">
        <f>ROUND($B$6*$B$10*$B$12*$B$15*$B$20*$B$21*$B$23,0)</f>
        <v/>
      </c>
      <c r="BA50" s="10">
        <f>ROUND($B$6*$B$10*$B$12*$B$15*$B$20*$B$21*$B$24,0)</f>
        <v/>
      </c>
      <c r="BB50" s="10">
        <f>ROUND($B$6*$B$10*$B$12*$B$15*$B$20*$B$21*$B$25,0)</f>
        <v/>
      </c>
      <c r="BC50" s="10">
        <f>ROUND($B$6*$B$10*$B$12*$B$15*$B$20*$B$22*$B$23,0)</f>
        <v/>
      </c>
      <c r="BD50" s="10">
        <f>ROUND($B$6*$B$10*$B$12*$B$15*$B$20*$B$22*$B$24,0)</f>
        <v/>
      </c>
      <c r="BE50" s="10">
        <f>ROUND($B$6*$B$10*$B$12*$B$15*$B$20*$B$22*$B$25,0)</f>
        <v/>
      </c>
    </row>
    <row r="51" ht="20.1" customHeight="1" s="62">
      <c r="A51" s="67" t="n"/>
      <c r="B51" s="58" t="n"/>
      <c r="C51" s="57" t="inlineStr">
        <is>
          <t>Intermédiaire</t>
        </is>
      </c>
      <c r="D51" s="10">
        <f>ROUND($B$4*$B$10*$B$12*$B$16*$B$18*$B$21*$B$23,0)</f>
        <v/>
      </c>
      <c r="E51" s="10">
        <f>ROUND($B$4*$B$10*$B$12*$B$16*$B$18*$B$21*$B$24,0)</f>
        <v/>
      </c>
      <c r="F51" s="10">
        <f>ROUND($B$4*$B$10*$B$12*$B$16*$B$18*$B$21*$B$25,0)</f>
        <v/>
      </c>
      <c r="G51" s="10">
        <f>ROUND($B$4*$B$10*$B$12*$B$16*$B$18*$B$22*$B$23,0)</f>
        <v/>
      </c>
      <c r="H51" s="10">
        <f>ROUND($B$4*$B$10*$B$12*$B$16*$B$18*$B$22*$B$24,0)</f>
        <v/>
      </c>
      <c r="I51" s="10">
        <f>ROUND($B$4*$B$10*$B$12*$B$16*$B$18*$B$22*$B$25,0)</f>
        <v/>
      </c>
      <c r="J51" s="10">
        <f>ROUND($B$4*$B$10*$B$12*$B$16*$B$19*$B$21*$B$23,0)</f>
        <v/>
      </c>
      <c r="K51" s="10">
        <f>ROUND($B$4*$B$10*$B$12*$B$16*$B$19*$B$21*$B$24,0)</f>
        <v/>
      </c>
      <c r="L51" s="10">
        <f>ROUND($B$4*$B$10*$B$12*$B$16*$B$19*$B$21*$B$25,0)</f>
        <v/>
      </c>
      <c r="M51" s="10">
        <f>ROUND($B$4*$B$10*$B$12*$B$16*$B$19*$B$22*$B$23,0)</f>
        <v/>
      </c>
      <c r="N51" s="10">
        <f>ROUND($B$4*$B$10*$B$12*$B$16*$B$19*$B$22*$B$24,0)</f>
        <v/>
      </c>
      <c r="O51" s="10">
        <f>ROUND($B$4*$B$10*$B$12*$B$16*$B$19*$B$22*$B$25,0)</f>
        <v/>
      </c>
      <c r="P51" s="10">
        <f>ROUND($B$4*$B$10*$B$12*$B$16*$B$20*$B$21*$B$23,0)</f>
        <v/>
      </c>
      <c r="Q51" s="10">
        <f>ROUND($B$4*$B$10*$B$12*$B$16*$B$20*$B$21*$B$24,0)</f>
        <v/>
      </c>
      <c r="R51" s="10">
        <f>ROUND($B$4*$B$10*$B$12*$B$16*$B$20*$B$21*$B$25,0)</f>
        <v/>
      </c>
      <c r="S51" s="10">
        <f>ROUND($B$4*$B$10*$B$12*$B$16*$B$20*$B$22*$B$23,0)</f>
        <v/>
      </c>
      <c r="T51" s="10">
        <f>ROUND($B$4*$B$10*$B$12*$B$16*$B$20*$B$22*$B$24,0)</f>
        <v/>
      </c>
      <c r="U51" s="10">
        <f>ROUND($B$4*$B$10*$B$12*$B$16*$B$20*$B$22*$B$25,0)</f>
        <v/>
      </c>
      <c r="V51" s="10">
        <f>ROUND($B$5*$B$10*$B$12*$B$16*$B$18*$B$21*$B$23,0)</f>
        <v/>
      </c>
      <c r="W51" s="10">
        <f>ROUND($B$5*$B$10*$B$12*$B$16*$B$18*$B$21*$B$24,0)</f>
        <v/>
      </c>
      <c r="X51" s="10">
        <f>ROUND($B$5*$B$10*$B$12*$B$16*$B$18*$B$21*$B$25,0)</f>
        <v/>
      </c>
      <c r="Y51" s="10">
        <f>ROUND($B$5*$B$10*$B$12*$B$16*$B$18*$B$22*$B$23,0)</f>
        <v/>
      </c>
      <c r="Z51" s="10">
        <f>ROUND($B$5*$B$10*$B$12*$B$16*$B$18*$B$22*$B$24,0)</f>
        <v/>
      </c>
      <c r="AA51" s="10">
        <f>ROUND($B$5*$B$10*$B$12*$B$16*$B$18*$B$22*$B$25,0)</f>
        <v/>
      </c>
      <c r="AB51" s="10">
        <f>ROUND($B$5*$B$10*$B$12*$B$16*$B$19*$B$21*$B$23,0)</f>
        <v/>
      </c>
      <c r="AC51" s="10">
        <f>ROUND($B$5*$B$10*$B$12*$B$16*$B$19*$B$21*$B$24,0)</f>
        <v/>
      </c>
      <c r="AD51" s="10">
        <f>ROUND($B$5*$B$10*$B$12*$B$16*$B$19*$B$21*$B$25,0)</f>
        <v/>
      </c>
      <c r="AE51" s="10">
        <f>ROUND($B$5*$B$10*$B$12*$B$16*$B$19*$B$22*$B$23,0)</f>
        <v/>
      </c>
      <c r="AF51" s="10">
        <f>ROUND($B$5*$B$10*$B$12*$B$16*$B$19*$B$22*$B$24,0)</f>
        <v/>
      </c>
      <c r="AG51" s="10">
        <f>ROUND($B$5*$B$10*$B$12*$B$16*$B$19*$B$22*$B$25,0)</f>
        <v/>
      </c>
      <c r="AH51" s="10">
        <f>ROUND($B$5*$B$10*$B$12*$B$16*$B$20*$B$21*$B$23,0)</f>
        <v/>
      </c>
      <c r="AI51" s="10">
        <f>ROUND($B$5*$B$10*$B$12*$B$16*$B$20*$B$21*$B$24,0)</f>
        <v/>
      </c>
      <c r="AJ51" s="10">
        <f>ROUND($B$5*$B$10*$B$12*$B$16*$B$20*$B$21*$B$25,0)</f>
        <v/>
      </c>
      <c r="AK51" s="10">
        <f>ROUND($B$5*$B$10*$B$12*$B$16*$B$20*$B$22*$B$23,0)</f>
        <v/>
      </c>
      <c r="AL51" s="10">
        <f>ROUND($B$5*$B$10*$B$12*$B$16*$B$20*$B$22*$B$24,0)</f>
        <v/>
      </c>
      <c r="AM51" s="10">
        <f>ROUND($B$5*$B$10*$B$12*$B$16*$B$20*$B$22*$B$25,0)</f>
        <v/>
      </c>
      <c r="AN51" s="10">
        <f>ROUND($B$6*$B$10*$B$12*$B$16*$B$18*$B$21*$B$23,0)</f>
        <v/>
      </c>
      <c r="AO51" s="10">
        <f>ROUND($B$6*$B$10*$B$12*$B$16*$B$18*$B$21*$B$24,0)</f>
        <v/>
      </c>
      <c r="AP51" s="10">
        <f>ROUND($B$6*$B$10*$B$12*$B$16*$B$18*$B$21*$B$25,0)</f>
        <v/>
      </c>
      <c r="AQ51" s="10">
        <f>ROUND($B$6*$B$10*$B$12*$B$16*$B$18*$B$22*$B$23,0)</f>
        <v/>
      </c>
      <c r="AR51" s="10">
        <f>ROUND($B$6*$B$10*$B$12*$B$16*$B$18*$B$22*$B$24,0)</f>
        <v/>
      </c>
      <c r="AS51" s="10">
        <f>ROUND($B$6*$B$10*$B$12*$B$16*$B$18*$B$22*$B$25,0)</f>
        <v/>
      </c>
      <c r="AT51" s="10">
        <f>ROUND($B$6*$B$10*$B$12*$B$16*$B$19*$B$21*$B$23,0)</f>
        <v/>
      </c>
      <c r="AU51" s="10">
        <f>ROUND($B$6*$B$10*$B$12*$B$16*$B$19*$B$21*$B$24,0)</f>
        <v/>
      </c>
      <c r="AV51" s="10">
        <f>ROUND($B$6*$B$10*$B$12*$B$16*$B$19*$B$21*$B$25,0)</f>
        <v/>
      </c>
      <c r="AW51" s="10">
        <f>ROUND($B$6*$B$10*$B$12*$B$16*$B$19*$B$22*$B$23,0)</f>
        <v/>
      </c>
      <c r="AX51" s="10">
        <f>ROUND($B$6*$B$10*$B$12*$B$16*$B$19*$B$22*$B$24,0)</f>
        <v/>
      </c>
      <c r="AY51" s="10">
        <f>ROUND($B$6*$B$10*$B$12*$B$16*$B$19*$B$22*$B$25,0)</f>
        <v/>
      </c>
      <c r="AZ51" s="10">
        <f>ROUND($B$6*$B$10*$B$12*$B$16*$B$20*$B$21*$B$23,0)</f>
        <v/>
      </c>
      <c r="BA51" s="10">
        <f>ROUND($B$6*$B$10*$B$12*$B$16*$B$20*$B$21*$B$24,0)</f>
        <v/>
      </c>
      <c r="BB51" s="10">
        <f>ROUND($B$6*$B$10*$B$12*$B$16*$B$20*$B$21*$B$25,0)</f>
        <v/>
      </c>
      <c r="BC51" s="10">
        <f>ROUND($B$6*$B$10*$B$12*$B$16*$B$20*$B$22*$B$23,0)</f>
        <v/>
      </c>
      <c r="BD51" s="10">
        <f>ROUND($B$6*$B$10*$B$12*$B$16*$B$20*$B$22*$B$24,0)</f>
        <v/>
      </c>
      <c r="BE51" s="10">
        <f>ROUND($B$6*$B$10*$B$12*$B$16*$B$20*$B$22*$B$25,0)</f>
        <v/>
      </c>
    </row>
    <row r="52" ht="20.1" customHeight="1" s="62">
      <c r="A52" s="67" t="n"/>
      <c r="B52" s="59" t="n"/>
      <c r="C52" s="15" t="inlineStr">
        <is>
          <t>Avancée (base existante)</t>
        </is>
      </c>
      <c r="D52" s="10">
        <f>ROUND($B$4*$B$10*$B$12*$B$17*$B$18*$B$21*$B$23,0)</f>
        <v/>
      </c>
      <c r="E52" s="10">
        <f>ROUND($B$4*$B$10*$B$12*$B$17*$B$18*$B$21*$B$24,0)</f>
        <v/>
      </c>
      <c r="F52" s="10">
        <f>ROUND($B$4*$B$10*$B$12*$B$17*$B$18*$B$21*$B$25,0)</f>
        <v/>
      </c>
      <c r="G52" s="10">
        <f>ROUND($B$4*$B$10*$B$12*$B$17*$B$18*$B$22*$B$23,0)</f>
        <v/>
      </c>
      <c r="H52" s="10">
        <f>ROUND($B$4*$B$10*$B$12*$B$17*$B$18*$B$22*$B$24,0)</f>
        <v/>
      </c>
      <c r="I52" s="10">
        <f>ROUND($B$4*$B$10*$B$12*$B$17*$B$18*$B$22*$B$25,0)</f>
        <v/>
      </c>
      <c r="J52" s="10">
        <f>ROUND($B$4*$B$10*$B$12*$B$17*$B$19*$B$21*$B$23,0)</f>
        <v/>
      </c>
      <c r="K52" s="10">
        <f>ROUND($B$4*$B$10*$B$12*$B$17*$B$19*$B$21*$B$24,0)</f>
        <v/>
      </c>
      <c r="L52" s="10">
        <f>ROUND($B$4*$B$10*$B$12*$B$17*$B$19*$B$21*$B$25,0)</f>
        <v/>
      </c>
      <c r="M52" s="10">
        <f>ROUND($B$4*$B$10*$B$12*$B$17*$B$19*$B$22*$B$23,0)</f>
        <v/>
      </c>
      <c r="N52" s="10">
        <f>ROUND($B$4*$B$10*$B$12*$B$17*$B$19*$B$22*$B$24,0)</f>
        <v/>
      </c>
      <c r="O52" s="10">
        <f>ROUND($B$4*$B$10*$B$12*$B$17*$B$19*$B$22*$B$25,0)</f>
        <v/>
      </c>
      <c r="P52" s="10">
        <f>ROUND($B$4*$B$10*$B$12*$B$17*$B$20*$B$21*$B$23,0)</f>
        <v/>
      </c>
      <c r="Q52" s="10">
        <f>ROUND($B$4*$B$10*$B$12*$B$17*$B$20*$B$21*$B$24,0)</f>
        <v/>
      </c>
      <c r="R52" s="10">
        <f>ROUND($B$4*$B$10*$B$12*$B$17*$B$20*$B$21*$B$25,0)</f>
        <v/>
      </c>
      <c r="S52" s="10">
        <f>ROUND($B$4*$B$10*$B$12*$B$17*$B$20*$B$22*$B$23,0)</f>
        <v/>
      </c>
      <c r="T52" s="10">
        <f>ROUND($B$4*$B$10*$B$12*$B$17*$B$20*$B$22*$B$24,0)</f>
        <v/>
      </c>
      <c r="U52" s="10">
        <f>ROUND($B$4*$B$10*$B$12*$B$17*$B$20*$B$22*$B$25,0)</f>
        <v/>
      </c>
      <c r="V52" s="10">
        <f>ROUND($B$5*$B$10*$B$12*$B$17*$B$18*$B$21*$B$23,0)</f>
        <v/>
      </c>
      <c r="W52" s="10">
        <f>ROUND($B$5*$B$10*$B$12*$B$17*$B$18*$B$21*$B$24,0)</f>
        <v/>
      </c>
      <c r="X52" s="10">
        <f>ROUND($B$5*$B$10*$B$12*$B$17*$B$18*$B$21*$B$25,0)</f>
        <v/>
      </c>
      <c r="Y52" s="10">
        <f>ROUND($B$5*$B$10*$B$12*$B$17*$B$18*$B$22*$B$23,0)</f>
        <v/>
      </c>
      <c r="Z52" s="10">
        <f>ROUND($B$5*$B$10*$B$12*$B$17*$B$18*$B$22*$B$24,0)</f>
        <v/>
      </c>
      <c r="AA52" s="10">
        <f>ROUND($B$5*$B$10*$B$12*$B$17*$B$18*$B$22*$B$25,0)</f>
        <v/>
      </c>
      <c r="AB52" s="10">
        <f>ROUND($B$5*$B$10*$B$12*$B$17*$B$19*$B$21*$B$23,0)</f>
        <v/>
      </c>
      <c r="AC52" s="10">
        <f>ROUND($B$5*$B$10*$B$12*$B$17*$B$19*$B$21*$B$24,0)</f>
        <v/>
      </c>
      <c r="AD52" s="10">
        <f>ROUND($B$5*$B$10*$B$12*$B$17*$B$19*$B$21*$B$25,0)</f>
        <v/>
      </c>
      <c r="AE52" s="10">
        <f>ROUND($B$5*$B$10*$B$12*$B$17*$B$19*$B$22*$B$23,0)</f>
        <v/>
      </c>
      <c r="AF52" s="10">
        <f>ROUND($B$5*$B$10*$B$12*$B$17*$B$19*$B$22*$B$24,0)</f>
        <v/>
      </c>
      <c r="AG52" s="10">
        <f>ROUND($B$5*$B$10*$B$12*$B$17*$B$19*$B$22*$B$25,0)</f>
        <v/>
      </c>
      <c r="AH52" s="10">
        <f>ROUND($B$5*$B$10*$B$12*$B$17*$B$20*$B$21*$B$23,0)</f>
        <v/>
      </c>
      <c r="AI52" s="10">
        <f>ROUND($B$5*$B$10*$B$12*$B$17*$B$20*$B$21*$B$24,0)</f>
        <v/>
      </c>
      <c r="AJ52" s="10">
        <f>ROUND($B$5*$B$10*$B$12*$B$17*$B$20*$B$21*$B$25,0)</f>
        <v/>
      </c>
      <c r="AK52" s="10">
        <f>ROUND($B$5*$B$10*$B$12*$B$17*$B$20*$B$22*$B$23,0)</f>
        <v/>
      </c>
      <c r="AL52" s="10">
        <f>ROUND($B$5*$B$10*$B$12*$B$17*$B$20*$B$22*$B$24,0)</f>
        <v/>
      </c>
      <c r="AM52" s="10">
        <f>ROUND($B$5*$B$10*$B$12*$B$17*$B$20*$B$22*$B$25,0)</f>
        <v/>
      </c>
      <c r="AN52" s="10">
        <f>ROUND($B$6*$B$10*$B$12*$B$17*$B$18*$B$21*$B$23,0)</f>
        <v/>
      </c>
      <c r="AO52" s="10">
        <f>ROUND($B$6*$B$10*$B$12*$B$17*$B$18*$B$21*$B$24,0)</f>
        <v/>
      </c>
      <c r="AP52" s="10">
        <f>ROUND($B$6*$B$10*$B$12*$B$17*$B$18*$B$21*$B$25,0)</f>
        <v/>
      </c>
      <c r="AQ52" s="10">
        <f>ROUND($B$6*$B$10*$B$12*$B$17*$B$18*$B$22*$B$23,0)</f>
        <v/>
      </c>
      <c r="AR52" s="10">
        <f>ROUND($B$6*$B$10*$B$12*$B$17*$B$18*$B$22*$B$24,0)</f>
        <v/>
      </c>
      <c r="AS52" s="10">
        <f>ROUND($B$6*$B$10*$B$12*$B$17*$B$18*$B$22*$B$25,0)</f>
        <v/>
      </c>
      <c r="AT52" s="10">
        <f>ROUND($B$6*$B$10*$B$12*$B$17*$B$19*$B$21*$B$23,0)</f>
        <v/>
      </c>
      <c r="AU52" s="10">
        <f>ROUND($B$6*$B$10*$B$12*$B$17*$B$19*$B$21*$B$24,0)</f>
        <v/>
      </c>
      <c r="AV52" s="10">
        <f>ROUND($B$6*$B$10*$B$12*$B$17*$B$19*$B$21*$B$25,0)</f>
        <v/>
      </c>
      <c r="AW52" s="10">
        <f>ROUND($B$6*$B$10*$B$12*$B$17*$B$19*$B$22*$B$23,0)</f>
        <v/>
      </c>
      <c r="AX52" s="10">
        <f>ROUND($B$6*$B$10*$B$12*$B$17*$B$19*$B$22*$B$24,0)</f>
        <v/>
      </c>
      <c r="AY52" s="10">
        <f>ROUND($B$6*$B$10*$B$12*$B$17*$B$19*$B$22*$B$25,0)</f>
        <v/>
      </c>
      <c r="AZ52" s="10">
        <f>ROUND($B$6*$B$10*$B$12*$B$17*$B$20*$B$21*$B$23,0)</f>
        <v/>
      </c>
      <c r="BA52" s="10">
        <f>ROUND($B$6*$B$10*$B$12*$B$17*$B$20*$B$21*$B$24,0)</f>
        <v/>
      </c>
      <c r="BB52" s="10">
        <f>ROUND($B$6*$B$10*$B$12*$B$17*$B$20*$B$21*$B$25,0)</f>
        <v/>
      </c>
      <c r="BC52" s="10">
        <f>ROUND($B$6*$B$10*$B$12*$B$17*$B$20*$B$22*$B$23,0)</f>
        <v/>
      </c>
      <c r="BD52" s="10">
        <f>ROUND($B$6*$B$10*$B$12*$B$17*$B$20*$B$22*$B$24,0)</f>
        <v/>
      </c>
      <c r="BE52" s="10">
        <f>ROUND($B$6*$B$10*$B$12*$B$17*$B$20*$B$22*$B$25,0)</f>
        <v/>
      </c>
    </row>
    <row r="53" ht="20.1" customHeight="1" s="62">
      <c r="A53" s="67" t="n"/>
      <c r="B53" s="57" t="inlineStr">
        <is>
          <t>6-15 processus</t>
        </is>
      </c>
      <c r="C53" s="14" t="inlineStr">
        <is>
          <t>Faible (peu ou pas de formalisation)</t>
        </is>
      </c>
      <c r="D53" s="10">
        <f>ROUND($B$4*$B$10*$B$13*$B$15*$B$18*$B$21*$B$23,0)</f>
        <v/>
      </c>
      <c r="E53" s="10">
        <f>ROUND($B$4*$B$10*$B$13*$B$15*$B$18*$B$21*$B$24,0)</f>
        <v/>
      </c>
      <c r="F53" s="10">
        <f>ROUND($B$4*$B$10*$B$13*$B$15*$B$18*$B$21*$B$25,0)</f>
        <v/>
      </c>
      <c r="G53" s="10">
        <f>ROUND($B$4*$B$10*$B$13*$B$15*$B$18*$B$22*$B$23,0)</f>
        <v/>
      </c>
      <c r="H53" s="10">
        <f>ROUND($B$4*$B$10*$B$13*$B$15*$B$18*$B$22*$B$24,0)</f>
        <v/>
      </c>
      <c r="I53" s="10">
        <f>ROUND($B$4*$B$10*$B$13*$B$15*$B$18*$B$22*$B$25,0)</f>
        <v/>
      </c>
      <c r="J53" s="10">
        <f>ROUND($B$4*$B$10*$B$13*$B$15*$B$19*$B$21*$B$23,0)</f>
        <v/>
      </c>
      <c r="K53" s="10">
        <f>ROUND($B$4*$B$10*$B$13*$B$15*$B$19*$B$21*$B$24,0)</f>
        <v/>
      </c>
      <c r="L53" s="10">
        <f>ROUND($B$4*$B$10*$B$13*$B$15*$B$19*$B$21*$B$25,0)</f>
        <v/>
      </c>
      <c r="M53" s="10">
        <f>ROUND($B$4*$B$10*$B$13*$B$15*$B$19*$B$22*$B$23,0)</f>
        <v/>
      </c>
      <c r="N53" s="10">
        <f>ROUND($B$4*$B$10*$B$13*$B$15*$B$19*$B$22*$B$24,0)</f>
        <v/>
      </c>
      <c r="O53" s="10">
        <f>ROUND($B$4*$B$10*$B$13*$B$15*$B$19*$B$22*$B$25,0)</f>
        <v/>
      </c>
      <c r="P53" s="10">
        <f>ROUND($B$4*$B$10*$B$13*$B$15*$B$20*$B$21*$B$23,0)</f>
        <v/>
      </c>
      <c r="Q53" s="10">
        <f>ROUND($B$4*$B$10*$B$13*$B$15*$B$20*$B$21*$B$24,0)</f>
        <v/>
      </c>
      <c r="R53" s="10">
        <f>ROUND($B$4*$B$10*$B$13*$B$15*$B$20*$B$21*$B$25,0)</f>
        <v/>
      </c>
      <c r="S53" s="10">
        <f>ROUND($B$4*$B$10*$B$13*$B$15*$B$20*$B$22*$B$23,0)</f>
        <v/>
      </c>
      <c r="T53" s="10">
        <f>ROUND($B$4*$B$10*$B$13*$B$15*$B$20*$B$22*$B$24,0)</f>
        <v/>
      </c>
      <c r="U53" s="10">
        <f>ROUND($B$4*$B$10*$B$13*$B$15*$B$20*$B$22*$B$25,0)</f>
        <v/>
      </c>
      <c r="V53" s="10">
        <f>ROUND($B$5*$B$10*$B$13*$B$15*$B$18*$B$21*$B$23,0)</f>
        <v/>
      </c>
      <c r="W53" s="10">
        <f>ROUND($B$5*$B$10*$B$13*$B$15*$B$18*$B$21*$B$24,0)</f>
        <v/>
      </c>
      <c r="X53" s="10">
        <f>ROUND($B$5*$B$10*$B$13*$B$15*$B$18*$B$21*$B$25,0)</f>
        <v/>
      </c>
      <c r="Y53" s="10">
        <f>ROUND($B$5*$B$10*$B$13*$B$15*$B$18*$B$22*$B$23,0)</f>
        <v/>
      </c>
      <c r="Z53" s="10">
        <f>ROUND($B$5*$B$10*$B$13*$B$15*$B$18*$B$22*$B$24,0)</f>
        <v/>
      </c>
      <c r="AA53" s="10">
        <f>ROUND($B$5*$B$10*$B$13*$B$15*$B$18*$B$22*$B$25,0)</f>
        <v/>
      </c>
      <c r="AB53" s="10">
        <f>ROUND($B$5*$B$10*$B$13*$B$15*$B$19*$B$21*$B$23,0)</f>
        <v/>
      </c>
      <c r="AC53" s="10">
        <f>ROUND($B$5*$B$10*$B$13*$B$15*$B$19*$B$21*$B$24,0)</f>
        <v/>
      </c>
      <c r="AD53" s="10">
        <f>ROUND($B$5*$B$10*$B$13*$B$15*$B$19*$B$21*$B$25,0)</f>
        <v/>
      </c>
      <c r="AE53" s="10">
        <f>ROUND($B$5*$B$10*$B$13*$B$15*$B$19*$B$22*$B$23,0)</f>
        <v/>
      </c>
      <c r="AF53" s="10">
        <f>ROUND($B$5*$B$10*$B$13*$B$15*$B$19*$B$22*$B$24,0)</f>
        <v/>
      </c>
      <c r="AG53" s="10">
        <f>ROUND($B$5*$B$10*$B$13*$B$15*$B$19*$B$22*$B$25,0)</f>
        <v/>
      </c>
      <c r="AH53" s="10">
        <f>ROUND($B$5*$B$10*$B$13*$B$15*$B$20*$B$21*$B$23,0)</f>
        <v/>
      </c>
      <c r="AI53" s="10">
        <f>ROUND($B$5*$B$10*$B$13*$B$15*$B$20*$B$21*$B$24,0)</f>
        <v/>
      </c>
      <c r="AJ53" s="10">
        <f>ROUND($B$5*$B$10*$B$13*$B$15*$B$20*$B$21*$B$25,0)</f>
        <v/>
      </c>
      <c r="AK53" s="10">
        <f>ROUND($B$5*$B$10*$B$13*$B$15*$B$20*$B$22*$B$23,0)</f>
        <v/>
      </c>
      <c r="AL53" s="10">
        <f>ROUND($B$5*$B$10*$B$13*$B$15*$B$20*$B$22*$B$24,0)</f>
        <v/>
      </c>
      <c r="AM53" s="10">
        <f>ROUND($B$5*$B$10*$B$13*$B$15*$B$20*$B$22*$B$25,0)</f>
        <v/>
      </c>
      <c r="AN53" s="10">
        <f>ROUND($B$6*$B$10*$B$13*$B$15*$B$18*$B$21*$B$23,0)</f>
        <v/>
      </c>
      <c r="AO53" s="10">
        <f>ROUND($B$6*$B$10*$B$13*$B$15*$B$18*$B$21*$B$24,0)</f>
        <v/>
      </c>
      <c r="AP53" s="10">
        <f>ROUND($B$6*$B$10*$B$13*$B$15*$B$18*$B$21*$B$25,0)</f>
        <v/>
      </c>
      <c r="AQ53" s="10">
        <f>ROUND($B$6*$B$10*$B$13*$B$15*$B$18*$B$22*$B$23,0)</f>
        <v/>
      </c>
      <c r="AR53" s="10">
        <f>ROUND($B$6*$B$10*$B$13*$B$15*$B$18*$B$22*$B$24,0)</f>
        <v/>
      </c>
      <c r="AS53" s="10">
        <f>ROUND($B$6*$B$10*$B$13*$B$15*$B$18*$B$22*$B$25,0)</f>
        <v/>
      </c>
      <c r="AT53" s="10">
        <f>ROUND($B$6*$B$10*$B$13*$B$15*$B$19*$B$21*$B$23,0)</f>
        <v/>
      </c>
      <c r="AU53" s="10">
        <f>ROUND($B$6*$B$10*$B$13*$B$15*$B$19*$B$21*$B$24,0)</f>
        <v/>
      </c>
      <c r="AV53" s="10">
        <f>ROUND($B$6*$B$10*$B$13*$B$15*$B$19*$B$21*$B$25,0)</f>
        <v/>
      </c>
      <c r="AW53" s="10">
        <f>ROUND($B$6*$B$10*$B$13*$B$15*$B$19*$B$22*$B$23,0)</f>
        <v/>
      </c>
      <c r="AX53" s="10">
        <f>ROUND($B$6*$B$10*$B$13*$B$15*$B$19*$B$22*$B$24,0)</f>
        <v/>
      </c>
      <c r="AY53" s="10">
        <f>ROUND($B$6*$B$10*$B$13*$B$15*$B$19*$B$22*$B$25,0)</f>
        <v/>
      </c>
      <c r="AZ53" s="10">
        <f>ROUND($B$6*$B$10*$B$13*$B$15*$B$20*$B$21*$B$23,0)</f>
        <v/>
      </c>
      <c r="BA53" s="10">
        <f>ROUND($B$6*$B$10*$B$13*$B$15*$B$20*$B$21*$B$24,0)</f>
        <v/>
      </c>
      <c r="BB53" s="10">
        <f>ROUND($B$6*$B$10*$B$13*$B$15*$B$20*$B$21*$B$25,0)</f>
        <v/>
      </c>
      <c r="BC53" s="10">
        <f>ROUND($B$6*$B$10*$B$13*$B$15*$B$20*$B$22*$B$23,0)</f>
        <v/>
      </c>
      <c r="BD53" s="10">
        <f>ROUND($B$6*$B$10*$B$13*$B$15*$B$20*$B$22*$B$24,0)</f>
        <v/>
      </c>
      <c r="BE53" s="10">
        <f>ROUND($B$6*$B$10*$B$13*$B$15*$B$20*$B$22*$B$25,0)</f>
        <v/>
      </c>
    </row>
    <row r="54" ht="20.1" customHeight="1" s="62">
      <c r="A54" s="67" t="n"/>
      <c r="B54" s="58" t="n"/>
      <c r="C54" s="57" t="inlineStr">
        <is>
          <t>Intermédiaire</t>
        </is>
      </c>
      <c r="D54" s="10">
        <f>ROUND($B$4*$B$10*$B$13*$B$16*$B$18*$B$21*$B$23,0)</f>
        <v/>
      </c>
      <c r="E54" s="10">
        <f>ROUND($B$4*$B$10*$B$13*$B$16*$B$18*$B$21*$B$24,0)</f>
        <v/>
      </c>
      <c r="F54" s="10">
        <f>ROUND($B$4*$B$10*$B$13*$B$16*$B$18*$B$21*$B$25,0)</f>
        <v/>
      </c>
      <c r="G54" s="10">
        <f>ROUND($B$4*$B$10*$B$13*$B$16*$B$18*$B$22*$B$23,0)</f>
        <v/>
      </c>
      <c r="H54" s="10">
        <f>ROUND($B$4*$B$10*$B$13*$B$16*$B$18*$B$22*$B$24,0)</f>
        <v/>
      </c>
      <c r="I54" s="10">
        <f>ROUND($B$4*$B$10*$B$13*$B$16*$B$18*$B$22*$B$25,0)</f>
        <v/>
      </c>
      <c r="J54" s="10">
        <f>ROUND($B$4*$B$10*$B$13*$B$16*$B$19*$B$21*$B$23,0)</f>
        <v/>
      </c>
      <c r="K54" s="10">
        <f>ROUND($B$4*$B$10*$B$13*$B$16*$B$19*$B$21*$B$24,0)</f>
        <v/>
      </c>
      <c r="L54" s="10">
        <f>ROUND($B$4*$B$10*$B$13*$B$16*$B$19*$B$21*$B$25,0)</f>
        <v/>
      </c>
      <c r="M54" s="10">
        <f>ROUND($B$4*$B$10*$B$13*$B$16*$B$19*$B$22*$B$23,0)</f>
        <v/>
      </c>
      <c r="N54" s="10">
        <f>ROUND($B$4*$B$10*$B$13*$B$16*$B$19*$B$22*$B$24,0)</f>
        <v/>
      </c>
      <c r="O54" s="10">
        <f>ROUND($B$4*$B$10*$B$13*$B$16*$B$19*$B$22*$B$25,0)</f>
        <v/>
      </c>
      <c r="P54" s="10">
        <f>ROUND($B$4*$B$10*$B$13*$B$16*$B$20*$B$21*$B$23,0)</f>
        <v/>
      </c>
      <c r="Q54" s="10">
        <f>ROUND($B$4*$B$10*$B$13*$B$16*$B$20*$B$21*$B$24,0)</f>
        <v/>
      </c>
      <c r="R54" s="10">
        <f>ROUND($B$4*$B$10*$B$13*$B$16*$B$20*$B$21*$B$25,0)</f>
        <v/>
      </c>
      <c r="S54" s="10">
        <f>ROUND($B$4*$B$10*$B$13*$B$16*$B$20*$B$22*$B$23,0)</f>
        <v/>
      </c>
      <c r="T54" s="10">
        <f>ROUND($B$4*$B$10*$B$13*$B$16*$B$20*$B$22*$B$24,0)</f>
        <v/>
      </c>
      <c r="U54" s="10">
        <f>ROUND($B$4*$B$10*$B$13*$B$16*$B$20*$B$22*$B$25,0)</f>
        <v/>
      </c>
      <c r="V54" s="10">
        <f>ROUND($B$5*$B$10*$B$13*$B$16*$B$18*$B$21*$B$23,0)</f>
        <v/>
      </c>
      <c r="W54" s="10">
        <f>ROUND($B$5*$B$10*$B$13*$B$16*$B$18*$B$21*$B$24,0)</f>
        <v/>
      </c>
      <c r="X54" s="10">
        <f>ROUND($B$5*$B$10*$B$13*$B$16*$B$18*$B$21*$B$25,0)</f>
        <v/>
      </c>
      <c r="Y54" s="10">
        <f>ROUND($B$5*$B$10*$B$13*$B$16*$B$18*$B$22*$B$23,0)</f>
        <v/>
      </c>
      <c r="Z54" s="10">
        <f>ROUND($B$5*$B$10*$B$13*$B$16*$B$18*$B$22*$B$24,0)</f>
        <v/>
      </c>
      <c r="AA54" s="10">
        <f>ROUND($B$5*$B$10*$B$13*$B$16*$B$18*$B$22*$B$25,0)</f>
        <v/>
      </c>
      <c r="AB54" s="10">
        <f>ROUND($B$5*$B$10*$B$13*$B$16*$B$19*$B$21*$B$23,0)</f>
        <v/>
      </c>
      <c r="AC54" s="10">
        <f>ROUND($B$5*$B$10*$B$13*$B$16*$B$19*$B$21*$B$24,0)</f>
        <v/>
      </c>
      <c r="AD54" s="10">
        <f>ROUND($B$5*$B$10*$B$13*$B$16*$B$19*$B$21*$B$25,0)</f>
        <v/>
      </c>
      <c r="AE54" s="10">
        <f>ROUND($B$5*$B$10*$B$13*$B$16*$B$19*$B$22*$B$23,0)</f>
        <v/>
      </c>
      <c r="AF54" s="10">
        <f>ROUND($B$5*$B$10*$B$13*$B$16*$B$19*$B$22*$B$24,0)</f>
        <v/>
      </c>
      <c r="AG54" s="10">
        <f>ROUND($B$5*$B$10*$B$13*$B$16*$B$19*$B$22*$B$25,0)</f>
        <v/>
      </c>
      <c r="AH54" s="10">
        <f>ROUND($B$5*$B$10*$B$13*$B$16*$B$20*$B$21*$B$23,0)</f>
        <v/>
      </c>
      <c r="AI54" s="10">
        <f>ROUND($B$5*$B$10*$B$13*$B$16*$B$20*$B$21*$B$24,0)</f>
        <v/>
      </c>
      <c r="AJ54" s="10">
        <f>ROUND($B$5*$B$10*$B$13*$B$16*$B$20*$B$21*$B$25,0)</f>
        <v/>
      </c>
      <c r="AK54" s="10">
        <f>ROUND($B$5*$B$10*$B$13*$B$16*$B$20*$B$22*$B$23,0)</f>
        <v/>
      </c>
      <c r="AL54" s="10">
        <f>ROUND($B$5*$B$10*$B$13*$B$16*$B$20*$B$22*$B$24,0)</f>
        <v/>
      </c>
      <c r="AM54" s="10">
        <f>ROUND($B$5*$B$10*$B$13*$B$16*$B$20*$B$22*$B$25,0)</f>
        <v/>
      </c>
      <c r="AN54" s="10">
        <f>ROUND($B$6*$B$10*$B$13*$B$16*$B$18*$B$21*$B$23,0)</f>
        <v/>
      </c>
      <c r="AO54" s="10">
        <f>ROUND($B$6*$B$10*$B$13*$B$16*$B$18*$B$21*$B$24,0)</f>
        <v/>
      </c>
      <c r="AP54" s="10">
        <f>ROUND($B$6*$B$10*$B$13*$B$16*$B$18*$B$21*$B$25,0)</f>
        <v/>
      </c>
      <c r="AQ54" s="10">
        <f>ROUND($B$6*$B$10*$B$13*$B$16*$B$18*$B$22*$B$23,0)</f>
        <v/>
      </c>
      <c r="AR54" s="10">
        <f>ROUND($B$6*$B$10*$B$13*$B$16*$B$18*$B$22*$B$24,0)</f>
        <v/>
      </c>
      <c r="AS54" s="10">
        <f>ROUND($B$6*$B$10*$B$13*$B$16*$B$18*$B$22*$B$25,0)</f>
        <v/>
      </c>
      <c r="AT54" s="10">
        <f>ROUND($B$6*$B$10*$B$13*$B$16*$B$19*$B$21*$B$23,0)</f>
        <v/>
      </c>
      <c r="AU54" s="10">
        <f>ROUND($B$6*$B$10*$B$13*$B$16*$B$19*$B$21*$B$24,0)</f>
        <v/>
      </c>
      <c r="AV54" s="10">
        <f>ROUND($B$6*$B$10*$B$13*$B$16*$B$19*$B$21*$B$25,0)</f>
        <v/>
      </c>
      <c r="AW54" s="10">
        <f>ROUND($B$6*$B$10*$B$13*$B$16*$B$19*$B$22*$B$23,0)</f>
        <v/>
      </c>
      <c r="AX54" s="10">
        <f>ROUND($B$6*$B$10*$B$13*$B$16*$B$19*$B$22*$B$24,0)</f>
        <v/>
      </c>
      <c r="AY54" s="10">
        <f>ROUND($B$6*$B$10*$B$13*$B$16*$B$19*$B$22*$B$25,0)</f>
        <v/>
      </c>
      <c r="AZ54" s="10">
        <f>ROUND($B$6*$B$10*$B$13*$B$16*$B$20*$B$21*$B$23,0)</f>
        <v/>
      </c>
      <c r="BA54" s="10">
        <f>ROUND($B$6*$B$10*$B$13*$B$16*$B$20*$B$21*$B$24,0)</f>
        <v/>
      </c>
      <c r="BB54" s="10">
        <f>ROUND($B$6*$B$10*$B$13*$B$16*$B$20*$B$21*$B$25,0)</f>
        <v/>
      </c>
      <c r="BC54" s="10">
        <f>ROUND($B$6*$B$10*$B$13*$B$16*$B$20*$B$22*$B$23,0)</f>
        <v/>
      </c>
      <c r="BD54" s="10">
        <f>ROUND($B$6*$B$10*$B$13*$B$16*$B$20*$B$22*$B$24,0)</f>
        <v/>
      </c>
      <c r="BE54" s="10">
        <f>ROUND($B$6*$B$10*$B$13*$B$16*$B$20*$B$22*$B$25,0)</f>
        <v/>
      </c>
    </row>
    <row r="55" ht="20.1" customHeight="1" s="62">
      <c r="A55" s="67" t="n"/>
      <c r="B55" s="59" t="n"/>
      <c r="C55" s="15" t="inlineStr">
        <is>
          <t>Avancée (base existante)</t>
        </is>
      </c>
      <c r="D55" s="10">
        <f>ROUND($B$4*$B$10*$B$13*$B$17*$B$18*$B$21*$B$23,0)</f>
        <v/>
      </c>
      <c r="E55" s="10">
        <f>ROUND($B$4*$B$10*$B$13*$B$17*$B$18*$B$21*$B$24,0)</f>
        <v/>
      </c>
      <c r="F55" s="10">
        <f>ROUND($B$4*$B$10*$B$13*$B$17*$B$18*$B$21*$B$25,0)</f>
        <v/>
      </c>
      <c r="G55" s="10">
        <f>ROUND($B$4*$B$10*$B$13*$B$17*$B$18*$B$22*$B$23,0)</f>
        <v/>
      </c>
      <c r="H55" s="10">
        <f>ROUND($B$4*$B$10*$B$13*$B$17*$B$18*$B$22*$B$24,0)</f>
        <v/>
      </c>
      <c r="I55" s="10">
        <f>ROUND($B$4*$B$10*$B$13*$B$17*$B$18*$B$22*$B$25,0)</f>
        <v/>
      </c>
      <c r="J55" s="10">
        <f>ROUND($B$4*$B$10*$B$13*$B$17*$B$19*$B$21*$B$23,0)</f>
        <v/>
      </c>
      <c r="K55" s="10">
        <f>ROUND($B$4*$B$10*$B$13*$B$17*$B$19*$B$21*$B$24,0)</f>
        <v/>
      </c>
      <c r="L55" s="10">
        <f>ROUND($B$4*$B$10*$B$13*$B$17*$B$19*$B$21*$B$25,0)</f>
        <v/>
      </c>
      <c r="M55" s="10">
        <f>ROUND($B$4*$B$10*$B$13*$B$17*$B$19*$B$22*$B$23,0)</f>
        <v/>
      </c>
      <c r="N55" s="10">
        <f>ROUND($B$4*$B$10*$B$13*$B$17*$B$19*$B$22*$B$24,0)</f>
        <v/>
      </c>
      <c r="O55" s="10">
        <f>ROUND($B$4*$B$10*$B$13*$B$17*$B$19*$B$22*$B$25,0)</f>
        <v/>
      </c>
      <c r="P55" s="10">
        <f>ROUND($B$4*$B$10*$B$13*$B$17*$B$20*$B$21*$B$23,0)</f>
        <v/>
      </c>
      <c r="Q55" s="10">
        <f>ROUND($B$4*$B$10*$B$13*$B$17*$B$20*$B$21*$B$24,0)</f>
        <v/>
      </c>
      <c r="R55" s="10">
        <f>ROUND($B$4*$B$10*$B$13*$B$17*$B$20*$B$21*$B$25,0)</f>
        <v/>
      </c>
      <c r="S55" s="10">
        <f>ROUND($B$4*$B$10*$B$13*$B$17*$B$20*$B$22*$B$23,0)</f>
        <v/>
      </c>
      <c r="T55" s="10">
        <f>ROUND($B$4*$B$10*$B$13*$B$17*$B$20*$B$22*$B$24,0)</f>
        <v/>
      </c>
      <c r="U55" s="10">
        <f>ROUND($B$4*$B$10*$B$13*$B$17*$B$20*$B$22*$B$25,0)</f>
        <v/>
      </c>
      <c r="V55" s="10">
        <f>ROUND($B$5*$B$10*$B$13*$B$17*$B$18*$B$21*$B$23,0)</f>
        <v/>
      </c>
      <c r="W55" s="10">
        <f>ROUND($B$5*$B$10*$B$13*$B$17*$B$18*$B$21*$B$24,0)</f>
        <v/>
      </c>
      <c r="X55" s="10">
        <f>ROUND($B$5*$B$10*$B$13*$B$17*$B$18*$B$21*$B$25,0)</f>
        <v/>
      </c>
      <c r="Y55" s="10">
        <f>ROUND($B$5*$B$10*$B$13*$B$17*$B$18*$B$22*$B$23,0)</f>
        <v/>
      </c>
      <c r="Z55" s="10">
        <f>ROUND($B$5*$B$10*$B$13*$B$17*$B$18*$B$22*$B$24,0)</f>
        <v/>
      </c>
      <c r="AA55" s="10">
        <f>ROUND($B$5*$B$10*$B$13*$B$17*$B$18*$B$22*$B$25,0)</f>
        <v/>
      </c>
      <c r="AB55" s="10">
        <f>ROUND($B$5*$B$10*$B$13*$B$17*$B$19*$B$21*$B$23,0)</f>
        <v/>
      </c>
      <c r="AC55" s="10">
        <f>ROUND($B$5*$B$10*$B$13*$B$17*$B$19*$B$21*$B$24,0)</f>
        <v/>
      </c>
      <c r="AD55" s="10">
        <f>ROUND($B$5*$B$10*$B$13*$B$17*$B$19*$B$21*$B$25,0)</f>
        <v/>
      </c>
      <c r="AE55" s="10">
        <f>ROUND($B$5*$B$10*$B$13*$B$17*$B$19*$B$22*$B$23,0)</f>
        <v/>
      </c>
      <c r="AF55" s="10">
        <f>ROUND($B$5*$B$10*$B$13*$B$17*$B$19*$B$22*$B$24,0)</f>
        <v/>
      </c>
      <c r="AG55" s="10">
        <f>ROUND($B$5*$B$10*$B$13*$B$17*$B$19*$B$22*$B$25,0)</f>
        <v/>
      </c>
      <c r="AH55" s="10">
        <f>ROUND($B$5*$B$10*$B$13*$B$17*$B$20*$B$21*$B$23,0)</f>
        <v/>
      </c>
      <c r="AI55" s="10">
        <f>ROUND($B$5*$B$10*$B$13*$B$17*$B$20*$B$21*$B$24,0)</f>
        <v/>
      </c>
      <c r="AJ55" s="10">
        <f>ROUND($B$5*$B$10*$B$13*$B$17*$B$20*$B$21*$B$25,0)</f>
        <v/>
      </c>
      <c r="AK55" s="10">
        <f>ROUND($B$5*$B$10*$B$13*$B$17*$B$20*$B$22*$B$23,0)</f>
        <v/>
      </c>
      <c r="AL55" s="10">
        <f>ROUND($B$5*$B$10*$B$13*$B$17*$B$20*$B$22*$B$24,0)</f>
        <v/>
      </c>
      <c r="AM55" s="10">
        <f>ROUND($B$5*$B$10*$B$13*$B$17*$B$20*$B$22*$B$25,0)</f>
        <v/>
      </c>
      <c r="AN55" s="10">
        <f>ROUND($B$6*$B$10*$B$13*$B$17*$B$18*$B$21*$B$23,0)</f>
        <v/>
      </c>
      <c r="AO55" s="10">
        <f>ROUND($B$6*$B$10*$B$13*$B$17*$B$18*$B$21*$B$24,0)</f>
        <v/>
      </c>
      <c r="AP55" s="10">
        <f>ROUND($B$6*$B$10*$B$13*$B$17*$B$18*$B$21*$B$25,0)</f>
        <v/>
      </c>
      <c r="AQ55" s="10">
        <f>ROUND($B$6*$B$10*$B$13*$B$17*$B$18*$B$22*$B$23,0)</f>
        <v/>
      </c>
      <c r="AR55" s="10">
        <f>ROUND($B$6*$B$10*$B$13*$B$17*$B$18*$B$22*$B$24,0)</f>
        <v/>
      </c>
      <c r="AS55" s="10">
        <f>ROUND($B$6*$B$10*$B$13*$B$17*$B$18*$B$22*$B$25,0)</f>
        <v/>
      </c>
      <c r="AT55" s="10">
        <f>ROUND($B$6*$B$10*$B$13*$B$17*$B$19*$B$21*$B$23,0)</f>
        <v/>
      </c>
      <c r="AU55" s="10">
        <f>ROUND($B$6*$B$10*$B$13*$B$17*$B$19*$B$21*$B$24,0)</f>
        <v/>
      </c>
      <c r="AV55" s="10">
        <f>ROUND($B$6*$B$10*$B$13*$B$17*$B$19*$B$21*$B$25,0)</f>
        <v/>
      </c>
      <c r="AW55" s="10">
        <f>ROUND($B$6*$B$10*$B$13*$B$17*$B$19*$B$22*$B$23,0)</f>
        <v/>
      </c>
      <c r="AX55" s="10">
        <f>ROUND($B$6*$B$10*$B$13*$B$17*$B$19*$B$22*$B$24,0)</f>
        <v/>
      </c>
      <c r="AY55" s="10">
        <f>ROUND($B$6*$B$10*$B$13*$B$17*$B$19*$B$22*$B$25,0)</f>
        <v/>
      </c>
      <c r="AZ55" s="10">
        <f>ROUND($B$6*$B$10*$B$13*$B$17*$B$20*$B$21*$B$23,0)</f>
        <v/>
      </c>
      <c r="BA55" s="10">
        <f>ROUND($B$6*$B$10*$B$13*$B$17*$B$20*$B$21*$B$24,0)</f>
        <v/>
      </c>
      <c r="BB55" s="10">
        <f>ROUND($B$6*$B$10*$B$13*$B$17*$B$20*$B$21*$B$25,0)</f>
        <v/>
      </c>
      <c r="BC55" s="10">
        <f>ROUND($B$6*$B$10*$B$13*$B$17*$B$20*$B$22*$B$23,0)</f>
        <v/>
      </c>
      <c r="BD55" s="10">
        <f>ROUND($B$6*$B$10*$B$13*$B$17*$B$20*$B$22*$B$24,0)</f>
        <v/>
      </c>
      <c r="BE55" s="10">
        <f>ROUND($B$6*$B$10*$B$13*$B$17*$B$20*$B$22*$B$25,0)</f>
        <v/>
      </c>
    </row>
    <row r="56" ht="20.1" customHeight="1" s="62">
      <c r="A56" s="67" t="n"/>
      <c r="B56" s="57" t="inlineStr">
        <is>
          <t>16 processus et +</t>
        </is>
      </c>
      <c r="C56" s="14" t="inlineStr">
        <is>
          <t>Faible (peu ou pas de formalisation)</t>
        </is>
      </c>
      <c r="D56" s="10">
        <f>ROUND($B$4*$B$10*$B$14*$B$15*$B$18*$B$21*$B$23,0)</f>
        <v/>
      </c>
      <c r="E56" s="10">
        <f>ROUND($B$4*$B$10*$B$14*$B$15*$B$18*$B$21*$B$24,0)</f>
        <v/>
      </c>
      <c r="F56" s="10">
        <f>ROUND($B$4*$B$10*$B$14*$B$15*$B$18*$B$21*$B$25,0)</f>
        <v/>
      </c>
      <c r="G56" s="10">
        <f>ROUND($B$4*$B$10*$B$14*$B$15*$B$18*$B$22*$B$23,0)</f>
        <v/>
      </c>
      <c r="H56" s="10">
        <f>ROUND($B$4*$B$10*$B$14*$B$15*$B$18*$B$22*$B$24,0)</f>
        <v/>
      </c>
      <c r="I56" s="10">
        <f>ROUND($B$4*$B$10*$B$14*$B$15*$B$18*$B$22*$B$25,0)</f>
        <v/>
      </c>
      <c r="J56" s="10">
        <f>ROUND($B$4*$B$10*$B$14*$B$15*$B$19*$B$21*$B$23,0)</f>
        <v/>
      </c>
      <c r="K56" s="10">
        <f>ROUND($B$4*$B$10*$B$14*$B$15*$B$19*$B$21*$B$24,0)</f>
        <v/>
      </c>
      <c r="L56" s="10">
        <f>ROUND($B$4*$B$10*$B$14*$B$15*$B$19*$B$21*$B$25,0)</f>
        <v/>
      </c>
      <c r="M56" s="10">
        <f>ROUND($B$4*$B$10*$B$14*$B$15*$B$19*$B$22*$B$23,0)</f>
        <v/>
      </c>
      <c r="N56" s="10">
        <f>ROUND($B$4*$B$10*$B$14*$B$15*$B$19*$B$22*$B$24,0)</f>
        <v/>
      </c>
      <c r="O56" s="10">
        <f>ROUND($B$4*$B$10*$B$14*$B$15*$B$19*$B$22*$B$25,0)</f>
        <v/>
      </c>
      <c r="P56" s="10">
        <f>ROUND($B$4*$B$10*$B$14*$B$15*$B$20*$B$21*$B$23,0)</f>
        <v/>
      </c>
      <c r="Q56" s="10">
        <f>ROUND($B$4*$B$10*$B$14*$B$15*$B$20*$B$21*$B$24,0)</f>
        <v/>
      </c>
      <c r="R56" s="10">
        <f>ROUND($B$4*$B$10*$B$14*$B$15*$B$20*$B$21*$B$25,0)</f>
        <v/>
      </c>
      <c r="S56" s="10">
        <f>ROUND($B$4*$B$10*$B$14*$B$15*$B$20*$B$22*$B$23,0)</f>
        <v/>
      </c>
      <c r="T56" s="10">
        <f>ROUND($B$4*$B$10*$B$14*$B$15*$B$20*$B$22*$B$24,0)</f>
        <v/>
      </c>
      <c r="U56" s="10">
        <f>ROUND($B$4*$B$10*$B$14*$B$15*$B$20*$B$22*$B$25,0)</f>
        <v/>
      </c>
      <c r="V56" s="10">
        <f>ROUND($B$5*$B$10*$B$14*$B$15*$B$18*$B$21*$B$23,0)</f>
        <v/>
      </c>
      <c r="W56" s="10">
        <f>ROUND($B$5*$B$10*$B$14*$B$15*$B$18*$B$21*$B$24,0)</f>
        <v/>
      </c>
      <c r="X56" s="10">
        <f>ROUND($B$5*$B$10*$B$14*$B$15*$B$18*$B$21*$B$25,0)</f>
        <v/>
      </c>
      <c r="Y56" s="10">
        <f>ROUND($B$5*$B$10*$B$14*$B$15*$B$18*$B$22*$B$23,0)</f>
        <v/>
      </c>
      <c r="Z56" s="10">
        <f>ROUND($B$5*$B$10*$B$14*$B$15*$B$18*$B$22*$B$24,0)</f>
        <v/>
      </c>
      <c r="AA56" s="10">
        <f>ROUND($B$5*$B$10*$B$14*$B$15*$B$18*$B$22*$B$25,0)</f>
        <v/>
      </c>
      <c r="AB56" s="10">
        <f>ROUND($B$5*$B$10*$B$14*$B$15*$B$19*$B$21*$B$23,0)</f>
        <v/>
      </c>
      <c r="AC56" s="10">
        <f>ROUND($B$5*$B$10*$B$14*$B$15*$B$19*$B$21*$B$24,0)</f>
        <v/>
      </c>
      <c r="AD56" s="10">
        <f>ROUND($B$5*$B$10*$B$14*$B$15*$B$19*$B$21*$B$25,0)</f>
        <v/>
      </c>
      <c r="AE56" s="10">
        <f>ROUND($B$5*$B$10*$B$14*$B$15*$B$19*$B$22*$B$23,0)</f>
        <v/>
      </c>
      <c r="AF56" s="10">
        <f>ROUND($B$5*$B$10*$B$14*$B$15*$B$19*$B$22*$B$24,0)</f>
        <v/>
      </c>
      <c r="AG56" s="10">
        <f>ROUND($B$5*$B$10*$B$14*$B$15*$B$19*$B$22*$B$25,0)</f>
        <v/>
      </c>
      <c r="AH56" s="10">
        <f>ROUND($B$5*$B$10*$B$14*$B$15*$B$20*$B$21*$B$23,0)</f>
        <v/>
      </c>
      <c r="AI56" s="10">
        <f>ROUND($B$5*$B$10*$B$14*$B$15*$B$20*$B$21*$B$24,0)</f>
        <v/>
      </c>
      <c r="AJ56" s="10">
        <f>ROUND($B$5*$B$10*$B$14*$B$15*$B$20*$B$21*$B$25,0)</f>
        <v/>
      </c>
      <c r="AK56" s="10">
        <f>ROUND($B$5*$B$10*$B$14*$B$15*$B$20*$B$22*$B$23,0)</f>
        <v/>
      </c>
      <c r="AL56" s="10">
        <f>ROUND($B$5*$B$10*$B$14*$B$15*$B$20*$B$22*$B$24,0)</f>
        <v/>
      </c>
      <c r="AM56" s="10">
        <f>ROUND($B$5*$B$10*$B$14*$B$15*$B$20*$B$22*$B$25,0)</f>
        <v/>
      </c>
      <c r="AN56" s="10">
        <f>ROUND($B$6*$B$10*$B$14*$B$15*$B$18*$B$21*$B$23,0)</f>
        <v/>
      </c>
      <c r="AO56" s="10">
        <f>ROUND($B$6*$B$10*$B$14*$B$15*$B$18*$B$21*$B$24,0)</f>
        <v/>
      </c>
      <c r="AP56" s="10">
        <f>ROUND($B$6*$B$10*$B$14*$B$15*$B$18*$B$21*$B$25,0)</f>
        <v/>
      </c>
      <c r="AQ56" s="10">
        <f>ROUND($B$6*$B$10*$B$14*$B$15*$B$18*$B$22*$B$23,0)</f>
        <v/>
      </c>
      <c r="AR56" s="10">
        <f>ROUND($B$6*$B$10*$B$14*$B$15*$B$18*$B$22*$B$24,0)</f>
        <v/>
      </c>
      <c r="AS56" s="10">
        <f>ROUND($B$6*$B$10*$B$14*$B$15*$B$18*$B$22*$B$25,0)</f>
        <v/>
      </c>
      <c r="AT56" s="10">
        <f>ROUND($B$6*$B$10*$B$14*$B$15*$B$19*$B$21*$B$23,0)</f>
        <v/>
      </c>
      <c r="AU56" s="10">
        <f>ROUND($B$6*$B$10*$B$14*$B$15*$B$19*$B$21*$B$24,0)</f>
        <v/>
      </c>
      <c r="AV56" s="10">
        <f>ROUND($B$6*$B$10*$B$14*$B$15*$B$19*$B$21*$B$25,0)</f>
        <v/>
      </c>
      <c r="AW56" s="10">
        <f>ROUND($B$6*$B$10*$B$14*$B$15*$B$19*$B$22*$B$23,0)</f>
        <v/>
      </c>
      <c r="AX56" s="10">
        <f>ROUND($B$6*$B$10*$B$14*$B$15*$B$19*$B$22*$B$24,0)</f>
        <v/>
      </c>
      <c r="AY56" s="10">
        <f>ROUND($B$6*$B$10*$B$14*$B$15*$B$19*$B$22*$B$25,0)</f>
        <v/>
      </c>
      <c r="AZ56" s="10">
        <f>ROUND($B$6*$B$10*$B$14*$B$15*$B$20*$B$21*$B$23,0)</f>
        <v/>
      </c>
      <c r="BA56" s="10">
        <f>ROUND($B$6*$B$10*$B$14*$B$15*$B$20*$B$21*$B$24,0)</f>
        <v/>
      </c>
      <c r="BB56" s="10">
        <f>ROUND($B$6*$B$10*$B$14*$B$15*$B$20*$B$21*$B$25,0)</f>
        <v/>
      </c>
      <c r="BC56" s="10">
        <f>ROUND($B$6*$B$10*$B$14*$B$15*$B$20*$B$22*$B$23,0)</f>
        <v/>
      </c>
      <c r="BD56" s="10">
        <f>ROUND($B$6*$B$10*$B$14*$B$15*$B$20*$B$22*$B$24,0)</f>
        <v/>
      </c>
      <c r="BE56" s="10">
        <f>ROUND($B$6*$B$10*$B$14*$B$15*$B$20*$B$22*$B$25,0)</f>
        <v/>
      </c>
    </row>
    <row r="57" ht="20.1" customHeight="1" s="62">
      <c r="A57" s="67" t="n"/>
      <c r="B57" s="58" t="n"/>
      <c r="C57" s="57" t="inlineStr">
        <is>
          <t>Intermédiaire</t>
        </is>
      </c>
      <c r="D57" s="10">
        <f>ROUND($B$4*$B$10*$B$14*$B$16*$B$18*$B$21*$B$23,0)</f>
        <v/>
      </c>
      <c r="E57" s="10">
        <f>ROUND($B$4*$B$10*$B$14*$B$16*$B$18*$B$21*$B$24,0)</f>
        <v/>
      </c>
      <c r="F57" s="10">
        <f>ROUND($B$4*$B$10*$B$14*$B$16*$B$18*$B$21*$B$25,0)</f>
        <v/>
      </c>
      <c r="G57" s="10">
        <f>ROUND($B$4*$B$10*$B$14*$B$16*$B$18*$B$22*$B$23,0)</f>
        <v/>
      </c>
      <c r="H57" s="10">
        <f>ROUND($B$4*$B$10*$B$14*$B$16*$B$18*$B$22*$B$24,0)</f>
        <v/>
      </c>
      <c r="I57" s="10">
        <f>ROUND($B$4*$B$10*$B$14*$B$16*$B$18*$B$22*$B$25,0)</f>
        <v/>
      </c>
      <c r="J57" s="10">
        <f>ROUND($B$4*$B$10*$B$14*$B$16*$B$19*$B$21*$B$23,0)</f>
        <v/>
      </c>
      <c r="K57" s="10">
        <f>ROUND($B$4*$B$10*$B$14*$B$16*$B$19*$B$21*$B$24,0)</f>
        <v/>
      </c>
      <c r="L57" s="10">
        <f>ROUND($B$4*$B$10*$B$14*$B$16*$B$19*$B$21*$B$25,0)</f>
        <v/>
      </c>
      <c r="M57" s="10">
        <f>ROUND($B$4*$B$10*$B$14*$B$16*$B$19*$B$22*$B$23,0)</f>
        <v/>
      </c>
      <c r="N57" s="10">
        <f>ROUND($B$4*$B$10*$B$14*$B$16*$B$19*$B$22*$B$24,0)</f>
        <v/>
      </c>
      <c r="O57" s="10">
        <f>ROUND($B$4*$B$10*$B$14*$B$16*$B$19*$B$22*$B$25,0)</f>
        <v/>
      </c>
      <c r="P57" s="10">
        <f>ROUND($B$4*$B$10*$B$14*$B$16*$B$20*$B$21*$B$23,0)</f>
        <v/>
      </c>
      <c r="Q57" s="10">
        <f>ROUND($B$4*$B$10*$B$14*$B$16*$B$20*$B$21*$B$24,0)</f>
        <v/>
      </c>
      <c r="R57" s="10">
        <f>ROUND($B$4*$B$10*$B$14*$B$16*$B$20*$B$21*$B$25,0)</f>
        <v/>
      </c>
      <c r="S57" s="10">
        <f>ROUND($B$4*$B$10*$B$14*$B$16*$B$20*$B$22*$B$23,0)</f>
        <v/>
      </c>
      <c r="T57" s="10">
        <f>ROUND($B$4*$B$10*$B$14*$B$16*$B$20*$B$22*$B$24,0)</f>
        <v/>
      </c>
      <c r="U57" s="10">
        <f>ROUND($B$4*$B$10*$B$14*$B$16*$B$20*$B$22*$B$25,0)</f>
        <v/>
      </c>
      <c r="V57" s="10">
        <f>ROUND($B$5*$B$10*$B$14*$B$16*$B$18*$B$21*$B$23,0)</f>
        <v/>
      </c>
      <c r="W57" s="10">
        <f>ROUND($B$5*$B$10*$B$14*$B$16*$B$18*$B$21*$B$24,0)</f>
        <v/>
      </c>
      <c r="X57" s="10">
        <f>ROUND($B$5*$B$10*$B$14*$B$16*$B$18*$B$21*$B$25,0)</f>
        <v/>
      </c>
      <c r="Y57" s="10">
        <f>ROUND($B$5*$B$10*$B$14*$B$16*$B$18*$B$22*$B$23,0)</f>
        <v/>
      </c>
      <c r="Z57" s="10">
        <f>ROUND($B$5*$B$10*$B$14*$B$16*$B$18*$B$22*$B$24,0)</f>
        <v/>
      </c>
      <c r="AA57" s="10">
        <f>ROUND($B$5*$B$10*$B$14*$B$16*$B$18*$B$22*$B$25,0)</f>
        <v/>
      </c>
      <c r="AB57" s="10">
        <f>ROUND($B$5*$B$10*$B$14*$B$16*$B$19*$B$21*$B$23,0)</f>
        <v/>
      </c>
      <c r="AC57" s="10">
        <f>ROUND($B$5*$B$10*$B$14*$B$16*$B$19*$B$21*$B$24,0)</f>
        <v/>
      </c>
      <c r="AD57" s="10">
        <f>ROUND($B$5*$B$10*$B$14*$B$16*$B$19*$B$21*$B$25,0)</f>
        <v/>
      </c>
      <c r="AE57" s="10">
        <f>ROUND($B$5*$B$10*$B$14*$B$16*$B$19*$B$22*$B$23,0)</f>
        <v/>
      </c>
      <c r="AF57" s="10">
        <f>ROUND($B$5*$B$10*$B$14*$B$16*$B$19*$B$22*$B$24,0)</f>
        <v/>
      </c>
      <c r="AG57" s="10">
        <f>ROUND($B$5*$B$10*$B$14*$B$16*$B$19*$B$22*$B$25,0)</f>
        <v/>
      </c>
      <c r="AH57" s="10">
        <f>ROUND($B$5*$B$10*$B$14*$B$16*$B$20*$B$21*$B$23,0)</f>
        <v/>
      </c>
      <c r="AI57" s="10">
        <f>ROUND($B$5*$B$10*$B$14*$B$16*$B$20*$B$21*$B$24,0)</f>
        <v/>
      </c>
      <c r="AJ57" s="10">
        <f>ROUND($B$5*$B$10*$B$14*$B$16*$B$20*$B$21*$B$25,0)</f>
        <v/>
      </c>
      <c r="AK57" s="10">
        <f>ROUND($B$5*$B$10*$B$14*$B$16*$B$20*$B$22*$B$23,0)</f>
        <v/>
      </c>
      <c r="AL57" s="10">
        <f>ROUND($B$5*$B$10*$B$14*$B$16*$B$20*$B$22*$B$24,0)</f>
        <v/>
      </c>
      <c r="AM57" s="10">
        <f>ROUND($B$5*$B$10*$B$14*$B$16*$B$20*$B$22*$B$25,0)</f>
        <v/>
      </c>
      <c r="AN57" s="10">
        <f>ROUND($B$6*$B$10*$B$14*$B$16*$B$18*$B$21*$B$23,0)</f>
        <v/>
      </c>
      <c r="AO57" s="10">
        <f>ROUND($B$6*$B$10*$B$14*$B$16*$B$18*$B$21*$B$24,0)</f>
        <v/>
      </c>
      <c r="AP57" s="10">
        <f>ROUND($B$6*$B$10*$B$14*$B$16*$B$18*$B$21*$B$25,0)</f>
        <v/>
      </c>
      <c r="AQ57" s="10">
        <f>ROUND($B$6*$B$10*$B$14*$B$16*$B$18*$B$22*$B$23,0)</f>
        <v/>
      </c>
      <c r="AR57" s="10">
        <f>ROUND($B$6*$B$10*$B$14*$B$16*$B$18*$B$22*$B$24,0)</f>
        <v/>
      </c>
      <c r="AS57" s="10">
        <f>ROUND($B$6*$B$10*$B$14*$B$16*$B$18*$B$22*$B$25,0)</f>
        <v/>
      </c>
      <c r="AT57" s="10">
        <f>ROUND($B$6*$B$10*$B$14*$B$16*$B$19*$B$21*$B$23,0)</f>
        <v/>
      </c>
      <c r="AU57" s="10">
        <f>ROUND($B$6*$B$10*$B$14*$B$16*$B$19*$B$21*$B$24,0)</f>
        <v/>
      </c>
      <c r="AV57" s="10">
        <f>ROUND($B$6*$B$10*$B$14*$B$16*$B$19*$B$21*$B$25,0)</f>
        <v/>
      </c>
      <c r="AW57" s="10">
        <f>ROUND($B$6*$B$10*$B$14*$B$16*$B$19*$B$22*$B$23,0)</f>
        <v/>
      </c>
      <c r="AX57" s="10">
        <f>ROUND($B$6*$B$10*$B$14*$B$16*$B$19*$B$22*$B$24,0)</f>
        <v/>
      </c>
      <c r="AY57" s="10">
        <f>ROUND($B$6*$B$10*$B$14*$B$16*$B$19*$B$22*$B$25,0)</f>
        <v/>
      </c>
      <c r="AZ57" s="10">
        <f>ROUND($B$6*$B$10*$B$14*$B$16*$B$20*$B$21*$B$23,0)</f>
        <v/>
      </c>
      <c r="BA57" s="10">
        <f>ROUND($B$6*$B$10*$B$14*$B$16*$B$20*$B$21*$B$24,0)</f>
        <v/>
      </c>
      <c r="BB57" s="10">
        <f>ROUND($B$6*$B$10*$B$14*$B$16*$B$20*$B$21*$B$25,0)</f>
        <v/>
      </c>
      <c r="BC57" s="10">
        <f>ROUND($B$6*$B$10*$B$14*$B$16*$B$20*$B$22*$B$23,0)</f>
        <v/>
      </c>
      <c r="BD57" s="10">
        <f>ROUND($B$6*$B$10*$B$14*$B$16*$B$20*$B$22*$B$24,0)</f>
        <v/>
      </c>
      <c r="BE57" s="10">
        <f>ROUND($B$6*$B$10*$B$14*$B$16*$B$20*$B$22*$B$25,0)</f>
        <v/>
      </c>
    </row>
    <row r="58" ht="20.1" customHeight="1" s="62">
      <c r="A58" s="68" t="n"/>
      <c r="B58" s="59" t="n"/>
      <c r="C58" s="15" t="inlineStr">
        <is>
          <t>Avancée (base existante)</t>
        </is>
      </c>
      <c r="D58" s="10">
        <f>ROUND($B$4*$B$10*$B$14*$B$17*$B$18*$B$21*$B$23,0)</f>
        <v/>
      </c>
      <c r="E58" s="10">
        <f>ROUND($B$4*$B$10*$B$14*$B$17*$B$18*$B$21*$B$24,0)</f>
        <v/>
      </c>
      <c r="F58" s="10">
        <f>ROUND($B$4*$B$10*$B$14*$B$17*$B$18*$B$21*$B$25,0)</f>
        <v/>
      </c>
      <c r="G58" s="10">
        <f>ROUND($B$4*$B$10*$B$14*$B$17*$B$18*$B$22*$B$23,0)</f>
        <v/>
      </c>
      <c r="H58" s="10">
        <f>ROUND($B$4*$B$10*$B$14*$B$17*$B$18*$B$22*$B$24,0)</f>
        <v/>
      </c>
      <c r="I58" s="10">
        <f>ROUND($B$4*$B$10*$B$14*$B$17*$B$18*$B$22*$B$25,0)</f>
        <v/>
      </c>
      <c r="J58" s="10">
        <f>ROUND($B$4*$B$10*$B$14*$B$17*$B$19*$B$21*$B$23,0)</f>
        <v/>
      </c>
      <c r="K58" s="10">
        <f>ROUND($B$4*$B$10*$B$14*$B$17*$B$19*$B$21*$B$24,0)</f>
        <v/>
      </c>
      <c r="L58" s="10">
        <f>ROUND($B$4*$B$10*$B$14*$B$17*$B$19*$B$21*$B$25,0)</f>
        <v/>
      </c>
      <c r="M58" s="10">
        <f>ROUND($B$4*$B$10*$B$14*$B$17*$B$19*$B$22*$B$23,0)</f>
        <v/>
      </c>
      <c r="N58" s="10">
        <f>ROUND($B$4*$B$10*$B$14*$B$17*$B$19*$B$22*$B$24,0)</f>
        <v/>
      </c>
      <c r="O58" s="10">
        <f>ROUND($B$4*$B$10*$B$14*$B$17*$B$19*$B$22*$B$25,0)</f>
        <v/>
      </c>
      <c r="P58" s="10">
        <f>ROUND($B$4*$B$10*$B$14*$B$17*$B$20*$B$21*$B$23,0)</f>
        <v/>
      </c>
      <c r="Q58" s="10">
        <f>ROUND($B$4*$B$10*$B$14*$B$17*$B$20*$B$21*$B$24,0)</f>
        <v/>
      </c>
      <c r="R58" s="10">
        <f>ROUND($B$4*$B$10*$B$14*$B$17*$B$20*$B$21*$B$25,0)</f>
        <v/>
      </c>
      <c r="S58" s="10">
        <f>ROUND($B$4*$B$10*$B$14*$B$17*$B$20*$B$22*$B$23,0)</f>
        <v/>
      </c>
      <c r="T58" s="10">
        <f>ROUND($B$4*$B$10*$B$14*$B$17*$B$20*$B$22*$B$24,0)</f>
        <v/>
      </c>
      <c r="U58" s="10">
        <f>ROUND($B$4*$B$10*$B$14*$B$17*$B$20*$B$22*$B$25,0)</f>
        <v/>
      </c>
      <c r="V58" s="10">
        <f>ROUND($B$5*$B$10*$B$14*$B$17*$B$18*$B$21*$B$23,0)</f>
        <v/>
      </c>
      <c r="W58" s="10">
        <f>ROUND($B$5*$B$10*$B$14*$B$17*$B$18*$B$21*$B$24,0)</f>
        <v/>
      </c>
      <c r="X58" s="10">
        <f>ROUND($B$5*$B$10*$B$14*$B$17*$B$18*$B$21*$B$25,0)</f>
        <v/>
      </c>
      <c r="Y58" s="10">
        <f>ROUND($B$5*$B$10*$B$14*$B$17*$B$18*$B$22*$B$23,0)</f>
        <v/>
      </c>
      <c r="Z58" s="10">
        <f>ROUND($B$5*$B$10*$B$14*$B$17*$B$18*$B$22*$B$24,0)</f>
        <v/>
      </c>
      <c r="AA58" s="10">
        <f>ROUND($B$5*$B$10*$B$14*$B$17*$B$18*$B$22*$B$25,0)</f>
        <v/>
      </c>
      <c r="AB58" s="10">
        <f>ROUND($B$5*$B$10*$B$14*$B$17*$B$19*$B$21*$B$23,0)</f>
        <v/>
      </c>
      <c r="AC58" s="10">
        <f>ROUND($B$5*$B$10*$B$14*$B$17*$B$19*$B$21*$B$24,0)</f>
        <v/>
      </c>
      <c r="AD58" s="10">
        <f>ROUND($B$5*$B$10*$B$14*$B$17*$B$19*$B$21*$B$25,0)</f>
        <v/>
      </c>
      <c r="AE58" s="10">
        <f>ROUND($B$5*$B$10*$B$14*$B$17*$B$19*$B$22*$B$23,0)</f>
        <v/>
      </c>
      <c r="AF58" s="10">
        <f>ROUND($B$5*$B$10*$B$14*$B$17*$B$19*$B$22*$B$24,0)</f>
        <v/>
      </c>
      <c r="AG58" s="10">
        <f>ROUND($B$5*$B$10*$B$14*$B$17*$B$19*$B$22*$B$25,0)</f>
        <v/>
      </c>
      <c r="AH58" s="10">
        <f>ROUND($B$5*$B$10*$B$14*$B$17*$B$20*$B$21*$B$23,0)</f>
        <v/>
      </c>
      <c r="AI58" s="10">
        <f>ROUND($B$5*$B$10*$B$14*$B$17*$B$20*$B$21*$B$24,0)</f>
        <v/>
      </c>
      <c r="AJ58" s="10">
        <f>ROUND($B$5*$B$10*$B$14*$B$17*$B$20*$B$21*$B$25,0)</f>
        <v/>
      </c>
      <c r="AK58" s="10">
        <f>ROUND($B$5*$B$10*$B$14*$B$17*$B$20*$B$22*$B$23,0)</f>
        <v/>
      </c>
      <c r="AL58" s="10">
        <f>ROUND($B$5*$B$10*$B$14*$B$17*$B$20*$B$22*$B$24,0)</f>
        <v/>
      </c>
      <c r="AM58" s="10">
        <f>ROUND($B$5*$B$10*$B$14*$B$17*$B$20*$B$22*$B$25,0)</f>
        <v/>
      </c>
      <c r="AN58" s="10">
        <f>ROUND($B$6*$B$10*$B$14*$B$17*$B$18*$B$21*$B$23,0)</f>
        <v/>
      </c>
      <c r="AO58" s="10">
        <f>ROUND($B$6*$B$10*$B$14*$B$17*$B$18*$B$21*$B$24,0)</f>
        <v/>
      </c>
      <c r="AP58" s="10">
        <f>ROUND($B$6*$B$10*$B$14*$B$17*$B$18*$B$21*$B$25,0)</f>
        <v/>
      </c>
      <c r="AQ58" s="10">
        <f>ROUND($B$6*$B$10*$B$14*$B$17*$B$18*$B$22*$B$23,0)</f>
        <v/>
      </c>
      <c r="AR58" s="10">
        <f>ROUND($B$6*$B$10*$B$14*$B$17*$B$18*$B$22*$B$24,0)</f>
        <v/>
      </c>
      <c r="AS58" s="10">
        <f>ROUND($B$6*$B$10*$B$14*$B$17*$B$18*$B$22*$B$25,0)</f>
        <v/>
      </c>
      <c r="AT58" s="10">
        <f>ROUND($B$6*$B$10*$B$14*$B$17*$B$19*$B$21*$B$23,0)</f>
        <v/>
      </c>
      <c r="AU58" s="10">
        <f>ROUND($B$6*$B$10*$B$14*$B$17*$B$19*$B$21*$B$24,0)</f>
        <v/>
      </c>
      <c r="AV58" s="10">
        <f>ROUND($B$6*$B$10*$B$14*$B$17*$B$19*$B$21*$B$25,0)</f>
        <v/>
      </c>
      <c r="AW58" s="10">
        <f>ROUND($B$6*$B$10*$B$14*$B$17*$B$19*$B$22*$B$23,0)</f>
        <v/>
      </c>
      <c r="AX58" s="10">
        <f>ROUND($B$6*$B$10*$B$14*$B$17*$B$19*$B$22*$B$24,0)</f>
        <v/>
      </c>
      <c r="AY58" s="10">
        <f>ROUND($B$6*$B$10*$B$14*$B$17*$B$19*$B$22*$B$25,0)</f>
        <v/>
      </c>
      <c r="AZ58" s="10">
        <f>ROUND($B$6*$B$10*$B$14*$B$17*$B$20*$B$21*$B$23,0)</f>
        <v/>
      </c>
      <c r="BA58" s="10">
        <f>ROUND($B$6*$B$10*$B$14*$B$17*$B$20*$B$21*$B$24,0)</f>
        <v/>
      </c>
      <c r="BB58" s="10">
        <f>ROUND($B$6*$B$10*$B$14*$B$17*$B$20*$B$21*$B$25,0)</f>
        <v/>
      </c>
      <c r="BC58" s="10">
        <f>ROUND($B$6*$B$10*$B$14*$B$17*$B$20*$B$22*$B$23,0)</f>
        <v/>
      </c>
      <c r="BD58" s="10">
        <f>ROUND($B$6*$B$10*$B$14*$B$17*$B$20*$B$22*$B$24,0)</f>
        <v/>
      </c>
      <c r="BE58" s="10">
        <f>ROUND($B$6*$B$10*$B$14*$B$17*$B$20*$B$22*$B$25,0)</f>
        <v/>
      </c>
    </row>
    <row r="59" ht="20.1" customHeight="1" s="62">
      <c r="A59" s="66" t="inlineStr">
        <is>
          <t>ETI / Grand compte (100+)</t>
        </is>
      </c>
      <c r="B59" s="57" t="inlineStr">
        <is>
          <t>1-5 processus</t>
        </is>
      </c>
      <c r="C59" s="14" t="inlineStr">
        <is>
          <t>Faible (peu ou pas de formalisation)</t>
        </is>
      </c>
      <c r="D59" s="10">
        <f>ROUND($B$4*$B$11*$B$12*$B$15*$B$18*$B$21*$B$23,0)</f>
        <v/>
      </c>
      <c r="E59" s="10">
        <f>ROUND($B$4*$B$11*$B$12*$B$15*$B$18*$B$21*$B$24,0)</f>
        <v/>
      </c>
      <c r="F59" s="10">
        <f>ROUND($B$4*$B$11*$B$12*$B$15*$B$18*$B$21*$B$25,0)</f>
        <v/>
      </c>
      <c r="G59" s="10">
        <f>ROUND($B$4*$B$11*$B$12*$B$15*$B$18*$B$22*$B$23,0)</f>
        <v/>
      </c>
      <c r="H59" s="10">
        <f>ROUND($B$4*$B$11*$B$12*$B$15*$B$18*$B$22*$B$24,0)</f>
        <v/>
      </c>
      <c r="I59" s="10">
        <f>ROUND($B$4*$B$11*$B$12*$B$15*$B$18*$B$22*$B$25,0)</f>
        <v/>
      </c>
      <c r="J59" s="10">
        <f>ROUND($B$4*$B$11*$B$12*$B$15*$B$19*$B$21*$B$23,0)</f>
        <v/>
      </c>
      <c r="K59" s="10">
        <f>ROUND($B$4*$B$11*$B$12*$B$15*$B$19*$B$21*$B$24,0)</f>
        <v/>
      </c>
      <c r="L59" s="10">
        <f>ROUND($B$4*$B$11*$B$12*$B$15*$B$19*$B$21*$B$25,0)</f>
        <v/>
      </c>
      <c r="M59" s="10">
        <f>ROUND($B$4*$B$11*$B$12*$B$15*$B$19*$B$22*$B$23,0)</f>
        <v/>
      </c>
      <c r="N59" s="10">
        <f>ROUND($B$4*$B$11*$B$12*$B$15*$B$19*$B$22*$B$24,0)</f>
        <v/>
      </c>
      <c r="O59" s="10">
        <f>ROUND($B$4*$B$11*$B$12*$B$15*$B$19*$B$22*$B$25,0)</f>
        <v/>
      </c>
      <c r="P59" s="10">
        <f>ROUND($B$4*$B$11*$B$12*$B$15*$B$20*$B$21*$B$23,0)</f>
        <v/>
      </c>
      <c r="Q59" s="10">
        <f>ROUND($B$4*$B$11*$B$12*$B$15*$B$20*$B$21*$B$24,0)</f>
        <v/>
      </c>
      <c r="R59" s="10">
        <f>ROUND($B$4*$B$11*$B$12*$B$15*$B$20*$B$21*$B$25,0)</f>
        <v/>
      </c>
      <c r="S59" s="10">
        <f>ROUND($B$4*$B$11*$B$12*$B$15*$B$20*$B$22*$B$23,0)</f>
        <v/>
      </c>
      <c r="T59" s="10">
        <f>ROUND($B$4*$B$11*$B$12*$B$15*$B$20*$B$22*$B$24,0)</f>
        <v/>
      </c>
      <c r="U59" s="10">
        <f>ROUND($B$4*$B$11*$B$12*$B$15*$B$20*$B$22*$B$25,0)</f>
        <v/>
      </c>
      <c r="V59" s="10">
        <f>ROUND($B$5*$B$11*$B$12*$B$15*$B$18*$B$21*$B$23,0)</f>
        <v/>
      </c>
      <c r="W59" s="10">
        <f>ROUND($B$5*$B$11*$B$12*$B$15*$B$18*$B$21*$B$24,0)</f>
        <v/>
      </c>
      <c r="X59" s="10">
        <f>ROUND($B$5*$B$11*$B$12*$B$15*$B$18*$B$21*$B$25,0)</f>
        <v/>
      </c>
      <c r="Y59" s="10">
        <f>ROUND($B$5*$B$11*$B$12*$B$15*$B$18*$B$22*$B$23,0)</f>
        <v/>
      </c>
      <c r="Z59" s="10">
        <f>ROUND($B$5*$B$11*$B$12*$B$15*$B$18*$B$22*$B$24,0)</f>
        <v/>
      </c>
      <c r="AA59" s="10">
        <f>ROUND($B$5*$B$11*$B$12*$B$15*$B$18*$B$22*$B$25,0)</f>
        <v/>
      </c>
      <c r="AB59" s="10">
        <f>ROUND($B$5*$B$11*$B$12*$B$15*$B$19*$B$21*$B$23,0)</f>
        <v/>
      </c>
      <c r="AC59" s="10">
        <f>ROUND($B$5*$B$11*$B$12*$B$15*$B$19*$B$21*$B$24,0)</f>
        <v/>
      </c>
      <c r="AD59" s="10">
        <f>ROUND($B$5*$B$11*$B$12*$B$15*$B$19*$B$21*$B$25,0)</f>
        <v/>
      </c>
      <c r="AE59" s="10">
        <f>ROUND($B$5*$B$11*$B$12*$B$15*$B$19*$B$22*$B$23,0)</f>
        <v/>
      </c>
      <c r="AF59" s="10">
        <f>ROUND($B$5*$B$11*$B$12*$B$15*$B$19*$B$22*$B$24,0)</f>
        <v/>
      </c>
      <c r="AG59" s="10">
        <f>ROUND($B$5*$B$11*$B$12*$B$15*$B$19*$B$22*$B$25,0)</f>
        <v/>
      </c>
      <c r="AH59" s="10">
        <f>ROUND($B$5*$B$11*$B$12*$B$15*$B$20*$B$21*$B$23,0)</f>
        <v/>
      </c>
      <c r="AI59" s="10">
        <f>ROUND($B$5*$B$11*$B$12*$B$15*$B$20*$B$21*$B$24,0)</f>
        <v/>
      </c>
      <c r="AJ59" s="10">
        <f>ROUND($B$5*$B$11*$B$12*$B$15*$B$20*$B$21*$B$25,0)</f>
        <v/>
      </c>
      <c r="AK59" s="10">
        <f>ROUND($B$5*$B$11*$B$12*$B$15*$B$20*$B$22*$B$23,0)</f>
        <v/>
      </c>
      <c r="AL59" s="10">
        <f>ROUND($B$5*$B$11*$B$12*$B$15*$B$20*$B$22*$B$24,0)</f>
        <v/>
      </c>
      <c r="AM59" s="10">
        <f>ROUND($B$5*$B$11*$B$12*$B$15*$B$20*$B$22*$B$25,0)</f>
        <v/>
      </c>
      <c r="AN59" s="10">
        <f>ROUND($B$6*$B$11*$B$12*$B$15*$B$18*$B$21*$B$23,0)</f>
        <v/>
      </c>
      <c r="AO59" s="10">
        <f>ROUND($B$6*$B$11*$B$12*$B$15*$B$18*$B$21*$B$24,0)</f>
        <v/>
      </c>
      <c r="AP59" s="10">
        <f>ROUND($B$6*$B$11*$B$12*$B$15*$B$18*$B$21*$B$25,0)</f>
        <v/>
      </c>
      <c r="AQ59" s="10">
        <f>ROUND($B$6*$B$11*$B$12*$B$15*$B$18*$B$22*$B$23,0)</f>
        <v/>
      </c>
      <c r="AR59" s="10">
        <f>ROUND($B$6*$B$11*$B$12*$B$15*$B$18*$B$22*$B$24,0)</f>
        <v/>
      </c>
      <c r="AS59" s="10">
        <f>ROUND($B$6*$B$11*$B$12*$B$15*$B$18*$B$22*$B$25,0)</f>
        <v/>
      </c>
      <c r="AT59" s="10">
        <f>ROUND($B$6*$B$11*$B$12*$B$15*$B$19*$B$21*$B$23,0)</f>
        <v/>
      </c>
      <c r="AU59" s="10">
        <f>ROUND($B$6*$B$11*$B$12*$B$15*$B$19*$B$21*$B$24,0)</f>
        <v/>
      </c>
      <c r="AV59" s="10">
        <f>ROUND($B$6*$B$11*$B$12*$B$15*$B$19*$B$21*$B$25,0)</f>
        <v/>
      </c>
      <c r="AW59" s="10">
        <f>ROUND($B$6*$B$11*$B$12*$B$15*$B$19*$B$22*$B$23,0)</f>
        <v/>
      </c>
      <c r="AX59" s="10">
        <f>ROUND($B$6*$B$11*$B$12*$B$15*$B$19*$B$22*$B$24,0)</f>
        <v/>
      </c>
      <c r="AY59" s="10">
        <f>ROUND($B$6*$B$11*$B$12*$B$15*$B$19*$B$22*$B$25,0)</f>
        <v/>
      </c>
      <c r="AZ59" s="10">
        <f>ROUND($B$6*$B$11*$B$12*$B$15*$B$20*$B$21*$B$23,0)</f>
        <v/>
      </c>
      <c r="BA59" s="10">
        <f>ROUND($B$6*$B$11*$B$12*$B$15*$B$20*$B$21*$B$24,0)</f>
        <v/>
      </c>
      <c r="BB59" s="10">
        <f>ROUND($B$6*$B$11*$B$12*$B$15*$B$20*$B$21*$B$25,0)</f>
        <v/>
      </c>
      <c r="BC59" s="10">
        <f>ROUND($B$6*$B$11*$B$12*$B$15*$B$20*$B$22*$B$23,0)</f>
        <v/>
      </c>
      <c r="BD59" s="10">
        <f>ROUND($B$6*$B$11*$B$12*$B$15*$B$20*$B$22*$B$24,0)</f>
        <v/>
      </c>
      <c r="BE59" s="10">
        <f>ROUND($B$6*$B$11*$B$12*$B$15*$B$20*$B$22*$B$25,0)</f>
        <v/>
      </c>
    </row>
    <row r="60" ht="20.1" customHeight="1" s="62">
      <c r="A60" s="67" t="n"/>
      <c r="B60" s="58" t="n"/>
      <c r="C60" s="57" t="inlineStr">
        <is>
          <t>Intermédiaire</t>
        </is>
      </c>
      <c r="D60" s="10">
        <f>ROUND($B$4*$B$11*$B$12*$B$16*$B$18*$B$21*$B$23,0)</f>
        <v/>
      </c>
      <c r="E60" s="10">
        <f>ROUND($B$4*$B$11*$B$12*$B$16*$B$18*$B$21*$B$24,0)</f>
        <v/>
      </c>
      <c r="F60" s="10">
        <f>ROUND($B$4*$B$11*$B$12*$B$16*$B$18*$B$21*$B$25,0)</f>
        <v/>
      </c>
      <c r="G60" s="10">
        <f>ROUND($B$4*$B$11*$B$12*$B$16*$B$18*$B$22*$B$23,0)</f>
        <v/>
      </c>
      <c r="H60" s="10">
        <f>ROUND($B$4*$B$11*$B$12*$B$16*$B$18*$B$22*$B$24,0)</f>
        <v/>
      </c>
      <c r="I60" s="10">
        <f>ROUND($B$4*$B$11*$B$12*$B$16*$B$18*$B$22*$B$25,0)</f>
        <v/>
      </c>
      <c r="J60" s="10">
        <f>ROUND($B$4*$B$11*$B$12*$B$16*$B$19*$B$21*$B$23,0)</f>
        <v/>
      </c>
      <c r="K60" s="10">
        <f>ROUND($B$4*$B$11*$B$12*$B$16*$B$19*$B$21*$B$24,0)</f>
        <v/>
      </c>
      <c r="L60" s="10">
        <f>ROUND($B$4*$B$11*$B$12*$B$16*$B$19*$B$21*$B$25,0)</f>
        <v/>
      </c>
      <c r="M60" s="10">
        <f>ROUND($B$4*$B$11*$B$12*$B$16*$B$19*$B$22*$B$23,0)</f>
        <v/>
      </c>
      <c r="N60" s="10">
        <f>ROUND($B$4*$B$11*$B$12*$B$16*$B$19*$B$22*$B$24,0)</f>
        <v/>
      </c>
      <c r="O60" s="10">
        <f>ROUND($B$4*$B$11*$B$12*$B$16*$B$19*$B$22*$B$25,0)</f>
        <v/>
      </c>
      <c r="P60" s="10">
        <f>ROUND($B$4*$B$11*$B$12*$B$16*$B$20*$B$21*$B$23,0)</f>
        <v/>
      </c>
      <c r="Q60" s="10">
        <f>ROUND($B$4*$B$11*$B$12*$B$16*$B$20*$B$21*$B$24,0)</f>
        <v/>
      </c>
      <c r="R60" s="10">
        <f>ROUND($B$4*$B$11*$B$12*$B$16*$B$20*$B$21*$B$25,0)</f>
        <v/>
      </c>
      <c r="S60" s="10">
        <f>ROUND($B$4*$B$11*$B$12*$B$16*$B$20*$B$22*$B$23,0)</f>
        <v/>
      </c>
      <c r="T60" s="10">
        <f>ROUND($B$4*$B$11*$B$12*$B$16*$B$20*$B$22*$B$24,0)</f>
        <v/>
      </c>
      <c r="U60" s="10">
        <f>ROUND($B$4*$B$11*$B$12*$B$16*$B$20*$B$22*$B$25,0)</f>
        <v/>
      </c>
      <c r="V60" s="10">
        <f>ROUND($B$5*$B$11*$B$12*$B$16*$B$18*$B$21*$B$23,0)</f>
        <v/>
      </c>
      <c r="W60" s="10">
        <f>ROUND($B$5*$B$11*$B$12*$B$16*$B$18*$B$21*$B$24,0)</f>
        <v/>
      </c>
      <c r="X60" s="10">
        <f>ROUND($B$5*$B$11*$B$12*$B$16*$B$18*$B$21*$B$25,0)</f>
        <v/>
      </c>
      <c r="Y60" s="10">
        <f>ROUND($B$5*$B$11*$B$12*$B$16*$B$18*$B$22*$B$23,0)</f>
        <v/>
      </c>
      <c r="Z60" s="10">
        <f>ROUND($B$5*$B$11*$B$12*$B$16*$B$18*$B$22*$B$24,0)</f>
        <v/>
      </c>
      <c r="AA60" s="10">
        <f>ROUND($B$5*$B$11*$B$12*$B$16*$B$18*$B$22*$B$25,0)</f>
        <v/>
      </c>
      <c r="AB60" s="10">
        <f>ROUND($B$5*$B$11*$B$12*$B$16*$B$19*$B$21*$B$23,0)</f>
        <v/>
      </c>
      <c r="AC60" s="10">
        <f>ROUND($B$5*$B$11*$B$12*$B$16*$B$19*$B$21*$B$24,0)</f>
        <v/>
      </c>
      <c r="AD60" s="10">
        <f>ROUND($B$5*$B$11*$B$12*$B$16*$B$19*$B$21*$B$25,0)</f>
        <v/>
      </c>
      <c r="AE60" s="10">
        <f>ROUND($B$5*$B$11*$B$12*$B$16*$B$19*$B$22*$B$23,0)</f>
        <v/>
      </c>
      <c r="AF60" s="10">
        <f>ROUND($B$5*$B$11*$B$12*$B$16*$B$19*$B$22*$B$24,0)</f>
        <v/>
      </c>
      <c r="AG60" s="10">
        <f>ROUND($B$5*$B$11*$B$12*$B$16*$B$19*$B$22*$B$25,0)</f>
        <v/>
      </c>
      <c r="AH60" s="10">
        <f>ROUND($B$5*$B$11*$B$12*$B$16*$B$20*$B$21*$B$23,0)</f>
        <v/>
      </c>
      <c r="AI60" s="10">
        <f>ROUND($B$5*$B$11*$B$12*$B$16*$B$20*$B$21*$B$24,0)</f>
        <v/>
      </c>
      <c r="AJ60" s="10">
        <f>ROUND($B$5*$B$11*$B$12*$B$16*$B$20*$B$21*$B$25,0)</f>
        <v/>
      </c>
      <c r="AK60" s="10">
        <f>ROUND($B$5*$B$11*$B$12*$B$16*$B$20*$B$22*$B$23,0)</f>
        <v/>
      </c>
      <c r="AL60" s="10">
        <f>ROUND($B$5*$B$11*$B$12*$B$16*$B$20*$B$22*$B$24,0)</f>
        <v/>
      </c>
      <c r="AM60" s="10">
        <f>ROUND($B$5*$B$11*$B$12*$B$16*$B$20*$B$22*$B$25,0)</f>
        <v/>
      </c>
      <c r="AN60" s="10">
        <f>ROUND($B$6*$B$11*$B$12*$B$16*$B$18*$B$21*$B$23,0)</f>
        <v/>
      </c>
      <c r="AO60" s="10">
        <f>ROUND($B$6*$B$11*$B$12*$B$16*$B$18*$B$21*$B$24,0)</f>
        <v/>
      </c>
      <c r="AP60" s="10">
        <f>ROUND($B$6*$B$11*$B$12*$B$16*$B$18*$B$21*$B$25,0)</f>
        <v/>
      </c>
      <c r="AQ60" s="10">
        <f>ROUND($B$6*$B$11*$B$12*$B$16*$B$18*$B$22*$B$23,0)</f>
        <v/>
      </c>
      <c r="AR60" s="10">
        <f>ROUND($B$6*$B$11*$B$12*$B$16*$B$18*$B$22*$B$24,0)</f>
        <v/>
      </c>
      <c r="AS60" s="10">
        <f>ROUND($B$6*$B$11*$B$12*$B$16*$B$18*$B$22*$B$25,0)</f>
        <v/>
      </c>
      <c r="AT60" s="10">
        <f>ROUND($B$6*$B$11*$B$12*$B$16*$B$19*$B$21*$B$23,0)</f>
        <v/>
      </c>
      <c r="AU60" s="10">
        <f>ROUND($B$6*$B$11*$B$12*$B$16*$B$19*$B$21*$B$24,0)</f>
        <v/>
      </c>
      <c r="AV60" s="10">
        <f>ROUND($B$6*$B$11*$B$12*$B$16*$B$19*$B$21*$B$25,0)</f>
        <v/>
      </c>
      <c r="AW60" s="10">
        <f>ROUND($B$6*$B$11*$B$12*$B$16*$B$19*$B$22*$B$23,0)</f>
        <v/>
      </c>
      <c r="AX60" s="10">
        <f>ROUND($B$6*$B$11*$B$12*$B$16*$B$19*$B$22*$B$24,0)</f>
        <v/>
      </c>
      <c r="AY60" s="10">
        <f>ROUND($B$6*$B$11*$B$12*$B$16*$B$19*$B$22*$B$25,0)</f>
        <v/>
      </c>
      <c r="AZ60" s="10">
        <f>ROUND($B$6*$B$11*$B$12*$B$16*$B$20*$B$21*$B$23,0)</f>
        <v/>
      </c>
      <c r="BA60" s="10">
        <f>ROUND($B$6*$B$11*$B$12*$B$16*$B$20*$B$21*$B$24,0)</f>
        <v/>
      </c>
      <c r="BB60" s="10">
        <f>ROUND($B$6*$B$11*$B$12*$B$16*$B$20*$B$21*$B$25,0)</f>
        <v/>
      </c>
      <c r="BC60" s="10">
        <f>ROUND($B$6*$B$11*$B$12*$B$16*$B$20*$B$22*$B$23,0)</f>
        <v/>
      </c>
      <c r="BD60" s="10">
        <f>ROUND($B$6*$B$11*$B$12*$B$16*$B$20*$B$22*$B$24,0)</f>
        <v/>
      </c>
      <c r="BE60" s="10">
        <f>ROUND($B$6*$B$11*$B$12*$B$16*$B$20*$B$22*$B$25,0)</f>
        <v/>
      </c>
    </row>
    <row r="61" ht="20.1" customHeight="1" s="62">
      <c r="A61" s="67" t="n"/>
      <c r="B61" s="59" t="n"/>
      <c r="C61" s="15" t="inlineStr">
        <is>
          <t>Avancée (base existante)</t>
        </is>
      </c>
      <c r="D61" s="10">
        <f>ROUND($B$4*$B$11*$B$12*$B$17*$B$18*$B$21*$B$23,0)</f>
        <v/>
      </c>
      <c r="E61" s="10">
        <f>ROUND($B$4*$B$11*$B$12*$B$17*$B$18*$B$21*$B$24,0)</f>
        <v/>
      </c>
      <c r="F61" s="10">
        <f>ROUND($B$4*$B$11*$B$12*$B$17*$B$18*$B$21*$B$25,0)</f>
        <v/>
      </c>
      <c r="G61" s="10">
        <f>ROUND($B$4*$B$11*$B$12*$B$17*$B$18*$B$22*$B$23,0)</f>
        <v/>
      </c>
      <c r="H61" s="10">
        <f>ROUND($B$4*$B$11*$B$12*$B$17*$B$18*$B$22*$B$24,0)</f>
        <v/>
      </c>
      <c r="I61" s="10">
        <f>ROUND($B$4*$B$11*$B$12*$B$17*$B$18*$B$22*$B$25,0)</f>
        <v/>
      </c>
      <c r="J61" s="10">
        <f>ROUND($B$4*$B$11*$B$12*$B$17*$B$19*$B$21*$B$23,0)</f>
        <v/>
      </c>
      <c r="K61" s="10">
        <f>ROUND($B$4*$B$11*$B$12*$B$17*$B$19*$B$21*$B$24,0)</f>
        <v/>
      </c>
      <c r="L61" s="10">
        <f>ROUND($B$4*$B$11*$B$12*$B$17*$B$19*$B$21*$B$25,0)</f>
        <v/>
      </c>
      <c r="M61" s="10">
        <f>ROUND($B$4*$B$11*$B$12*$B$17*$B$19*$B$22*$B$23,0)</f>
        <v/>
      </c>
      <c r="N61" s="10">
        <f>ROUND($B$4*$B$11*$B$12*$B$17*$B$19*$B$22*$B$24,0)</f>
        <v/>
      </c>
      <c r="O61" s="10">
        <f>ROUND($B$4*$B$11*$B$12*$B$17*$B$19*$B$22*$B$25,0)</f>
        <v/>
      </c>
      <c r="P61" s="10">
        <f>ROUND($B$4*$B$11*$B$12*$B$17*$B$20*$B$21*$B$23,0)</f>
        <v/>
      </c>
      <c r="Q61" s="10">
        <f>ROUND($B$4*$B$11*$B$12*$B$17*$B$20*$B$21*$B$24,0)</f>
        <v/>
      </c>
      <c r="R61" s="10">
        <f>ROUND($B$4*$B$11*$B$12*$B$17*$B$20*$B$21*$B$25,0)</f>
        <v/>
      </c>
      <c r="S61" s="10">
        <f>ROUND($B$4*$B$11*$B$12*$B$17*$B$20*$B$22*$B$23,0)</f>
        <v/>
      </c>
      <c r="T61" s="10">
        <f>ROUND($B$4*$B$11*$B$12*$B$17*$B$20*$B$22*$B$24,0)</f>
        <v/>
      </c>
      <c r="U61" s="10">
        <f>ROUND($B$4*$B$11*$B$12*$B$17*$B$20*$B$22*$B$25,0)</f>
        <v/>
      </c>
      <c r="V61" s="10">
        <f>ROUND($B$5*$B$11*$B$12*$B$17*$B$18*$B$21*$B$23,0)</f>
        <v/>
      </c>
      <c r="W61" s="10">
        <f>ROUND($B$5*$B$11*$B$12*$B$17*$B$18*$B$21*$B$24,0)</f>
        <v/>
      </c>
      <c r="X61" s="10">
        <f>ROUND($B$5*$B$11*$B$12*$B$17*$B$18*$B$21*$B$25,0)</f>
        <v/>
      </c>
      <c r="Y61" s="10">
        <f>ROUND($B$5*$B$11*$B$12*$B$17*$B$18*$B$22*$B$23,0)</f>
        <v/>
      </c>
      <c r="Z61" s="10">
        <f>ROUND($B$5*$B$11*$B$12*$B$17*$B$18*$B$22*$B$24,0)</f>
        <v/>
      </c>
      <c r="AA61" s="10">
        <f>ROUND($B$5*$B$11*$B$12*$B$17*$B$18*$B$22*$B$25,0)</f>
        <v/>
      </c>
      <c r="AB61" s="10">
        <f>ROUND($B$5*$B$11*$B$12*$B$17*$B$19*$B$21*$B$23,0)</f>
        <v/>
      </c>
      <c r="AC61" s="10">
        <f>ROUND($B$5*$B$11*$B$12*$B$17*$B$19*$B$21*$B$24,0)</f>
        <v/>
      </c>
      <c r="AD61" s="10">
        <f>ROUND($B$5*$B$11*$B$12*$B$17*$B$19*$B$21*$B$25,0)</f>
        <v/>
      </c>
      <c r="AE61" s="10">
        <f>ROUND($B$5*$B$11*$B$12*$B$17*$B$19*$B$22*$B$23,0)</f>
        <v/>
      </c>
      <c r="AF61" s="10">
        <f>ROUND($B$5*$B$11*$B$12*$B$17*$B$19*$B$22*$B$24,0)</f>
        <v/>
      </c>
      <c r="AG61" s="10">
        <f>ROUND($B$5*$B$11*$B$12*$B$17*$B$19*$B$22*$B$25,0)</f>
        <v/>
      </c>
      <c r="AH61" s="10">
        <f>ROUND($B$5*$B$11*$B$12*$B$17*$B$20*$B$21*$B$23,0)</f>
        <v/>
      </c>
      <c r="AI61" s="10">
        <f>ROUND($B$5*$B$11*$B$12*$B$17*$B$20*$B$21*$B$24,0)</f>
        <v/>
      </c>
      <c r="AJ61" s="10">
        <f>ROUND($B$5*$B$11*$B$12*$B$17*$B$20*$B$21*$B$25,0)</f>
        <v/>
      </c>
      <c r="AK61" s="10">
        <f>ROUND($B$5*$B$11*$B$12*$B$17*$B$20*$B$22*$B$23,0)</f>
        <v/>
      </c>
      <c r="AL61" s="10">
        <f>ROUND($B$5*$B$11*$B$12*$B$17*$B$20*$B$22*$B$24,0)</f>
        <v/>
      </c>
      <c r="AM61" s="10">
        <f>ROUND($B$5*$B$11*$B$12*$B$17*$B$20*$B$22*$B$25,0)</f>
        <v/>
      </c>
      <c r="AN61" s="10">
        <f>ROUND($B$6*$B$11*$B$12*$B$17*$B$18*$B$21*$B$23,0)</f>
        <v/>
      </c>
      <c r="AO61" s="10">
        <f>ROUND($B$6*$B$11*$B$12*$B$17*$B$18*$B$21*$B$24,0)</f>
        <v/>
      </c>
      <c r="AP61" s="10">
        <f>ROUND($B$6*$B$11*$B$12*$B$17*$B$18*$B$21*$B$25,0)</f>
        <v/>
      </c>
      <c r="AQ61" s="10">
        <f>ROUND($B$6*$B$11*$B$12*$B$17*$B$18*$B$22*$B$23,0)</f>
        <v/>
      </c>
      <c r="AR61" s="10">
        <f>ROUND($B$6*$B$11*$B$12*$B$17*$B$18*$B$22*$B$24,0)</f>
        <v/>
      </c>
      <c r="AS61" s="10">
        <f>ROUND($B$6*$B$11*$B$12*$B$17*$B$18*$B$22*$B$25,0)</f>
        <v/>
      </c>
      <c r="AT61" s="10">
        <f>ROUND($B$6*$B$11*$B$12*$B$17*$B$19*$B$21*$B$23,0)</f>
        <v/>
      </c>
      <c r="AU61" s="10">
        <f>ROUND($B$6*$B$11*$B$12*$B$17*$B$19*$B$21*$B$24,0)</f>
        <v/>
      </c>
      <c r="AV61" s="10">
        <f>ROUND($B$6*$B$11*$B$12*$B$17*$B$19*$B$21*$B$25,0)</f>
        <v/>
      </c>
      <c r="AW61" s="10">
        <f>ROUND($B$6*$B$11*$B$12*$B$17*$B$19*$B$22*$B$23,0)</f>
        <v/>
      </c>
      <c r="AX61" s="10">
        <f>ROUND($B$6*$B$11*$B$12*$B$17*$B$19*$B$22*$B$24,0)</f>
        <v/>
      </c>
      <c r="AY61" s="10">
        <f>ROUND($B$6*$B$11*$B$12*$B$17*$B$19*$B$22*$B$25,0)</f>
        <v/>
      </c>
      <c r="AZ61" s="10">
        <f>ROUND($B$6*$B$11*$B$12*$B$17*$B$20*$B$21*$B$23,0)</f>
        <v/>
      </c>
      <c r="BA61" s="10">
        <f>ROUND($B$6*$B$11*$B$12*$B$17*$B$20*$B$21*$B$24,0)</f>
        <v/>
      </c>
      <c r="BB61" s="10">
        <f>ROUND($B$6*$B$11*$B$12*$B$17*$B$20*$B$21*$B$25,0)</f>
        <v/>
      </c>
      <c r="BC61" s="10">
        <f>ROUND($B$6*$B$11*$B$12*$B$17*$B$20*$B$22*$B$23,0)</f>
        <v/>
      </c>
      <c r="BD61" s="10">
        <f>ROUND($B$6*$B$11*$B$12*$B$17*$B$20*$B$22*$B$24,0)</f>
        <v/>
      </c>
      <c r="BE61" s="10">
        <f>ROUND($B$6*$B$11*$B$12*$B$17*$B$20*$B$22*$B$25,0)</f>
        <v/>
      </c>
    </row>
    <row r="62" ht="20.1" customHeight="1" s="62">
      <c r="A62" s="67" t="n"/>
      <c r="B62" s="57" t="inlineStr">
        <is>
          <t>6-15 processus</t>
        </is>
      </c>
      <c r="C62" s="14" t="inlineStr">
        <is>
          <t>Faible (peu ou pas de formalisation)</t>
        </is>
      </c>
      <c r="D62" s="10">
        <f>ROUND($B$4*$B$11*$B$13*$B$15*$B$18*$B$21*$B$23,0)</f>
        <v/>
      </c>
      <c r="E62" s="10">
        <f>ROUND($B$4*$B$11*$B$13*$B$15*$B$18*$B$21*$B$24,0)</f>
        <v/>
      </c>
      <c r="F62" s="10">
        <f>ROUND($B$4*$B$11*$B$13*$B$15*$B$18*$B$21*$B$25,0)</f>
        <v/>
      </c>
      <c r="G62" s="10">
        <f>ROUND($B$4*$B$11*$B$13*$B$15*$B$18*$B$22*$B$23,0)</f>
        <v/>
      </c>
      <c r="H62" s="10">
        <f>ROUND($B$4*$B$11*$B$13*$B$15*$B$18*$B$22*$B$24,0)</f>
        <v/>
      </c>
      <c r="I62" s="10">
        <f>ROUND($B$4*$B$11*$B$13*$B$15*$B$18*$B$22*$B$25,0)</f>
        <v/>
      </c>
      <c r="J62" s="10">
        <f>ROUND($B$4*$B$11*$B$13*$B$15*$B$19*$B$21*$B$23,0)</f>
        <v/>
      </c>
      <c r="K62" s="10">
        <f>ROUND($B$4*$B$11*$B$13*$B$15*$B$19*$B$21*$B$24,0)</f>
        <v/>
      </c>
      <c r="L62" s="10">
        <f>ROUND($B$4*$B$11*$B$13*$B$15*$B$19*$B$21*$B$25,0)</f>
        <v/>
      </c>
      <c r="M62" s="10">
        <f>ROUND($B$4*$B$11*$B$13*$B$15*$B$19*$B$22*$B$23,0)</f>
        <v/>
      </c>
      <c r="N62" s="10">
        <f>ROUND($B$4*$B$11*$B$13*$B$15*$B$19*$B$22*$B$24,0)</f>
        <v/>
      </c>
      <c r="O62" s="10">
        <f>ROUND($B$4*$B$11*$B$13*$B$15*$B$19*$B$22*$B$25,0)</f>
        <v/>
      </c>
      <c r="P62" s="10">
        <f>ROUND($B$4*$B$11*$B$13*$B$15*$B$20*$B$21*$B$23,0)</f>
        <v/>
      </c>
      <c r="Q62" s="10">
        <f>ROUND($B$4*$B$11*$B$13*$B$15*$B$20*$B$21*$B$24,0)</f>
        <v/>
      </c>
      <c r="R62" s="10">
        <f>ROUND($B$4*$B$11*$B$13*$B$15*$B$20*$B$21*$B$25,0)</f>
        <v/>
      </c>
      <c r="S62" s="10">
        <f>ROUND($B$4*$B$11*$B$13*$B$15*$B$20*$B$22*$B$23,0)</f>
        <v/>
      </c>
      <c r="T62" s="10">
        <f>ROUND($B$4*$B$11*$B$13*$B$15*$B$20*$B$22*$B$24,0)</f>
        <v/>
      </c>
      <c r="U62" s="10">
        <f>ROUND($B$4*$B$11*$B$13*$B$15*$B$20*$B$22*$B$25,0)</f>
        <v/>
      </c>
      <c r="V62" s="10">
        <f>ROUND($B$5*$B$11*$B$13*$B$15*$B$18*$B$21*$B$23,0)</f>
        <v/>
      </c>
      <c r="W62" s="10">
        <f>ROUND($B$5*$B$11*$B$13*$B$15*$B$18*$B$21*$B$24,0)</f>
        <v/>
      </c>
      <c r="X62" s="10">
        <f>ROUND($B$5*$B$11*$B$13*$B$15*$B$18*$B$21*$B$25,0)</f>
        <v/>
      </c>
      <c r="Y62" s="10">
        <f>ROUND($B$5*$B$11*$B$13*$B$15*$B$18*$B$22*$B$23,0)</f>
        <v/>
      </c>
      <c r="Z62" s="10">
        <f>ROUND($B$5*$B$11*$B$13*$B$15*$B$18*$B$22*$B$24,0)</f>
        <v/>
      </c>
      <c r="AA62" s="10">
        <f>ROUND($B$5*$B$11*$B$13*$B$15*$B$18*$B$22*$B$25,0)</f>
        <v/>
      </c>
      <c r="AB62" s="10">
        <f>ROUND($B$5*$B$11*$B$13*$B$15*$B$19*$B$21*$B$23,0)</f>
        <v/>
      </c>
      <c r="AC62" s="10">
        <f>ROUND($B$5*$B$11*$B$13*$B$15*$B$19*$B$21*$B$24,0)</f>
        <v/>
      </c>
      <c r="AD62" s="10">
        <f>ROUND($B$5*$B$11*$B$13*$B$15*$B$19*$B$21*$B$25,0)</f>
        <v/>
      </c>
      <c r="AE62" s="10">
        <f>ROUND($B$5*$B$11*$B$13*$B$15*$B$19*$B$22*$B$23,0)</f>
        <v/>
      </c>
      <c r="AF62" s="10">
        <f>ROUND($B$5*$B$11*$B$13*$B$15*$B$19*$B$22*$B$24,0)</f>
        <v/>
      </c>
      <c r="AG62" s="10">
        <f>ROUND($B$5*$B$11*$B$13*$B$15*$B$19*$B$22*$B$25,0)</f>
        <v/>
      </c>
      <c r="AH62" s="10">
        <f>ROUND($B$5*$B$11*$B$13*$B$15*$B$20*$B$21*$B$23,0)</f>
        <v/>
      </c>
      <c r="AI62" s="10">
        <f>ROUND($B$5*$B$11*$B$13*$B$15*$B$20*$B$21*$B$24,0)</f>
        <v/>
      </c>
      <c r="AJ62" s="10">
        <f>ROUND($B$5*$B$11*$B$13*$B$15*$B$20*$B$21*$B$25,0)</f>
        <v/>
      </c>
      <c r="AK62" s="10">
        <f>ROUND($B$5*$B$11*$B$13*$B$15*$B$20*$B$22*$B$23,0)</f>
        <v/>
      </c>
      <c r="AL62" s="10">
        <f>ROUND($B$5*$B$11*$B$13*$B$15*$B$20*$B$22*$B$24,0)</f>
        <v/>
      </c>
      <c r="AM62" s="10">
        <f>ROUND($B$5*$B$11*$B$13*$B$15*$B$20*$B$22*$B$25,0)</f>
        <v/>
      </c>
      <c r="AN62" s="10">
        <f>ROUND($B$6*$B$11*$B$13*$B$15*$B$18*$B$21*$B$23,0)</f>
        <v/>
      </c>
      <c r="AO62" s="10">
        <f>ROUND($B$6*$B$11*$B$13*$B$15*$B$18*$B$21*$B$24,0)</f>
        <v/>
      </c>
      <c r="AP62" s="10">
        <f>ROUND($B$6*$B$11*$B$13*$B$15*$B$18*$B$21*$B$25,0)</f>
        <v/>
      </c>
      <c r="AQ62" s="10">
        <f>ROUND($B$6*$B$11*$B$13*$B$15*$B$18*$B$22*$B$23,0)</f>
        <v/>
      </c>
      <c r="AR62" s="10">
        <f>ROUND($B$6*$B$11*$B$13*$B$15*$B$18*$B$22*$B$24,0)</f>
        <v/>
      </c>
      <c r="AS62" s="10">
        <f>ROUND($B$6*$B$11*$B$13*$B$15*$B$18*$B$22*$B$25,0)</f>
        <v/>
      </c>
      <c r="AT62" s="10">
        <f>ROUND($B$6*$B$11*$B$13*$B$15*$B$19*$B$21*$B$23,0)</f>
        <v/>
      </c>
      <c r="AU62" s="10">
        <f>ROUND($B$6*$B$11*$B$13*$B$15*$B$19*$B$21*$B$24,0)</f>
        <v/>
      </c>
      <c r="AV62" s="10">
        <f>ROUND($B$6*$B$11*$B$13*$B$15*$B$19*$B$21*$B$25,0)</f>
        <v/>
      </c>
      <c r="AW62" s="10">
        <f>ROUND($B$6*$B$11*$B$13*$B$15*$B$19*$B$22*$B$23,0)</f>
        <v/>
      </c>
      <c r="AX62" s="10">
        <f>ROUND($B$6*$B$11*$B$13*$B$15*$B$19*$B$22*$B$24,0)</f>
        <v/>
      </c>
      <c r="AY62" s="10">
        <f>ROUND($B$6*$B$11*$B$13*$B$15*$B$19*$B$22*$B$25,0)</f>
        <v/>
      </c>
      <c r="AZ62" s="10">
        <f>ROUND($B$6*$B$11*$B$13*$B$15*$B$20*$B$21*$B$23,0)</f>
        <v/>
      </c>
      <c r="BA62" s="10">
        <f>ROUND($B$6*$B$11*$B$13*$B$15*$B$20*$B$21*$B$24,0)</f>
        <v/>
      </c>
      <c r="BB62" s="10">
        <f>ROUND($B$6*$B$11*$B$13*$B$15*$B$20*$B$21*$B$25,0)</f>
        <v/>
      </c>
      <c r="BC62" s="10">
        <f>ROUND($B$6*$B$11*$B$13*$B$15*$B$20*$B$22*$B$23,0)</f>
        <v/>
      </c>
      <c r="BD62" s="10">
        <f>ROUND($B$6*$B$11*$B$13*$B$15*$B$20*$B$22*$B$24,0)</f>
        <v/>
      </c>
      <c r="BE62" s="10">
        <f>ROUND($B$6*$B$11*$B$13*$B$15*$B$20*$B$22*$B$25,0)</f>
        <v/>
      </c>
    </row>
    <row r="63" ht="20.1" customHeight="1" s="62">
      <c r="A63" s="67" t="n"/>
      <c r="B63" s="58" t="n"/>
      <c r="C63" s="57" t="inlineStr">
        <is>
          <t>Intermédiaire</t>
        </is>
      </c>
      <c r="D63" s="10">
        <f>ROUND($B$4*$B$11*$B$13*$B$16*$B$18*$B$21*$B$23,0)</f>
        <v/>
      </c>
      <c r="E63" s="10">
        <f>ROUND($B$4*$B$11*$B$13*$B$16*$B$18*$B$21*$B$24,0)</f>
        <v/>
      </c>
      <c r="F63" s="10">
        <f>ROUND($B$4*$B$11*$B$13*$B$16*$B$18*$B$21*$B$25,0)</f>
        <v/>
      </c>
      <c r="G63" s="10">
        <f>ROUND($B$4*$B$11*$B$13*$B$16*$B$18*$B$22*$B$23,0)</f>
        <v/>
      </c>
      <c r="H63" s="10">
        <f>ROUND($B$4*$B$11*$B$13*$B$16*$B$18*$B$22*$B$24,0)</f>
        <v/>
      </c>
      <c r="I63" s="10">
        <f>ROUND($B$4*$B$11*$B$13*$B$16*$B$18*$B$22*$B$25,0)</f>
        <v/>
      </c>
      <c r="J63" s="10">
        <f>ROUND($B$4*$B$11*$B$13*$B$16*$B$19*$B$21*$B$23,0)</f>
        <v/>
      </c>
      <c r="K63" s="10">
        <f>ROUND($B$4*$B$11*$B$13*$B$16*$B$19*$B$21*$B$24,0)</f>
        <v/>
      </c>
      <c r="L63" s="10">
        <f>ROUND($B$4*$B$11*$B$13*$B$16*$B$19*$B$21*$B$25,0)</f>
        <v/>
      </c>
      <c r="M63" s="10">
        <f>ROUND($B$4*$B$11*$B$13*$B$16*$B$19*$B$22*$B$23,0)</f>
        <v/>
      </c>
      <c r="N63" s="10">
        <f>ROUND($B$4*$B$11*$B$13*$B$16*$B$19*$B$22*$B$24,0)</f>
        <v/>
      </c>
      <c r="O63" s="10">
        <f>ROUND($B$4*$B$11*$B$13*$B$16*$B$19*$B$22*$B$25,0)</f>
        <v/>
      </c>
      <c r="P63" s="10">
        <f>ROUND($B$4*$B$11*$B$13*$B$16*$B$20*$B$21*$B$23,0)</f>
        <v/>
      </c>
      <c r="Q63" s="10">
        <f>ROUND($B$4*$B$11*$B$13*$B$16*$B$20*$B$21*$B$24,0)</f>
        <v/>
      </c>
      <c r="R63" s="10">
        <f>ROUND($B$4*$B$11*$B$13*$B$16*$B$20*$B$21*$B$25,0)</f>
        <v/>
      </c>
      <c r="S63" s="10">
        <f>ROUND($B$4*$B$11*$B$13*$B$16*$B$20*$B$22*$B$23,0)</f>
        <v/>
      </c>
      <c r="T63" s="10">
        <f>ROUND($B$4*$B$11*$B$13*$B$16*$B$20*$B$22*$B$24,0)</f>
        <v/>
      </c>
      <c r="U63" s="10">
        <f>ROUND($B$4*$B$11*$B$13*$B$16*$B$20*$B$22*$B$25,0)</f>
        <v/>
      </c>
      <c r="V63" s="10">
        <f>ROUND($B$5*$B$11*$B$13*$B$16*$B$18*$B$21*$B$23,0)</f>
        <v/>
      </c>
      <c r="W63" s="10">
        <f>ROUND($B$5*$B$11*$B$13*$B$16*$B$18*$B$21*$B$24,0)</f>
        <v/>
      </c>
      <c r="X63" s="10">
        <f>ROUND($B$5*$B$11*$B$13*$B$16*$B$18*$B$21*$B$25,0)</f>
        <v/>
      </c>
      <c r="Y63" s="10">
        <f>ROUND($B$5*$B$11*$B$13*$B$16*$B$18*$B$22*$B$23,0)</f>
        <v/>
      </c>
      <c r="Z63" s="10">
        <f>ROUND($B$5*$B$11*$B$13*$B$16*$B$18*$B$22*$B$24,0)</f>
        <v/>
      </c>
      <c r="AA63" s="10">
        <f>ROUND($B$5*$B$11*$B$13*$B$16*$B$18*$B$22*$B$25,0)</f>
        <v/>
      </c>
      <c r="AB63" s="10">
        <f>ROUND($B$5*$B$11*$B$13*$B$16*$B$19*$B$21*$B$23,0)</f>
        <v/>
      </c>
      <c r="AC63" s="10">
        <f>ROUND($B$5*$B$11*$B$13*$B$16*$B$19*$B$21*$B$24,0)</f>
        <v/>
      </c>
      <c r="AD63" s="10">
        <f>ROUND($B$5*$B$11*$B$13*$B$16*$B$19*$B$21*$B$25,0)</f>
        <v/>
      </c>
      <c r="AE63" s="10">
        <f>ROUND($B$5*$B$11*$B$13*$B$16*$B$19*$B$22*$B$23,0)</f>
        <v/>
      </c>
      <c r="AF63" s="10">
        <f>ROUND($B$5*$B$11*$B$13*$B$16*$B$19*$B$22*$B$24,0)</f>
        <v/>
      </c>
      <c r="AG63" s="10">
        <f>ROUND($B$5*$B$11*$B$13*$B$16*$B$19*$B$22*$B$25,0)</f>
        <v/>
      </c>
      <c r="AH63" s="10">
        <f>ROUND($B$5*$B$11*$B$13*$B$16*$B$20*$B$21*$B$23,0)</f>
        <v/>
      </c>
      <c r="AI63" s="10">
        <f>ROUND($B$5*$B$11*$B$13*$B$16*$B$20*$B$21*$B$24,0)</f>
        <v/>
      </c>
      <c r="AJ63" s="10">
        <f>ROUND($B$5*$B$11*$B$13*$B$16*$B$20*$B$21*$B$25,0)</f>
        <v/>
      </c>
      <c r="AK63" s="10">
        <f>ROUND($B$5*$B$11*$B$13*$B$16*$B$20*$B$22*$B$23,0)</f>
        <v/>
      </c>
      <c r="AL63" s="10">
        <f>ROUND($B$5*$B$11*$B$13*$B$16*$B$20*$B$22*$B$24,0)</f>
        <v/>
      </c>
      <c r="AM63" s="10">
        <f>ROUND($B$5*$B$11*$B$13*$B$16*$B$20*$B$22*$B$25,0)</f>
        <v/>
      </c>
      <c r="AN63" s="10">
        <f>ROUND($B$6*$B$11*$B$13*$B$16*$B$18*$B$21*$B$23,0)</f>
        <v/>
      </c>
      <c r="AO63" s="10">
        <f>ROUND($B$6*$B$11*$B$13*$B$16*$B$18*$B$21*$B$24,0)</f>
        <v/>
      </c>
      <c r="AP63" s="10">
        <f>ROUND($B$6*$B$11*$B$13*$B$16*$B$18*$B$21*$B$25,0)</f>
        <v/>
      </c>
      <c r="AQ63" s="10">
        <f>ROUND($B$6*$B$11*$B$13*$B$16*$B$18*$B$22*$B$23,0)</f>
        <v/>
      </c>
      <c r="AR63" s="10">
        <f>ROUND($B$6*$B$11*$B$13*$B$16*$B$18*$B$22*$B$24,0)</f>
        <v/>
      </c>
      <c r="AS63" s="10">
        <f>ROUND($B$6*$B$11*$B$13*$B$16*$B$18*$B$22*$B$25,0)</f>
        <v/>
      </c>
      <c r="AT63" s="10">
        <f>ROUND($B$6*$B$11*$B$13*$B$16*$B$19*$B$21*$B$23,0)</f>
        <v/>
      </c>
      <c r="AU63" s="10">
        <f>ROUND($B$6*$B$11*$B$13*$B$16*$B$19*$B$21*$B$24,0)</f>
        <v/>
      </c>
      <c r="AV63" s="10">
        <f>ROUND($B$6*$B$11*$B$13*$B$16*$B$19*$B$21*$B$25,0)</f>
        <v/>
      </c>
      <c r="AW63" s="10">
        <f>ROUND($B$6*$B$11*$B$13*$B$16*$B$19*$B$22*$B$23,0)</f>
        <v/>
      </c>
      <c r="AX63" s="10">
        <f>ROUND($B$6*$B$11*$B$13*$B$16*$B$19*$B$22*$B$24,0)</f>
        <v/>
      </c>
      <c r="AY63" s="10">
        <f>ROUND($B$6*$B$11*$B$13*$B$16*$B$19*$B$22*$B$25,0)</f>
        <v/>
      </c>
      <c r="AZ63" s="10">
        <f>ROUND($B$6*$B$11*$B$13*$B$16*$B$20*$B$21*$B$23,0)</f>
        <v/>
      </c>
      <c r="BA63" s="10">
        <f>ROUND($B$6*$B$11*$B$13*$B$16*$B$20*$B$21*$B$24,0)</f>
        <v/>
      </c>
      <c r="BB63" s="10">
        <f>ROUND($B$6*$B$11*$B$13*$B$16*$B$20*$B$21*$B$25,0)</f>
        <v/>
      </c>
      <c r="BC63" s="10">
        <f>ROUND($B$6*$B$11*$B$13*$B$16*$B$20*$B$22*$B$23,0)</f>
        <v/>
      </c>
      <c r="BD63" s="10">
        <f>ROUND($B$6*$B$11*$B$13*$B$16*$B$20*$B$22*$B$24,0)</f>
        <v/>
      </c>
      <c r="BE63" s="10">
        <f>ROUND($B$6*$B$11*$B$13*$B$16*$B$20*$B$22*$B$25,0)</f>
        <v/>
      </c>
    </row>
    <row r="64" ht="20.1" customHeight="1" s="62">
      <c r="A64" s="67" t="n"/>
      <c r="B64" s="59" t="n"/>
      <c r="C64" s="15" t="inlineStr">
        <is>
          <t>Avancée (base existante)</t>
        </is>
      </c>
      <c r="D64" s="10">
        <f>ROUND($B$4*$B$11*$B$13*$B$17*$B$18*$B$21*$B$23,0)</f>
        <v/>
      </c>
      <c r="E64" s="10">
        <f>ROUND($B$4*$B$11*$B$13*$B$17*$B$18*$B$21*$B$24,0)</f>
        <v/>
      </c>
      <c r="F64" s="10">
        <f>ROUND($B$4*$B$11*$B$13*$B$17*$B$18*$B$21*$B$25,0)</f>
        <v/>
      </c>
      <c r="G64" s="10">
        <f>ROUND($B$4*$B$11*$B$13*$B$17*$B$18*$B$22*$B$23,0)</f>
        <v/>
      </c>
      <c r="H64" s="10">
        <f>ROUND($B$4*$B$11*$B$13*$B$17*$B$18*$B$22*$B$24,0)</f>
        <v/>
      </c>
      <c r="I64" s="10">
        <f>ROUND($B$4*$B$11*$B$13*$B$17*$B$18*$B$22*$B$25,0)</f>
        <v/>
      </c>
      <c r="J64" s="10">
        <f>ROUND($B$4*$B$11*$B$13*$B$17*$B$19*$B$21*$B$23,0)</f>
        <v/>
      </c>
      <c r="K64" s="10">
        <f>ROUND($B$4*$B$11*$B$13*$B$17*$B$19*$B$21*$B$24,0)</f>
        <v/>
      </c>
      <c r="L64" s="10">
        <f>ROUND($B$4*$B$11*$B$13*$B$17*$B$19*$B$21*$B$25,0)</f>
        <v/>
      </c>
      <c r="M64" s="10">
        <f>ROUND($B$4*$B$11*$B$13*$B$17*$B$19*$B$22*$B$23,0)</f>
        <v/>
      </c>
      <c r="N64" s="10">
        <f>ROUND($B$4*$B$11*$B$13*$B$17*$B$19*$B$22*$B$24,0)</f>
        <v/>
      </c>
      <c r="O64" s="10">
        <f>ROUND($B$4*$B$11*$B$13*$B$17*$B$19*$B$22*$B$25,0)</f>
        <v/>
      </c>
      <c r="P64" s="10">
        <f>ROUND($B$4*$B$11*$B$13*$B$17*$B$20*$B$21*$B$23,0)</f>
        <v/>
      </c>
      <c r="Q64" s="10">
        <f>ROUND($B$4*$B$11*$B$13*$B$17*$B$20*$B$21*$B$24,0)</f>
        <v/>
      </c>
      <c r="R64" s="10">
        <f>ROUND($B$4*$B$11*$B$13*$B$17*$B$20*$B$21*$B$25,0)</f>
        <v/>
      </c>
      <c r="S64" s="10">
        <f>ROUND($B$4*$B$11*$B$13*$B$17*$B$20*$B$22*$B$23,0)</f>
        <v/>
      </c>
      <c r="T64" s="10">
        <f>ROUND($B$4*$B$11*$B$13*$B$17*$B$20*$B$22*$B$24,0)</f>
        <v/>
      </c>
      <c r="U64" s="10">
        <f>ROUND($B$4*$B$11*$B$13*$B$17*$B$20*$B$22*$B$25,0)</f>
        <v/>
      </c>
      <c r="V64" s="10">
        <f>ROUND($B$5*$B$11*$B$13*$B$17*$B$18*$B$21*$B$23,0)</f>
        <v/>
      </c>
      <c r="W64" s="10">
        <f>ROUND($B$5*$B$11*$B$13*$B$17*$B$18*$B$21*$B$24,0)</f>
        <v/>
      </c>
      <c r="X64" s="10">
        <f>ROUND($B$5*$B$11*$B$13*$B$17*$B$18*$B$21*$B$25,0)</f>
        <v/>
      </c>
      <c r="Y64" s="10">
        <f>ROUND($B$5*$B$11*$B$13*$B$17*$B$18*$B$22*$B$23,0)</f>
        <v/>
      </c>
      <c r="Z64" s="10">
        <f>ROUND($B$5*$B$11*$B$13*$B$17*$B$18*$B$22*$B$24,0)</f>
        <v/>
      </c>
      <c r="AA64" s="10">
        <f>ROUND($B$5*$B$11*$B$13*$B$17*$B$18*$B$22*$B$25,0)</f>
        <v/>
      </c>
      <c r="AB64" s="10">
        <f>ROUND($B$5*$B$11*$B$13*$B$17*$B$19*$B$21*$B$23,0)</f>
        <v/>
      </c>
      <c r="AC64" s="10">
        <f>ROUND($B$5*$B$11*$B$13*$B$17*$B$19*$B$21*$B$24,0)</f>
        <v/>
      </c>
      <c r="AD64" s="10">
        <f>ROUND($B$5*$B$11*$B$13*$B$17*$B$19*$B$21*$B$25,0)</f>
        <v/>
      </c>
      <c r="AE64" s="10">
        <f>ROUND($B$5*$B$11*$B$13*$B$17*$B$19*$B$22*$B$23,0)</f>
        <v/>
      </c>
      <c r="AF64" s="10">
        <f>ROUND($B$5*$B$11*$B$13*$B$17*$B$19*$B$22*$B$24,0)</f>
        <v/>
      </c>
      <c r="AG64" s="10">
        <f>ROUND($B$5*$B$11*$B$13*$B$17*$B$19*$B$22*$B$25,0)</f>
        <v/>
      </c>
      <c r="AH64" s="10">
        <f>ROUND($B$5*$B$11*$B$13*$B$17*$B$20*$B$21*$B$23,0)</f>
        <v/>
      </c>
      <c r="AI64" s="10">
        <f>ROUND($B$5*$B$11*$B$13*$B$17*$B$20*$B$21*$B$24,0)</f>
        <v/>
      </c>
      <c r="AJ64" s="10">
        <f>ROUND($B$5*$B$11*$B$13*$B$17*$B$20*$B$21*$B$25,0)</f>
        <v/>
      </c>
      <c r="AK64" s="10">
        <f>ROUND($B$5*$B$11*$B$13*$B$17*$B$20*$B$22*$B$23,0)</f>
        <v/>
      </c>
      <c r="AL64" s="10">
        <f>ROUND($B$5*$B$11*$B$13*$B$17*$B$20*$B$22*$B$24,0)</f>
        <v/>
      </c>
      <c r="AM64" s="10">
        <f>ROUND($B$5*$B$11*$B$13*$B$17*$B$20*$B$22*$B$25,0)</f>
        <v/>
      </c>
      <c r="AN64" s="10">
        <f>ROUND($B$6*$B$11*$B$13*$B$17*$B$18*$B$21*$B$23,0)</f>
        <v/>
      </c>
      <c r="AO64" s="10">
        <f>ROUND($B$6*$B$11*$B$13*$B$17*$B$18*$B$21*$B$24,0)</f>
        <v/>
      </c>
      <c r="AP64" s="10">
        <f>ROUND($B$6*$B$11*$B$13*$B$17*$B$18*$B$21*$B$25,0)</f>
        <v/>
      </c>
      <c r="AQ64" s="10">
        <f>ROUND($B$6*$B$11*$B$13*$B$17*$B$18*$B$22*$B$23,0)</f>
        <v/>
      </c>
      <c r="AR64" s="10">
        <f>ROUND($B$6*$B$11*$B$13*$B$17*$B$18*$B$22*$B$24,0)</f>
        <v/>
      </c>
      <c r="AS64" s="10">
        <f>ROUND($B$6*$B$11*$B$13*$B$17*$B$18*$B$22*$B$25,0)</f>
        <v/>
      </c>
      <c r="AT64" s="10">
        <f>ROUND($B$6*$B$11*$B$13*$B$17*$B$19*$B$21*$B$23,0)</f>
        <v/>
      </c>
      <c r="AU64" s="10">
        <f>ROUND($B$6*$B$11*$B$13*$B$17*$B$19*$B$21*$B$24,0)</f>
        <v/>
      </c>
      <c r="AV64" s="10">
        <f>ROUND($B$6*$B$11*$B$13*$B$17*$B$19*$B$21*$B$25,0)</f>
        <v/>
      </c>
      <c r="AW64" s="10">
        <f>ROUND($B$6*$B$11*$B$13*$B$17*$B$19*$B$22*$B$23,0)</f>
        <v/>
      </c>
      <c r="AX64" s="10">
        <f>ROUND($B$6*$B$11*$B$13*$B$17*$B$19*$B$22*$B$24,0)</f>
        <v/>
      </c>
      <c r="AY64" s="10">
        <f>ROUND($B$6*$B$11*$B$13*$B$17*$B$19*$B$22*$B$25,0)</f>
        <v/>
      </c>
      <c r="AZ64" s="10">
        <f>ROUND($B$6*$B$11*$B$13*$B$17*$B$20*$B$21*$B$23,0)</f>
        <v/>
      </c>
      <c r="BA64" s="10">
        <f>ROUND($B$6*$B$11*$B$13*$B$17*$B$20*$B$21*$B$24,0)</f>
        <v/>
      </c>
      <c r="BB64" s="10">
        <f>ROUND($B$6*$B$11*$B$13*$B$17*$B$20*$B$21*$B$25,0)</f>
        <v/>
      </c>
      <c r="BC64" s="10">
        <f>ROUND($B$6*$B$11*$B$13*$B$17*$B$20*$B$22*$B$23,0)</f>
        <v/>
      </c>
      <c r="BD64" s="10">
        <f>ROUND($B$6*$B$11*$B$13*$B$17*$B$20*$B$22*$B$24,0)</f>
        <v/>
      </c>
      <c r="BE64" s="10">
        <f>ROUND($B$6*$B$11*$B$13*$B$17*$B$20*$B$22*$B$25,0)</f>
        <v/>
      </c>
    </row>
    <row r="65" ht="20.1" customHeight="1" s="62">
      <c r="A65" s="67" t="n"/>
      <c r="B65" s="57" t="inlineStr">
        <is>
          <t>16 processus et +</t>
        </is>
      </c>
      <c r="C65" s="14" t="inlineStr">
        <is>
          <t>Faible (peu ou pas de formalisation)</t>
        </is>
      </c>
      <c r="D65" s="10">
        <f>ROUND($B$4*$B$11*$B$14*$B$15*$B$18*$B$21*$B$23,0)</f>
        <v/>
      </c>
      <c r="E65" s="10">
        <f>ROUND($B$4*$B$11*$B$14*$B$15*$B$18*$B$21*$B$24,0)</f>
        <v/>
      </c>
      <c r="F65" s="10">
        <f>ROUND($B$4*$B$11*$B$14*$B$15*$B$18*$B$21*$B$25,0)</f>
        <v/>
      </c>
      <c r="G65" s="10">
        <f>ROUND($B$4*$B$11*$B$14*$B$15*$B$18*$B$22*$B$23,0)</f>
        <v/>
      </c>
      <c r="H65" s="10">
        <f>ROUND($B$4*$B$11*$B$14*$B$15*$B$18*$B$22*$B$24,0)</f>
        <v/>
      </c>
      <c r="I65" s="10">
        <f>ROUND($B$4*$B$11*$B$14*$B$15*$B$18*$B$22*$B$25,0)</f>
        <v/>
      </c>
      <c r="J65" s="10">
        <f>ROUND($B$4*$B$11*$B$14*$B$15*$B$19*$B$21*$B$23,0)</f>
        <v/>
      </c>
      <c r="K65" s="10">
        <f>ROUND($B$4*$B$11*$B$14*$B$15*$B$19*$B$21*$B$24,0)</f>
        <v/>
      </c>
      <c r="L65" s="10">
        <f>ROUND($B$4*$B$11*$B$14*$B$15*$B$19*$B$21*$B$25,0)</f>
        <v/>
      </c>
      <c r="M65" s="10">
        <f>ROUND($B$4*$B$11*$B$14*$B$15*$B$19*$B$22*$B$23,0)</f>
        <v/>
      </c>
      <c r="N65" s="10">
        <f>ROUND($B$4*$B$11*$B$14*$B$15*$B$19*$B$22*$B$24,0)</f>
        <v/>
      </c>
      <c r="O65" s="10">
        <f>ROUND($B$4*$B$11*$B$14*$B$15*$B$19*$B$22*$B$25,0)</f>
        <v/>
      </c>
      <c r="P65" s="10">
        <f>ROUND($B$4*$B$11*$B$14*$B$15*$B$20*$B$21*$B$23,0)</f>
        <v/>
      </c>
      <c r="Q65" s="10">
        <f>ROUND($B$4*$B$11*$B$14*$B$15*$B$20*$B$21*$B$24,0)</f>
        <v/>
      </c>
      <c r="R65" s="10">
        <f>ROUND($B$4*$B$11*$B$14*$B$15*$B$20*$B$21*$B$25,0)</f>
        <v/>
      </c>
      <c r="S65" s="10">
        <f>ROUND($B$4*$B$11*$B$14*$B$15*$B$20*$B$22*$B$23,0)</f>
        <v/>
      </c>
      <c r="T65" s="10">
        <f>ROUND($B$4*$B$11*$B$14*$B$15*$B$20*$B$22*$B$24,0)</f>
        <v/>
      </c>
      <c r="U65" s="10">
        <f>ROUND($B$4*$B$11*$B$14*$B$15*$B$20*$B$22*$B$25,0)</f>
        <v/>
      </c>
      <c r="V65" s="10">
        <f>ROUND($B$5*$B$11*$B$14*$B$15*$B$18*$B$21*$B$23,0)</f>
        <v/>
      </c>
      <c r="W65" s="10">
        <f>ROUND($B$5*$B$11*$B$14*$B$15*$B$18*$B$21*$B$24,0)</f>
        <v/>
      </c>
      <c r="X65" s="10">
        <f>ROUND($B$5*$B$11*$B$14*$B$15*$B$18*$B$21*$B$25,0)</f>
        <v/>
      </c>
      <c r="Y65" s="10">
        <f>ROUND($B$5*$B$11*$B$14*$B$15*$B$18*$B$22*$B$23,0)</f>
        <v/>
      </c>
      <c r="Z65" s="10">
        <f>ROUND($B$5*$B$11*$B$14*$B$15*$B$18*$B$22*$B$24,0)</f>
        <v/>
      </c>
      <c r="AA65" s="10">
        <f>ROUND($B$5*$B$11*$B$14*$B$15*$B$18*$B$22*$B$25,0)</f>
        <v/>
      </c>
      <c r="AB65" s="10">
        <f>ROUND($B$5*$B$11*$B$14*$B$15*$B$19*$B$21*$B$23,0)</f>
        <v/>
      </c>
      <c r="AC65" s="10">
        <f>ROUND($B$5*$B$11*$B$14*$B$15*$B$19*$B$21*$B$24,0)</f>
        <v/>
      </c>
      <c r="AD65" s="10">
        <f>ROUND($B$5*$B$11*$B$14*$B$15*$B$19*$B$21*$B$25,0)</f>
        <v/>
      </c>
      <c r="AE65" s="10">
        <f>ROUND($B$5*$B$11*$B$14*$B$15*$B$19*$B$22*$B$23,0)</f>
        <v/>
      </c>
      <c r="AF65" s="10">
        <f>ROUND($B$5*$B$11*$B$14*$B$15*$B$19*$B$22*$B$24,0)</f>
        <v/>
      </c>
      <c r="AG65" s="10">
        <f>ROUND($B$5*$B$11*$B$14*$B$15*$B$19*$B$22*$B$25,0)</f>
        <v/>
      </c>
      <c r="AH65" s="10">
        <f>ROUND($B$5*$B$11*$B$14*$B$15*$B$20*$B$21*$B$23,0)</f>
        <v/>
      </c>
      <c r="AI65" s="10">
        <f>ROUND($B$5*$B$11*$B$14*$B$15*$B$20*$B$21*$B$24,0)</f>
        <v/>
      </c>
      <c r="AJ65" s="10">
        <f>ROUND($B$5*$B$11*$B$14*$B$15*$B$20*$B$21*$B$25,0)</f>
        <v/>
      </c>
      <c r="AK65" s="10">
        <f>ROUND($B$5*$B$11*$B$14*$B$15*$B$20*$B$22*$B$23,0)</f>
        <v/>
      </c>
      <c r="AL65" s="10">
        <f>ROUND($B$5*$B$11*$B$14*$B$15*$B$20*$B$22*$B$24,0)</f>
        <v/>
      </c>
      <c r="AM65" s="10">
        <f>ROUND($B$5*$B$11*$B$14*$B$15*$B$20*$B$22*$B$25,0)</f>
        <v/>
      </c>
      <c r="AN65" s="10">
        <f>ROUND($B$6*$B$11*$B$14*$B$15*$B$18*$B$21*$B$23,0)</f>
        <v/>
      </c>
      <c r="AO65" s="10">
        <f>ROUND($B$6*$B$11*$B$14*$B$15*$B$18*$B$21*$B$24,0)</f>
        <v/>
      </c>
      <c r="AP65" s="10">
        <f>ROUND($B$6*$B$11*$B$14*$B$15*$B$18*$B$21*$B$25,0)</f>
        <v/>
      </c>
      <c r="AQ65" s="10">
        <f>ROUND($B$6*$B$11*$B$14*$B$15*$B$18*$B$22*$B$23,0)</f>
        <v/>
      </c>
      <c r="AR65" s="10">
        <f>ROUND($B$6*$B$11*$B$14*$B$15*$B$18*$B$22*$B$24,0)</f>
        <v/>
      </c>
      <c r="AS65" s="10">
        <f>ROUND($B$6*$B$11*$B$14*$B$15*$B$18*$B$22*$B$25,0)</f>
        <v/>
      </c>
      <c r="AT65" s="10">
        <f>ROUND($B$6*$B$11*$B$14*$B$15*$B$19*$B$21*$B$23,0)</f>
        <v/>
      </c>
      <c r="AU65" s="10">
        <f>ROUND($B$6*$B$11*$B$14*$B$15*$B$19*$B$21*$B$24,0)</f>
        <v/>
      </c>
      <c r="AV65" s="10">
        <f>ROUND($B$6*$B$11*$B$14*$B$15*$B$19*$B$21*$B$25,0)</f>
        <v/>
      </c>
      <c r="AW65" s="10">
        <f>ROUND($B$6*$B$11*$B$14*$B$15*$B$19*$B$22*$B$23,0)</f>
        <v/>
      </c>
      <c r="AX65" s="10">
        <f>ROUND($B$6*$B$11*$B$14*$B$15*$B$19*$B$22*$B$24,0)</f>
        <v/>
      </c>
      <c r="AY65" s="10">
        <f>ROUND($B$6*$B$11*$B$14*$B$15*$B$19*$B$22*$B$25,0)</f>
        <v/>
      </c>
      <c r="AZ65" s="10">
        <f>ROUND($B$6*$B$11*$B$14*$B$15*$B$20*$B$21*$B$23,0)</f>
        <v/>
      </c>
      <c r="BA65" s="10">
        <f>ROUND($B$6*$B$11*$B$14*$B$15*$B$20*$B$21*$B$24,0)</f>
        <v/>
      </c>
      <c r="BB65" s="10">
        <f>ROUND($B$6*$B$11*$B$14*$B$15*$B$20*$B$21*$B$25,0)</f>
        <v/>
      </c>
      <c r="BC65" s="10">
        <f>ROUND($B$6*$B$11*$B$14*$B$15*$B$20*$B$22*$B$23,0)</f>
        <v/>
      </c>
      <c r="BD65" s="10">
        <f>ROUND($B$6*$B$11*$B$14*$B$15*$B$20*$B$22*$B$24,0)</f>
        <v/>
      </c>
      <c r="BE65" s="10">
        <f>ROUND($B$6*$B$11*$B$14*$B$15*$B$20*$B$22*$B$25,0)</f>
        <v/>
      </c>
    </row>
    <row r="66" ht="20.1" customHeight="1" s="62">
      <c r="A66" s="67" t="n"/>
      <c r="B66" s="58" t="n"/>
      <c r="C66" s="57" t="inlineStr">
        <is>
          <t>Intermédiaire</t>
        </is>
      </c>
      <c r="D66" s="10">
        <f>ROUND($B$4*$B$11*$B$14*$B$16*$B$18*$B$21*$B$23,0)</f>
        <v/>
      </c>
      <c r="E66" s="10">
        <f>ROUND($B$4*$B$11*$B$14*$B$16*$B$18*$B$21*$B$24,0)</f>
        <v/>
      </c>
      <c r="F66" s="10">
        <f>ROUND($B$4*$B$11*$B$14*$B$16*$B$18*$B$21*$B$25,0)</f>
        <v/>
      </c>
      <c r="G66" s="10">
        <f>ROUND($B$4*$B$11*$B$14*$B$16*$B$18*$B$22*$B$23,0)</f>
        <v/>
      </c>
      <c r="H66" s="10">
        <f>ROUND($B$4*$B$11*$B$14*$B$16*$B$18*$B$22*$B$24,0)</f>
        <v/>
      </c>
      <c r="I66" s="10">
        <f>ROUND($B$4*$B$11*$B$14*$B$16*$B$18*$B$22*$B$25,0)</f>
        <v/>
      </c>
      <c r="J66" s="10">
        <f>ROUND($B$4*$B$11*$B$14*$B$16*$B$19*$B$21*$B$23,0)</f>
        <v/>
      </c>
      <c r="K66" s="10">
        <f>ROUND($B$4*$B$11*$B$14*$B$16*$B$19*$B$21*$B$24,0)</f>
        <v/>
      </c>
      <c r="L66" s="10">
        <f>ROUND($B$4*$B$11*$B$14*$B$16*$B$19*$B$21*$B$25,0)</f>
        <v/>
      </c>
      <c r="M66" s="10">
        <f>ROUND($B$4*$B$11*$B$14*$B$16*$B$19*$B$22*$B$23,0)</f>
        <v/>
      </c>
      <c r="N66" s="10">
        <f>ROUND($B$4*$B$11*$B$14*$B$16*$B$19*$B$22*$B$24,0)</f>
        <v/>
      </c>
      <c r="O66" s="10">
        <f>ROUND($B$4*$B$11*$B$14*$B$16*$B$19*$B$22*$B$25,0)</f>
        <v/>
      </c>
      <c r="P66" s="10">
        <f>ROUND($B$4*$B$11*$B$14*$B$16*$B$20*$B$21*$B$23,0)</f>
        <v/>
      </c>
      <c r="Q66" s="10">
        <f>ROUND($B$4*$B$11*$B$14*$B$16*$B$20*$B$21*$B$24,0)</f>
        <v/>
      </c>
      <c r="R66" s="10">
        <f>ROUND($B$4*$B$11*$B$14*$B$16*$B$20*$B$21*$B$25,0)</f>
        <v/>
      </c>
      <c r="S66" s="10">
        <f>ROUND($B$4*$B$11*$B$14*$B$16*$B$20*$B$22*$B$23,0)</f>
        <v/>
      </c>
      <c r="T66" s="10">
        <f>ROUND($B$4*$B$11*$B$14*$B$16*$B$20*$B$22*$B$24,0)</f>
        <v/>
      </c>
      <c r="U66" s="10">
        <f>ROUND($B$4*$B$11*$B$14*$B$16*$B$20*$B$22*$B$25,0)</f>
        <v/>
      </c>
      <c r="V66" s="10">
        <f>ROUND($B$5*$B$11*$B$14*$B$16*$B$18*$B$21*$B$23,0)</f>
        <v/>
      </c>
      <c r="W66" s="10">
        <f>ROUND($B$5*$B$11*$B$14*$B$16*$B$18*$B$21*$B$24,0)</f>
        <v/>
      </c>
      <c r="X66" s="10">
        <f>ROUND($B$5*$B$11*$B$14*$B$16*$B$18*$B$21*$B$25,0)</f>
        <v/>
      </c>
      <c r="Y66" s="10">
        <f>ROUND($B$5*$B$11*$B$14*$B$16*$B$18*$B$22*$B$23,0)</f>
        <v/>
      </c>
      <c r="Z66" s="10">
        <f>ROUND($B$5*$B$11*$B$14*$B$16*$B$18*$B$22*$B$24,0)</f>
        <v/>
      </c>
      <c r="AA66" s="10">
        <f>ROUND($B$5*$B$11*$B$14*$B$16*$B$18*$B$22*$B$25,0)</f>
        <v/>
      </c>
      <c r="AB66" s="10">
        <f>ROUND($B$5*$B$11*$B$14*$B$16*$B$19*$B$21*$B$23,0)</f>
        <v/>
      </c>
      <c r="AC66" s="10">
        <f>ROUND($B$5*$B$11*$B$14*$B$16*$B$19*$B$21*$B$24,0)</f>
        <v/>
      </c>
      <c r="AD66" s="10">
        <f>ROUND($B$5*$B$11*$B$14*$B$16*$B$19*$B$21*$B$25,0)</f>
        <v/>
      </c>
      <c r="AE66" s="10">
        <f>ROUND($B$5*$B$11*$B$14*$B$16*$B$19*$B$22*$B$23,0)</f>
        <v/>
      </c>
      <c r="AF66" s="10">
        <f>ROUND($B$5*$B$11*$B$14*$B$16*$B$19*$B$22*$B$24,0)</f>
        <v/>
      </c>
      <c r="AG66" s="10">
        <f>ROUND($B$5*$B$11*$B$14*$B$16*$B$19*$B$22*$B$25,0)</f>
        <v/>
      </c>
      <c r="AH66" s="10">
        <f>ROUND($B$5*$B$11*$B$14*$B$16*$B$20*$B$21*$B$23,0)</f>
        <v/>
      </c>
      <c r="AI66" s="10">
        <f>ROUND($B$5*$B$11*$B$14*$B$16*$B$20*$B$21*$B$24,0)</f>
        <v/>
      </c>
      <c r="AJ66" s="10">
        <f>ROUND($B$5*$B$11*$B$14*$B$16*$B$20*$B$21*$B$25,0)</f>
        <v/>
      </c>
      <c r="AK66" s="10">
        <f>ROUND($B$5*$B$11*$B$14*$B$16*$B$20*$B$22*$B$23,0)</f>
        <v/>
      </c>
      <c r="AL66" s="10">
        <f>ROUND($B$5*$B$11*$B$14*$B$16*$B$20*$B$22*$B$24,0)</f>
        <v/>
      </c>
      <c r="AM66" s="10">
        <f>ROUND($B$5*$B$11*$B$14*$B$16*$B$20*$B$22*$B$25,0)</f>
        <v/>
      </c>
      <c r="AN66" s="10">
        <f>ROUND($B$6*$B$11*$B$14*$B$16*$B$18*$B$21*$B$23,0)</f>
        <v/>
      </c>
      <c r="AO66" s="10">
        <f>ROUND($B$6*$B$11*$B$14*$B$16*$B$18*$B$21*$B$24,0)</f>
        <v/>
      </c>
      <c r="AP66" s="10">
        <f>ROUND($B$6*$B$11*$B$14*$B$16*$B$18*$B$21*$B$25,0)</f>
        <v/>
      </c>
      <c r="AQ66" s="10">
        <f>ROUND($B$6*$B$11*$B$14*$B$16*$B$18*$B$22*$B$23,0)</f>
        <v/>
      </c>
      <c r="AR66" s="10">
        <f>ROUND($B$6*$B$11*$B$14*$B$16*$B$18*$B$22*$B$24,0)</f>
        <v/>
      </c>
      <c r="AS66" s="10">
        <f>ROUND($B$6*$B$11*$B$14*$B$16*$B$18*$B$22*$B$25,0)</f>
        <v/>
      </c>
      <c r="AT66" s="10">
        <f>ROUND($B$6*$B$11*$B$14*$B$16*$B$19*$B$21*$B$23,0)</f>
        <v/>
      </c>
      <c r="AU66" s="10">
        <f>ROUND($B$6*$B$11*$B$14*$B$16*$B$19*$B$21*$B$24,0)</f>
        <v/>
      </c>
      <c r="AV66" s="10">
        <f>ROUND($B$6*$B$11*$B$14*$B$16*$B$19*$B$21*$B$25,0)</f>
        <v/>
      </c>
      <c r="AW66" s="10">
        <f>ROUND($B$6*$B$11*$B$14*$B$16*$B$19*$B$22*$B$23,0)</f>
        <v/>
      </c>
      <c r="AX66" s="10">
        <f>ROUND($B$6*$B$11*$B$14*$B$16*$B$19*$B$22*$B$24,0)</f>
        <v/>
      </c>
      <c r="AY66" s="10">
        <f>ROUND($B$6*$B$11*$B$14*$B$16*$B$19*$B$22*$B$25,0)</f>
        <v/>
      </c>
      <c r="AZ66" s="10">
        <f>ROUND($B$6*$B$11*$B$14*$B$16*$B$20*$B$21*$B$23,0)</f>
        <v/>
      </c>
      <c r="BA66" s="10">
        <f>ROUND($B$6*$B$11*$B$14*$B$16*$B$20*$B$21*$B$24,0)</f>
        <v/>
      </c>
      <c r="BB66" s="10">
        <f>ROUND($B$6*$B$11*$B$14*$B$16*$B$20*$B$21*$B$25,0)</f>
        <v/>
      </c>
      <c r="BC66" s="10">
        <f>ROUND($B$6*$B$11*$B$14*$B$16*$B$20*$B$22*$B$23,0)</f>
        <v/>
      </c>
      <c r="BD66" s="10">
        <f>ROUND($B$6*$B$11*$B$14*$B$16*$B$20*$B$22*$B$24,0)</f>
        <v/>
      </c>
      <c r="BE66" s="10">
        <f>ROUND($B$6*$B$11*$B$14*$B$16*$B$20*$B$22*$B$25,0)</f>
        <v/>
      </c>
    </row>
    <row r="67" ht="20.1" customHeight="1" s="62">
      <c r="A67" s="68" t="n"/>
      <c r="B67" s="59" t="n"/>
      <c r="C67" s="15" t="inlineStr">
        <is>
          <t>Avancée (base existante)</t>
        </is>
      </c>
      <c r="D67" s="10">
        <f>ROUND($B$4*$B$11*$B$14*$B$17*$B$18*$B$21*$B$23,0)</f>
        <v/>
      </c>
      <c r="E67" s="10">
        <f>ROUND($B$4*$B$11*$B$14*$B$17*$B$18*$B$21*$B$24,0)</f>
        <v/>
      </c>
      <c r="F67" s="10">
        <f>ROUND($B$4*$B$11*$B$14*$B$17*$B$18*$B$21*$B$25,0)</f>
        <v/>
      </c>
      <c r="G67" s="10">
        <f>ROUND($B$4*$B$11*$B$14*$B$17*$B$18*$B$22*$B$23,0)</f>
        <v/>
      </c>
      <c r="H67" s="10">
        <f>ROUND($B$4*$B$11*$B$14*$B$17*$B$18*$B$22*$B$24,0)</f>
        <v/>
      </c>
      <c r="I67" s="10">
        <f>ROUND($B$4*$B$11*$B$14*$B$17*$B$18*$B$22*$B$25,0)</f>
        <v/>
      </c>
      <c r="J67" s="10">
        <f>ROUND($B$4*$B$11*$B$14*$B$17*$B$19*$B$21*$B$23,0)</f>
        <v/>
      </c>
      <c r="K67" s="10">
        <f>ROUND($B$4*$B$11*$B$14*$B$17*$B$19*$B$21*$B$24,0)</f>
        <v/>
      </c>
      <c r="L67" s="10">
        <f>ROUND($B$4*$B$11*$B$14*$B$17*$B$19*$B$21*$B$25,0)</f>
        <v/>
      </c>
      <c r="M67" s="10">
        <f>ROUND($B$4*$B$11*$B$14*$B$17*$B$19*$B$22*$B$23,0)</f>
        <v/>
      </c>
      <c r="N67" s="10">
        <f>ROUND($B$4*$B$11*$B$14*$B$17*$B$19*$B$22*$B$24,0)</f>
        <v/>
      </c>
      <c r="O67" s="10">
        <f>ROUND($B$4*$B$11*$B$14*$B$17*$B$19*$B$22*$B$25,0)</f>
        <v/>
      </c>
      <c r="P67" s="10">
        <f>ROUND($B$4*$B$11*$B$14*$B$17*$B$20*$B$21*$B$23,0)</f>
        <v/>
      </c>
      <c r="Q67" s="10">
        <f>ROUND($B$4*$B$11*$B$14*$B$17*$B$20*$B$21*$B$24,0)</f>
        <v/>
      </c>
      <c r="R67" s="10">
        <f>ROUND($B$4*$B$11*$B$14*$B$17*$B$20*$B$21*$B$25,0)</f>
        <v/>
      </c>
      <c r="S67" s="10">
        <f>ROUND($B$4*$B$11*$B$14*$B$17*$B$20*$B$22*$B$23,0)</f>
        <v/>
      </c>
      <c r="T67" s="10">
        <f>ROUND($B$4*$B$11*$B$14*$B$17*$B$20*$B$22*$B$24,0)</f>
        <v/>
      </c>
      <c r="U67" s="10">
        <f>ROUND($B$4*$B$11*$B$14*$B$17*$B$20*$B$22*$B$25,0)</f>
        <v/>
      </c>
      <c r="V67" s="10">
        <f>ROUND($B$5*$B$11*$B$14*$B$17*$B$18*$B$21*$B$23,0)</f>
        <v/>
      </c>
      <c r="W67" s="10">
        <f>ROUND($B$5*$B$11*$B$14*$B$17*$B$18*$B$21*$B$24,0)</f>
        <v/>
      </c>
      <c r="X67" s="10">
        <f>ROUND($B$5*$B$11*$B$14*$B$17*$B$18*$B$21*$B$25,0)</f>
        <v/>
      </c>
      <c r="Y67" s="10">
        <f>ROUND($B$5*$B$11*$B$14*$B$17*$B$18*$B$22*$B$23,0)</f>
        <v/>
      </c>
      <c r="Z67" s="10">
        <f>ROUND($B$5*$B$11*$B$14*$B$17*$B$18*$B$22*$B$24,0)</f>
        <v/>
      </c>
      <c r="AA67" s="10">
        <f>ROUND($B$5*$B$11*$B$14*$B$17*$B$18*$B$22*$B$25,0)</f>
        <v/>
      </c>
      <c r="AB67" s="10">
        <f>ROUND($B$5*$B$11*$B$14*$B$17*$B$19*$B$21*$B$23,0)</f>
        <v/>
      </c>
      <c r="AC67" s="10">
        <f>ROUND($B$5*$B$11*$B$14*$B$17*$B$19*$B$21*$B$24,0)</f>
        <v/>
      </c>
      <c r="AD67" s="10">
        <f>ROUND($B$5*$B$11*$B$14*$B$17*$B$19*$B$21*$B$25,0)</f>
        <v/>
      </c>
      <c r="AE67" s="10">
        <f>ROUND($B$5*$B$11*$B$14*$B$17*$B$19*$B$22*$B$23,0)</f>
        <v/>
      </c>
      <c r="AF67" s="10">
        <f>ROUND($B$5*$B$11*$B$14*$B$17*$B$19*$B$22*$B$24,0)</f>
        <v/>
      </c>
      <c r="AG67" s="10">
        <f>ROUND($B$5*$B$11*$B$14*$B$17*$B$19*$B$22*$B$25,0)</f>
        <v/>
      </c>
      <c r="AH67" s="10">
        <f>ROUND($B$5*$B$11*$B$14*$B$17*$B$20*$B$21*$B$23,0)</f>
        <v/>
      </c>
      <c r="AI67" s="10">
        <f>ROUND($B$5*$B$11*$B$14*$B$17*$B$20*$B$21*$B$24,0)</f>
        <v/>
      </c>
      <c r="AJ67" s="10">
        <f>ROUND($B$5*$B$11*$B$14*$B$17*$B$20*$B$21*$B$25,0)</f>
        <v/>
      </c>
      <c r="AK67" s="10">
        <f>ROUND($B$5*$B$11*$B$14*$B$17*$B$20*$B$22*$B$23,0)</f>
        <v/>
      </c>
      <c r="AL67" s="10">
        <f>ROUND($B$5*$B$11*$B$14*$B$17*$B$20*$B$22*$B$24,0)</f>
        <v/>
      </c>
      <c r="AM67" s="10">
        <f>ROUND($B$5*$B$11*$B$14*$B$17*$B$20*$B$22*$B$25,0)</f>
        <v/>
      </c>
      <c r="AN67" s="10">
        <f>ROUND($B$6*$B$11*$B$14*$B$17*$B$18*$B$21*$B$23,0)</f>
        <v/>
      </c>
      <c r="AO67" s="10">
        <f>ROUND($B$6*$B$11*$B$14*$B$17*$B$18*$B$21*$B$24,0)</f>
        <v/>
      </c>
      <c r="AP67" s="10">
        <f>ROUND($B$6*$B$11*$B$14*$B$17*$B$18*$B$21*$B$25,0)</f>
        <v/>
      </c>
      <c r="AQ67" s="10">
        <f>ROUND($B$6*$B$11*$B$14*$B$17*$B$18*$B$22*$B$23,0)</f>
        <v/>
      </c>
      <c r="AR67" s="10">
        <f>ROUND($B$6*$B$11*$B$14*$B$17*$B$18*$B$22*$B$24,0)</f>
        <v/>
      </c>
      <c r="AS67" s="10">
        <f>ROUND($B$6*$B$11*$B$14*$B$17*$B$18*$B$22*$B$25,0)</f>
        <v/>
      </c>
      <c r="AT67" s="10">
        <f>ROUND($B$6*$B$11*$B$14*$B$17*$B$19*$B$21*$B$23,0)</f>
        <v/>
      </c>
      <c r="AU67" s="10">
        <f>ROUND($B$6*$B$11*$B$14*$B$17*$B$19*$B$21*$B$24,0)</f>
        <v/>
      </c>
      <c r="AV67" s="10">
        <f>ROUND($B$6*$B$11*$B$14*$B$17*$B$19*$B$21*$B$25,0)</f>
        <v/>
      </c>
      <c r="AW67" s="10">
        <f>ROUND($B$6*$B$11*$B$14*$B$17*$B$19*$B$22*$B$23,0)</f>
        <v/>
      </c>
      <c r="AX67" s="10">
        <f>ROUND($B$6*$B$11*$B$14*$B$17*$B$19*$B$22*$B$24,0)</f>
        <v/>
      </c>
      <c r="AY67" s="10">
        <f>ROUND($B$6*$B$11*$B$14*$B$17*$B$19*$B$22*$B$25,0)</f>
        <v/>
      </c>
      <c r="AZ67" s="10">
        <f>ROUND($B$6*$B$11*$B$14*$B$17*$B$20*$B$21*$B$23,0)</f>
        <v/>
      </c>
      <c r="BA67" s="10">
        <f>ROUND($B$6*$B$11*$B$14*$B$17*$B$20*$B$21*$B$24,0)</f>
        <v/>
      </c>
      <c r="BB67" s="10">
        <f>ROUND($B$6*$B$11*$B$14*$B$17*$B$20*$B$21*$B$25,0)</f>
        <v/>
      </c>
      <c r="BC67" s="10">
        <f>ROUND($B$6*$B$11*$B$14*$B$17*$B$20*$B$22*$B$23,0)</f>
        <v/>
      </c>
      <c r="BD67" s="10">
        <f>ROUND($B$6*$B$11*$B$14*$B$17*$B$20*$B$22*$B$24,0)</f>
        <v/>
      </c>
      <c r="BE67" s="10">
        <f>ROUND($B$6*$B$11*$B$14*$B$17*$B$20*$B$22*$B$25,0)</f>
        <v/>
      </c>
    </row>
  </sheetData>
  <mergeCells count="54">
    <mergeCell ref="AH29:AM29"/>
    <mergeCell ref="AN29:AS29"/>
    <mergeCell ref="B53:B55"/>
    <mergeCell ref="AK30:AM30"/>
    <mergeCell ref="B65:B67"/>
    <mergeCell ref="AT29:AY29"/>
    <mergeCell ref="A1:BE1"/>
    <mergeCell ref="A50:A58"/>
    <mergeCell ref="V28:AM28"/>
    <mergeCell ref="A41:A49"/>
    <mergeCell ref="V30:X30"/>
    <mergeCell ref="G30:I30"/>
    <mergeCell ref="M30:O30"/>
    <mergeCell ref="AW30:AY30"/>
    <mergeCell ref="A32:A40"/>
    <mergeCell ref="A7:BE7"/>
    <mergeCell ref="B35:B37"/>
    <mergeCell ref="D28:U28"/>
    <mergeCell ref="AH30:AJ30"/>
    <mergeCell ref="B56:B58"/>
    <mergeCell ref="S30:U30"/>
    <mergeCell ref="B41:B43"/>
    <mergeCell ref="B47:B49"/>
    <mergeCell ref="D30:F30"/>
    <mergeCell ref="A3:BE3"/>
    <mergeCell ref="B50:B52"/>
    <mergeCell ref="B32:B34"/>
    <mergeCell ref="B59:B61"/>
    <mergeCell ref="B28:B31"/>
    <mergeCell ref="AE30:AG30"/>
    <mergeCell ref="A26:BE26"/>
    <mergeCell ref="A2:BE2"/>
    <mergeCell ref="B62:B64"/>
    <mergeCell ref="P30:R30"/>
    <mergeCell ref="D29:I29"/>
    <mergeCell ref="AT30:AV30"/>
    <mergeCell ref="AZ29:BE29"/>
    <mergeCell ref="A59:A67"/>
    <mergeCell ref="AN28:BE28"/>
    <mergeCell ref="AQ30:AS30"/>
    <mergeCell ref="AB30:AD30"/>
    <mergeCell ref="C28:C31"/>
    <mergeCell ref="J29:O29"/>
    <mergeCell ref="P29:U29"/>
    <mergeCell ref="AN30:AP30"/>
    <mergeCell ref="AB29:AG29"/>
    <mergeCell ref="A28:A31"/>
    <mergeCell ref="B44:B46"/>
    <mergeCell ref="BC30:BE30"/>
    <mergeCell ref="B38:B40"/>
    <mergeCell ref="AZ30:BB30"/>
    <mergeCell ref="Y30:AA30"/>
    <mergeCell ref="J30:L30"/>
    <mergeCell ref="V29:A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1F3864"/>
    <outlinePr summaryBelow="1" summaryRight="1"/>
    <pageSetUpPr/>
  </sheetPr>
  <dimension ref="A1:AM79"/>
  <sheetViews>
    <sheetView topLeftCell="A6" workbookViewId="0">
      <pane xSplit="3" topLeftCell="D1" activePane="topRight" state="frozen"/>
      <selection pane="topRight" activeCell="B24" sqref="B24"/>
    </sheetView>
  </sheetViews>
  <sheetFormatPr baseColWidth="10" defaultColWidth="9.140625" defaultRowHeight="15"/>
  <cols>
    <col width="24" customWidth="1" style="62" min="1" max="1"/>
    <col width="22" customWidth="1" style="62" min="2" max="2"/>
    <col width="24" customWidth="1" style="62" min="3" max="3"/>
    <col width="14" customWidth="1" style="62" min="4" max="39"/>
  </cols>
  <sheetData>
    <row r="1" ht="33.95" customHeight="1" s="62">
      <c r="A1" s="72" t="inlineStr">
        <is>
          <t>GRILLE TARIFAIRE — Structuration organisationnelle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Forfait par niveau de structuration</t>
        </is>
      </c>
    </row>
    <row r="4" ht="21.95" customHeight="1" s="62">
      <c r="A4" s="1" t="inlineStr">
        <is>
          <t>Tarif de base — Structuration simple</t>
        </is>
      </c>
      <c r="B4" s="2" t="n">
        <v>8500</v>
      </c>
      <c r="C4" s="3" t="inlineStr">
        <is>
          <t>Fourchette indicative : 5 000 – 12 000 €</t>
        </is>
      </c>
    </row>
    <row r="5" ht="21.95" customHeight="1" s="62">
      <c r="A5" s="1" t="inlineStr">
        <is>
          <t>Tarif de base — Structuration complète</t>
        </is>
      </c>
      <c r="B5" s="2" t="n">
        <v>21000</v>
      </c>
      <c r="C5" s="3" t="inlineStr">
        <is>
          <t>Fourchette indicative : 12 000 – 30 000 €</t>
        </is>
      </c>
    </row>
    <row r="6" ht="21.95" customHeight="1" s="62">
      <c r="A6" s="1" t="inlineStr">
        <is>
          <t>Tarif de base — Transformation globale</t>
        </is>
      </c>
      <c r="B6" s="2" t="n">
        <v>38000</v>
      </c>
      <c r="C6" s="3" t="inlineStr">
        <is>
          <t>Fourchette indicative : 30 000 € +</t>
        </is>
      </c>
    </row>
    <row r="7" ht="21.95" customHeight="1" s="62">
      <c r="A7" s="61" t="inlineStr">
        <is>
          <t>COEFFICIENTS MULTIPLICATEURS  —  1,00 = neutre. Ex : 1,20 = +20 %</t>
        </is>
      </c>
    </row>
    <row r="8" ht="20.1" customHeight="1" s="62">
      <c r="A8" s="13" t="inlineStr">
        <is>
          <t>Coeff. taille — Micro (1-5 sal.)</t>
        </is>
      </c>
      <c r="B8" s="5" t="n">
        <v>0.7</v>
      </c>
      <c r="C8" s="6" t="inlineStr">
        <is>
          <t>Petite structure</t>
        </is>
      </c>
    </row>
    <row r="9" ht="20.1" customHeight="1" s="62">
      <c r="A9" s="13" t="inlineStr">
        <is>
          <t>Coeff. taille — TPE (6-19 sal.)</t>
        </is>
      </c>
      <c r="B9" s="5" t="n">
        <v>1</v>
      </c>
      <c r="C9" s="6" t="inlineStr">
        <is>
          <t>Référence</t>
        </is>
      </c>
    </row>
    <row r="10" ht="20.1" customHeight="1" s="62">
      <c r="A10" s="13" t="inlineStr">
        <is>
          <t>Coeff. taille — PME (20-99 sal.)</t>
        </is>
      </c>
      <c r="B10" s="5" t="n">
        <v>1.4</v>
      </c>
      <c r="C10" s="6" t="inlineStr">
        <is>
          <t>Complexité accrue</t>
        </is>
      </c>
    </row>
    <row r="11" ht="20.1" customHeight="1" s="62">
      <c r="A11" s="13" t="inlineStr">
        <is>
          <t>Coeff. taille — ETI / Grand compte (100+)</t>
        </is>
      </c>
      <c r="B11" s="5" t="n">
        <v>1.8</v>
      </c>
      <c r="C11" s="6" t="inlineStr">
        <is>
          <t>Structure complexe</t>
        </is>
      </c>
    </row>
    <row r="12" ht="20.1" customHeight="1" s="62">
      <c r="A12" s="13" t="inlineStr">
        <is>
          <t>Coeff. équipes — 1-2 équipes</t>
        </is>
      </c>
      <c r="B12" s="5" t="n">
        <v>0.8</v>
      </c>
      <c r="C12" s="6" t="inlineStr">
        <is>
          <t>Périmètre réduit</t>
        </is>
      </c>
    </row>
    <row r="13" ht="20.1" customHeight="1" s="62">
      <c r="A13" s="13" t="inlineStr">
        <is>
          <t>Coeff. équipes — 3-5 équipes</t>
        </is>
      </c>
      <c r="B13" s="5" t="n">
        <v>1</v>
      </c>
      <c r="C13" s="6" t="inlineStr">
        <is>
          <t>Référence</t>
        </is>
      </c>
    </row>
    <row r="14" ht="20.1" customHeight="1" s="62">
      <c r="A14" s="13" t="inlineStr">
        <is>
          <t>Coeff. équipes — 6-10 équipes</t>
        </is>
      </c>
      <c r="B14" s="5" t="n">
        <v>1.3</v>
      </c>
      <c r="C14" s="6" t="inlineStr">
        <is>
          <t>Coordination importante</t>
        </is>
      </c>
    </row>
    <row r="15" ht="20.1" customHeight="1" s="62">
      <c r="A15" s="13" t="inlineStr">
        <is>
          <t>Coeff. équipes — 10+ équipes</t>
        </is>
      </c>
      <c r="B15" s="5" t="n">
        <v>1.8</v>
      </c>
      <c r="C15" s="6" t="inlineStr">
        <is>
          <t>Organisation complexe</t>
        </is>
      </c>
    </row>
    <row r="16" ht="20.1" customHeight="1" s="62">
      <c r="A16" s="13" t="inlineStr">
        <is>
          <t>Coeff. désorganisation — Faible</t>
        </is>
      </c>
      <c r="B16" s="5" t="n">
        <v>0.85</v>
      </c>
      <c r="C16" s="6" t="inlineStr">
        <is>
          <t>Base existante</t>
        </is>
      </c>
    </row>
    <row r="17" ht="20.1" customHeight="1" s="62">
      <c r="A17" s="13" t="inlineStr">
        <is>
          <t>Coeff. désorganisation — Modérée</t>
        </is>
      </c>
      <c r="B17" s="5" t="n">
        <v>1</v>
      </c>
      <c r="C17" s="6" t="inlineStr">
        <is>
          <t>Référence</t>
        </is>
      </c>
    </row>
    <row r="18" ht="20.1" customHeight="1" s="62">
      <c r="A18" s="13" t="inlineStr">
        <is>
          <t>Coeff. désorganisation — Élevée</t>
        </is>
      </c>
      <c r="B18" s="5" t="n">
        <v>1.5</v>
      </c>
      <c r="C18" s="6" t="inlineStr">
        <is>
          <t>Travail de fond important</t>
        </is>
      </c>
    </row>
    <row r="19" ht="20.1" customHeight="1" s="62">
      <c r="A19" s="13" t="inlineStr">
        <is>
          <t>Coeff. objectif — Structuration interne</t>
        </is>
      </c>
      <c r="B19" s="5" t="n">
        <v>1</v>
      </c>
      <c r="C19" s="6" t="inlineStr">
        <is>
          <t>Référence</t>
        </is>
      </c>
    </row>
    <row r="20" ht="20.1" customHeight="1" s="62">
      <c r="A20" s="13" t="inlineStr">
        <is>
          <t>Coeff. objectif — Croissance</t>
        </is>
      </c>
      <c r="B20" s="5" t="n">
        <v>1.15</v>
      </c>
      <c r="C20" s="6" t="inlineStr">
        <is>
          <t>Anticipation et scalabilité</t>
        </is>
      </c>
    </row>
    <row r="21" ht="20.1" customHeight="1" s="62">
      <c r="A21" s="13" t="inlineStr">
        <is>
          <t>Coeff. objectif — Gestion de crise</t>
        </is>
      </c>
      <c r="B21" s="5" t="n">
        <v>1.4</v>
      </c>
      <c r="C21" s="6" t="inlineStr">
        <is>
          <t>Urgence et complexité</t>
        </is>
      </c>
    </row>
    <row r="22" ht="20.1" customHeight="1" s="62">
      <c r="A22" s="13" t="inlineStr">
        <is>
          <t>Coeff. implication — Forte</t>
        </is>
      </c>
      <c r="B22" s="5" t="n">
        <v>1</v>
      </c>
      <c r="C22" s="6" t="inlineStr">
        <is>
          <t>Référence</t>
        </is>
      </c>
    </row>
    <row r="23" ht="20.1" customHeight="1" s="62">
      <c r="A23" s="13" t="inlineStr">
        <is>
          <t>Coeff. implication — Partielle</t>
        </is>
      </c>
      <c r="B23" s="5" t="n">
        <v>1.3</v>
      </c>
      <c r="C23" s="6" t="inlineStr">
        <is>
          <t>Travail supplémentaire de cadrage</t>
        </is>
      </c>
    </row>
    <row r="24" ht="20.1" customHeight="1" s="62">
      <c r="A24" s="13" t="inlineStr">
        <is>
          <t>Coeff. mode — Distanciel</t>
        </is>
      </c>
      <c r="B24" s="5" t="n">
        <v>1</v>
      </c>
      <c r="C24" s="6" t="inlineStr">
        <is>
          <t>Référence</t>
        </is>
      </c>
    </row>
    <row r="25" ht="20.1" customHeight="1" s="62">
      <c r="A25" s="13" t="inlineStr">
        <is>
          <t>Coeff. mode — Présentiel</t>
        </is>
      </c>
      <c r="B25" s="5" t="n">
        <v>1.2</v>
      </c>
      <c r="C25" s="6" t="inlineStr">
        <is>
          <t>Déplacements + ateliers sur site</t>
        </is>
      </c>
    </row>
    <row r="26" ht="24" customHeight="1" s="62">
      <c r="A26" s="71" t="inlineStr">
        <is>
          <t>▼  GRILLE TARIFAIRE CALCULÉE AUTOMATIQUEMENT  — Les cellules bleues sont en lecture seule (formules).</t>
        </is>
      </c>
    </row>
    <row r="27" ht="6" customHeight="1" s="62"/>
    <row r="28" ht="38.1" customHeight="1" s="62">
      <c r="A28" s="54" t="inlineStr">
        <is>
          <t>Taille de l'entreprise</t>
        </is>
      </c>
      <c r="B28" s="60" t="inlineStr">
        <is>
          <t>Nb d'équipes</t>
        </is>
      </c>
      <c r="C28" s="63" t="inlineStr">
        <is>
          <t>Désorganisation initiale</t>
        </is>
      </c>
      <c r="D28" s="54" t="inlineStr">
        <is>
          <t>Activité simple</t>
        </is>
      </c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6" t="n"/>
      <c r="P28" s="54" t="inlineStr">
        <is>
          <t>Activité modérée</t>
        </is>
      </c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6" t="n"/>
      <c r="AB28" s="54" t="inlineStr">
        <is>
          <t>Complexe multi-activités</t>
        </is>
      </c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6" t="n"/>
    </row>
    <row r="29" ht="38.1" customHeight="1" s="62">
      <c r="A29" s="64" t="n"/>
      <c r="B29" s="64" t="n"/>
      <c r="C29" s="64" t="n"/>
      <c r="D29" s="60" t="inlineStr">
        <is>
          <t>Structuration interne</t>
        </is>
      </c>
      <c r="E29" s="55" t="n"/>
      <c r="F29" s="55" t="n"/>
      <c r="G29" s="56" t="n"/>
      <c r="H29" s="60" t="inlineStr">
        <is>
          <t>Croissance</t>
        </is>
      </c>
      <c r="I29" s="55" t="n"/>
      <c r="J29" s="55" t="n"/>
      <c r="K29" s="56" t="n"/>
      <c r="L29" s="60" t="inlineStr">
        <is>
          <t>Gestion de crise</t>
        </is>
      </c>
      <c r="M29" s="55" t="n"/>
      <c r="N29" s="55" t="n"/>
      <c r="O29" s="56" t="n"/>
      <c r="P29" s="60" t="inlineStr">
        <is>
          <t>Structuration interne</t>
        </is>
      </c>
      <c r="Q29" s="55" t="n"/>
      <c r="R29" s="55" t="n"/>
      <c r="S29" s="56" t="n"/>
      <c r="T29" s="60" t="inlineStr">
        <is>
          <t>Croissance</t>
        </is>
      </c>
      <c r="U29" s="55" t="n"/>
      <c r="V29" s="55" t="n"/>
      <c r="W29" s="56" t="n"/>
      <c r="X29" s="60" t="inlineStr">
        <is>
          <t>Gestion de crise</t>
        </is>
      </c>
      <c r="Y29" s="55" t="n"/>
      <c r="Z29" s="55" t="n"/>
      <c r="AA29" s="56" t="n"/>
      <c r="AB29" s="60" t="inlineStr">
        <is>
          <t>Structuration interne</t>
        </is>
      </c>
      <c r="AC29" s="55" t="n"/>
      <c r="AD29" s="55" t="n"/>
      <c r="AE29" s="56" t="n"/>
      <c r="AF29" s="60" t="inlineStr">
        <is>
          <t>Croissance</t>
        </is>
      </c>
      <c r="AG29" s="55" t="n"/>
      <c r="AH29" s="55" t="n"/>
      <c r="AI29" s="56" t="n"/>
      <c r="AJ29" s="60" t="inlineStr">
        <is>
          <t>Gestion de crise</t>
        </is>
      </c>
      <c r="AK29" s="55" t="n"/>
      <c r="AL29" s="55" t="n"/>
      <c r="AM29" s="56" t="n"/>
    </row>
    <row r="30" ht="38.1" customHeight="1" s="62">
      <c r="A30" s="64" t="n"/>
      <c r="B30" s="64" t="n"/>
      <c r="C30" s="64" t="n"/>
      <c r="D30" s="63" t="inlineStr">
        <is>
          <t>Implication forte du dirigeant</t>
        </is>
      </c>
      <c r="E30" s="56" t="n"/>
      <c r="F30" s="63" t="inlineStr">
        <is>
          <t>Implication partielle</t>
        </is>
      </c>
      <c r="G30" s="56" t="n"/>
      <c r="H30" s="63" t="inlineStr">
        <is>
          <t>Implication forte du dirigeant</t>
        </is>
      </c>
      <c r="I30" s="56" t="n"/>
      <c r="J30" s="63" t="inlineStr">
        <is>
          <t>Implication partielle</t>
        </is>
      </c>
      <c r="K30" s="56" t="n"/>
      <c r="L30" s="63" t="inlineStr">
        <is>
          <t>Implication forte du dirigeant</t>
        </is>
      </c>
      <c r="M30" s="56" t="n"/>
      <c r="N30" s="63" t="inlineStr">
        <is>
          <t>Implication partielle</t>
        </is>
      </c>
      <c r="O30" s="56" t="n"/>
      <c r="P30" s="63" t="inlineStr">
        <is>
          <t>Implication forte du dirigeant</t>
        </is>
      </c>
      <c r="Q30" s="56" t="n"/>
      <c r="R30" s="63" t="inlineStr">
        <is>
          <t>Implication partielle</t>
        </is>
      </c>
      <c r="S30" s="56" t="n"/>
      <c r="T30" s="63" t="inlineStr">
        <is>
          <t>Implication forte du dirigeant</t>
        </is>
      </c>
      <c r="U30" s="56" t="n"/>
      <c r="V30" s="63" t="inlineStr">
        <is>
          <t>Implication partielle</t>
        </is>
      </c>
      <c r="W30" s="56" t="n"/>
      <c r="X30" s="63" t="inlineStr">
        <is>
          <t>Implication forte du dirigeant</t>
        </is>
      </c>
      <c r="Y30" s="56" t="n"/>
      <c r="Z30" s="63" t="inlineStr">
        <is>
          <t>Implication partielle</t>
        </is>
      </c>
      <c r="AA30" s="56" t="n"/>
      <c r="AB30" s="63" t="inlineStr">
        <is>
          <t>Implication forte du dirigeant</t>
        </is>
      </c>
      <c r="AC30" s="56" t="n"/>
      <c r="AD30" s="63" t="inlineStr">
        <is>
          <t>Implication partielle</t>
        </is>
      </c>
      <c r="AE30" s="56" t="n"/>
      <c r="AF30" s="63" t="inlineStr">
        <is>
          <t>Implication forte du dirigeant</t>
        </is>
      </c>
      <c r="AG30" s="56" t="n"/>
      <c r="AH30" s="63" t="inlineStr">
        <is>
          <t>Implication partielle</t>
        </is>
      </c>
      <c r="AI30" s="56" t="n"/>
      <c r="AJ30" s="63" t="inlineStr">
        <is>
          <t>Implication forte du dirigeant</t>
        </is>
      </c>
      <c r="AK30" s="56" t="n"/>
      <c r="AL30" s="63" t="inlineStr">
        <is>
          <t>Implication partielle</t>
        </is>
      </c>
      <c r="AM30" s="56" t="n"/>
    </row>
    <row r="31" ht="38.1" customHeight="1" s="62">
      <c r="A31" s="65" t="n"/>
      <c r="B31" s="65" t="n"/>
      <c r="C31" s="65" t="n"/>
      <c r="D31" s="7" t="inlineStr">
        <is>
          <t>Distanciel</t>
        </is>
      </c>
      <c r="E31" s="7" t="inlineStr">
        <is>
          <t>Présentiel</t>
        </is>
      </c>
      <c r="F31" s="7" t="inlineStr">
        <is>
          <t>Distanciel</t>
        </is>
      </c>
      <c r="G31" s="7" t="inlineStr">
        <is>
          <t>Présentiel</t>
        </is>
      </c>
      <c r="H31" s="7" t="inlineStr">
        <is>
          <t>Distanciel</t>
        </is>
      </c>
      <c r="I31" s="7" t="inlineStr">
        <is>
          <t>Présentiel</t>
        </is>
      </c>
      <c r="J31" s="7" t="inlineStr">
        <is>
          <t>Distanciel</t>
        </is>
      </c>
      <c r="K31" s="7" t="inlineStr">
        <is>
          <t>Présentiel</t>
        </is>
      </c>
      <c r="L31" s="7" t="inlineStr">
        <is>
          <t>Distanciel</t>
        </is>
      </c>
      <c r="M31" s="7" t="inlineStr">
        <is>
          <t>Présentiel</t>
        </is>
      </c>
      <c r="N31" s="7" t="inlineStr">
        <is>
          <t>Distanciel</t>
        </is>
      </c>
      <c r="O31" s="7" t="inlineStr">
        <is>
          <t>Présentiel</t>
        </is>
      </c>
      <c r="P31" s="7" t="inlineStr">
        <is>
          <t>Distanciel</t>
        </is>
      </c>
      <c r="Q31" s="7" t="inlineStr">
        <is>
          <t>Présentiel</t>
        </is>
      </c>
      <c r="R31" s="7" t="inlineStr">
        <is>
          <t>Distanciel</t>
        </is>
      </c>
      <c r="S31" s="7" t="inlineStr">
        <is>
          <t>Présentiel</t>
        </is>
      </c>
      <c r="T31" s="7" t="inlineStr">
        <is>
          <t>Distanciel</t>
        </is>
      </c>
      <c r="U31" s="7" t="inlineStr">
        <is>
          <t>Présentiel</t>
        </is>
      </c>
      <c r="V31" s="7" t="inlineStr">
        <is>
          <t>Distanciel</t>
        </is>
      </c>
      <c r="W31" s="7" t="inlineStr">
        <is>
          <t>Présentiel</t>
        </is>
      </c>
      <c r="X31" s="7" t="inlineStr">
        <is>
          <t>Distanciel</t>
        </is>
      </c>
      <c r="Y31" s="7" t="inlineStr">
        <is>
          <t>Présentiel</t>
        </is>
      </c>
      <c r="Z31" s="7" t="inlineStr">
        <is>
          <t>Distanciel</t>
        </is>
      </c>
      <c r="AA31" s="7" t="inlineStr">
        <is>
          <t>Présentiel</t>
        </is>
      </c>
      <c r="AB31" s="7" t="inlineStr">
        <is>
          <t>Distanciel</t>
        </is>
      </c>
      <c r="AC31" s="7" t="inlineStr">
        <is>
          <t>Présentiel</t>
        </is>
      </c>
      <c r="AD31" s="7" t="inlineStr">
        <is>
          <t>Distanciel</t>
        </is>
      </c>
      <c r="AE31" s="7" t="inlineStr">
        <is>
          <t>Présentiel</t>
        </is>
      </c>
      <c r="AF31" s="7" t="inlineStr">
        <is>
          <t>Distanciel</t>
        </is>
      </c>
      <c r="AG31" s="7" t="inlineStr">
        <is>
          <t>Présentiel</t>
        </is>
      </c>
      <c r="AH31" s="7" t="inlineStr">
        <is>
          <t>Distanciel</t>
        </is>
      </c>
      <c r="AI31" s="7" t="inlineStr">
        <is>
          <t>Présentiel</t>
        </is>
      </c>
      <c r="AJ31" s="7" t="inlineStr">
        <is>
          <t>Distanciel</t>
        </is>
      </c>
      <c r="AK31" s="7" t="inlineStr">
        <is>
          <t>Présentiel</t>
        </is>
      </c>
      <c r="AL31" s="7" t="inlineStr">
        <is>
          <t>Distanciel</t>
        </is>
      </c>
      <c r="AM31" s="7" t="inlineStr">
        <is>
          <t>Présentiel</t>
        </is>
      </c>
    </row>
    <row r="32" ht="20.1" customHeight="1" s="62">
      <c r="A32" s="66" t="inlineStr">
        <is>
          <t>Micro (1-5 sal.)</t>
        </is>
      </c>
      <c r="B32" s="57" t="inlineStr">
        <is>
          <t>1-2 équipes</t>
        </is>
      </c>
      <c r="C32" s="14" t="inlineStr">
        <is>
          <t>Faible désorganisation</t>
        </is>
      </c>
      <c r="D32" s="10">
        <f>ROUND($B$4*$B$8*$B$12*$B$16*$B$19*$B$22*$B$24,0)</f>
        <v/>
      </c>
      <c r="E32" s="10">
        <f>ROUND($B$4*$B$8*$B$12*$B$16*$B$19*$B$22*$B$25,0)</f>
        <v/>
      </c>
      <c r="F32" s="10">
        <f>ROUND($B$4*$B$8*$B$12*$B$16*$B$19*$B$23*$B$24,0)</f>
        <v/>
      </c>
      <c r="G32" s="10">
        <f>ROUND($B$4*$B$8*$B$12*$B$16*$B$19*$B$23*$B$25,0)</f>
        <v/>
      </c>
      <c r="H32" s="10">
        <f>ROUND($B$4*$B$8*$B$12*$B$16*$B$20*$B$22*$B$24,0)</f>
        <v/>
      </c>
      <c r="I32" s="10">
        <f>ROUND($B$4*$B$8*$B$12*$B$16*$B$20*$B$22*$B$25,0)</f>
        <v/>
      </c>
      <c r="J32" s="10">
        <f>ROUND($B$4*$B$8*$B$12*$B$16*$B$20*$B$23*$B$24,0)</f>
        <v/>
      </c>
      <c r="K32" s="10">
        <f>ROUND($B$4*$B$8*$B$12*$B$16*$B$20*$B$23*$B$25,0)</f>
        <v/>
      </c>
      <c r="L32" s="10">
        <f>ROUND($B$4*$B$8*$B$12*$B$16*$B$21*$B$22*$B$24,0)</f>
        <v/>
      </c>
      <c r="M32" s="10">
        <f>ROUND($B$4*$B$8*$B$12*$B$16*$B$21*$B$22*$B$25,0)</f>
        <v/>
      </c>
      <c r="N32" s="10">
        <f>ROUND($B$4*$B$8*$B$12*$B$16*$B$21*$B$23*$B$24,0)</f>
        <v/>
      </c>
      <c r="O32" s="10">
        <f>ROUND($B$4*$B$8*$B$12*$B$16*$B$21*$B$23*$B$25,0)</f>
        <v/>
      </c>
      <c r="P32" s="10">
        <f>ROUND($B$5*$B$8*$B$12*$B$16*$B$19*$B$22*$B$24,0)</f>
        <v/>
      </c>
      <c r="Q32" s="10">
        <f>ROUND($B$5*$B$8*$B$12*$B$16*$B$19*$B$22*$B$25,0)</f>
        <v/>
      </c>
      <c r="R32" s="10">
        <f>ROUND($B$5*$B$8*$B$12*$B$16*$B$19*$B$23*$B$24,0)</f>
        <v/>
      </c>
      <c r="S32" s="10">
        <f>ROUND($B$5*$B$8*$B$12*$B$16*$B$19*$B$23*$B$25,0)</f>
        <v/>
      </c>
      <c r="T32" s="10">
        <f>ROUND($B$5*$B$8*$B$12*$B$16*$B$20*$B$22*$B$24,0)</f>
        <v/>
      </c>
      <c r="U32" s="10">
        <f>ROUND($B$5*$B$8*$B$12*$B$16*$B$20*$B$22*$B$25,0)</f>
        <v/>
      </c>
      <c r="V32" s="10">
        <f>ROUND($B$5*$B$8*$B$12*$B$16*$B$20*$B$23*$B$24,0)</f>
        <v/>
      </c>
      <c r="W32" s="10">
        <f>ROUND($B$5*$B$8*$B$12*$B$16*$B$20*$B$23*$B$25,0)</f>
        <v/>
      </c>
      <c r="X32" s="10">
        <f>ROUND($B$5*$B$8*$B$12*$B$16*$B$21*$B$22*$B$24,0)</f>
        <v/>
      </c>
      <c r="Y32" s="10">
        <f>ROUND($B$5*$B$8*$B$12*$B$16*$B$21*$B$22*$B$25,0)</f>
        <v/>
      </c>
      <c r="Z32" s="10">
        <f>ROUND($B$5*$B$8*$B$12*$B$16*$B$21*$B$23*$B$24,0)</f>
        <v/>
      </c>
      <c r="AA32" s="10">
        <f>ROUND($B$5*$B$8*$B$12*$B$16*$B$21*$B$23*$B$25,0)</f>
        <v/>
      </c>
      <c r="AB32" s="10">
        <f>ROUND($B$6*$B$8*$B$12*$B$16*$B$19*$B$22*$B$24,0)</f>
        <v/>
      </c>
      <c r="AC32" s="10">
        <f>ROUND($B$6*$B$8*$B$12*$B$16*$B$19*$B$22*$B$25,0)</f>
        <v/>
      </c>
      <c r="AD32" s="10">
        <f>ROUND($B$6*$B$8*$B$12*$B$16*$B$19*$B$23*$B$24,0)</f>
        <v/>
      </c>
      <c r="AE32" s="10">
        <f>ROUND($B$6*$B$8*$B$12*$B$16*$B$19*$B$23*$B$25,0)</f>
        <v/>
      </c>
      <c r="AF32" s="10">
        <f>ROUND($B$6*$B$8*$B$12*$B$16*$B$20*$B$22*$B$24,0)</f>
        <v/>
      </c>
      <c r="AG32" s="10">
        <f>ROUND($B$6*$B$8*$B$12*$B$16*$B$20*$B$22*$B$25,0)</f>
        <v/>
      </c>
      <c r="AH32" s="10">
        <f>ROUND($B$6*$B$8*$B$12*$B$16*$B$20*$B$23*$B$24,0)</f>
        <v/>
      </c>
      <c r="AI32" s="10">
        <f>ROUND($B$6*$B$8*$B$12*$B$16*$B$20*$B$23*$B$25,0)</f>
        <v/>
      </c>
      <c r="AJ32" s="10">
        <f>ROUND($B$6*$B$8*$B$12*$B$16*$B$21*$B$22*$B$24,0)</f>
        <v/>
      </c>
      <c r="AK32" s="10">
        <f>ROUND($B$6*$B$8*$B$12*$B$16*$B$21*$B$22*$B$25,0)</f>
        <v/>
      </c>
      <c r="AL32" s="10">
        <f>ROUND($B$6*$B$8*$B$12*$B$16*$B$21*$B$23*$B$24,0)</f>
        <v/>
      </c>
      <c r="AM32" s="10">
        <f>ROUND($B$6*$B$8*$B$12*$B$16*$B$21*$B$23*$B$25,0)</f>
        <v/>
      </c>
    </row>
    <row r="33" ht="20.1" customHeight="1" s="62">
      <c r="A33" s="67" t="n"/>
      <c r="B33" s="58" t="n"/>
      <c r="C33" s="57" t="inlineStr">
        <is>
          <t>Désorganisation modérée</t>
        </is>
      </c>
      <c r="D33" s="10">
        <f>ROUND($B$4*$B$8*$B$12*$B$17*$B$19*$B$22*$B$24,0)</f>
        <v/>
      </c>
      <c r="E33" s="10">
        <f>ROUND($B$4*$B$8*$B$12*$B$17*$B$19*$B$22*$B$25,0)</f>
        <v/>
      </c>
      <c r="F33" s="10">
        <f>ROUND($B$4*$B$8*$B$12*$B$17*$B$19*$B$23*$B$24,0)</f>
        <v/>
      </c>
      <c r="G33" s="10">
        <f>ROUND($B$4*$B$8*$B$12*$B$17*$B$19*$B$23*$B$25,0)</f>
        <v/>
      </c>
      <c r="H33" s="10">
        <f>ROUND($B$4*$B$8*$B$12*$B$17*$B$20*$B$22*$B$24,0)</f>
        <v/>
      </c>
      <c r="I33" s="10">
        <f>ROUND($B$4*$B$8*$B$12*$B$17*$B$20*$B$22*$B$25,0)</f>
        <v/>
      </c>
      <c r="J33" s="10">
        <f>ROUND($B$4*$B$8*$B$12*$B$17*$B$20*$B$23*$B$24,0)</f>
        <v/>
      </c>
      <c r="K33" s="10">
        <f>ROUND($B$4*$B$8*$B$12*$B$17*$B$20*$B$23*$B$25,0)</f>
        <v/>
      </c>
      <c r="L33" s="10">
        <f>ROUND($B$4*$B$8*$B$12*$B$17*$B$21*$B$22*$B$24,0)</f>
        <v/>
      </c>
      <c r="M33" s="10">
        <f>ROUND($B$4*$B$8*$B$12*$B$17*$B$21*$B$22*$B$25,0)</f>
        <v/>
      </c>
      <c r="N33" s="10">
        <f>ROUND($B$4*$B$8*$B$12*$B$17*$B$21*$B$23*$B$24,0)</f>
        <v/>
      </c>
      <c r="O33" s="10">
        <f>ROUND($B$4*$B$8*$B$12*$B$17*$B$21*$B$23*$B$25,0)</f>
        <v/>
      </c>
      <c r="P33" s="10">
        <f>ROUND($B$5*$B$8*$B$12*$B$17*$B$19*$B$22*$B$24,0)</f>
        <v/>
      </c>
      <c r="Q33" s="10">
        <f>ROUND($B$5*$B$8*$B$12*$B$17*$B$19*$B$22*$B$25,0)</f>
        <v/>
      </c>
      <c r="R33" s="10">
        <f>ROUND($B$5*$B$8*$B$12*$B$17*$B$19*$B$23*$B$24,0)</f>
        <v/>
      </c>
      <c r="S33" s="10">
        <f>ROUND($B$5*$B$8*$B$12*$B$17*$B$19*$B$23*$B$25,0)</f>
        <v/>
      </c>
      <c r="T33" s="10">
        <f>ROUND($B$5*$B$8*$B$12*$B$17*$B$20*$B$22*$B$24,0)</f>
        <v/>
      </c>
      <c r="U33" s="10">
        <f>ROUND($B$5*$B$8*$B$12*$B$17*$B$20*$B$22*$B$25,0)</f>
        <v/>
      </c>
      <c r="V33" s="10">
        <f>ROUND($B$5*$B$8*$B$12*$B$17*$B$20*$B$23*$B$24,0)</f>
        <v/>
      </c>
      <c r="W33" s="10">
        <f>ROUND($B$5*$B$8*$B$12*$B$17*$B$20*$B$23*$B$25,0)</f>
        <v/>
      </c>
      <c r="X33" s="10">
        <f>ROUND($B$5*$B$8*$B$12*$B$17*$B$21*$B$22*$B$24,0)</f>
        <v/>
      </c>
      <c r="Y33" s="10">
        <f>ROUND($B$5*$B$8*$B$12*$B$17*$B$21*$B$22*$B$25,0)</f>
        <v/>
      </c>
      <c r="Z33" s="10">
        <f>ROUND($B$5*$B$8*$B$12*$B$17*$B$21*$B$23*$B$24,0)</f>
        <v/>
      </c>
      <c r="AA33" s="10">
        <f>ROUND($B$5*$B$8*$B$12*$B$17*$B$21*$B$23*$B$25,0)</f>
        <v/>
      </c>
      <c r="AB33" s="10">
        <f>ROUND($B$6*$B$8*$B$12*$B$17*$B$19*$B$22*$B$24,0)</f>
        <v/>
      </c>
      <c r="AC33" s="10">
        <f>ROUND($B$6*$B$8*$B$12*$B$17*$B$19*$B$22*$B$25,0)</f>
        <v/>
      </c>
      <c r="AD33" s="10">
        <f>ROUND($B$6*$B$8*$B$12*$B$17*$B$19*$B$23*$B$24,0)</f>
        <v/>
      </c>
      <c r="AE33" s="10">
        <f>ROUND($B$6*$B$8*$B$12*$B$17*$B$19*$B$23*$B$25,0)</f>
        <v/>
      </c>
      <c r="AF33" s="10">
        <f>ROUND($B$6*$B$8*$B$12*$B$17*$B$20*$B$22*$B$24,0)</f>
        <v/>
      </c>
      <c r="AG33" s="10">
        <f>ROUND($B$6*$B$8*$B$12*$B$17*$B$20*$B$22*$B$25,0)</f>
        <v/>
      </c>
      <c r="AH33" s="10">
        <f>ROUND($B$6*$B$8*$B$12*$B$17*$B$20*$B$23*$B$24,0)</f>
        <v/>
      </c>
      <c r="AI33" s="10">
        <f>ROUND($B$6*$B$8*$B$12*$B$17*$B$20*$B$23*$B$25,0)</f>
        <v/>
      </c>
      <c r="AJ33" s="10">
        <f>ROUND($B$6*$B$8*$B$12*$B$17*$B$21*$B$22*$B$24,0)</f>
        <v/>
      </c>
      <c r="AK33" s="10">
        <f>ROUND($B$6*$B$8*$B$12*$B$17*$B$21*$B$22*$B$25,0)</f>
        <v/>
      </c>
      <c r="AL33" s="10">
        <f>ROUND($B$6*$B$8*$B$12*$B$17*$B$21*$B$23*$B$24,0)</f>
        <v/>
      </c>
      <c r="AM33" s="10">
        <f>ROUND($B$6*$B$8*$B$12*$B$17*$B$21*$B$23*$B$25,0)</f>
        <v/>
      </c>
    </row>
    <row r="34" ht="20.1" customHeight="1" s="62">
      <c r="A34" s="67" t="n"/>
      <c r="B34" s="59" t="n"/>
      <c r="C34" s="15" t="inlineStr">
        <is>
          <t>Désorganisation élevée</t>
        </is>
      </c>
      <c r="D34" s="10">
        <f>ROUND($B$4*$B$8*$B$12*$B$18*$B$19*$B$22*$B$24,0)</f>
        <v/>
      </c>
      <c r="E34" s="10">
        <f>ROUND($B$4*$B$8*$B$12*$B$18*$B$19*$B$22*$B$25,0)</f>
        <v/>
      </c>
      <c r="F34" s="10">
        <f>ROUND($B$4*$B$8*$B$12*$B$18*$B$19*$B$23*$B$24,0)</f>
        <v/>
      </c>
      <c r="G34" s="10">
        <f>ROUND($B$4*$B$8*$B$12*$B$18*$B$19*$B$23*$B$25,0)</f>
        <v/>
      </c>
      <c r="H34" s="10">
        <f>ROUND($B$4*$B$8*$B$12*$B$18*$B$20*$B$22*$B$24,0)</f>
        <v/>
      </c>
      <c r="I34" s="10">
        <f>ROUND($B$4*$B$8*$B$12*$B$18*$B$20*$B$22*$B$25,0)</f>
        <v/>
      </c>
      <c r="J34" s="10">
        <f>ROUND($B$4*$B$8*$B$12*$B$18*$B$20*$B$23*$B$24,0)</f>
        <v/>
      </c>
      <c r="K34" s="10">
        <f>ROUND($B$4*$B$8*$B$12*$B$18*$B$20*$B$23*$B$25,0)</f>
        <v/>
      </c>
      <c r="L34" s="10">
        <f>ROUND($B$4*$B$8*$B$12*$B$18*$B$21*$B$22*$B$24,0)</f>
        <v/>
      </c>
      <c r="M34" s="10">
        <f>ROUND($B$4*$B$8*$B$12*$B$18*$B$21*$B$22*$B$25,0)</f>
        <v/>
      </c>
      <c r="N34" s="10">
        <f>ROUND($B$4*$B$8*$B$12*$B$18*$B$21*$B$23*$B$24,0)</f>
        <v/>
      </c>
      <c r="O34" s="10">
        <f>ROUND($B$4*$B$8*$B$12*$B$18*$B$21*$B$23*$B$25,0)</f>
        <v/>
      </c>
      <c r="P34" s="10">
        <f>ROUND($B$5*$B$8*$B$12*$B$18*$B$19*$B$22*$B$24,0)</f>
        <v/>
      </c>
      <c r="Q34" s="10">
        <f>ROUND($B$5*$B$8*$B$12*$B$18*$B$19*$B$22*$B$25,0)</f>
        <v/>
      </c>
      <c r="R34" s="10">
        <f>ROUND($B$5*$B$8*$B$12*$B$18*$B$19*$B$23*$B$24,0)</f>
        <v/>
      </c>
      <c r="S34" s="10">
        <f>ROUND($B$5*$B$8*$B$12*$B$18*$B$19*$B$23*$B$25,0)</f>
        <v/>
      </c>
      <c r="T34" s="10">
        <f>ROUND($B$5*$B$8*$B$12*$B$18*$B$20*$B$22*$B$24,0)</f>
        <v/>
      </c>
      <c r="U34" s="10">
        <f>ROUND($B$5*$B$8*$B$12*$B$18*$B$20*$B$22*$B$25,0)</f>
        <v/>
      </c>
      <c r="V34" s="10">
        <f>ROUND($B$5*$B$8*$B$12*$B$18*$B$20*$B$23*$B$24,0)</f>
        <v/>
      </c>
      <c r="W34" s="10">
        <f>ROUND($B$5*$B$8*$B$12*$B$18*$B$20*$B$23*$B$25,0)</f>
        <v/>
      </c>
      <c r="X34" s="10">
        <f>ROUND($B$5*$B$8*$B$12*$B$18*$B$21*$B$22*$B$24,0)</f>
        <v/>
      </c>
      <c r="Y34" s="10">
        <f>ROUND($B$5*$B$8*$B$12*$B$18*$B$21*$B$22*$B$25,0)</f>
        <v/>
      </c>
      <c r="Z34" s="10">
        <f>ROUND($B$5*$B$8*$B$12*$B$18*$B$21*$B$23*$B$24,0)</f>
        <v/>
      </c>
      <c r="AA34" s="10">
        <f>ROUND($B$5*$B$8*$B$12*$B$18*$B$21*$B$23*$B$25,0)</f>
        <v/>
      </c>
      <c r="AB34" s="10">
        <f>ROUND($B$6*$B$8*$B$12*$B$18*$B$19*$B$22*$B$24,0)</f>
        <v/>
      </c>
      <c r="AC34" s="10">
        <f>ROUND($B$6*$B$8*$B$12*$B$18*$B$19*$B$22*$B$25,0)</f>
        <v/>
      </c>
      <c r="AD34" s="10">
        <f>ROUND($B$6*$B$8*$B$12*$B$18*$B$19*$B$23*$B$24,0)</f>
        <v/>
      </c>
      <c r="AE34" s="10">
        <f>ROUND($B$6*$B$8*$B$12*$B$18*$B$19*$B$23*$B$25,0)</f>
        <v/>
      </c>
      <c r="AF34" s="10">
        <f>ROUND($B$6*$B$8*$B$12*$B$18*$B$20*$B$22*$B$24,0)</f>
        <v/>
      </c>
      <c r="AG34" s="10">
        <f>ROUND($B$6*$B$8*$B$12*$B$18*$B$20*$B$22*$B$25,0)</f>
        <v/>
      </c>
      <c r="AH34" s="10">
        <f>ROUND($B$6*$B$8*$B$12*$B$18*$B$20*$B$23*$B$24,0)</f>
        <v/>
      </c>
      <c r="AI34" s="10">
        <f>ROUND($B$6*$B$8*$B$12*$B$18*$B$20*$B$23*$B$25,0)</f>
        <v/>
      </c>
      <c r="AJ34" s="10">
        <f>ROUND($B$6*$B$8*$B$12*$B$18*$B$21*$B$22*$B$24,0)</f>
        <v/>
      </c>
      <c r="AK34" s="10">
        <f>ROUND($B$6*$B$8*$B$12*$B$18*$B$21*$B$22*$B$25,0)</f>
        <v/>
      </c>
      <c r="AL34" s="10">
        <f>ROUND($B$6*$B$8*$B$12*$B$18*$B$21*$B$23*$B$24,0)</f>
        <v/>
      </c>
      <c r="AM34" s="10">
        <f>ROUND($B$6*$B$8*$B$12*$B$18*$B$21*$B$23*$B$25,0)</f>
        <v/>
      </c>
    </row>
    <row r="35" ht="20.1" customHeight="1" s="62">
      <c r="A35" s="67" t="n"/>
      <c r="B35" s="57" t="inlineStr">
        <is>
          <t>3-5 équipes</t>
        </is>
      </c>
      <c r="C35" s="14" t="inlineStr">
        <is>
          <t>Faible désorganisation</t>
        </is>
      </c>
      <c r="D35" s="10">
        <f>ROUND($B$4*$B$8*$B$13*$B$16*$B$19*$B$22*$B$24,0)</f>
        <v/>
      </c>
      <c r="E35" s="10">
        <f>ROUND($B$4*$B$8*$B$13*$B$16*$B$19*$B$22*$B$25,0)</f>
        <v/>
      </c>
      <c r="F35" s="10">
        <f>ROUND($B$4*$B$8*$B$13*$B$16*$B$19*$B$23*$B$24,0)</f>
        <v/>
      </c>
      <c r="G35" s="10">
        <f>ROUND($B$4*$B$8*$B$13*$B$16*$B$19*$B$23*$B$25,0)</f>
        <v/>
      </c>
      <c r="H35" s="10">
        <f>ROUND($B$4*$B$8*$B$13*$B$16*$B$20*$B$22*$B$24,0)</f>
        <v/>
      </c>
      <c r="I35" s="10">
        <f>ROUND($B$4*$B$8*$B$13*$B$16*$B$20*$B$22*$B$25,0)</f>
        <v/>
      </c>
      <c r="J35" s="10">
        <f>ROUND($B$4*$B$8*$B$13*$B$16*$B$20*$B$23*$B$24,0)</f>
        <v/>
      </c>
      <c r="K35" s="10">
        <f>ROUND($B$4*$B$8*$B$13*$B$16*$B$20*$B$23*$B$25,0)</f>
        <v/>
      </c>
      <c r="L35" s="10">
        <f>ROUND($B$4*$B$8*$B$13*$B$16*$B$21*$B$22*$B$24,0)</f>
        <v/>
      </c>
      <c r="M35" s="10">
        <f>ROUND($B$4*$B$8*$B$13*$B$16*$B$21*$B$22*$B$25,0)</f>
        <v/>
      </c>
      <c r="N35" s="10">
        <f>ROUND($B$4*$B$8*$B$13*$B$16*$B$21*$B$23*$B$24,0)</f>
        <v/>
      </c>
      <c r="O35" s="10">
        <f>ROUND($B$4*$B$8*$B$13*$B$16*$B$21*$B$23*$B$25,0)</f>
        <v/>
      </c>
      <c r="P35" s="10">
        <f>ROUND($B$5*$B$8*$B$13*$B$16*$B$19*$B$22*$B$24,0)</f>
        <v/>
      </c>
      <c r="Q35" s="10">
        <f>ROUND($B$5*$B$8*$B$13*$B$16*$B$19*$B$22*$B$25,0)</f>
        <v/>
      </c>
      <c r="R35" s="10">
        <f>ROUND($B$5*$B$8*$B$13*$B$16*$B$19*$B$23*$B$24,0)</f>
        <v/>
      </c>
      <c r="S35" s="10">
        <f>ROUND($B$5*$B$8*$B$13*$B$16*$B$19*$B$23*$B$25,0)</f>
        <v/>
      </c>
      <c r="T35" s="10">
        <f>ROUND($B$5*$B$8*$B$13*$B$16*$B$20*$B$22*$B$24,0)</f>
        <v/>
      </c>
      <c r="U35" s="10">
        <f>ROUND($B$5*$B$8*$B$13*$B$16*$B$20*$B$22*$B$25,0)</f>
        <v/>
      </c>
      <c r="V35" s="10">
        <f>ROUND($B$5*$B$8*$B$13*$B$16*$B$20*$B$23*$B$24,0)</f>
        <v/>
      </c>
      <c r="W35" s="10">
        <f>ROUND($B$5*$B$8*$B$13*$B$16*$B$20*$B$23*$B$25,0)</f>
        <v/>
      </c>
      <c r="X35" s="10">
        <f>ROUND($B$5*$B$8*$B$13*$B$16*$B$21*$B$22*$B$24,0)</f>
        <v/>
      </c>
      <c r="Y35" s="10">
        <f>ROUND($B$5*$B$8*$B$13*$B$16*$B$21*$B$22*$B$25,0)</f>
        <v/>
      </c>
      <c r="Z35" s="10">
        <f>ROUND($B$5*$B$8*$B$13*$B$16*$B$21*$B$23*$B$24,0)</f>
        <v/>
      </c>
      <c r="AA35" s="10">
        <f>ROUND($B$5*$B$8*$B$13*$B$16*$B$21*$B$23*$B$25,0)</f>
        <v/>
      </c>
      <c r="AB35" s="10">
        <f>ROUND($B$6*$B$8*$B$13*$B$16*$B$19*$B$22*$B$24,0)</f>
        <v/>
      </c>
      <c r="AC35" s="10">
        <f>ROUND($B$6*$B$8*$B$13*$B$16*$B$19*$B$22*$B$25,0)</f>
        <v/>
      </c>
      <c r="AD35" s="10">
        <f>ROUND($B$6*$B$8*$B$13*$B$16*$B$19*$B$23*$B$24,0)</f>
        <v/>
      </c>
      <c r="AE35" s="10">
        <f>ROUND($B$6*$B$8*$B$13*$B$16*$B$19*$B$23*$B$25,0)</f>
        <v/>
      </c>
      <c r="AF35" s="10">
        <f>ROUND($B$6*$B$8*$B$13*$B$16*$B$20*$B$22*$B$24,0)</f>
        <v/>
      </c>
      <c r="AG35" s="10">
        <f>ROUND($B$6*$B$8*$B$13*$B$16*$B$20*$B$22*$B$25,0)</f>
        <v/>
      </c>
      <c r="AH35" s="10">
        <f>ROUND($B$6*$B$8*$B$13*$B$16*$B$20*$B$23*$B$24,0)</f>
        <v/>
      </c>
      <c r="AI35" s="10">
        <f>ROUND($B$6*$B$8*$B$13*$B$16*$B$20*$B$23*$B$25,0)</f>
        <v/>
      </c>
      <c r="AJ35" s="10">
        <f>ROUND($B$6*$B$8*$B$13*$B$16*$B$21*$B$22*$B$24,0)</f>
        <v/>
      </c>
      <c r="AK35" s="10">
        <f>ROUND($B$6*$B$8*$B$13*$B$16*$B$21*$B$22*$B$25,0)</f>
        <v/>
      </c>
      <c r="AL35" s="10">
        <f>ROUND($B$6*$B$8*$B$13*$B$16*$B$21*$B$23*$B$24,0)</f>
        <v/>
      </c>
      <c r="AM35" s="10">
        <f>ROUND($B$6*$B$8*$B$13*$B$16*$B$21*$B$23*$B$25,0)</f>
        <v/>
      </c>
    </row>
    <row r="36" ht="20.1" customHeight="1" s="62">
      <c r="A36" s="67" t="n"/>
      <c r="B36" s="58" t="n"/>
      <c r="C36" s="57" t="inlineStr">
        <is>
          <t>Désorganisation modérée</t>
        </is>
      </c>
      <c r="D36" s="10">
        <f>ROUND($B$4*$B$8*$B$13*$B$17*$B$19*$B$22*$B$24,0)</f>
        <v/>
      </c>
      <c r="E36" s="10">
        <f>ROUND($B$4*$B$8*$B$13*$B$17*$B$19*$B$22*$B$25,0)</f>
        <v/>
      </c>
      <c r="F36" s="10">
        <f>ROUND($B$4*$B$8*$B$13*$B$17*$B$19*$B$23*$B$24,0)</f>
        <v/>
      </c>
      <c r="G36" s="10">
        <f>ROUND($B$4*$B$8*$B$13*$B$17*$B$19*$B$23*$B$25,0)</f>
        <v/>
      </c>
      <c r="H36" s="10">
        <f>ROUND($B$4*$B$8*$B$13*$B$17*$B$20*$B$22*$B$24,0)</f>
        <v/>
      </c>
      <c r="I36" s="10">
        <f>ROUND($B$4*$B$8*$B$13*$B$17*$B$20*$B$22*$B$25,0)</f>
        <v/>
      </c>
      <c r="J36" s="10">
        <f>ROUND($B$4*$B$8*$B$13*$B$17*$B$20*$B$23*$B$24,0)</f>
        <v/>
      </c>
      <c r="K36" s="10">
        <f>ROUND($B$4*$B$8*$B$13*$B$17*$B$20*$B$23*$B$25,0)</f>
        <v/>
      </c>
      <c r="L36" s="10">
        <f>ROUND($B$4*$B$8*$B$13*$B$17*$B$21*$B$22*$B$24,0)</f>
        <v/>
      </c>
      <c r="M36" s="10">
        <f>ROUND($B$4*$B$8*$B$13*$B$17*$B$21*$B$22*$B$25,0)</f>
        <v/>
      </c>
      <c r="N36" s="10">
        <f>ROUND($B$4*$B$8*$B$13*$B$17*$B$21*$B$23*$B$24,0)</f>
        <v/>
      </c>
      <c r="O36" s="10">
        <f>ROUND($B$4*$B$8*$B$13*$B$17*$B$21*$B$23*$B$25,0)</f>
        <v/>
      </c>
      <c r="P36" s="10">
        <f>ROUND($B$5*$B$8*$B$13*$B$17*$B$19*$B$22*$B$24,0)</f>
        <v/>
      </c>
      <c r="Q36" s="10">
        <f>ROUND($B$5*$B$8*$B$13*$B$17*$B$19*$B$22*$B$25,0)</f>
        <v/>
      </c>
      <c r="R36" s="10">
        <f>ROUND($B$5*$B$8*$B$13*$B$17*$B$19*$B$23*$B$24,0)</f>
        <v/>
      </c>
      <c r="S36" s="10">
        <f>ROUND($B$5*$B$8*$B$13*$B$17*$B$19*$B$23*$B$25,0)</f>
        <v/>
      </c>
      <c r="T36" s="10">
        <f>ROUND($B$5*$B$8*$B$13*$B$17*$B$20*$B$22*$B$24,0)</f>
        <v/>
      </c>
      <c r="U36" s="10">
        <f>ROUND($B$5*$B$8*$B$13*$B$17*$B$20*$B$22*$B$25,0)</f>
        <v/>
      </c>
      <c r="V36" s="10">
        <f>ROUND($B$5*$B$8*$B$13*$B$17*$B$20*$B$23*$B$24,0)</f>
        <v/>
      </c>
      <c r="W36" s="10">
        <f>ROUND($B$5*$B$8*$B$13*$B$17*$B$20*$B$23*$B$25,0)</f>
        <v/>
      </c>
      <c r="X36" s="10">
        <f>ROUND($B$5*$B$8*$B$13*$B$17*$B$21*$B$22*$B$24,0)</f>
        <v/>
      </c>
      <c r="Y36" s="10">
        <f>ROUND($B$5*$B$8*$B$13*$B$17*$B$21*$B$22*$B$25,0)</f>
        <v/>
      </c>
      <c r="Z36" s="10">
        <f>ROUND($B$5*$B$8*$B$13*$B$17*$B$21*$B$23*$B$24,0)</f>
        <v/>
      </c>
      <c r="AA36" s="10">
        <f>ROUND($B$5*$B$8*$B$13*$B$17*$B$21*$B$23*$B$25,0)</f>
        <v/>
      </c>
      <c r="AB36" s="10">
        <f>ROUND($B$6*$B$8*$B$13*$B$17*$B$19*$B$22*$B$24,0)</f>
        <v/>
      </c>
      <c r="AC36" s="10">
        <f>ROUND($B$6*$B$8*$B$13*$B$17*$B$19*$B$22*$B$25,0)</f>
        <v/>
      </c>
      <c r="AD36" s="10">
        <f>ROUND($B$6*$B$8*$B$13*$B$17*$B$19*$B$23*$B$24,0)</f>
        <v/>
      </c>
      <c r="AE36" s="10">
        <f>ROUND($B$6*$B$8*$B$13*$B$17*$B$19*$B$23*$B$25,0)</f>
        <v/>
      </c>
      <c r="AF36" s="10">
        <f>ROUND($B$6*$B$8*$B$13*$B$17*$B$20*$B$22*$B$24,0)</f>
        <v/>
      </c>
      <c r="AG36" s="10">
        <f>ROUND($B$6*$B$8*$B$13*$B$17*$B$20*$B$22*$B$25,0)</f>
        <v/>
      </c>
      <c r="AH36" s="10">
        <f>ROUND($B$6*$B$8*$B$13*$B$17*$B$20*$B$23*$B$24,0)</f>
        <v/>
      </c>
      <c r="AI36" s="10">
        <f>ROUND($B$6*$B$8*$B$13*$B$17*$B$20*$B$23*$B$25,0)</f>
        <v/>
      </c>
      <c r="AJ36" s="10">
        <f>ROUND($B$6*$B$8*$B$13*$B$17*$B$21*$B$22*$B$24,0)</f>
        <v/>
      </c>
      <c r="AK36" s="10">
        <f>ROUND($B$6*$B$8*$B$13*$B$17*$B$21*$B$22*$B$25,0)</f>
        <v/>
      </c>
      <c r="AL36" s="10">
        <f>ROUND($B$6*$B$8*$B$13*$B$17*$B$21*$B$23*$B$24,0)</f>
        <v/>
      </c>
      <c r="AM36" s="10">
        <f>ROUND($B$6*$B$8*$B$13*$B$17*$B$21*$B$23*$B$25,0)</f>
        <v/>
      </c>
    </row>
    <row r="37" ht="20.1" customHeight="1" s="62">
      <c r="A37" s="67" t="n"/>
      <c r="B37" s="59" t="n"/>
      <c r="C37" s="15" t="inlineStr">
        <is>
          <t>Désorganisation élevée</t>
        </is>
      </c>
      <c r="D37" s="10">
        <f>ROUND($B$4*$B$8*$B$13*$B$18*$B$19*$B$22*$B$24,0)</f>
        <v/>
      </c>
      <c r="E37" s="10">
        <f>ROUND($B$4*$B$8*$B$13*$B$18*$B$19*$B$22*$B$25,0)</f>
        <v/>
      </c>
      <c r="F37" s="10">
        <f>ROUND($B$4*$B$8*$B$13*$B$18*$B$19*$B$23*$B$24,0)</f>
        <v/>
      </c>
      <c r="G37" s="10">
        <f>ROUND($B$4*$B$8*$B$13*$B$18*$B$19*$B$23*$B$25,0)</f>
        <v/>
      </c>
      <c r="H37" s="10">
        <f>ROUND($B$4*$B$8*$B$13*$B$18*$B$20*$B$22*$B$24,0)</f>
        <v/>
      </c>
      <c r="I37" s="10">
        <f>ROUND($B$4*$B$8*$B$13*$B$18*$B$20*$B$22*$B$25,0)</f>
        <v/>
      </c>
      <c r="J37" s="10">
        <f>ROUND($B$4*$B$8*$B$13*$B$18*$B$20*$B$23*$B$24,0)</f>
        <v/>
      </c>
      <c r="K37" s="10">
        <f>ROUND($B$4*$B$8*$B$13*$B$18*$B$20*$B$23*$B$25,0)</f>
        <v/>
      </c>
      <c r="L37" s="10">
        <f>ROUND($B$4*$B$8*$B$13*$B$18*$B$21*$B$22*$B$24,0)</f>
        <v/>
      </c>
      <c r="M37" s="10">
        <f>ROUND($B$4*$B$8*$B$13*$B$18*$B$21*$B$22*$B$25,0)</f>
        <v/>
      </c>
      <c r="N37" s="10">
        <f>ROUND($B$4*$B$8*$B$13*$B$18*$B$21*$B$23*$B$24,0)</f>
        <v/>
      </c>
      <c r="O37" s="10">
        <f>ROUND($B$4*$B$8*$B$13*$B$18*$B$21*$B$23*$B$25,0)</f>
        <v/>
      </c>
      <c r="P37" s="10">
        <f>ROUND($B$5*$B$8*$B$13*$B$18*$B$19*$B$22*$B$24,0)</f>
        <v/>
      </c>
      <c r="Q37" s="10">
        <f>ROUND($B$5*$B$8*$B$13*$B$18*$B$19*$B$22*$B$25,0)</f>
        <v/>
      </c>
      <c r="R37" s="10">
        <f>ROUND($B$5*$B$8*$B$13*$B$18*$B$19*$B$23*$B$24,0)</f>
        <v/>
      </c>
      <c r="S37" s="10">
        <f>ROUND($B$5*$B$8*$B$13*$B$18*$B$19*$B$23*$B$25,0)</f>
        <v/>
      </c>
      <c r="T37" s="10">
        <f>ROUND($B$5*$B$8*$B$13*$B$18*$B$20*$B$22*$B$24,0)</f>
        <v/>
      </c>
      <c r="U37" s="10">
        <f>ROUND($B$5*$B$8*$B$13*$B$18*$B$20*$B$22*$B$25,0)</f>
        <v/>
      </c>
      <c r="V37" s="10">
        <f>ROUND($B$5*$B$8*$B$13*$B$18*$B$20*$B$23*$B$24,0)</f>
        <v/>
      </c>
      <c r="W37" s="10">
        <f>ROUND($B$5*$B$8*$B$13*$B$18*$B$20*$B$23*$B$25,0)</f>
        <v/>
      </c>
      <c r="X37" s="10">
        <f>ROUND($B$5*$B$8*$B$13*$B$18*$B$21*$B$22*$B$24,0)</f>
        <v/>
      </c>
      <c r="Y37" s="10">
        <f>ROUND($B$5*$B$8*$B$13*$B$18*$B$21*$B$22*$B$25,0)</f>
        <v/>
      </c>
      <c r="Z37" s="10">
        <f>ROUND($B$5*$B$8*$B$13*$B$18*$B$21*$B$23*$B$24,0)</f>
        <v/>
      </c>
      <c r="AA37" s="10">
        <f>ROUND($B$5*$B$8*$B$13*$B$18*$B$21*$B$23*$B$25,0)</f>
        <v/>
      </c>
      <c r="AB37" s="10">
        <f>ROUND($B$6*$B$8*$B$13*$B$18*$B$19*$B$22*$B$24,0)</f>
        <v/>
      </c>
      <c r="AC37" s="10">
        <f>ROUND($B$6*$B$8*$B$13*$B$18*$B$19*$B$22*$B$25,0)</f>
        <v/>
      </c>
      <c r="AD37" s="10">
        <f>ROUND($B$6*$B$8*$B$13*$B$18*$B$19*$B$23*$B$24,0)</f>
        <v/>
      </c>
      <c r="AE37" s="10">
        <f>ROUND($B$6*$B$8*$B$13*$B$18*$B$19*$B$23*$B$25,0)</f>
        <v/>
      </c>
      <c r="AF37" s="10">
        <f>ROUND($B$6*$B$8*$B$13*$B$18*$B$20*$B$22*$B$24,0)</f>
        <v/>
      </c>
      <c r="AG37" s="10">
        <f>ROUND($B$6*$B$8*$B$13*$B$18*$B$20*$B$22*$B$25,0)</f>
        <v/>
      </c>
      <c r="AH37" s="10">
        <f>ROUND($B$6*$B$8*$B$13*$B$18*$B$20*$B$23*$B$24,0)</f>
        <v/>
      </c>
      <c r="AI37" s="10">
        <f>ROUND($B$6*$B$8*$B$13*$B$18*$B$20*$B$23*$B$25,0)</f>
        <v/>
      </c>
      <c r="AJ37" s="10">
        <f>ROUND($B$6*$B$8*$B$13*$B$18*$B$21*$B$22*$B$24,0)</f>
        <v/>
      </c>
      <c r="AK37" s="10">
        <f>ROUND($B$6*$B$8*$B$13*$B$18*$B$21*$B$22*$B$25,0)</f>
        <v/>
      </c>
      <c r="AL37" s="10">
        <f>ROUND($B$6*$B$8*$B$13*$B$18*$B$21*$B$23*$B$24,0)</f>
        <v/>
      </c>
      <c r="AM37" s="10">
        <f>ROUND($B$6*$B$8*$B$13*$B$18*$B$21*$B$23*$B$25,0)</f>
        <v/>
      </c>
    </row>
    <row r="38" ht="20.1" customHeight="1" s="62">
      <c r="A38" s="67" t="n"/>
      <c r="B38" s="57" t="inlineStr">
        <is>
          <t>6-10 équipes</t>
        </is>
      </c>
      <c r="C38" s="14" t="inlineStr">
        <is>
          <t>Faible désorganisation</t>
        </is>
      </c>
      <c r="D38" s="10">
        <f>ROUND($B$4*$B$8*$B$14*$B$16*$B$19*$B$22*$B$24,0)</f>
        <v/>
      </c>
      <c r="E38" s="10">
        <f>ROUND($B$4*$B$8*$B$14*$B$16*$B$19*$B$22*$B$25,0)</f>
        <v/>
      </c>
      <c r="F38" s="10">
        <f>ROUND($B$4*$B$8*$B$14*$B$16*$B$19*$B$23*$B$24,0)</f>
        <v/>
      </c>
      <c r="G38" s="10">
        <f>ROUND($B$4*$B$8*$B$14*$B$16*$B$19*$B$23*$B$25,0)</f>
        <v/>
      </c>
      <c r="H38" s="10">
        <f>ROUND($B$4*$B$8*$B$14*$B$16*$B$20*$B$22*$B$24,0)</f>
        <v/>
      </c>
      <c r="I38" s="10">
        <f>ROUND($B$4*$B$8*$B$14*$B$16*$B$20*$B$22*$B$25,0)</f>
        <v/>
      </c>
      <c r="J38" s="10">
        <f>ROUND($B$4*$B$8*$B$14*$B$16*$B$20*$B$23*$B$24,0)</f>
        <v/>
      </c>
      <c r="K38" s="10">
        <f>ROUND($B$4*$B$8*$B$14*$B$16*$B$20*$B$23*$B$25,0)</f>
        <v/>
      </c>
      <c r="L38" s="10">
        <f>ROUND($B$4*$B$8*$B$14*$B$16*$B$21*$B$22*$B$24,0)</f>
        <v/>
      </c>
      <c r="M38" s="10">
        <f>ROUND($B$4*$B$8*$B$14*$B$16*$B$21*$B$22*$B$25,0)</f>
        <v/>
      </c>
      <c r="N38" s="10">
        <f>ROUND($B$4*$B$8*$B$14*$B$16*$B$21*$B$23*$B$24,0)</f>
        <v/>
      </c>
      <c r="O38" s="10">
        <f>ROUND($B$4*$B$8*$B$14*$B$16*$B$21*$B$23*$B$25,0)</f>
        <v/>
      </c>
      <c r="P38" s="10">
        <f>ROUND($B$5*$B$8*$B$14*$B$16*$B$19*$B$22*$B$24,0)</f>
        <v/>
      </c>
      <c r="Q38" s="10">
        <f>ROUND($B$5*$B$8*$B$14*$B$16*$B$19*$B$22*$B$25,0)</f>
        <v/>
      </c>
      <c r="R38" s="10">
        <f>ROUND($B$5*$B$8*$B$14*$B$16*$B$19*$B$23*$B$24,0)</f>
        <v/>
      </c>
      <c r="S38" s="10">
        <f>ROUND($B$5*$B$8*$B$14*$B$16*$B$19*$B$23*$B$25,0)</f>
        <v/>
      </c>
      <c r="T38" s="10">
        <f>ROUND($B$5*$B$8*$B$14*$B$16*$B$20*$B$22*$B$24,0)</f>
        <v/>
      </c>
      <c r="U38" s="10">
        <f>ROUND($B$5*$B$8*$B$14*$B$16*$B$20*$B$22*$B$25,0)</f>
        <v/>
      </c>
      <c r="V38" s="10">
        <f>ROUND($B$5*$B$8*$B$14*$B$16*$B$20*$B$23*$B$24,0)</f>
        <v/>
      </c>
      <c r="W38" s="10">
        <f>ROUND($B$5*$B$8*$B$14*$B$16*$B$20*$B$23*$B$25,0)</f>
        <v/>
      </c>
      <c r="X38" s="10">
        <f>ROUND($B$5*$B$8*$B$14*$B$16*$B$21*$B$22*$B$24,0)</f>
        <v/>
      </c>
      <c r="Y38" s="10">
        <f>ROUND($B$5*$B$8*$B$14*$B$16*$B$21*$B$22*$B$25,0)</f>
        <v/>
      </c>
      <c r="Z38" s="10">
        <f>ROUND($B$5*$B$8*$B$14*$B$16*$B$21*$B$23*$B$24,0)</f>
        <v/>
      </c>
      <c r="AA38" s="10">
        <f>ROUND($B$5*$B$8*$B$14*$B$16*$B$21*$B$23*$B$25,0)</f>
        <v/>
      </c>
      <c r="AB38" s="10">
        <f>ROUND($B$6*$B$8*$B$14*$B$16*$B$19*$B$22*$B$24,0)</f>
        <v/>
      </c>
      <c r="AC38" s="10">
        <f>ROUND($B$6*$B$8*$B$14*$B$16*$B$19*$B$22*$B$25,0)</f>
        <v/>
      </c>
      <c r="AD38" s="10">
        <f>ROUND($B$6*$B$8*$B$14*$B$16*$B$19*$B$23*$B$24,0)</f>
        <v/>
      </c>
      <c r="AE38" s="10">
        <f>ROUND($B$6*$B$8*$B$14*$B$16*$B$19*$B$23*$B$25,0)</f>
        <v/>
      </c>
      <c r="AF38" s="10">
        <f>ROUND($B$6*$B$8*$B$14*$B$16*$B$20*$B$22*$B$24,0)</f>
        <v/>
      </c>
      <c r="AG38" s="10">
        <f>ROUND($B$6*$B$8*$B$14*$B$16*$B$20*$B$22*$B$25,0)</f>
        <v/>
      </c>
      <c r="AH38" s="10">
        <f>ROUND($B$6*$B$8*$B$14*$B$16*$B$20*$B$23*$B$24,0)</f>
        <v/>
      </c>
      <c r="AI38" s="10">
        <f>ROUND($B$6*$B$8*$B$14*$B$16*$B$20*$B$23*$B$25,0)</f>
        <v/>
      </c>
      <c r="AJ38" s="10">
        <f>ROUND($B$6*$B$8*$B$14*$B$16*$B$21*$B$22*$B$24,0)</f>
        <v/>
      </c>
      <c r="AK38" s="10">
        <f>ROUND($B$6*$B$8*$B$14*$B$16*$B$21*$B$22*$B$25,0)</f>
        <v/>
      </c>
      <c r="AL38" s="10">
        <f>ROUND($B$6*$B$8*$B$14*$B$16*$B$21*$B$23*$B$24,0)</f>
        <v/>
      </c>
      <c r="AM38" s="10">
        <f>ROUND($B$6*$B$8*$B$14*$B$16*$B$21*$B$23*$B$25,0)</f>
        <v/>
      </c>
    </row>
    <row r="39" ht="20.1" customHeight="1" s="62">
      <c r="A39" s="67" t="n"/>
      <c r="B39" s="58" t="n"/>
      <c r="C39" s="57" t="inlineStr">
        <is>
          <t>Désorganisation modérée</t>
        </is>
      </c>
      <c r="D39" s="10">
        <f>ROUND($B$4*$B$8*$B$14*$B$17*$B$19*$B$22*$B$24,0)</f>
        <v/>
      </c>
      <c r="E39" s="10">
        <f>ROUND($B$4*$B$8*$B$14*$B$17*$B$19*$B$22*$B$25,0)</f>
        <v/>
      </c>
      <c r="F39" s="10">
        <f>ROUND($B$4*$B$8*$B$14*$B$17*$B$19*$B$23*$B$24,0)</f>
        <v/>
      </c>
      <c r="G39" s="10">
        <f>ROUND($B$4*$B$8*$B$14*$B$17*$B$19*$B$23*$B$25,0)</f>
        <v/>
      </c>
      <c r="H39" s="10">
        <f>ROUND($B$4*$B$8*$B$14*$B$17*$B$20*$B$22*$B$24,0)</f>
        <v/>
      </c>
      <c r="I39" s="10">
        <f>ROUND($B$4*$B$8*$B$14*$B$17*$B$20*$B$22*$B$25,0)</f>
        <v/>
      </c>
      <c r="J39" s="10">
        <f>ROUND($B$4*$B$8*$B$14*$B$17*$B$20*$B$23*$B$24,0)</f>
        <v/>
      </c>
      <c r="K39" s="10">
        <f>ROUND($B$4*$B$8*$B$14*$B$17*$B$20*$B$23*$B$25,0)</f>
        <v/>
      </c>
      <c r="L39" s="10">
        <f>ROUND($B$4*$B$8*$B$14*$B$17*$B$21*$B$22*$B$24,0)</f>
        <v/>
      </c>
      <c r="M39" s="10">
        <f>ROUND($B$4*$B$8*$B$14*$B$17*$B$21*$B$22*$B$25,0)</f>
        <v/>
      </c>
      <c r="N39" s="10">
        <f>ROUND($B$4*$B$8*$B$14*$B$17*$B$21*$B$23*$B$24,0)</f>
        <v/>
      </c>
      <c r="O39" s="10">
        <f>ROUND($B$4*$B$8*$B$14*$B$17*$B$21*$B$23*$B$25,0)</f>
        <v/>
      </c>
      <c r="P39" s="10">
        <f>ROUND($B$5*$B$8*$B$14*$B$17*$B$19*$B$22*$B$24,0)</f>
        <v/>
      </c>
      <c r="Q39" s="10">
        <f>ROUND($B$5*$B$8*$B$14*$B$17*$B$19*$B$22*$B$25,0)</f>
        <v/>
      </c>
      <c r="R39" s="10">
        <f>ROUND($B$5*$B$8*$B$14*$B$17*$B$19*$B$23*$B$24,0)</f>
        <v/>
      </c>
      <c r="S39" s="10">
        <f>ROUND($B$5*$B$8*$B$14*$B$17*$B$19*$B$23*$B$25,0)</f>
        <v/>
      </c>
      <c r="T39" s="10">
        <f>ROUND($B$5*$B$8*$B$14*$B$17*$B$20*$B$22*$B$24,0)</f>
        <v/>
      </c>
      <c r="U39" s="10">
        <f>ROUND($B$5*$B$8*$B$14*$B$17*$B$20*$B$22*$B$25,0)</f>
        <v/>
      </c>
      <c r="V39" s="10">
        <f>ROUND($B$5*$B$8*$B$14*$B$17*$B$20*$B$23*$B$24,0)</f>
        <v/>
      </c>
      <c r="W39" s="10">
        <f>ROUND($B$5*$B$8*$B$14*$B$17*$B$20*$B$23*$B$25,0)</f>
        <v/>
      </c>
      <c r="X39" s="10">
        <f>ROUND($B$5*$B$8*$B$14*$B$17*$B$21*$B$22*$B$24,0)</f>
        <v/>
      </c>
      <c r="Y39" s="10">
        <f>ROUND($B$5*$B$8*$B$14*$B$17*$B$21*$B$22*$B$25,0)</f>
        <v/>
      </c>
      <c r="Z39" s="10">
        <f>ROUND($B$5*$B$8*$B$14*$B$17*$B$21*$B$23*$B$24,0)</f>
        <v/>
      </c>
      <c r="AA39" s="10">
        <f>ROUND($B$5*$B$8*$B$14*$B$17*$B$21*$B$23*$B$25,0)</f>
        <v/>
      </c>
      <c r="AB39" s="10">
        <f>ROUND($B$6*$B$8*$B$14*$B$17*$B$19*$B$22*$B$24,0)</f>
        <v/>
      </c>
      <c r="AC39" s="10">
        <f>ROUND($B$6*$B$8*$B$14*$B$17*$B$19*$B$22*$B$25,0)</f>
        <v/>
      </c>
      <c r="AD39" s="10">
        <f>ROUND($B$6*$B$8*$B$14*$B$17*$B$19*$B$23*$B$24,0)</f>
        <v/>
      </c>
      <c r="AE39" s="10">
        <f>ROUND($B$6*$B$8*$B$14*$B$17*$B$19*$B$23*$B$25,0)</f>
        <v/>
      </c>
      <c r="AF39" s="10">
        <f>ROUND($B$6*$B$8*$B$14*$B$17*$B$20*$B$22*$B$24,0)</f>
        <v/>
      </c>
      <c r="AG39" s="10">
        <f>ROUND($B$6*$B$8*$B$14*$B$17*$B$20*$B$22*$B$25,0)</f>
        <v/>
      </c>
      <c r="AH39" s="10">
        <f>ROUND($B$6*$B$8*$B$14*$B$17*$B$20*$B$23*$B$24,0)</f>
        <v/>
      </c>
      <c r="AI39" s="10">
        <f>ROUND($B$6*$B$8*$B$14*$B$17*$B$20*$B$23*$B$25,0)</f>
        <v/>
      </c>
      <c r="AJ39" s="10">
        <f>ROUND($B$6*$B$8*$B$14*$B$17*$B$21*$B$22*$B$24,0)</f>
        <v/>
      </c>
      <c r="AK39" s="10">
        <f>ROUND($B$6*$B$8*$B$14*$B$17*$B$21*$B$22*$B$25,0)</f>
        <v/>
      </c>
      <c r="AL39" s="10">
        <f>ROUND($B$6*$B$8*$B$14*$B$17*$B$21*$B$23*$B$24,0)</f>
        <v/>
      </c>
      <c r="AM39" s="10">
        <f>ROUND($B$6*$B$8*$B$14*$B$17*$B$21*$B$23*$B$25,0)</f>
        <v/>
      </c>
    </row>
    <row r="40" ht="20.1" customHeight="1" s="62">
      <c r="A40" s="67" t="n"/>
      <c r="B40" s="59" t="n"/>
      <c r="C40" s="15" t="inlineStr">
        <is>
          <t>Désorganisation élevée</t>
        </is>
      </c>
      <c r="D40" s="10">
        <f>ROUND($B$4*$B$8*$B$14*$B$18*$B$19*$B$22*$B$24,0)</f>
        <v/>
      </c>
      <c r="E40" s="10">
        <f>ROUND($B$4*$B$8*$B$14*$B$18*$B$19*$B$22*$B$25,0)</f>
        <v/>
      </c>
      <c r="F40" s="10">
        <f>ROUND($B$4*$B$8*$B$14*$B$18*$B$19*$B$23*$B$24,0)</f>
        <v/>
      </c>
      <c r="G40" s="10">
        <f>ROUND($B$4*$B$8*$B$14*$B$18*$B$19*$B$23*$B$25,0)</f>
        <v/>
      </c>
      <c r="H40" s="10">
        <f>ROUND($B$4*$B$8*$B$14*$B$18*$B$20*$B$22*$B$24,0)</f>
        <v/>
      </c>
      <c r="I40" s="10">
        <f>ROUND($B$4*$B$8*$B$14*$B$18*$B$20*$B$22*$B$25,0)</f>
        <v/>
      </c>
      <c r="J40" s="10">
        <f>ROUND($B$4*$B$8*$B$14*$B$18*$B$20*$B$23*$B$24,0)</f>
        <v/>
      </c>
      <c r="K40" s="10">
        <f>ROUND($B$4*$B$8*$B$14*$B$18*$B$20*$B$23*$B$25,0)</f>
        <v/>
      </c>
      <c r="L40" s="10">
        <f>ROUND($B$4*$B$8*$B$14*$B$18*$B$21*$B$22*$B$24,0)</f>
        <v/>
      </c>
      <c r="M40" s="10">
        <f>ROUND($B$4*$B$8*$B$14*$B$18*$B$21*$B$22*$B$25,0)</f>
        <v/>
      </c>
      <c r="N40" s="10">
        <f>ROUND($B$4*$B$8*$B$14*$B$18*$B$21*$B$23*$B$24,0)</f>
        <v/>
      </c>
      <c r="O40" s="10">
        <f>ROUND($B$4*$B$8*$B$14*$B$18*$B$21*$B$23*$B$25,0)</f>
        <v/>
      </c>
      <c r="P40" s="10">
        <f>ROUND($B$5*$B$8*$B$14*$B$18*$B$19*$B$22*$B$24,0)</f>
        <v/>
      </c>
      <c r="Q40" s="10">
        <f>ROUND($B$5*$B$8*$B$14*$B$18*$B$19*$B$22*$B$25,0)</f>
        <v/>
      </c>
      <c r="R40" s="10">
        <f>ROUND($B$5*$B$8*$B$14*$B$18*$B$19*$B$23*$B$24,0)</f>
        <v/>
      </c>
      <c r="S40" s="10">
        <f>ROUND($B$5*$B$8*$B$14*$B$18*$B$19*$B$23*$B$25,0)</f>
        <v/>
      </c>
      <c r="T40" s="10">
        <f>ROUND($B$5*$B$8*$B$14*$B$18*$B$20*$B$22*$B$24,0)</f>
        <v/>
      </c>
      <c r="U40" s="10">
        <f>ROUND($B$5*$B$8*$B$14*$B$18*$B$20*$B$22*$B$25,0)</f>
        <v/>
      </c>
      <c r="V40" s="10">
        <f>ROUND($B$5*$B$8*$B$14*$B$18*$B$20*$B$23*$B$24,0)</f>
        <v/>
      </c>
      <c r="W40" s="10">
        <f>ROUND($B$5*$B$8*$B$14*$B$18*$B$20*$B$23*$B$25,0)</f>
        <v/>
      </c>
      <c r="X40" s="10">
        <f>ROUND($B$5*$B$8*$B$14*$B$18*$B$21*$B$22*$B$24,0)</f>
        <v/>
      </c>
      <c r="Y40" s="10">
        <f>ROUND($B$5*$B$8*$B$14*$B$18*$B$21*$B$22*$B$25,0)</f>
        <v/>
      </c>
      <c r="Z40" s="10">
        <f>ROUND($B$5*$B$8*$B$14*$B$18*$B$21*$B$23*$B$24,0)</f>
        <v/>
      </c>
      <c r="AA40" s="10">
        <f>ROUND($B$5*$B$8*$B$14*$B$18*$B$21*$B$23*$B$25,0)</f>
        <v/>
      </c>
      <c r="AB40" s="10">
        <f>ROUND($B$6*$B$8*$B$14*$B$18*$B$19*$B$22*$B$24,0)</f>
        <v/>
      </c>
      <c r="AC40" s="10">
        <f>ROUND($B$6*$B$8*$B$14*$B$18*$B$19*$B$22*$B$25,0)</f>
        <v/>
      </c>
      <c r="AD40" s="10">
        <f>ROUND($B$6*$B$8*$B$14*$B$18*$B$19*$B$23*$B$24,0)</f>
        <v/>
      </c>
      <c r="AE40" s="10">
        <f>ROUND($B$6*$B$8*$B$14*$B$18*$B$19*$B$23*$B$25,0)</f>
        <v/>
      </c>
      <c r="AF40" s="10">
        <f>ROUND($B$6*$B$8*$B$14*$B$18*$B$20*$B$22*$B$24,0)</f>
        <v/>
      </c>
      <c r="AG40" s="10">
        <f>ROUND($B$6*$B$8*$B$14*$B$18*$B$20*$B$22*$B$25,0)</f>
        <v/>
      </c>
      <c r="AH40" s="10">
        <f>ROUND($B$6*$B$8*$B$14*$B$18*$B$20*$B$23*$B$24,0)</f>
        <v/>
      </c>
      <c r="AI40" s="10">
        <f>ROUND($B$6*$B$8*$B$14*$B$18*$B$20*$B$23*$B$25,0)</f>
        <v/>
      </c>
      <c r="AJ40" s="10">
        <f>ROUND($B$6*$B$8*$B$14*$B$18*$B$21*$B$22*$B$24,0)</f>
        <v/>
      </c>
      <c r="AK40" s="10">
        <f>ROUND($B$6*$B$8*$B$14*$B$18*$B$21*$B$22*$B$25,0)</f>
        <v/>
      </c>
      <c r="AL40" s="10">
        <f>ROUND($B$6*$B$8*$B$14*$B$18*$B$21*$B$23*$B$24,0)</f>
        <v/>
      </c>
      <c r="AM40" s="10">
        <f>ROUND($B$6*$B$8*$B$14*$B$18*$B$21*$B$23*$B$25,0)</f>
        <v/>
      </c>
    </row>
    <row r="41" ht="20.1" customHeight="1" s="62">
      <c r="A41" s="67" t="n"/>
      <c r="B41" s="57" t="inlineStr">
        <is>
          <t>10+ équipes</t>
        </is>
      </c>
      <c r="C41" s="14" t="inlineStr">
        <is>
          <t>Faible désorganisation</t>
        </is>
      </c>
      <c r="D41" s="10">
        <f>ROUND($B$4*$B$8*$B$15*$B$16*$B$19*$B$22*$B$24,0)</f>
        <v/>
      </c>
      <c r="E41" s="10">
        <f>ROUND($B$4*$B$8*$B$15*$B$16*$B$19*$B$22*$B$25,0)</f>
        <v/>
      </c>
      <c r="F41" s="10">
        <f>ROUND($B$4*$B$8*$B$15*$B$16*$B$19*$B$23*$B$24,0)</f>
        <v/>
      </c>
      <c r="G41" s="10">
        <f>ROUND($B$4*$B$8*$B$15*$B$16*$B$19*$B$23*$B$25,0)</f>
        <v/>
      </c>
      <c r="H41" s="10">
        <f>ROUND($B$4*$B$8*$B$15*$B$16*$B$20*$B$22*$B$24,0)</f>
        <v/>
      </c>
      <c r="I41" s="10">
        <f>ROUND($B$4*$B$8*$B$15*$B$16*$B$20*$B$22*$B$25,0)</f>
        <v/>
      </c>
      <c r="J41" s="10">
        <f>ROUND($B$4*$B$8*$B$15*$B$16*$B$20*$B$23*$B$24,0)</f>
        <v/>
      </c>
      <c r="K41" s="10">
        <f>ROUND($B$4*$B$8*$B$15*$B$16*$B$20*$B$23*$B$25,0)</f>
        <v/>
      </c>
      <c r="L41" s="10">
        <f>ROUND($B$4*$B$8*$B$15*$B$16*$B$21*$B$22*$B$24,0)</f>
        <v/>
      </c>
      <c r="M41" s="10">
        <f>ROUND($B$4*$B$8*$B$15*$B$16*$B$21*$B$22*$B$25,0)</f>
        <v/>
      </c>
      <c r="N41" s="10">
        <f>ROUND($B$4*$B$8*$B$15*$B$16*$B$21*$B$23*$B$24,0)</f>
        <v/>
      </c>
      <c r="O41" s="10">
        <f>ROUND($B$4*$B$8*$B$15*$B$16*$B$21*$B$23*$B$25,0)</f>
        <v/>
      </c>
      <c r="P41" s="10">
        <f>ROUND($B$5*$B$8*$B$15*$B$16*$B$19*$B$22*$B$24,0)</f>
        <v/>
      </c>
      <c r="Q41" s="10">
        <f>ROUND($B$5*$B$8*$B$15*$B$16*$B$19*$B$22*$B$25,0)</f>
        <v/>
      </c>
      <c r="R41" s="10">
        <f>ROUND($B$5*$B$8*$B$15*$B$16*$B$19*$B$23*$B$24,0)</f>
        <v/>
      </c>
      <c r="S41" s="10">
        <f>ROUND($B$5*$B$8*$B$15*$B$16*$B$19*$B$23*$B$25,0)</f>
        <v/>
      </c>
      <c r="T41" s="10">
        <f>ROUND($B$5*$B$8*$B$15*$B$16*$B$20*$B$22*$B$24,0)</f>
        <v/>
      </c>
      <c r="U41" s="10">
        <f>ROUND($B$5*$B$8*$B$15*$B$16*$B$20*$B$22*$B$25,0)</f>
        <v/>
      </c>
      <c r="V41" s="10">
        <f>ROUND($B$5*$B$8*$B$15*$B$16*$B$20*$B$23*$B$24,0)</f>
        <v/>
      </c>
      <c r="W41" s="10">
        <f>ROUND($B$5*$B$8*$B$15*$B$16*$B$20*$B$23*$B$25,0)</f>
        <v/>
      </c>
      <c r="X41" s="10">
        <f>ROUND($B$5*$B$8*$B$15*$B$16*$B$21*$B$22*$B$24,0)</f>
        <v/>
      </c>
      <c r="Y41" s="10">
        <f>ROUND($B$5*$B$8*$B$15*$B$16*$B$21*$B$22*$B$25,0)</f>
        <v/>
      </c>
      <c r="Z41" s="10">
        <f>ROUND($B$5*$B$8*$B$15*$B$16*$B$21*$B$23*$B$24,0)</f>
        <v/>
      </c>
      <c r="AA41" s="10">
        <f>ROUND($B$5*$B$8*$B$15*$B$16*$B$21*$B$23*$B$25,0)</f>
        <v/>
      </c>
      <c r="AB41" s="10">
        <f>ROUND($B$6*$B$8*$B$15*$B$16*$B$19*$B$22*$B$24,0)</f>
        <v/>
      </c>
      <c r="AC41" s="10">
        <f>ROUND($B$6*$B$8*$B$15*$B$16*$B$19*$B$22*$B$25,0)</f>
        <v/>
      </c>
      <c r="AD41" s="10">
        <f>ROUND($B$6*$B$8*$B$15*$B$16*$B$19*$B$23*$B$24,0)</f>
        <v/>
      </c>
      <c r="AE41" s="10">
        <f>ROUND($B$6*$B$8*$B$15*$B$16*$B$19*$B$23*$B$25,0)</f>
        <v/>
      </c>
      <c r="AF41" s="10">
        <f>ROUND($B$6*$B$8*$B$15*$B$16*$B$20*$B$22*$B$24,0)</f>
        <v/>
      </c>
      <c r="AG41" s="10">
        <f>ROUND($B$6*$B$8*$B$15*$B$16*$B$20*$B$22*$B$25,0)</f>
        <v/>
      </c>
      <c r="AH41" s="10">
        <f>ROUND($B$6*$B$8*$B$15*$B$16*$B$20*$B$23*$B$24,0)</f>
        <v/>
      </c>
      <c r="AI41" s="10">
        <f>ROUND($B$6*$B$8*$B$15*$B$16*$B$20*$B$23*$B$25,0)</f>
        <v/>
      </c>
      <c r="AJ41" s="10">
        <f>ROUND($B$6*$B$8*$B$15*$B$16*$B$21*$B$22*$B$24,0)</f>
        <v/>
      </c>
      <c r="AK41" s="10">
        <f>ROUND($B$6*$B$8*$B$15*$B$16*$B$21*$B$22*$B$25,0)</f>
        <v/>
      </c>
      <c r="AL41" s="10">
        <f>ROUND($B$6*$B$8*$B$15*$B$16*$B$21*$B$23*$B$24,0)</f>
        <v/>
      </c>
      <c r="AM41" s="10">
        <f>ROUND($B$6*$B$8*$B$15*$B$16*$B$21*$B$23*$B$25,0)</f>
        <v/>
      </c>
    </row>
    <row r="42" ht="20.1" customHeight="1" s="62">
      <c r="A42" s="67" t="n"/>
      <c r="B42" s="58" t="n"/>
      <c r="C42" s="57" t="inlineStr">
        <is>
          <t>Désorganisation modérée</t>
        </is>
      </c>
      <c r="D42" s="10">
        <f>ROUND($B$4*$B$8*$B$15*$B$17*$B$19*$B$22*$B$24,0)</f>
        <v/>
      </c>
      <c r="E42" s="10">
        <f>ROUND($B$4*$B$8*$B$15*$B$17*$B$19*$B$22*$B$25,0)</f>
        <v/>
      </c>
      <c r="F42" s="10">
        <f>ROUND($B$4*$B$8*$B$15*$B$17*$B$19*$B$23*$B$24,0)</f>
        <v/>
      </c>
      <c r="G42" s="10">
        <f>ROUND($B$4*$B$8*$B$15*$B$17*$B$19*$B$23*$B$25,0)</f>
        <v/>
      </c>
      <c r="H42" s="10">
        <f>ROUND($B$4*$B$8*$B$15*$B$17*$B$20*$B$22*$B$24,0)</f>
        <v/>
      </c>
      <c r="I42" s="10">
        <f>ROUND($B$4*$B$8*$B$15*$B$17*$B$20*$B$22*$B$25,0)</f>
        <v/>
      </c>
      <c r="J42" s="10">
        <f>ROUND($B$4*$B$8*$B$15*$B$17*$B$20*$B$23*$B$24,0)</f>
        <v/>
      </c>
      <c r="K42" s="10">
        <f>ROUND($B$4*$B$8*$B$15*$B$17*$B$20*$B$23*$B$25,0)</f>
        <v/>
      </c>
      <c r="L42" s="10">
        <f>ROUND($B$4*$B$8*$B$15*$B$17*$B$21*$B$22*$B$24,0)</f>
        <v/>
      </c>
      <c r="M42" s="10">
        <f>ROUND($B$4*$B$8*$B$15*$B$17*$B$21*$B$22*$B$25,0)</f>
        <v/>
      </c>
      <c r="N42" s="10">
        <f>ROUND($B$4*$B$8*$B$15*$B$17*$B$21*$B$23*$B$24,0)</f>
        <v/>
      </c>
      <c r="O42" s="10">
        <f>ROUND($B$4*$B$8*$B$15*$B$17*$B$21*$B$23*$B$25,0)</f>
        <v/>
      </c>
      <c r="P42" s="10">
        <f>ROUND($B$5*$B$8*$B$15*$B$17*$B$19*$B$22*$B$24,0)</f>
        <v/>
      </c>
      <c r="Q42" s="10">
        <f>ROUND($B$5*$B$8*$B$15*$B$17*$B$19*$B$22*$B$25,0)</f>
        <v/>
      </c>
      <c r="R42" s="10">
        <f>ROUND($B$5*$B$8*$B$15*$B$17*$B$19*$B$23*$B$24,0)</f>
        <v/>
      </c>
      <c r="S42" s="10">
        <f>ROUND($B$5*$B$8*$B$15*$B$17*$B$19*$B$23*$B$25,0)</f>
        <v/>
      </c>
      <c r="T42" s="10">
        <f>ROUND($B$5*$B$8*$B$15*$B$17*$B$20*$B$22*$B$24,0)</f>
        <v/>
      </c>
      <c r="U42" s="10">
        <f>ROUND($B$5*$B$8*$B$15*$B$17*$B$20*$B$22*$B$25,0)</f>
        <v/>
      </c>
      <c r="V42" s="10">
        <f>ROUND($B$5*$B$8*$B$15*$B$17*$B$20*$B$23*$B$24,0)</f>
        <v/>
      </c>
      <c r="W42" s="10">
        <f>ROUND($B$5*$B$8*$B$15*$B$17*$B$20*$B$23*$B$25,0)</f>
        <v/>
      </c>
      <c r="X42" s="10">
        <f>ROUND($B$5*$B$8*$B$15*$B$17*$B$21*$B$22*$B$24,0)</f>
        <v/>
      </c>
      <c r="Y42" s="10">
        <f>ROUND($B$5*$B$8*$B$15*$B$17*$B$21*$B$22*$B$25,0)</f>
        <v/>
      </c>
      <c r="Z42" s="10">
        <f>ROUND($B$5*$B$8*$B$15*$B$17*$B$21*$B$23*$B$24,0)</f>
        <v/>
      </c>
      <c r="AA42" s="10">
        <f>ROUND($B$5*$B$8*$B$15*$B$17*$B$21*$B$23*$B$25,0)</f>
        <v/>
      </c>
      <c r="AB42" s="10">
        <f>ROUND($B$6*$B$8*$B$15*$B$17*$B$19*$B$22*$B$24,0)</f>
        <v/>
      </c>
      <c r="AC42" s="10">
        <f>ROUND($B$6*$B$8*$B$15*$B$17*$B$19*$B$22*$B$25,0)</f>
        <v/>
      </c>
      <c r="AD42" s="10">
        <f>ROUND($B$6*$B$8*$B$15*$B$17*$B$19*$B$23*$B$24,0)</f>
        <v/>
      </c>
      <c r="AE42" s="10">
        <f>ROUND($B$6*$B$8*$B$15*$B$17*$B$19*$B$23*$B$25,0)</f>
        <v/>
      </c>
      <c r="AF42" s="10">
        <f>ROUND($B$6*$B$8*$B$15*$B$17*$B$20*$B$22*$B$24,0)</f>
        <v/>
      </c>
      <c r="AG42" s="10">
        <f>ROUND($B$6*$B$8*$B$15*$B$17*$B$20*$B$22*$B$25,0)</f>
        <v/>
      </c>
      <c r="AH42" s="10">
        <f>ROUND($B$6*$B$8*$B$15*$B$17*$B$20*$B$23*$B$24,0)</f>
        <v/>
      </c>
      <c r="AI42" s="10">
        <f>ROUND($B$6*$B$8*$B$15*$B$17*$B$20*$B$23*$B$25,0)</f>
        <v/>
      </c>
      <c r="AJ42" s="10">
        <f>ROUND($B$6*$B$8*$B$15*$B$17*$B$21*$B$22*$B$24,0)</f>
        <v/>
      </c>
      <c r="AK42" s="10">
        <f>ROUND($B$6*$B$8*$B$15*$B$17*$B$21*$B$22*$B$25,0)</f>
        <v/>
      </c>
      <c r="AL42" s="10">
        <f>ROUND($B$6*$B$8*$B$15*$B$17*$B$21*$B$23*$B$24,0)</f>
        <v/>
      </c>
      <c r="AM42" s="10">
        <f>ROUND($B$6*$B$8*$B$15*$B$17*$B$21*$B$23*$B$25,0)</f>
        <v/>
      </c>
    </row>
    <row r="43" ht="20.1" customHeight="1" s="62">
      <c r="A43" s="68" t="n"/>
      <c r="B43" s="59" t="n"/>
      <c r="C43" s="15" t="inlineStr">
        <is>
          <t>Désorganisation élevée</t>
        </is>
      </c>
      <c r="D43" s="10">
        <f>ROUND($B$4*$B$8*$B$15*$B$18*$B$19*$B$22*$B$24,0)</f>
        <v/>
      </c>
      <c r="E43" s="10">
        <f>ROUND($B$4*$B$8*$B$15*$B$18*$B$19*$B$22*$B$25,0)</f>
        <v/>
      </c>
      <c r="F43" s="10">
        <f>ROUND($B$4*$B$8*$B$15*$B$18*$B$19*$B$23*$B$24,0)</f>
        <v/>
      </c>
      <c r="G43" s="10">
        <f>ROUND($B$4*$B$8*$B$15*$B$18*$B$19*$B$23*$B$25,0)</f>
        <v/>
      </c>
      <c r="H43" s="10">
        <f>ROUND($B$4*$B$8*$B$15*$B$18*$B$20*$B$22*$B$24,0)</f>
        <v/>
      </c>
      <c r="I43" s="10">
        <f>ROUND($B$4*$B$8*$B$15*$B$18*$B$20*$B$22*$B$25,0)</f>
        <v/>
      </c>
      <c r="J43" s="10">
        <f>ROUND($B$4*$B$8*$B$15*$B$18*$B$20*$B$23*$B$24,0)</f>
        <v/>
      </c>
      <c r="K43" s="10">
        <f>ROUND($B$4*$B$8*$B$15*$B$18*$B$20*$B$23*$B$25,0)</f>
        <v/>
      </c>
      <c r="L43" s="10">
        <f>ROUND($B$4*$B$8*$B$15*$B$18*$B$21*$B$22*$B$24,0)</f>
        <v/>
      </c>
      <c r="M43" s="10">
        <f>ROUND($B$4*$B$8*$B$15*$B$18*$B$21*$B$22*$B$25,0)</f>
        <v/>
      </c>
      <c r="N43" s="10">
        <f>ROUND($B$4*$B$8*$B$15*$B$18*$B$21*$B$23*$B$24,0)</f>
        <v/>
      </c>
      <c r="O43" s="10">
        <f>ROUND($B$4*$B$8*$B$15*$B$18*$B$21*$B$23*$B$25,0)</f>
        <v/>
      </c>
      <c r="P43" s="10">
        <f>ROUND($B$5*$B$8*$B$15*$B$18*$B$19*$B$22*$B$24,0)</f>
        <v/>
      </c>
      <c r="Q43" s="10">
        <f>ROUND($B$5*$B$8*$B$15*$B$18*$B$19*$B$22*$B$25,0)</f>
        <v/>
      </c>
      <c r="R43" s="10">
        <f>ROUND($B$5*$B$8*$B$15*$B$18*$B$19*$B$23*$B$24,0)</f>
        <v/>
      </c>
      <c r="S43" s="10">
        <f>ROUND($B$5*$B$8*$B$15*$B$18*$B$19*$B$23*$B$25,0)</f>
        <v/>
      </c>
      <c r="T43" s="10">
        <f>ROUND($B$5*$B$8*$B$15*$B$18*$B$20*$B$22*$B$24,0)</f>
        <v/>
      </c>
      <c r="U43" s="10">
        <f>ROUND($B$5*$B$8*$B$15*$B$18*$B$20*$B$22*$B$25,0)</f>
        <v/>
      </c>
      <c r="V43" s="10">
        <f>ROUND($B$5*$B$8*$B$15*$B$18*$B$20*$B$23*$B$24,0)</f>
        <v/>
      </c>
      <c r="W43" s="10">
        <f>ROUND($B$5*$B$8*$B$15*$B$18*$B$20*$B$23*$B$25,0)</f>
        <v/>
      </c>
      <c r="X43" s="10">
        <f>ROUND($B$5*$B$8*$B$15*$B$18*$B$21*$B$22*$B$24,0)</f>
        <v/>
      </c>
      <c r="Y43" s="10">
        <f>ROUND($B$5*$B$8*$B$15*$B$18*$B$21*$B$22*$B$25,0)</f>
        <v/>
      </c>
      <c r="Z43" s="10">
        <f>ROUND($B$5*$B$8*$B$15*$B$18*$B$21*$B$23*$B$24,0)</f>
        <v/>
      </c>
      <c r="AA43" s="10">
        <f>ROUND($B$5*$B$8*$B$15*$B$18*$B$21*$B$23*$B$25,0)</f>
        <v/>
      </c>
      <c r="AB43" s="10">
        <f>ROUND($B$6*$B$8*$B$15*$B$18*$B$19*$B$22*$B$24,0)</f>
        <v/>
      </c>
      <c r="AC43" s="10">
        <f>ROUND($B$6*$B$8*$B$15*$B$18*$B$19*$B$22*$B$25,0)</f>
        <v/>
      </c>
      <c r="AD43" s="10">
        <f>ROUND($B$6*$B$8*$B$15*$B$18*$B$19*$B$23*$B$24,0)</f>
        <v/>
      </c>
      <c r="AE43" s="10">
        <f>ROUND($B$6*$B$8*$B$15*$B$18*$B$19*$B$23*$B$25,0)</f>
        <v/>
      </c>
      <c r="AF43" s="10">
        <f>ROUND($B$6*$B$8*$B$15*$B$18*$B$20*$B$22*$B$24,0)</f>
        <v/>
      </c>
      <c r="AG43" s="10">
        <f>ROUND($B$6*$B$8*$B$15*$B$18*$B$20*$B$22*$B$25,0)</f>
        <v/>
      </c>
      <c r="AH43" s="10">
        <f>ROUND($B$6*$B$8*$B$15*$B$18*$B$20*$B$23*$B$24,0)</f>
        <v/>
      </c>
      <c r="AI43" s="10">
        <f>ROUND($B$6*$B$8*$B$15*$B$18*$B$20*$B$23*$B$25,0)</f>
        <v/>
      </c>
      <c r="AJ43" s="10">
        <f>ROUND($B$6*$B$8*$B$15*$B$18*$B$21*$B$22*$B$24,0)</f>
        <v/>
      </c>
      <c r="AK43" s="10">
        <f>ROUND($B$6*$B$8*$B$15*$B$18*$B$21*$B$22*$B$25,0)</f>
        <v/>
      </c>
      <c r="AL43" s="10">
        <f>ROUND($B$6*$B$8*$B$15*$B$18*$B$21*$B$23*$B$24,0)</f>
        <v/>
      </c>
      <c r="AM43" s="10">
        <f>ROUND($B$6*$B$8*$B$15*$B$18*$B$21*$B$23*$B$25,0)</f>
        <v/>
      </c>
    </row>
    <row r="44" ht="20.1" customHeight="1" s="62">
      <c r="A44" s="66" t="inlineStr">
        <is>
          <t>TPE (6-19 sal.)</t>
        </is>
      </c>
      <c r="B44" s="57" t="inlineStr">
        <is>
          <t>1-2 équipes</t>
        </is>
      </c>
      <c r="C44" s="14" t="inlineStr">
        <is>
          <t>Faible désorganisation</t>
        </is>
      </c>
      <c r="D44" s="10">
        <f>ROUND($B$4*$B$9*$B$12*$B$16*$B$19*$B$22*$B$24,0)</f>
        <v/>
      </c>
      <c r="E44" s="10">
        <f>ROUND($B$4*$B$9*$B$12*$B$16*$B$19*$B$22*$B$25,0)</f>
        <v/>
      </c>
      <c r="F44" s="10">
        <f>ROUND($B$4*$B$9*$B$12*$B$16*$B$19*$B$23*$B$24,0)</f>
        <v/>
      </c>
      <c r="G44" s="10">
        <f>ROUND($B$4*$B$9*$B$12*$B$16*$B$19*$B$23*$B$25,0)</f>
        <v/>
      </c>
      <c r="H44" s="10">
        <f>ROUND($B$4*$B$9*$B$12*$B$16*$B$20*$B$22*$B$24,0)</f>
        <v/>
      </c>
      <c r="I44" s="10">
        <f>ROUND($B$4*$B$9*$B$12*$B$16*$B$20*$B$22*$B$25,0)</f>
        <v/>
      </c>
      <c r="J44" s="10">
        <f>ROUND($B$4*$B$9*$B$12*$B$16*$B$20*$B$23*$B$24,0)</f>
        <v/>
      </c>
      <c r="K44" s="10">
        <f>ROUND($B$4*$B$9*$B$12*$B$16*$B$20*$B$23*$B$25,0)</f>
        <v/>
      </c>
      <c r="L44" s="10">
        <f>ROUND($B$4*$B$9*$B$12*$B$16*$B$21*$B$22*$B$24,0)</f>
        <v/>
      </c>
      <c r="M44" s="10">
        <f>ROUND($B$4*$B$9*$B$12*$B$16*$B$21*$B$22*$B$25,0)</f>
        <v/>
      </c>
      <c r="N44" s="10">
        <f>ROUND($B$4*$B$9*$B$12*$B$16*$B$21*$B$23*$B$24,0)</f>
        <v/>
      </c>
      <c r="O44" s="10">
        <f>ROUND($B$4*$B$9*$B$12*$B$16*$B$21*$B$23*$B$25,0)</f>
        <v/>
      </c>
      <c r="P44" s="10">
        <f>ROUND($B$5*$B$9*$B$12*$B$16*$B$19*$B$22*$B$24,0)</f>
        <v/>
      </c>
      <c r="Q44" s="10">
        <f>ROUND($B$5*$B$9*$B$12*$B$16*$B$19*$B$22*$B$25,0)</f>
        <v/>
      </c>
      <c r="R44" s="10">
        <f>ROUND($B$5*$B$9*$B$12*$B$16*$B$19*$B$23*$B$24,0)</f>
        <v/>
      </c>
      <c r="S44" s="10">
        <f>ROUND($B$5*$B$9*$B$12*$B$16*$B$19*$B$23*$B$25,0)</f>
        <v/>
      </c>
      <c r="T44" s="10">
        <f>ROUND($B$5*$B$9*$B$12*$B$16*$B$20*$B$22*$B$24,0)</f>
        <v/>
      </c>
      <c r="U44" s="10">
        <f>ROUND($B$5*$B$9*$B$12*$B$16*$B$20*$B$22*$B$25,0)</f>
        <v/>
      </c>
      <c r="V44" s="10">
        <f>ROUND($B$5*$B$9*$B$12*$B$16*$B$20*$B$23*$B$24,0)</f>
        <v/>
      </c>
      <c r="W44" s="10">
        <f>ROUND($B$5*$B$9*$B$12*$B$16*$B$20*$B$23*$B$25,0)</f>
        <v/>
      </c>
      <c r="X44" s="10">
        <f>ROUND($B$5*$B$9*$B$12*$B$16*$B$21*$B$22*$B$24,0)</f>
        <v/>
      </c>
      <c r="Y44" s="10">
        <f>ROUND($B$5*$B$9*$B$12*$B$16*$B$21*$B$22*$B$25,0)</f>
        <v/>
      </c>
      <c r="Z44" s="10">
        <f>ROUND($B$5*$B$9*$B$12*$B$16*$B$21*$B$23*$B$24,0)</f>
        <v/>
      </c>
      <c r="AA44" s="10">
        <f>ROUND($B$5*$B$9*$B$12*$B$16*$B$21*$B$23*$B$25,0)</f>
        <v/>
      </c>
      <c r="AB44" s="10">
        <f>ROUND($B$6*$B$9*$B$12*$B$16*$B$19*$B$22*$B$24,0)</f>
        <v/>
      </c>
      <c r="AC44" s="10">
        <f>ROUND($B$6*$B$9*$B$12*$B$16*$B$19*$B$22*$B$25,0)</f>
        <v/>
      </c>
      <c r="AD44" s="10">
        <f>ROUND($B$6*$B$9*$B$12*$B$16*$B$19*$B$23*$B$24,0)</f>
        <v/>
      </c>
      <c r="AE44" s="10">
        <f>ROUND($B$6*$B$9*$B$12*$B$16*$B$19*$B$23*$B$25,0)</f>
        <v/>
      </c>
      <c r="AF44" s="10">
        <f>ROUND($B$6*$B$9*$B$12*$B$16*$B$20*$B$22*$B$24,0)</f>
        <v/>
      </c>
      <c r="AG44" s="10">
        <f>ROUND($B$6*$B$9*$B$12*$B$16*$B$20*$B$22*$B$25,0)</f>
        <v/>
      </c>
      <c r="AH44" s="10">
        <f>ROUND($B$6*$B$9*$B$12*$B$16*$B$20*$B$23*$B$24,0)</f>
        <v/>
      </c>
      <c r="AI44" s="10">
        <f>ROUND($B$6*$B$9*$B$12*$B$16*$B$20*$B$23*$B$25,0)</f>
        <v/>
      </c>
      <c r="AJ44" s="10">
        <f>ROUND($B$6*$B$9*$B$12*$B$16*$B$21*$B$22*$B$24,0)</f>
        <v/>
      </c>
      <c r="AK44" s="10">
        <f>ROUND($B$6*$B$9*$B$12*$B$16*$B$21*$B$22*$B$25,0)</f>
        <v/>
      </c>
      <c r="AL44" s="10">
        <f>ROUND($B$6*$B$9*$B$12*$B$16*$B$21*$B$23*$B$24,0)</f>
        <v/>
      </c>
      <c r="AM44" s="10">
        <f>ROUND($B$6*$B$9*$B$12*$B$16*$B$21*$B$23*$B$25,0)</f>
        <v/>
      </c>
    </row>
    <row r="45" ht="20.1" customHeight="1" s="62">
      <c r="A45" s="67" t="n"/>
      <c r="B45" s="58" t="n"/>
      <c r="C45" s="57" t="inlineStr">
        <is>
          <t>Désorganisation modérée</t>
        </is>
      </c>
      <c r="D45" s="10">
        <f>ROUND($B$4*$B$9*$B$12*$B$17*$B$19*$B$22*$B$24,0)</f>
        <v/>
      </c>
      <c r="E45" s="10">
        <f>ROUND($B$4*$B$9*$B$12*$B$17*$B$19*$B$22*$B$25,0)</f>
        <v/>
      </c>
      <c r="F45" s="10">
        <f>ROUND($B$4*$B$9*$B$12*$B$17*$B$19*$B$23*$B$24,0)</f>
        <v/>
      </c>
      <c r="G45" s="10">
        <f>ROUND($B$4*$B$9*$B$12*$B$17*$B$19*$B$23*$B$25,0)</f>
        <v/>
      </c>
      <c r="H45" s="10">
        <f>ROUND($B$4*$B$9*$B$12*$B$17*$B$20*$B$22*$B$24,0)</f>
        <v/>
      </c>
      <c r="I45" s="10">
        <f>ROUND($B$4*$B$9*$B$12*$B$17*$B$20*$B$22*$B$25,0)</f>
        <v/>
      </c>
      <c r="J45" s="10">
        <f>ROUND($B$4*$B$9*$B$12*$B$17*$B$20*$B$23*$B$24,0)</f>
        <v/>
      </c>
      <c r="K45" s="10">
        <f>ROUND($B$4*$B$9*$B$12*$B$17*$B$20*$B$23*$B$25,0)</f>
        <v/>
      </c>
      <c r="L45" s="10">
        <f>ROUND($B$4*$B$9*$B$12*$B$17*$B$21*$B$22*$B$24,0)</f>
        <v/>
      </c>
      <c r="M45" s="10">
        <f>ROUND($B$4*$B$9*$B$12*$B$17*$B$21*$B$22*$B$25,0)</f>
        <v/>
      </c>
      <c r="N45" s="10">
        <f>ROUND($B$4*$B$9*$B$12*$B$17*$B$21*$B$23*$B$24,0)</f>
        <v/>
      </c>
      <c r="O45" s="10">
        <f>ROUND($B$4*$B$9*$B$12*$B$17*$B$21*$B$23*$B$25,0)</f>
        <v/>
      </c>
      <c r="P45" s="10">
        <f>ROUND($B$5*$B$9*$B$12*$B$17*$B$19*$B$22*$B$24,0)</f>
        <v/>
      </c>
      <c r="Q45" s="10">
        <f>ROUND($B$5*$B$9*$B$12*$B$17*$B$19*$B$22*$B$25,0)</f>
        <v/>
      </c>
      <c r="R45" s="10">
        <f>ROUND($B$5*$B$9*$B$12*$B$17*$B$19*$B$23*$B$24,0)</f>
        <v/>
      </c>
      <c r="S45" s="10">
        <f>ROUND($B$5*$B$9*$B$12*$B$17*$B$19*$B$23*$B$25,0)</f>
        <v/>
      </c>
      <c r="T45" s="10">
        <f>ROUND($B$5*$B$9*$B$12*$B$17*$B$20*$B$22*$B$24,0)</f>
        <v/>
      </c>
      <c r="U45" s="10">
        <f>ROUND($B$5*$B$9*$B$12*$B$17*$B$20*$B$22*$B$25,0)</f>
        <v/>
      </c>
      <c r="V45" s="10">
        <f>ROUND($B$5*$B$9*$B$12*$B$17*$B$20*$B$23*$B$24,0)</f>
        <v/>
      </c>
      <c r="W45" s="10">
        <f>ROUND($B$5*$B$9*$B$12*$B$17*$B$20*$B$23*$B$25,0)</f>
        <v/>
      </c>
      <c r="X45" s="10">
        <f>ROUND($B$5*$B$9*$B$12*$B$17*$B$21*$B$22*$B$24,0)</f>
        <v/>
      </c>
      <c r="Y45" s="10">
        <f>ROUND($B$5*$B$9*$B$12*$B$17*$B$21*$B$22*$B$25,0)</f>
        <v/>
      </c>
      <c r="Z45" s="10">
        <f>ROUND($B$5*$B$9*$B$12*$B$17*$B$21*$B$23*$B$24,0)</f>
        <v/>
      </c>
      <c r="AA45" s="10">
        <f>ROUND($B$5*$B$9*$B$12*$B$17*$B$21*$B$23*$B$25,0)</f>
        <v/>
      </c>
      <c r="AB45" s="10">
        <f>ROUND($B$6*$B$9*$B$12*$B$17*$B$19*$B$22*$B$24,0)</f>
        <v/>
      </c>
      <c r="AC45" s="10">
        <f>ROUND($B$6*$B$9*$B$12*$B$17*$B$19*$B$22*$B$25,0)</f>
        <v/>
      </c>
      <c r="AD45" s="10">
        <f>ROUND($B$6*$B$9*$B$12*$B$17*$B$19*$B$23*$B$24,0)</f>
        <v/>
      </c>
      <c r="AE45" s="10">
        <f>ROUND($B$6*$B$9*$B$12*$B$17*$B$19*$B$23*$B$25,0)</f>
        <v/>
      </c>
      <c r="AF45" s="10">
        <f>ROUND($B$6*$B$9*$B$12*$B$17*$B$20*$B$22*$B$24,0)</f>
        <v/>
      </c>
      <c r="AG45" s="10">
        <f>ROUND($B$6*$B$9*$B$12*$B$17*$B$20*$B$22*$B$25,0)</f>
        <v/>
      </c>
      <c r="AH45" s="10">
        <f>ROUND($B$6*$B$9*$B$12*$B$17*$B$20*$B$23*$B$24,0)</f>
        <v/>
      </c>
      <c r="AI45" s="10">
        <f>ROUND($B$6*$B$9*$B$12*$B$17*$B$20*$B$23*$B$25,0)</f>
        <v/>
      </c>
      <c r="AJ45" s="10">
        <f>ROUND($B$6*$B$9*$B$12*$B$17*$B$21*$B$22*$B$24,0)</f>
        <v/>
      </c>
      <c r="AK45" s="10">
        <f>ROUND($B$6*$B$9*$B$12*$B$17*$B$21*$B$22*$B$25,0)</f>
        <v/>
      </c>
      <c r="AL45" s="10">
        <f>ROUND($B$6*$B$9*$B$12*$B$17*$B$21*$B$23*$B$24,0)</f>
        <v/>
      </c>
      <c r="AM45" s="10">
        <f>ROUND($B$6*$B$9*$B$12*$B$17*$B$21*$B$23*$B$25,0)</f>
        <v/>
      </c>
    </row>
    <row r="46" ht="20.1" customHeight="1" s="62">
      <c r="A46" s="67" t="n"/>
      <c r="B46" s="59" t="n"/>
      <c r="C46" s="15" t="inlineStr">
        <is>
          <t>Désorganisation élevée</t>
        </is>
      </c>
      <c r="D46" s="10">
        <f>ROUND($B$4*$B$9*$B$12*$B$18*$B$19*$B$22*$B$24,0)</f>
        <v/>
      </c>
      <c r="E46" s="10">
        <f>ROUND($B$4*$B$9*$B$12*$B$18*$B$19*$B$22*$B$25,0)</f>
        <v/>
      </c>
      <c r="F46" s="10">
        <f>ROUND($B$4*$B$9*$B$12*$B$18*$B$19*$B$23*$B$24,0)</f>
        <v/>
      </c>
      <c r="G46" s="10">
        <f>ROUND($B$4*$B$9*$B$12*$B$18*$B$19*$B$23*$B$25,0)</f>
        <v/>
      </c>
      <c r="H46" s="10">
        <f>ROUND($B$4*$B$9*$B$12*$B$18*$B$20*$B$22*$B$24,0)</f>
        <v/>
      </c>
      <c r="I46" s="10">
        <f>ROUND($B$4*$B$9*$B$12*$B$18*$B$20*$B$22*$B$25,0)</f>
        <v/>
      </c>
      <c r="J46" s="10">
        <f>ROUND($B$4*$B$9*$B$12*$B$18*$B$20*$B$23*$B$24,0)</f>
        <v/>
      </c>
      <c r="K46" s="10">
        <f>ROUND($B$4*$B$9*$B$12*$B$18*$B$20*$B$23*$B$25,0)</f>
        <v/>
      </c>
      <c r="L46" s="10">
        <f>ROUND($B$4*$B$9*$B$12*$B$18*$B$21*$B$22*$B$24,0)</f>
        <v/>
      </c>
      <c r="M46" s="10">
        <f>ROUND($B$4*$B$9*$B$12*$B$18*$B$21*$B$22*$B$25,0)</f>
        <v/>
      </c>
      <c r="N46" s="10">
        <f>ROUND($B$4*$B$9*$B$12*$B$18*$B$21*$B$23*$B$24,0)</f>
        <v/>
      </c>
      <c r="O46" s="10">
        <f>ROUND($B$4*$B$9*$B$12*$B$18*$B$21*$B$23*$B$25,0)</f>
        <v/>
      </c>
      <c r="P46" s="10">
        <f>ROUND($B$5*$B$9*$B$12*$B$18*$B$19*$B$22*$B$24,0)</f>
        <v/>
      </c>
      <c r="Q46" s="10">
        <f>ROUND($B$5*$B$9*$B$12*$B$18*$B$19*$B$22*$B$25,0)</f>
        <v/>
      </c>
      <c r="R46" s="10">
        <f>ROUND($B$5*$B$9*$B$12*$B$18*$B$19*$B$23*$B$24,0)</f>
        <v/>
      </c>
      <c r="S46" s="10">
        <f>ROUND($B$5*$B$9*$B$12*$B$18*$B$19*$B$23*$B$25,0)</f>
        <v/>
      </c>
      <c r="T46" s="10">
        <f>ROUND($B$5*$B$9*$B$12*$B$18*$B$20*$B$22*$B$24,0)</f>
        <v/>
      </c>
      <c r="U46" s="10">
        <f>ROUND($B$5*$B$9*$B$12*$B$18*$B$20*$B$22*$B$25,0)</f>
        <v/>
      </c>
      <c r="V46" s="10">
        <f>ROUND($B$5*$B$9*$B$12*$B$18*$B$20*$B$23*$B$24,0)</f>
        <v/>
      </c>
      <c r="W46" s="10">
        <f>ROUND($B$5*$B$9*$B$12*$B$18*$B$20*$B$23*$B$25,0)</f>
        <v/>
      </c>
      <c r="X46" s="10">
        <f>ROUND($B$5*$B$9*$B$12*$B$18*$B$21*$B$22*$B$24,0)</f>
        <v/>
      </c>
      <c r="Y46" s="10">
        <f>ROUND($B$5*$B$9*$B$12*$B$18*$B$21*$B$22*$B$25,0)</f>
        <v/>
      </c>
      <c r="Z46" s="10">
        <f>ROUND($B$5*$B$9*$B$12*$B$18*$B$21*$B$23*$B$24,0)</f>
        <v/>
      </c>
      <c r="AA46" s="10">
        <f>ROUND($B$5*$B$9*$B$12*$B$18*$B$21*$B$23*$B$25,0)</f>
        <v/>
      </c>
      <c r="AB46" s="10">
        <f>ROUND($B$6*$B$9*$B$12*$B$18*$B$19*$B$22*$B$24,0)</f>
        <v/>
      </c>
      <c r="AC46" s="10">
        <f>ROUND($B$6*$B$9*$B$12*$B$18*$B$19*$B$22*$B$25,0)</f>
        <v/>
      </c>
      <c r="AD46" s="10">
        <f>ROUND($B$6*$B$9*$B$12*$B$18*$B$19*$B$23*$B$24,0)</f>
        <v/>
      </c>
      <c r="AE46" s="10">
        <f>ROUND($B$6*$B$9*$B$12*$B$18*$B$19*$B$23*$B$25,0)</f>
        <v/>
      </c>
      <c r="AF46" s="10">
        <f>ROUND($B$6*$B$9*$B$12*$B$18*$B$20*$B$22*$B$24,0)</f>
        <v/>
      </c>
      <c r="AG46" s="10">
        <f>ROUND($B$6*$B$9*$B$12*$B$18*$B$20*$B$22*$B$25,0)</f>
        <v/>
      </c>
      <c r="AH46" s="10">
        <f>ROUND($B$6*$B$9*$B$12*$B$18*$B$20*$B$23*$B$24,0)</f>
        <v/>
      </c>
      <c r="AI46" s="10">
        <f>ROUND($B$6*$B$9*$B$12*$B$18*$B$20*$B$23*$B$25,0)</f>
        <v/>
      </c>
      <c r="AJ46" s="10">
        <f>ROUND($B$6*$B$9*$B$12*$B$18*$B$21*$B$22*$B$24,0)</f>
        <v/>
      </c>
      <c r="AK46" s="10">
        <f>ROUND($B$6*$B$9*$B$12*$B$18*$B$21*$B$22*$B$25,0)</f>
        <v/>
      </c>
      <c r="AL46" s="10">
        <f>ROUND($B$6*$B$9*$B$12*$B$18*$B$21*$B$23*$B$24,0)</f>
        <v/>
      </c>
      <c r="AM46" s="10">
        <f>ROUND($B$6*$B$9*$B$12*$B$18*$B$21*$B$23*$B$25,0)</f>
        <v/>
      </c>
    </row>
    <row r="47" ht="20.1" customHeight="1" s="62">
      <c r="A47" s="67" t="n"/>
      <c r="B47" s="57" t="inlineStr">
        <is>
          <t>3-5 équipes</t>
        </is>
      </c>
      <c r="C47" s="14" t="inlineStr">
        <is>
          <t>Faible désorganisation</t>
        </is>
      </c>
      <c r="D47" s="10">
        <f>ROUND($B$4*$B$9*$B$13*$B$16*$B$19*$B$22*$B$24,0)</f>
        <v/>
      </c>
      <c r="E47" s="10">
        <f>ROUND($B$4*$B$9*$B$13*$B$16*$B$19*$B$22*$B$25,0)</f>
        <v/>
      </c>
      <c r="F47" s="10">
        <f>ROUND($B$4*$B$9*$B$13*$B$16*$B$19*$B$23*$B$24,0)</f>
        <v/>
      </c>
      <c r="G47" s="10">
        <f>ROUND($B$4*$B$9*$B$13*$B$16*$B$19*$B$23*$B$25,0)</f>
        <v/>
      </c>
      <c r="H47" s="10">
        <f>ROUND($B$4*$B$9*$B$13*$B$16*$B$20*$B$22*$B$24,0)</f>
        <v/>
      </c>
      <c r="I47" s="10">
        <f>ROUND($B$4*$B$9*$B$13*$B$16*$B$20*$B$22*$B$25,0)</f>
        <v/>
      </c>
      <c r="J47" s="10">
        <f>ROUND($B$4*$B$9*$B$13*$B$16*$B$20*$B$23*$B$24,0)</f>
        <v/>
      </c>
      <c r="K47" s="10">
        <f>ROUND($B$4*$B$9*$B$13*$B$16*$B$20*$B$23*$B$25,0)</f>
        <v/>
      </c>
      <c r="L47" s="10">
        <f>ROUND($B$4*$B$9*$B$13*$B$16*$B$21*$B$22*$B$24,0)</f>
        <v/>
      </c>
      <c r="M47" s="10">
        <f>ROUND($B$4*$B$9*$B$13*$B$16*$B$21*$B$22*$B$25,0)</f>
        <v/>
      </c>
      <c r="N47" s="10">
        <f>ROUND($B$4*$B$9*$B$13*$B$16*$B$21*$B$23*$B$24,0)</f>
        <v/>
      </c>
      <c r="O47" s="10">
        <f>ROUND($B$4*$B$9*$B$13*$B$16*$B$21*$B$23*$B$25,0)</f>
        <v/>
      </c>
      <c r="P47" s="10">
        <f>ROUND($B$5*$B$9*$B$13*$B$16*$B$19*$B$22*$B$24,0)</f>
        <v/>
      </c>
      <c r="Q47" s="10">
        <f>ROUND($B$5*$B$9*$B$13*$B$16*$B$19*$B$22*$B$25,0)</f>
        <v/>
      </c>
      <c r="R47" s="10">
        <f>ROUND($B$5*$B$9*$B$13*$B$16*$B$19*$B$23*$B$24,0)</f>
        <v/>
      </c>
      <c r="S47" s="10">
        <f>ROUND($B$5*$B$9*$B$13*$B$16*$B$19*$B$23*$B$25,0)</f>
        <v/>
      </c>
      <c r="T47" s="10">
        <f>ROUND($B$5*$B$9*$B$13*$B$16*$B$20*$B$22*$B$24,0)</f>
        <v/>
      </c>
      <c r="U47" s="10">
        <f>ROUND($B$5*$B$9*$B$13*$B$16*$B$20*$B$22*$B$25,0)</f>
        <v/>
      </c>
      <c r="V47" s="10">
        <f>ROUND($B$5*$B$9*$B$13*$B$16*$B$20*$B$23*$B$24,0)</f>
        <v/>
      </c>
      <c r="W47" s="10">
        <f>ROUND($B$5*$B$9*$B$13*$B$16*$B$20*$B$23*$B$25,0)</f>
        <v/>
      </c>
      <c r="X47" s="10">
        <f>ROUND($B$5*$B$9*$B$13*$B$16*$B$21*$B$22*$B$24,0)</f>
        <v/>
      </c>
      <c r="Y47" s="10">
        <f>ROUND($B$5*$B$9*$B$13*$B$16*$B$21*$B$22*$B$25,0)</f>
        <v/>
      </c>
      <c r="Z47" s="10">
        <f>ROUND($B$5*$B$9*$B$13*$B$16*$B$21*$B$23*$B$24,0)</f>
        <v/>
      </c>
      <c r="AA47" s="10">
        <f>ROUND($B$5*$B$9*$B$13*$B$16*$B$21*$B$23*$B$25,0)</f>
        <v/>
      </c>
      <c r="AB47" s="10">
        <f>ROUND($B$6*$B$9*$B$13*$B$16*$B$19*$B$22*$B$24,0)</f>
        <v/>
      </c>
      <c r="AC47" s="10">
        <f>ROUND($B$6*$B$9*$B$13*$B$16*$B$19*$B$22*$B$25,0)</f>
        <v/>
      </c>
      <c r="AD47" s="10">
        <f>ROUND($B$6*$B$9*$B$13*$B$16*$B$19*$B$23*$B$24,0)</f>
        <v/>
      </c>
      <c r="AE47" s="10">
        <f>ROUND($B$6*$B$9*$B$13*$B$16*$B$19*$B$23*$B$25,0)</f>
        <v/>
      </c>
      <c r="AF47" s="10">
        <f>ROUND($B$6*$B$9*$B$13*$B$16*$B$20*$B$22*$B$24,0)</f>
        <v/>
      </c>
      <c r="AG47" s="10">
        <f>ROUND($B$6*$B$9*$B$13*$B$16*$B$20*$B$22*$B$25,0)</f>
        <v/>
      </c>
      <c r="AH47" s="10">
        <f>ROUND($B$6*$B$9*$B$13*$B$16*$B$20*$B$23*$B$24,0)</f>
        <v/>
      </c>
      <c r="AI47" s="10">
        <f>ROUND($B$6*$B$9*$B$13*$B$16*$B$20*$B$23*$B$25,0)</f>
        <v/>
      </c>
      <c r="AJ47" s="10">
        <f>ROUND($B$6*$B$9*$B$13*$B$16*$B$21*$B$22*$B$24,0)</f>
        <v/>
      </c>
      <c r="AK47" s="10">
        <f>ROUND($B$6*$B$9*$B$13*$B$16*$B$21*$B$22*$B$25,0)</f>
        <v/>
      </c>
      <c r="AL47" s="10">
        <f>ROUND($B$6*$B$9*$B$13*$B$16*$B$21*$B$23*$B$24,0)</f>
        <v/>
      </c>
      <c r="AM47" s="10">
        <f>ROUND($B$6*$B$9*$B$13*$B$16*$B$21*$B$23*$B$25,0)</f>
        <v/>
      </c>
    </row>
    <row r="48" ht="20.1" customHeight="1" s="62">
      <c r="A48" s="67" t="n"/>
      <c r="B48" s="58" t="n"/>
      <c r="C48" s="57" t="inlineStr">
        <is>
          <t>Désorganisation modérée</t>
        </is>
      </c>
      <c r="D48" s="10">
        <f>ROUND($B$4*$B$9*$B$13*$B$17*$B$19*$B$22*$B$24,0)</f>
        <v/>
      </c>
      <c r="E48" s="10">
        <f>ROUND($B$4*$B$9*$B$13*$B$17*$B$19*$B$22*$B$25,0)</f>
        <v/>
      </c>
      <c r="F48" s="10">
        <f>ROUND($B$4*$B$9*$B$13*$B$17*$B$19*$B$23*$B$24,0)</f>
        <v/>
      </c>
      <c r="G48" s="10">
        <f>ROUND($B$4*$B$9*$B$13*$B$17*$B$19*$B$23*$B$25,0)</f>
        <v/>
      </c>
      <c r="H48" s="10">
        <f>ROUND($B$4*$B$9*$B$13*$B$17*$B$20*$B$22*$B$24,0)</f>
        <v/>
      </c>
      <c r="I48" s="10">
        <f>ROUND($B$4*$B$9*$B$13*$B$17*$B$20*$B$22*$B$25,0)</f>
        <v/>
      </c>
      <c r="J48" s="10">
        <f>ROUND($B$4*$B$9*$B$13*$B$17*$B$20*$B$23*$B$24,0)</f>
        <v/>
      </c>
      <c r="K48" s="10">
        <f>ROUND($B$4*$B$9*$B$13*$B$17*$B$20*$B$23*$B$25,0)</f>
        <v/>
      </c>
      <c r="L48" s="10">
        <f>ROUND($B$4*$B$9*$B$13*$B$17*$B$21*$B$22*$B$24,0)</f>
        <v/>
      </c>
      <c r="M48" s="10">
        <f>ROUND($B$4*$B$9*$B$13*$B$17*$B$21*$B$22*$B$25,0)</f>
        <v/>
      </c>
      <c r="N48" s="10">
        <f>ROUND($B$4*$B$9*$B$13*$B$17*$B$21*$B$23*$B$24,0)</f>
        <v/>
      </c>
      <c r="O48" s="10">
        <f>ROUND($B$4*$B$9*$B$13*$B$17*$B$21*$B$23*$B$25,0)</f>
        <v/>
      </c>
      <c r="P48" s="10">
        <f>ROUND($B$5*$B$9*$B$13*$B$17*$B$19*$B$22*$B$24,0)</f>
        <v/>
      </c>
      <c r="Q48" s="10">
        <f>ROUND($B$5*$B$9*$B$13*$B$17*$B$19*$B$22*$B$25,0)</f>
        <v/>
      </c>
      <c r="R48" s="10">
        <f>ROUND($B$5*$B$9*$B$13*$B$17*$B$19*$B$23*$B$24,0)</f>
        <v/>
      </c>
      <c r="S48" s="10">
        <f>ROUND($B$5*$B$9*$B$13*$B$17*$B$19*$B$23*$B$25,0)</f>
        <v/>
      </c>
      <c r="T48" s="10">
        <f>ROUND($B$5*$B$9*$B$13*$B$17*$B$20*$B$22*$B$24,0)</f>
        <v/>
      </c>
      <c r="U48" s="10">
        <f>ROUND($B$5*$B$9*$B$13*$B$17*$B$20*$B$22*$B$25,0)</f>
        <v/>
      </c>
      <c r="V48" s="10">
        <f>ROUND($B$5*$B$9*$B$13*$B$17*$B$20*$B$23*$B$24,0)</f>
        <v/>
      </c>
      <c r="W48" s="10">
        <f>ROUND($B$5*$B$9*$B$13*$B$17*$B$20*$B$23*$B$25,0)</f>
        <v/>
      </c>
      <c r="X48" s="10">
        <f>ROUND($B$5*$B$9*$B$13*$B$17*$B$21*$B$22*$B$24,0)</f>
        <v/>
      </c>
      <c r="Y48" s="10">
        <f>ROUND($B$5*$B$9*$B$13*$B$17*$B$21*$B$22*$B$25,0)</f>
        <v/>
      </c>
      <c r="Z48" s="10">
        <f>ROUND($B$5*$B$9*$B$13*$B$17*$B$21*$B$23*$B$24,0)</f>
        <v/>
      </c>
      <c r="AA48" s="10">
        <f>ROUND($B$5*$B$9*$B$13*$B$17*$B$21*$B$23*$B$25,0)</f>
        <v/>
      </c>
      <c r="AB48" s="10">
        <f>ROUND($B$6*$B$9*$B$13*$B$17*$B$19*$B$22*$B$24,0)</f>
        <v/>
      </c>
      <c r="AC48" s="10">
        <f>ROUND($B$6*$B$9*$B$13*$B$17*$B$19*$B$22*$B$25,0)</f>
        <v/>
      </c>
      <c r="AD48" s="10">
        <f>ROUND($B$6*$B$9*$B$13*$B$17*$B$19*$B$23*$B$24,0)</f>
        <v/>
      </c>
      <c r="AE48" s="10">
        <f>ROUND($B$6*$B$9*$B$13*$B$17*$B$19*$B$23*$B$25,0)</f>
        <v/>
      </c>
      <c r="AF48" s="10">
        <f>ROUND($B$6*$B$9*$B$13*$B$17*$B$20*$B$22*$B$24,0)</f>
        <v/>
      </c>
      <c r="AG48" s="10">
        <f>ROUND($B$6*$B$9*$B$13*$B$17*$B$20*$B$22*$B$25,0)</f>
        <v/>
      </c>
      <c r="AH48" s="10">
        <f>ROUND($B$6*$B$9*$B$13*$B$17*$B$20*$B$23*$B$24,0)</f>
        <v/>
      </c>
      <c r="AI48" s="10">
        <f>ROUND($B$6*$B$9*$B$13*$B$17*$B$20*$B$23*$B$25,0)</f>
        <v/>
      </c>
      <c r="AJ48" s="10">
        <f>ROUND($B$6*$B$9*$B$13*$B$17*$B$21*$B$22*$B$24,0)</f>
        <v/>
      </c>
      <c r="AK48" s="10">
        <f>ROUND($B$6*$B$9*$B$13*$B$17*$B$21*$B$22*$B$25,0)</f>
        <v/>
      </c>
      <c r="AL48" s="10">
        <f>ROUND($B$6*$B$9*$B$13*$B$17*$B$21*$B$23*$B$24,0)</f>
        <v/>
      </c>
      <c r="AM48" s="10">
        <f>ROUND($B$6*$B$9*$B$13*$B$17*$B$21*$B$23*$B$25,0)</f>
        <v/>
      </c>
    </row>
    <row r="49" ht="20.1" customHeight="1" s="62">
      <c r="A49" s="67" t="n"/>
      <c r="B49" s="59" t="n"/>
      <c r="C49" s="15" t="inlineStr">
        <is>
          <t>Désorganisation élevée</t>
        </is>
      </c>
      <c r="D49" s="10">
        <f>ROUND($B$4*$B$9*$B$13*$B$18*$B$19*$B$22*$B$24,0)</f>
        <v/>
      </c>
      <c r="E49" s="10">
        <f>ROUND($B$4*$B$9*$B$13*$B$18*$B$19*$B$22*$B$25,0)</f>
        <v/>
      </c>
      <c r="F49" s="10">
        <f>ROUND($B$4*$B$9*$B$13*$B$18*$B$19*$B$23*$B$24,0)</f>
        <v/>
      </c>
      <c r="G49" s="10">
        <f>ROUND($B$4*$B$9*$B$13*$B$18*$B$19*$B$23*$B$25,0)</f>
        <v/>
      </c>
      <c r="H49" s="10">
        <f>ROUND($B$4*$B$9*$B$13*$B$18*$B$20*$B$22*$B$24,0)</f>
        <v/>
      </c>
      <c r="I49" s="10">
        <f>ROUND($B$4*$B$9*$B$13*$B$18*$B$20*$B$22*$B$25,0)</f>
        <v/>
      </c>
      <c r="J49" s="10">
        <f>ROUND($B$4*$B$9*$B$13*$B$18*$B$20*$B$23*$B$24,0)</f>
        <v/>
      </c>
      <c r="K49" s="10">
        <f>ROUND($B$4*$B$9*$B$13*$B$18*$B$20*$B$23*$B$25,0)</f>
        <v/>
      </c>
      <c r="L49" s="10">
        <f>ROUND($B$4*$B$9*$B$13*$B$18*$B$21*$B$22*$B$24,0)</f>
        <v/>
      </c>
      <c r="M49" s="10">
        <f>ROUND($B$4*$B$9*$B$13*$B$18*$B$21*$B$22*$B$25,0)</f>
        <v/>
      </c>
      <c r="N49" s="10">
        <f>ROUND($B$4*$B$9*$B$13*$B$18*$B$21*$B$23*$B$24,0)</f>
        <v/>
      </c>
      <c r="O49" s="10">
        <f>ROUND($B$4*$B$9*$B$13*$B$18*$B$21*$B$23*$B$25,0)</f>
        <v/>
      </c>
      <c r="P49" s="10">
        <f>ROUND($B$5*$B$9*$B$13*$B$18*$B$19*$B$22*$B$24,0)</f>
        <v/>
      </c>
      <c r="Q49" s="10">
        <f>ROUND($B$5*$B$9*$B$13*$B$18*$B$19*$B$22*$B$25,0)</f>
        <v/>
      </c>
      <c r="R49" s="10">
        <f>ROUND($B$5*$B$9*$B$13*$B$18*$B$19*$B$23*$B$24,0)</f>
        <v/>
      </c>
      <c r="S49" s="10">
        <f>ROUND($B$5*$B$9*$B$13*$B$18*$B$19*$B$23*$B$25,0)</f>
        <v/>
      </c>
      <c r="T49" s="10">
        <f>ROUND($B$5*$B$9*$B$13*$B$18*$B$20*$B$22*$B$24,0)</f>
        <v/>
      </c>
      <c r="U49" s="10">
        <f>ROUND($B$5*$B$9*$B$13*$B$18*$B$20*$B$22*$B$25,0)</f>
        <v/>
      </c>
      <c r="V49" s="10">
        <f>ROUND($B$5*$B$9*$B$13*$B$18*$B$20*$B$23*$B$24,0)</f>
        <v/>
      </c>
      <c r="W49" s="10">
        <f>ROUND($B$5*$B$9*$B$13*$B$18*$B$20*$B$23*$B$25,0)</f>
        <v/>
      </c>
      <c r="X49" s="10">
        <f>ROUND($B$5*$B$9*$B$13*$B$18*$B$21*$B$22*$B$24,0)</f>
        <v/>
      </c>
      <c r="Y49" s="10">
        <f>ROUND($B$5*$B$9*$B$13*$B$18*$B$21*$B$22*$B$25,0)</f>
        <v/>
      </c>
      <c r="Z49" s="10">
        <f>ROUND($B$5*$B$9*$B$13*$B$18*$B$21*$B$23*$B$24,0)</f>
        <v/>
      </c>
      <c r="AA49" s="10">
        <f>ROUND($B$5*$B$9*$B$13*$B$18*$B$21*$B$23*$B$25,0)</f>
        <v/>
      </c>
      <c r="AB49" s="10">
        <f>ROUND($B$6*$B$9*$B$13*$B$18*$B$19*$B$22*$B$24,0)</f>
        <v/>
      </c>
      <c r="AC49" s="10">
        <f>ROUND($B$6*$B$9*$B$13*$B$18*$B$19*$B$22*$B$25,0)</f>
        <v/>
      </c>
      <c r="AD49" s="10">
        <f>ROUND($B$6*$B$9*$B$13*$B$18*$B$19*$B$23*$B$24,0)</f>
        <v/>
      </c>
      <c r="AE49" s="10">
        <f>ROUND($B$6*$B$9*$B$13*$B$18*$B$19*$B$23*$B$25,0)</f>
        <v/>
      </c>
      <c r="AF49" s="10">
        <f>ROUND($B$6*$B$9*$B$13*$B$18*$B$20*$B$22*$B$24,0)</f>
        <v/>
      </c>
      <c r="AG49" s="10">
        <f>ROUND($B$6*$B$9*$B$13*$B$18*$B$20*$B$22*$B$25,0)</f>
        <v/>
      </c>
      <c r="AH49" s="10">
        <f>ROUND($B$6*$B$9*$B$13*$B$18*$B$20*$B$23*$B$24,0)</f>
        <v/>
      </c>
      <c r="AI49" s="10">
        <f>ROUND($B$6*$B$9*$B$13*$B$18*$B$20*$B$23*$B$25,0)</f>
        <v/>
      </c>
      <c r="AJ49" s="10">
        <f>ROUND($B$6*$B$9*$B$13*$B$18*$B$21*$B$22*$B$24,0)</f>
        <v/>
      </c>
      <c r="AK49" s="10">
        <f>ROUND($B$6*$B$9*$B$13*$B$18*$B$21*$B$22*$B$25,0)</f>
        <v/>
      </c>
      <c r="AL49" s="10">
        <f>ROUND($B$6*$B$9*$B$13*$B$18*$B$21*$B$23*$B$24,0)</f>
        <v/>
      </c>
      <c r="AM49" s="10">
        <f>ROUND($B$6*$B$9*$B$13*$B$18*$B$21*$B$23*$B$25,0)</f>
        <v/>
      </c>
    </row>
    <row r="50" ht="20.1" customHeight="1" s="62">
      <c r="A50" s="67" t="n"/>
      <c r="B50" s="57" t="inlineStr">
        <is>
          <t>6-10 équipes</t>
        </is>
      </c>
      <c r="C50" s="14" t="inlineStr">
        <is>
          <t>Faible désorganisation</t>
        </is>
      </c>
      <c r="D50" s="10">
        <f>ROUND($B$4*$B$9*$B$14*$B$16*$B$19*$B$22*$B$24,0)</f>
        <v/>
      </c>
      <c r="E50" s="10">
        <f>ROUND($B$4*$B$9*$B$14*$B$16*$B$19*$B$22*$B$25,0)</f>
        <v/>
      </c>
      <c r="F50" s="10">
        <f>ROUND($B$4*$B$9*$B$14*$B$16*$B$19*$B$23*$B$24,0)</f>
        <v/>
      </c>
      <c r="G50" s="10">
        <f>ROUND($B$4*$B$9*$B$14*$B$16*$B$19*$B$23*$B$25,0)</f>
        <v/>
      </c>
      <c r="H50" s="10">
        <f>ROUND($B$4*$B$9*$B$14*$B$16*$B$20*$B$22*$B$24,0)</f>
        <v/>
      </c>
      <c r="I50" s="10">
        <f>ROUND($B$4*$B$9*$B$14*$B$16*$B$20*$B$22*$B$25,0)</f>
        <v/>
      </c>
      <c r="J50" s="10">
        <f>ROUND($B$4*$B$9*$B$14*$B$16*$B$20*$B$23*$B$24,0)</f>
        <v/>
      </c>
      <c r="K50" s="10">
        <f>ROUND($B$4*$B$9*$B$14*$B$16*$B$20*$B$23*$B$25,0)</f>
        <v/>
      </c>
      <c r="L50" s="10">
        <f>ROUND($B$4*$B$9*$B$14*$B$16*$B$21*$B$22*$B$24,0)</f>
        <v/>
      </c>
      <c r="M50" s="10">
        <f>ROUND($B$4*$B$9*$B$14*$B$16*$B$21*$B$22*$B$25,0)</f>
        <v/>
      </c>
      <c r="N50" s="10">
        <f>ROUND($B$4*$B$9*$B$14*$B$16*$B$21*$B$23*$B$24,0)</f>
        <v/>
      </c>
      <c r="O50" s="10">
        <f>ROUND($B$4*$B$9*$B$14*$B$16*$B$21*$B$23*$B$25,0)</f>
        <v/>
      </c>
      <c r="P50" s="10">
        <f>ROUND($B$5*$B$9*$B$14*$B$16*$B$19*$B$22*$B$24,0)</f>
        <v/>
      </c>
      <c r="Q50" s="10">
        <f>ROUND($B$5*$B$9*$B$14*$B$16*$B$19*$B$22*$B$25,0)</f>
        <v/>
      </c>
      <c r="R50" s="10">
        <f>ROUND($B$5*$B$9*$B$14*$B$16*$B$19*$B$23*$B$24,0)</f>
        <v/>
      </c>
      <c r="S50" s="10">
        <f>ROUND($B$5*$B$9*$B$14*$B$16*$B$19*$B$23*$B$25,0)</f>
        <v/>
      </c>
      <c r="T50" s="10">
        <f>ROUND($B$5*$B$9*$B$14*$B$16*$B$20*$B$22*$B$24,0)</f>
        <v/>
      </c>
      <c r="U50" s="10">
        <f>ROUND($B$5*$B$9*$B$14*$B$16*$B$20*$B$22*$B$25,0)</f>
        <v/>
      </c>
      <c r="V50" s="10">
        <f>ROUND($B$5*$B$9*$B$14*$B$16*$B$20*$B$23*$B$24,0)</f>
        <v/>
      </c>
      <c r="W50" s="10">
        <f>ROUND($B$5*$B$9*$B$14*$B$16*$B$20*$B$23*$B$25,0)</f>
        <v/>
      </c>
      <c r="X50" s="10">
        <f>ROUND($B$5*$B$9*$B$14*$B$16*$B$21*$B$22*$B$24,0)</f>
        <v/>
      </c>
      <c r="Y50" s="10">
        <f>ROUND($B$5*$B$9*$B$14*$B$16*$B$21*$B$22*$B$25,0)</f>
        <v/>
      </c>
      <c r="Z50" s="10">
        <f>ROUND($B$5*$B$9*$B$14*$B$16*$B$21*$B$23*$B$24,0)</f>
        <v/>
      </c>
      <c r="AA50" s="10">
        <f>ROUND($B$5*$B$9*$B$14*$B$16*$B$21*$B$23*$B$25,0)</f>
        <v/>
      </c>
      <c r="AB50" s="10">
        <f>ROUND($B$6*$B$9*$B$14*$B$16*$B$19*$B$22*$B$24,0)</f>
        <v/>
      </c>
      <c r="AC50" s="10">
        <f>ROUND($B$6*$B$9*$B$14*$B$16*$B$19*$B$22*$B$25,0)</f>
        <v/>
      </c>
      <c r="AD50" s="10">
        <f>ROUND($B$6*$B$9*$B$14*$B$16*$B$19*$B$23*$B$24,0)</f>
        <v/>
      </c>
      <c r="AE50" s="10">
        <f>ROUND($B$6*$B$9*$B$14*$B$16*$B$19*$B$23*$B$25,0)</f>
        <v/>
      </c>
      <c r="AF50" s="10">
        <f>ROUND($B$6*$B$9*$B$14*$B$16*$B$20*$B$22*$B$24,0)</f>
        <v/>
      </c>
      <c r="AG50" s="10">
        <f>ROUND($B$6*$B$9*$B$14*$B$16*$B$20*$B$22*$B$25,0)</f>
        <v/>
      </c>
      <c r="AH50" s="10">
        <f>ROUND($B$6*$B$9*$B$14*$B$16*$B$20*$B$23*$B$24,0)</f>
        <v/>
      </c>
      <c r="AI50" s="10">
        <f>ROUND($B$6*$B$9*$B$14*$B$16*$B$20*$B$23*$B$25,0)</f>
        <v/>
      </c>
      <c r="AJ50" s="10">
        <f>ROUND($B$6*$B$9*$B$14*$B$16*$B$21*$B$22*$B$24,0)</f>
        <v/>
      </c>
      <c r="AK50" s="10">
        <f>ROUND($B$6*$B$9*$B$14*$B$16*$B$21*$B$22*$B$25,0)</f>
        <v/>
      </c>
      <c r="AL50" s="10">
        <f>ROUND($B$6*$B$9*$B$14*$B$16*$B$21*$B$23*$B$24,0)</f>
        <v/>
      </c>
      <c r="AM50" s="10">
        <f>ROUND($B$6*$B$9*$B$14*$B$16*$B$21*$B$23*$B$25,0)</f>
        <v/>
      </c>
    </row>
    <row r="51" ht="20.1" customHeight="1" s="62">
      <c r="A51" s="67" t="n"/>
      <c r="B51" s="58" t="n"/>
      <c r="C51" s="57" t="inlineStr">
        <is>
          <t>Désorganisation modérée</t>
        </is>
      </c>
      <c r="D51" s="10">
        <f>ROUND($B$4*$B$9*$B$14*$B$17*$B$19*$B$22*$B$24,0)</f>
        <v/>
      </c>
      <c r="E51" s="10">
        <f>ROUND($B$4*$B$9*$B$14*$B$17*$B$19*$B$22*$B$25,0)</f>
        <v/>
      </c>
      <c r="F51" s="10">
        <f>ROUND($B$4*$B$9*$B$14*$B$17*$B$19*$B$23*$B$24,0)</f>
        <v/>
      </c>
      <c r="G51" s="10">
        <f>ROUND($B$4*$B$9*$B$14*$B$17*$B$19*$B$23*$B$25,0)</f>
        <v/>
      </c>
      <c r="H51" s="10">
        <f>ROUND($B$4*$B$9*$B$14*$B$17*$B$20*$B$22*$B$24,0)</f>
        <v/>
      </c>
      <c r="I51" s="10">
        <f>ROUND($B$4*$B$9*$B$14*$B$17*$B$20*$B$22*$B$25,0)</f>
        <v/>
      </c>
      <c r="J51" s="10">
        <f>ROUND($B$4*$B$9*$B$14*$B$17*$B$20*$B$23*$B$24,0)</f>
        <v/>
      </c>
      <c r="K51" s="10">
        <f>ROUND($B$4*$B$9*$B$14*$B$17*$B$20*$B$23*$B$25,0)</f>
        <v/>
      </c>
      <c r="L51" s="10">
        <f>ROUND($B$4*$B$9*$B$14*$B$17*$B$21*$B$22*$B$24,0)</f>
        <v/>
      </c>
      <c r="M51" s="10">
        <f>ROUND($B$4*$B$9*$B$14*$B$17*$B$21*$B$22*$B$25,0)</f>
        <v/>
      </c>
      <c r="N51" s="10">
        <f>ROUND($B$4*$B$9*$B$14*$B$17*$B$21*$B$23*$B$24,0)</f>
        <v/>
      </c>
      <c r="O51" s="10">
        <f>ROUND($B$4*$B$9*$B$14*$B$17*$B$21*$B$23*$B$25,0)</f>
        <v/>
      </c>
      <c r="P51" s="10">
        <f>ROUND($B$5*$B$9*$B$14*$B$17*$B$19*$B$22*$B$24,0)</f>
        <v/>
      </c>
      <c r="Q51" s="10">
        <f>ROUND($B$5*$B$9*$B$14*$B$17*$B$19*$B$22*$B$25,0)</f>
        <v/>
      </c>
      <c r="R51" s="10">
        <f>ROUND($B$5*$B$9*$B$14*$B$17*$B$19*$B$23*$B$24,0)</f>
        <v/>
      </c>
      <c r="S51" s="10">
        <f>ROUND($B$5*$B$9*$B$14*$B$17*$B$19*$B$23*$B$25,0)</f>
        <v/>
      </c>
      <c r="T51" s="10">
        <f>ROUND($B$5*$B$9*$B$14*$B$17*$B$20*$B$22*$B$24,0)</f>
        <v/>
      </c>
      <c r="U51" s="10">
        <f>ROUND($B$5*$B$9*$B$14*$B$17*$B$20*$B$22*$B$25,0)</f>
        <v/>
      </c>
      <c r="V51" s="10">
        <f>ROUND($B$5*$B$9*$B$14*$B$17*$B$20*$B$23*$B$24,0)</f>
        <v/>
      </c>
      <c r="W51" s="10">
        <f>ROUND($B$5*$B$9*$B$14*$B$17*$B$20*$B$23*$B$25,0)</f>
        <v/>
      </c>
      <c r="X51" s="10">
        <f>ROUND($B$5*$B$9*$B$14*$B$17*$B$21*$B$22*$B$24,0)</f>
        <v/>
      </c>
      <c r="Y51" s="10">
        <f>ROUND($B$5*$B$9*$B$14*$B$17*$B$21*$B$22*$B$25,0)</f>
        <v/>
      </c>
      <c r="Z51" s="10">
        <f>ROUND($B$5*$B$9*$B$14*$B$17*$B$21*$B$23*$B$24,0)</f>
        <v/>
      </c>
      <c r="AA51" s="10">
        <f>ROUND($B$5*$B$9*$B$14*$B$17*$B$21*$B$23*$B$25,0)</f>
        <v/>
      </c>
      <c r="AB51" s="10">
        <f>ROUND($B$6*$B$9*$B$14*$B$17*$B$19*$B$22*$B$24,0)</f>
        <v/>
      </c>
      <c r="AC51" s="10">
        <f>ROUND($B$6*$B$9*$B$14*$B$17*$B$19*$B$22*$B$25,0)</f>
        <v/>
      </c>
      <c r="AD51" s="10">
        <f>ROUND($B$6*$B$9*$B$14*$B$17*$B$19*$B$23*$B$24,0)</f>
        <v/>
      </c>
      <c r="AE51" s="10">
        <f>ROUND($B$6*$B$9*$B$14*$B$17*$B$19*$B$23*$B$25,0)</f>
        <v/>
      </c>
      <c r="AF51" s="10">
        <f>ROUND($B$6*$B$9*$B$14*$B$17*$B$20*$B$22*$B$24,0)</f>
        <v/>
      </c>
      <c r="AG51" s="10">
        <f>ROUND($B$6*$B$9*$B$14*$B$17*$B$20*$B$22*$B$25,0)</f>
        <v/>
      </c>
      <c r="AH51" s="10">
        <f>ROUND($B$6*$B$9*$B$14*$B$17*$B$20*$B$23*$B$24,0)</f>
        <v/>
      </c>
      <c r="AI51" s="10">
        <f>ROUND($B$6*$B$9*$B$14*$B$17*$B$20*$B$23*$B$25,0)</f>
        <v/>
      </c>
      <c r="AJ51" s="10">
        <f>ROUND($B$6*$B$9*$B$14*$B$17*$B$21*$B$22*$B$24,0)</f>
        <v/>
      </c>
      <c r="AK51" s="10">
        <f>ROUND($B$6*$B$9*$B$14*$B$17*$B$21*$B$22*$B$25,0)</f>
        <v/>
      </c>
      <c r="AL51" s="10">
        <f>ROUND($B$6*$B$9*$B$14*$B$17*$B$21*$B$23*$B$24,0)</f>
        <v/>
      </c>
      <c r="AM51" s="10">
        <f>ROUND($B$6*$B$9*$B$14*$B$17*$B$21*$B$23*$B$25,0)</f>
        <v/>
      </c>
    </row>
    <row r="52" ht="20.1" customHeight="1" s="62">
      <c r="A52" s="67" t="n"/>
      <c r="B52" s="59" t="n"/>
      <c r="C52" s="15" t="inlineStr">
        <is>
          <t>Désorganisation élevée</t>
        </is>
      </c>
      <c r="D52" s="10">
        <f>ROUND($B$4*$B$9*$B$14*$B$18*$B$19*$B$22*$B$24,0)</f>
        <v/>
      </c>
      <c r="E52" s="10">
        <f>ROUND($B$4*$B$9*$B$14*$B$18*$B$19*$B$22*$B$25,0)</f>
        <v/>
      </c>
      <c r="F52" s="10">
        <f>ROUND($B$4*$B$9*$B$14*$B$18*$B$19*$B$23*$B$24,0)</f>
        <v/>
      </c>
      <c r="G52" s="10">
        <f>ROUND($B$4*$B$9*$B$14*$B$18*$B$19*$B$23*$B$25,0)</f>
        <v/>
      </c>
      <c r="H52" s="10">
        <f>ROUND($B$4*$B$9*$B$14*$B$18*$B$20*$B$22*$B$24,0)</f>
        <v/>
      </c>
      <c r="I52" s="10">
        <f>ROUND($B$4*$B$9*$B$14*$B$18*$B$20*$B$22*$B$25,0)</f>
        <v/>
      </c>
      <c r="J52" s="10">
        <f>ROUND($B$4*$B$9*$B$14*$B$18*$B$20*$B$23*$B$24,0)</f>
        <v/>
      </c>
      <c r="K52" s="10">
        <f>ROUND($B$4*$B$9*$B$14*$B$18*$B$20*$B$23*$B$25,0)</f>
        <v/>
      </c>
      <c r="L52" s="10">
        <f>ROUND($B$4*$B$9*$B$14*$B$18*$B$21*$B$22*$B$24,0)</f>
        <v/>
      </c>
      <c r="M52" s="10">
        <f>ROUND($B$4*$B$9*$B$14*$B$18*$B$21*$B$22*$B$25,0)</f>
        <v/>
      </c>
      <c r="N52" s="10">
        <f>ROUND($B$4*$B$9*$B$14*$B$18*$B$21*$B$23*$B$24,0)</f>
        <v/>
      </c>
      <c r="O52" s="10">
        <f>ROUND($B$4*$B$9*$B$14*$B$18*$B$21*$B$23*$B$25,0)</f>
        <v/>
      </c>
      <c r="P52" s="10">
        <f>ROUND($B$5*$B$9*$B$14*$B$18*$B$19*$B$22*$B$24,0)</f>
        <v/>
      </c>
      <c r="Q52" s="10">
        <f>ROUND($B$5*$B$9*$B$14*$B$18*$B$19*$B$22*$B$25,0)</f>
        <v/>
      </c>
      <c r="R52" s="10">
        <f>ROUND($B$5*$B$9*$B$14*$B$18*$B$19*$B$23*$B$24,0)</f>
        <v/>
      </c>
      <c r="S52" s="10">
        <f>ROUND($B$5*$B$9*$B$14*$B$18*$B$19*$B$23*$B$25,0)</f>
        <v/>
      </c>
      <c r="T52" s="10">
        <f>ROUND($B$5*$B$9*$B$14*$B$18*$B$20*$B$22*$B$24,0)</f>
        <v/>
      </c>
      <c r="U52" s="10">
        <f>ROUND($B$5*$B$9*$B$14*$B$18*$B$20*$B$22*$B$25,0)</f>
        <v/>
      </c>
      <c r="V52" s="10">
        <f>ROUND($B$5*$B$9*$B$14*$B$18*$B$20*$B$23*$B$24,0)</f>
        <v/>
      </c>
      <c r="W52" s="10">
        <f>ROUND($B$5*$B$9*$B$14*$B$18*$B$20*$B$23*$B$25,0)</f>
        <v/>
      </c>
      <c r="X52" s="10">
        <f>ROUND($B$5*$B$9*$B$14*$B$18*$B$21*$B$22*$B$24,0)</f>
        <v/>
      </c>
      <c r="Y52" s="10">
        <f>ROUND($B$5*$B$9*$B$14*$B$18*$B$21*$B$22*$B$25,0)</f>
        <v/>
      </c>
      <c r="Z52" s="10">
        <f>ROUND($B$5*$B$9*$B$14*$B$18*$B$21*$B$23*$B$24,0)</f>
        <v/>
      </c>
      <c r="AA52" s="10">
        <f>ROUND($B$5*$B$9*$B$14*$B$18*$B$21*$B$23*$B$25,0)</f>
        <v/>
      </c>
      <c r="AB52" s="10">
        <f>ROUND($B$6*$B$9*$B$14*$B$18*$B$19*$B$22*$B$24,0)</f>
        <v/>
      </c>
      <c r="AC52" s="10">
        <f>ROUND($B$6*$B$9*$B$14*$B$18*$B$19*$B$22*$B$25,0)</f>
        <v/>
      </c>
      <c r="AD52" s="10">
        <f>ROUND($B$6*$B$9*$B$14*$B$18*$B$19*$B$23*$B$24,0)</f>
        <v/>
      </c>
      <c r="AE52" s="10">
        <f>ROUND($B$6*$B$9*$B$14*$B$18*$B$19*$B$23*$B$25,0)</f>
        <v/>
      </c>
      <c r="AF52" s="10">
        <f>ROUND($B$6*$B$9*$B$14*$B$18*$B$20*$B$22*$B$24,0)</f>
        <v/>
      </c>
      <c r="AG52" s="10">
        <f>ROUND($B$6*$B$9*$B$14*$B$18*$B$20*$B$22*$B$25,0)</f>
        <v/>
      </c>
      <c r="AH52" s="10">
        <f>ROUND($B$6*$B$9*$B$14*$B$18*$B$20*$B$23*$B$24,0)</f>
        <v/>
      </c>
      <c r="AI52" s="10">
        <f>ROUND($B$6*$B$9*$B$14*$B$18*$B$20*$B$23*$B$25,0)</f>
        <v/>
      </c>
      <c r="AJ52" s="10">
        <f>ROUND($B$6*$B$9*$B$14*$B$18*$B$21*$B$22*$B$24,0)</f>
        <v/>
      </c>
      <c r="AK52" s="10">
        <f>ROUND($B$6*$B$9*$B$14*$B$18*$B$21*$B$22*$B$25,0)</f>
        <v/>
      </c>
      <c r="AL52" s="10">
        <f>ROUND($B$6*$B$9*$B$14*$B$18*$B$21*$B$23*$B$24,0)</f>
        <v/>
      </c>
      <c r="AM52" s="10">
        <f>ROUND($B$6*$B$9*$B$14*$B$18*$B$21*$B$23*$B$25,0)</f>
        <v/>
      </c>
    </row>
    <row r="53" ht="20.1" customHeight="1" s="62">
      <c r="A53" s="67" t="n"/>
      <c r="B53" s="57" t="inlineStr">
        <is>
          <t>10+ équipes</t>
        </is>
      </c>
      <c r="C53" s="14" t="inlineStr">
        <is>
          <t>Faible désorganisation</t>
        </is>
      </c>
      <c r="D53" s="10">
        <f>ROUND($B$4*$B$9*$B$15*$B$16*$B$19*$B$22*$B$24,0)</f>
        <v/>
      </c>
      <c r="E53" s="10">
        <f>ROUND($B$4*$B$9*$B$15*$B$16*$B$19*$B$22*$B$25,0)</f>
        <v/>
      </c>
      <c r="F53" s="10">
        <f>ROUND($B$4*$B$9*$B$15*$B$16*$B$19*$B$23*$B$24,0)</f>
        <v/>
      </c>
      <c r="G53" s="10">
        <f>ROUND($B$4*$B$9*$B$15*$B$16*$B$19*$B$23*$B$25,0)</f>
        <v/>
      </c>
      <c r="H53" s="10">
        <f>ROUND($B$4*$B$9*$B$15*$B$16*$B$20*$B$22*$B$24,0)</f>
        <v/>
      </c>
      <c r="I53" s="10">
        <f>ROUND($B$4*$B$9*$B$15*$B$16*$B$20*$B$22*$B$25,0)</f>
        <v/>
      </c>
      <c r="J53" s="10">
        <f>ROUND($B$4*$B$9*$B$15*$B$16*$B$20*$B$23*$B$24,0)</f>
        <v/>
      </c>
      <c r="K53" s="10">
        <f>ROUND($B$4*$B$9*$B$15*$B$16*$B$20*$B$23*$B$25,0)</f>
        <v/>
      </c>
      <c r="L53" s="10">
        <f>ROUND($B$4*$B$9*$B$15*$B$16*$B$21*$B$22*$B$24,0)</f>
        <v/>
      </c>
      <c r="M53" s="10">
        <f>ROUND($B$4*$B$9*$B$15*$B$16*$B$21*$B$22*$B$25,0)</f>
        <v/>
      </c>
      <c r="N53" s="10">
        <f>ROUND($B$4*$B$9*$B$15*$B$16*$B$21*$B$23*$B$24,0)</f>
        <v/>
      </c>
      <c r="O53" s="10">
        <f>ROUND($B$4*$B$9*$B$15*$B$16*$B$21*$B$23*$B$25,0)</f>
        <v/>
      </c>
      <c r="P53" s="10">
        <f>ROUND($B$5*$B$9*$B$15*$B$16*$B$19*$B$22*$B$24,0)</f>
        <v/>
      </c>
      <c r="Q53" s="10">
        <f>ROUND($B$5*$B$9*$B$15*$B$16*$B$19*$B$22*$B$25,0)</f>
        <v/>
      </c>
      <c r="R53" s="10">
        <f>ROUND($B$5*$B$9*$B$15*$B$16*$B$19*$B$23*$B$24,0)</f>
        <v/>
      </c>
      <c r="S53" s="10">
        <f>ROUND($B$5*$B$9*$B$15*$B$16*$B$19*$B$23*$B$25,0)</f>
        <v/>
      </c>
      <c r="T53" s="10">
        <f>ROUND($B$5*$B$9*$B$15*$B$16*$B$20*$B$22*$B$24,0)</f>
        <v/>
      </c>
      <c r="U53" s="10">
        <f>ROUND($B$5*$B$9*$B$15*$B$16*$B$20*$B$22*$B$25,0)</f>
        <v/>
      </c>
      <c r="V53" s="10">
        <f>ROUND($B$5*$B$9*$B$15*$B$16*$B$20*$B$23*$B$24,0)</f>
        <v/>
      </c>
      <c r="W53" s="10">
        <f>ROUND($B$5*$B$9*$B$15*$B$16*$B$20*$B$23*$B$25,0)</f>
        <v/>
      </c>
      <c r="X53" s="10">
        <f>ROUND($B$5*$B$9*$B$15*$B$16*$B$21*$B$22*$B$24,0)</f>
        <v/>
      </c>
      <c r="Y53" s="10">
        <f>ROUND($B$5*$B$9*$B$15*$B$16*$B$21*$B$22*$B$25,0)</f>
        <v/>
      </c>
      <c r="Z53" s="10">
        <f>ROUND($B$5*$B$9*$B$15*$B$16*$B$21*$B$23*$B$24,0)</f>
        <v/>
      </c>
      <c r="AA53" s="10">
        <f>ROUND($B$5*$B$9*$B$15*$B$16*$B$21*$B$23*$B$25,0)</f>
        <v/>
      </c>
      <c r="AB53" s="10">
        <f>ROUND($B$6*$B$9*$B$15*$B$16*$B$19*$B$22*$B$24,0)</f>
        <v/>
      </c>
      <c r="AC53" s="10">
        <f>ROUND($B$6*$B$9*$B$15*$B$16*$B$19*$B$22*$B$25,0)</f>
        <v/>
      </c>
      <c r="AD53" s="10">
        <f>ROUND($B$6*$B$9*$B$15*$B$16*$B$19*$B$23*$B$24,0)</f>
        <v/>
      </c>
      <c r="AE53" s="10">
        <f>ROUND($B$6*$B$9*$B$15*$B$16*$B$19*$B$23*$B$25,0)</f>
        <v/>
      </c>
      <c r="AF53" s="10">
        <f>ROUND($B$6*$B$9*$B$15*$B$16*$B$20*$B$22*$B$24,0)</f>
        <v/>
      </c>
      <c r="AG53" s="10">
        <f>ROUND($B$6*$B$9*$B$15*$B$16*$B$20*$B$22*$B$25,0)</f>
        <v/>
      </c>
      <c r="AH53" s="10">
        <f>ROUND($B$6*$B$9*$B$15*$B$16*$B$20*$B$23*$B$24,0)</f>
        <v/>
      </c>
      <c r="AI53" s="10">
        <f>ROUND($B$6*$B$9*$B$15*$B$16*$B$20*$B$23*$B$25,0)</f>
        <v/>
      </c>
      <c r="AJ53" s="10">
        <f>ROUND($B$6*$B$9*$B$15*$B$16*$B$21*$B$22*$B$24,0)</f>
        <v/>
      </c>
      <c r="AK53" s="10">
        <f>ROUND($B$6*$B$9*$B$15*$B$16*$B$21*$B$22*$B$25,0)</f>
        <v/>
      </c>
      <c r="AL53" s="10">
        <f>ROUND($B$6*$B$9*$B$15*$B$16*$B$21*$B$23*$B$24,0)</f>
        <v/>
      </c>
      <c r="AM53" s="10">
        <f>ROUND($B$6*$B$9*$B$15*$B$16*$B$21*$B$23*$B$25,0)</f>
        <v/>
      </c>
    </row>
    <row r="54" ht="20.1" customHeight="1" s="62">
      <c r="A54" s="67" t="n"/>
      <c r="B54" s="58" t="n"/>
      <c r="C54" s="57" t="inlineStr">
        <is>
          <t>Désorganisation modérée</t>
        </is>
      </c>
      <c r="D54" s="10">
        <f>ROUND($B$4*$B$9*$B$15*$B$17*$B$19*$B$22*$B$24,0)</f>
        <v/>
      </c>
      <c r="E54" s="10">
        <f>ROUND($B$4*$B$9*$B$15*$B$17*$B$19*$B$22*$B$25,0)</f>
        <v/>
      </c>
      <c r="F54" s="10">
        <f>ROUND($B$4*$B$9*$B$15*$B$17*$B$19*$B$23*$B$24,0)</f>
        <v/>
      </c>
      <c r="G54" s="10">
        <f>ROUND($B$4*$B$9*$B$15*$B$17*$B$19*$B$23*$B$25,0)</f>
        <v/>
      </c>
      <c r="H54" s="10">
        <f>ROUND($B$4*$B$9*$B$15*$B$17*$B$20*$B$22*$B$24,0)</f>
        <v/>
      </c>
      <c r="I54" s="10">
        <f>ROUND($B$4*$B$9*$B$15*$B$17*$B$20*$B$22*$B$25,0)</f>
        <v/>
      </c>
      <c r="J54" s="10">
        <f>ROUND($B$4*$B$9*$B$15*$B$17*$B$20*$B$23*$B$24,0)</f>
        <v/>
      </c>
      <c r="K54" s="10">
        <f>ROUND($B$4*$B$9*$B$15*$B$17*$B$20*$B$23*$B$25,0)</f>
        <v/>
      </c>
      <c r="L54" s="10">
        <f>ROUND($B$4*$B$9*$B$15*$B$17*$B$21*$B$22*$B$24,0)</f>
        <v/>
      </c>
      <c r="M54" s="10">
        <f>ROUND($B$4*$B$9*$B$15*$B$17*$B$21*$B$22*$B$25,0)</f>
        <v/>
      </c>
      <c r="N54" s="10">
        <f>ROUND($B$4*$B$9*$B$15*$B$17*$B$21*$B$23*$B$24,0)</f>
        <v/>
      </c>
      <c r="O54" s="10">
        <f>ROUND($B$4*$B$9*$B$15*$B$17*$B$21*$B$23*$B$25,0)</f>
        <v/>
      </c>
      <c r="P54" s="10">
        <f>ROUND($B$5*$B$9*$B$15*$B$17*$B$19*$B$22*$B$24,0)</f>
        <v/>
      </c>
      <c r="Q54" s="10">
        <f>ROUND($B$5*$B$9*$B$15*$B$17*$B$19*$B$22*$B$25,0)</f>
        <v/>
      </c>
      <c r="R54" s="10">
        <f>ROUND($B$5*$B$9*$B$15*$B$17*$B$19*$B$23*$B$24,0)</f>
        <v/>
      </c>
      <c r="S54" s="10">
        <f>ROUND($B$5*$B$9*$B$15*$B$17*$B$19*$B$23*$B$25,0)</f>
        <v/>
      </c>
      <c r="T54" s="10">
        <f>ROUND($B$5*$B$9*$B$15*$B$17*$B$20*$B$22*$B$24,0)</f>
        <v/>
      </c>
      <c r="U54" s="10">
        <f>ROUND($B$5*$B$9*$B$15*$B$17*$B$20*$B$22*$B$25,0)</f>
        <v/>
      </c>
      <c r="V54" s="10">
        <f>ROUND($B$5*$B$9*$B$15*$B$17*$B$20*$B$23*$B$24,0)</f>
        <v/>
      </c>
      <c r="W54" s="10">
        <f>ROUND($B$5*$B$9*$B$15*$B$17*$B$20*$B$23*$B$25,0)</f>
        <v/>
      </c>
      <c r="X54" s="10">
        <f>ROUND($B$5*$B$9*$B$15*$B$17*$B$21*$B$22*$B$24,0)</f>
        <v/>
      </c>
      <c r="Y54" s="10">
        <f>ROUND($B$5*$B$9*$B$15*$B$17*$B$21*$B$22*$B$25,0)</f>
        <v/>
      </c>
      <c r="Z54" s="10">
        <f>ROUND($B$5*$B$9*$B$15*$B$17*$B$21*$B$23*$B$24,0)</f>
        <v/>
      </c>
      <c r="AA54" s="10">
        <f>ROUND($B$5*$B$9*$B$15*$B$17*$B$21*$B$23*$B$25,0)</f>
        <v/>
      </c>
      <c r="AB54" s="10">
        <f>ROUND($B$6*$B$9*$B$15*$B$17*$B$19*$B$22*$B$24,0)</f>
        <v/>
      </c>
      <c r="AC54" s="10">
        <f>ROUND($B$6*$B$9*$B$15*$B$17*$B$19*$B$22*$B$25,0)</f>
        <v/>
      </c>
      <c r="AD54" s="10">
        <f>ROUND($B$6*$B$9*$B$15*$B$17*$B$19*$B$23*$B$24,0)</f>
        <v/>
      </c>
      <c r="AE54" s="10">
        <f>ROUND($B$6*$B$9*$B$15*$B$17*$B$19*$B$23*$B$25,0)</f>
        <v/>
      </c>
      <c r="AF54" s="10">
        <f>ROUND($B$6*$B$9*$B$15*$B$17*$B$20*$B$22*$B$24,0)</f>
        <v/>
      </c>
      <c r="AG54" s="10">
        <f>ROUND($B$6*$B$9*$B$15*$B$17*$B$20*$B$22*$B$25,0)</f>
        <v/>
      </c>
      <c r="AH54" s="10">
        <f>ROUND($B$6*$B$9*$B$15*$B$17*$B$20*$B$23*$B$24,0)</f>
        <v/>
      </c>
      <c r="AI54" s="10">
        <f>ROUND($B$6*$B$9*$B$15*$B$17*$B$20*$B$23*$B$25,0)</f>
        <v/>
      </c>
      <c r="AJ54" s="10">
        <f>ROUND($B$6*$B$9*$B$15*$B$17*$B$21*$B$22*$B$24,0)</f>
        <v/>
      </c>
      <c r="AK54" s="10">
        <f>ROUND($B$6*$B$9*$B$15*$B$17*$B$21*$B$22*$B$25,0)</f>
        <v/>
      </c>
      <c r="AL54" s="10">
        <f>ROUND($B$6*$B$9*$B$15*$B$17*$B$21*$B$23*$B$24,0)</f>
        <v/>
      </c>
      <c r="AM54" s="10">
        <f>ROUND($B$6*$B$9*$B$15*$B$17*$B$21*$B$23*$B$25,0)</f>
        <v/>
      </c>
    </row>
    <row r="55" ht="20.1" customHeight="1" s="62">
      <c r="A55" s="68" t="n"/>
      <c r="B55" s="59" t="n"/>
      <c r="C55" s="15" t="inlineStr">
        <is>
          <t>Désorganisation élevée</t>
        </is>
      </c>
      <c r="D55" s="10">
        <f>ROUND($B$4*$B$9*$B$15*$B$18*$B$19*$B$22*$B$24,0)</f>
        <v/>
      </c>
      <c r="E55" s="10">
        <f>ROUND($B$4*$B$9*$B$15*$B$18*$B$19*$B$22*$B$25,0)</f>
        <v/>
      </c>
      <c r="F55" s="10">
        <f>ROUND($B$4*$B$9*$B$15*$B$18*$B$19*$B$23*$B$24,0)</f>
        <v/>
      </c>
      <c r="G55" s="10">
        <f>ROUND($B$4*$B$9*$B$15*$B$18*$B$19*$B$23*$B$25,0)</f>
        <v/>
      </c>
      <c r="H55" s="10">
        <f>ROUND($B$4*$B$9*$B$15*$B$18*$B$20*$B$22*$B$24,0)</f>
        <v/>
      </c>
      <c r="I55" s="10">
        <f>ROUND($B$4*$B$9*$B$15*$B$18*$B$20*$B$22*$B$25,0)</f>
        <v/>
      </c>
      <c r="J55" s="10">
        <f>ROUND($B$4*$B$9*$B$15*$B$18*$B$20*$B$23*$B$24,0)</f>
        <v/>
      </c>
      <c r="K55" s="10">
        <f>ROUND($B$4*$B$9*$B$15*$B$18*$B$20*$B$23*$B$25,0)</f>
        <v/>
      </c>
      <c r="L55" s="10">
        <f>ROUND($B$4*$B$9*$B$15*$B$18*$B$21*$B$22*$B$24,0)</f>
        <v/>
      </c>
      <c r="M55" s="10">
        <f>ROUND($B$4*$B$9*$B$15*$B$18*$B$21*$B$22*$B$25,0)</f>
        <v/>
      </c>
      <c r="N55" s="10">
        <f>ROUND($B$4*$B$9*$B$15*$B$18*$B$21*$B$23*$B$24,0)</f>
        <v/>
      </c>
      <c r="O55" s="10">
        <f>ROUND($B$4*$B$9*$B$15*$B$18*$B$21*$B$23*$B$25,0)</f>
        <v/>
      </c>
      <c r="P55" s="10">
        <f>ROUND($B$5*$B$9*$B$15*$B$18*$B$19*$B$22*$B$24,0)</f>
        <v/>
      </c>
      <c r="Q55" s="10">
        <f>ROUND($B$5*$B$9*$B$15*$B$18*$B$19*$B$22*$B$25,0)</f>
        <v/>
      </c>
      <c r="R55" s="10">
        <f>ROUND($B$5*$B$9*$B$15*$B$18*$B$19*$B$23*$B$24,0)</f>
        <v/>
      </c>
      <c r="S55" s="10">
        <f>ROUND($B$5*$B$9*$B$15*$B$18*$B$19*$B$23*$B$25,0)</f>
        <v/>
      </c>
      <c r="T55" s="10">
        <f>ROUND($B$5*$B$9*$B$15*$B$18*$B$20*$B$22*$B$24,0)</f>
        <v/>
      </c>
      <c r="U55" s="10">
        <f>ROUND($B$5*$B$9*$B$15*$B$18*$B$20*$B$22*$B$25,0)</f>
        <v/>
      </c>
      <c r="V55" s="10">
        <f>ROUND($B$5*$B$9*$B$15*$B$18*$B$20*$B$23*$B$24,0)</f>
        <v/>
      </c>
      <c r="W55" s="10">
        <f>ROUND($B$5*$B$9*$B$15*$B$18*$B$20*$B$23*$B$25,0)</f>
        <v/>
      </c>
      <c r="X55" s="10">
        <f>ROUND($B$5*$B$9*$B$15*$B$18*$B$21*$B$22*$B$24,0)</f>
        <v/>
      </c>
      <c r="Y55" s="10">
        <f>ROUND($B$5*$B$9*$B$15*$B$18*$B$21*$B$22*$B$25,0)</f>
        <v/>
      </c>
      <c r="Z55" s="10">
        <f>ROUND($B$5*$B$9*$B$15*$B$18*$B$21*$B$23*$B$24,0)</f>
        <v/>
      </c>
      <c r="AA55" s="10">
        <f>ROUND($B$5*$B$9*$B$15*$B$18*$B$21*$B$23*$B$25,0)</f>
        <v/>
      </c>
      <c r="AB55" s="10">
        <f>ROUND($B$6*$B$9*$B$15*$B$18*$B$19*$B$22*$B$24,0)</f>
        <v/>
      </c>
      <c r="AC55" s="10">
        <f>ROUND($B$6*$B$9*$B$15*$B$18*$B$19*$B$22*$B$25,0)</f>
        <v/>
      </c>
      <c r="AD55" s="10">
        <f>ROUND($B$6*$B$9*$B$15*$B$18*$B$19*$B$23*$B$24,0)</f>
        <v/>
      </c>
      <c r="AE55" s="10">
        <f>ROUND($B$6*$B$9*$B$15*$B$18*$B$19*$B$23*$B$25,0)</f>
        <v/>
      </c>
      <c r="AF55" s="10">
        <f>ROUND($B$6*$B$9*$B$15*$B$18*$B$20*$B$22*$B$24,0)</f>
        <v/>
      </c>
      <c r="AG55" s="10">
        <f>ROUND($B$6*$B$9*$B$15*$B$18*$B$20*$B$22*$B$25,0)</f>
        <v/>
      </c>
      <c r="AH55" s="10">
        <f>ROUND($B$6*$B$9*$B$15*$B$18*$B$20*$B$23*$B$24,0)</f>
        <v/>
      </c>
      <c r="AI55" s="10">
        <f>ROUND($B$6*$B$9*$B$15*$B$18*$B$20*$B$23*$B$25,0)</f>
        <v/>
      </c>
      <c r="AJ55" s="10">
        <f>ROUND($B$6*$B$9*$B$15*$B$18*$B$21*$B$22*$B$24,0)</f>
        <v/>
      </c>
      <c r="AK55" s="10">
        <f>ROUND($B$6*$B$9*$B$15*$B$18*$B$21*$B$22*$B$25,0)</f>
        <v/>
      </c>
      <c r="AL55" s="10">
        <f>ROUND($B$6*$B$9*$B$15*$B$18*$B$21*$B$23*$B$24,0)</f>
        <v/>
      </c>
      <c r="AM55" s="10">
        <f>ROUND($B$6*$B$9*$B$15*$B$18*$B$21*$B$23*$B$25,0)</f>
        <v/>
      </c>
    </row>
    <row r="56" ht="20.1" customHeight="1" s="62">
      <c r="A56" s="66" t="inlineStr">
        <is>
          <t>PME (20-99 sal.)</t>
        </is>
      </c>
      <c r="B56" s="57" t="inlineStr">
        <is>
          <t>1-2 équipes</t>
        </is>
      </c>
      <c r="C56" s="14" t="inlineStr">
        <is>
          <t>Faible désorganisation</t>
        </is>
      </c>
      <c r="D56" s="10">
        <f>ROUND($B$4*$B$10*$B$12*$B$16*$B$19*$B$22*$B$24,0)</f>
        <v/>
      </c>
      <c r="E56" s="10">
        <f>ROUND($B$4*$B$10*$B$12*$B$16*$B$19*$B$22*$B$25,0)</f>
        <v/>
      </c>
      <c r="F56" s="10">
        <f>ROUND($B$4*$B$10*$B$12*$B$16*$B$19*$B$23*$B$24,0)</f>
        <v/>
      </c>
      <c r="G56" s="10">
        <f>ROUND($B$4*$B$10*$B$12*$B$16*$B$19*$B$23*$B$25,0)</f>
        <v/>
      </c>
      <c r="H56" s="10">
        <f>ROUND($B$4*$B$10*$B$12*$B$16*$B$20*$B$22*$B$24,0)</f>
        <v/>
      </c>
      <c r="I56" s="10">
        <f>ROUND($B$4*$B$10*$B$12*$B$16*$B$20*$B$22*$B$25,0)</f>
        <v/>
      </c>
      <c r="J56" s="10">
        <f>ROUND($B$4*$B$10*$B$12*$B$16*$B$20*$B$23*$B$24,0)</f>
        <v/>
      </c>
      <c r="K56" s="10">
        <f>ROUND($B$4*$B$10*$B$12*$B$16*$B$20*$B$23*$B$25,0)</f>
        <v/>
      </c>
      <c r="L56" s="10">
        <f>ROUND($B$4*$B$10*$B$12*$B$16*$B$21*$B$22*$B$24,0)</f>
        <v/>
      </c>
      <c r="M56" s="10">
        <f>ROUND($B$4*$B$10*$B$12*$B$16*$B$21*$B$22*$B$25,0)</f>
        <v/>
      </c>
      <c r="N56" s="10">
        <f>ROUND($B$4*$B$10*$B$12*$B$16*$B$21*$B$23*$B$24,0)</f>
        <v/>
      </c>
      <c r="O56" s="10">
        <f>ROUND($B$4*$B$10*$B$12*$B$16*$B$21*$B$23*$B$25,0)</f>
        <v/>
      </c>
      <c r="P56" s="10">
        <f>ROUND($B$5*$B$10*$B$12*$B$16*$B$19*$B$22*$B$24,0)</f>
        <v/>
      </c>
      <c r="Q56" s="10">
        <f>ROUND($B$5*$B$10*$B$12*$B$16*$B$19*$B$22*$B$25,0)</f>
        <v/>
      </c>
      <c r="R56" s="10">
        <f>ROUND($B$5*$B$10*$B$12*$B$16*$B$19*$B$23*$B$24,0)</f>
        <v/>
      </c>
      <c r="S56" s="10">
        <f>ROUND($B$5*$B$10*$B$12*$B$16*$B$19*$B$23*$B$25,0)</f>
        <v/>
      </c>
      <c r="T56" s="10">
        <f>ROUND($B$5*$B$10*$B$12*$B$16*$B$20*$B$22*$B$24,0)</f>
        <v/>
      </c>
      <c r="U56" s="10">
        <f>ROUND($B$5*$B$10*$B$12*$B$16*$B$20*$B$22*$B$25,0)</f>
        <v/>
      </c>
      <c r="V56" s="10">
        <f>ROUND($B$5*$B$10*$B$12*$B$16*$B$20*$B$23*$B$24,0)</f>
        <v/>
      </c>
      <c r="W56" s="10">
        <f>ROUND($B$5*$B$10*$B$12*$B$16*$B$20*$B$23*$B$25,0)</f>
        <v/>
      </c>
      <c r="X56" s="10">
        <f>ROUND($B$5*$B$10*$B$12*$B$16*$B$21*$B$22*$B$24,0)</f>
        <v/>
      </c>
      <c r="Y56" s="10">
        <f>ROUND($B$5*$B$10*$B$12*$B$16*$B$21*$B$22*$B$25,0)</f>
        <v/>
      </c>
      <c r="Z56" s="10">
        <f>ROUND($B$5*$B$10*$B$12*$B$16*$B$21*$B$23*$B$24,0)</f>
        <v/>
      </c>
      <c r="AA56" s="10">
        <f>ROUND($B$5*$B$10*$B$12*$B$16*$B$21*$B$23*$B$25,0)</f>
        <v/>
      </c>
      <c r="AB56" s="10">
        <f>ROUND($B$6*$B$10*$B$12*$B$16*$B$19*$B$22*$B$24,0)</f>
        <v/>
      </c>
      <c r="AC56" s="10">
        <f>ROUND($B$6*$B$10*$B$12*$B$16*$B$19*$B$22*$B$25,0)</f>
        <v/>
      </c>
      <c r="AD56" s="10">
        <f>ROUND($B$6*$B$10*$B$12*$B$16*$B$19*$B$23*$B$24,0)</f>
        <v/>
      </c>
      <c r="AE56" s="10">
        <f>ROUND($B$6*$B$10*$B$12*$B$16*$B$19*$B$23*$B$25,0)</f>
        <v/>
      </c>
      <c r="AF56" s="10">
        <f>ROUND($B$6*$B$10*$B$12*$B$16*$B$20*$B$22*$B$24,0)</f>
        <v/>
      </c>
      <c r="AG56" s="10">
        <f>ROUND($B$6*$B$10*$B$12*$B$16*$B$20*$B$22*$B$25,0)</f>
        <v/>
      </c>
      <c r="AH56" s="10">
        <f>ROUND($B$6*$B$10*$B$12*$B$16*$B$20*$B$23*$B$24,0)</f>
        <v/>
      </c>
      <c r="AI56" s="10">
        <f>ROUND($B$6*$B$10*$B$12*$B$16*$B$20*$B$23*$B$25,0)</f>
        <v/>
      </c>
      <c r="AJ56" s="10">
        <f>ROUND($B$6*$B$10*$B$12*$B$16*$B$21*$B$22*$B$24,0)</f>
        <v/>
      </c>
      <c r="AK56" s="10">
        <f>ROUND($B$6*$B$10*$B$12*$B$16*$B$21*$B$22*$B$25,0)</f>
        <v/>
      </c>
      <c r="AL56" s="10">
        <f>ROUND($B$6*$B$10*$B$12*$B$16*$B$21*$B$23*$B$24,0)</f>
        <v/>
      </c>
      <c r="AM56" s="10">
        <f>ROUND($B$6*$B$10*$B$12*$B$16*$B$21*$B$23*$B$25,0)</f>
        <v/>
      </c>
    </row>
    <row r="57" ht="20.1" customHeight="1" s="62">
      <c r="A57" s="67" t="n"/>
      <c r="B57" s="58" t="n"/>
      <c r="C57" s="57" t="inlineStr">
        <is>
          <t>Désorganisation modérée</t>
        </is>
      </c>
      <c r="D57" s="10">
        <f>ROUND($B$4*$B$10*$B$12*$B$17*$B$19*$B$22*$B$24,0)</f>
        <v/>
      </c>
      <c r="E57" s="10">
        <f>ROUND($B$4*$B$10*$B$12*$B$17*$B$19*$B$22*$B$25,0)</f>
        <v/>
      </c>
      <c r="F57" s="10">
        <f>ROUND($B$4*$B$10*$B$12*$B$17*$B$19*$B$23*$B$24,0)</f>
        <v/>
      </c>
      <c r="G57" s="10">
        <f>ROUND($B$4*$B$10*$B$12*$B$17*$B$19*$B$23*$B$25,0)</f>
        <v/>
      </c>
      <c r="H57" s="10">
        <f>ROUND($B$4*$B$10*$B$12*$B$17*$B$20*$B$22*$B$24,0)</f>
        <v/>
      </c>
      <c r="I57" s="10">
        <f>ROUND($B$4*$B$10*$B$12*$B$17*$B$20*$B$22*$B$25,0)</f>
        <v/>
      </c>
      <c r="J57" s="10">
        <f>ROUND($B$4*$B$10*$B$12*$B$17*$B$20*$B$23*$B$24,0)</f>
        <v/>
      </c>
      <c r="K57" s="10">
        <f>ROUND($B$4*$B$10*$B$12*$B$17*$B$20*$B$23*$B$25,0)</f>
        <v/>
      </c>
      <c r="L57" s="10">
        <f>ROUND($B$4*$B$10*$B$12*$B$17*$B$21*$B$22*$B$24,0)</f>
        <v/>
      </c>
      <c r="M57" s="10">
        <f>ROUND($B$4*$B$10*$B$12*$B$17*$B$21*$B$22*$B$25,0)</f>
        <v/>
      </c>
      <c r="N57" s="10">
        <f>ROUND($B$4*$B$10*$B$12*$B$17*$B$21*$B$23*$B$24,0)</f>
        <v/>
      </c>
      <c r="O57" s="10">
        <f>ROUND($B$4*$B$10*$B$12*$B$17*$B$21*$B$23*$B$25,0)</f>
        <v/>
      </c>
      <c r="P57" s="10">
        <f>ROUND($B$5*$B$10*$B$12*$B$17*$B$19*$B$22*$B$24,0)</f>
        <v/>
      </c>
      <c r="Q57" s="10">
        <f>ROUND($B$5*$B$10*$B$12*$B$17*$B$19*$B$22*$B$25,0)</f>
        <v/>
      </c>
      <c r="R57" s="10">
        <f>ROUND($B$5*$B$10*$B$12*$B$17*$B$19*$B$23*$B$24,0)</f>
        <v/>
      </c>
      <c r="S57" s="10">
        <f>ROUND($B$5*$B$10*$B$12*$B$17*$B$19*$B$23*$B$25,0)</f>
        <v/>
      </c>
      <c r="T57" s="10">
        <f>ROUND($B$5*$B$10*$B$12*$B$17*$B$20*$B$22*$B$24,0)</f>
        <v/>
      </c>
      <c r="U57" s="10">
        <f>ROUND($B$5*$B$10*$B$12*$B$17*$B$20*$B$22*$B$25,0)</f>
        <v/>
      </c>
      <c r="V57" s="10">
        <f>ROUND($B$5*$B$10*$B$12*$B$17*$B$20*$B$23*$B$24,0)</f>
        <v/>
      </c>
      <c r="W57" s="10">
        <f>ROUND($B$5*$B$10*$B$12*$B$17*$B$20*$B$23*$B$25,0)</f>
        <v/>
      </c>
      <c r="X57" s="10">
        <f>ROUND($B$5*$B$10*$B$12*$B$17*$B$21*$B$22*$B$24,0)</f>
        <v/>
      </c>
      <c r="Y57" s="10">
        <f>ROUND($B$5*$B$10*$B$12*$B$17*$B$21*$B$22*$B$25,0)</f>
        <v/>
      </c>
      <c r="Z57" s="10">
        <f>ROUND($B$5*$B$10*$B$12*$B$17*$B$21*$B$23*$B$24,0)</f>
        <v/>
      </c>
      <c r="AA57" s="10">
        <f>ROUND($B$5*$B$10*$B$12*$B$17*$B$21*$B$23*$B$25,0)</f>
        <v/>
      </c>
      <c r="AB57" s="10">
        <f>ROUND($B$6*$B$10*$B$12*$B$17*$B$19*$B$22*$B$24,0)</f>
        <v/>
      </c>
      <c r="AC57" s="10">
        <f>ROUND($B$6*$B$10*$B$12*$B$17*$B$19*$B$22*$B$25,0)</f>
        <v/>
      </c>
      <c r="AD57" s="10">
        <f>ROUND($B$6*$B$10*$B$12*$B$17*$B$19*$B$23*$B$24,0)</f>
        <v/>
      </c>
      <c r="AE57" s="10">
        <f>ROUND($B$6*$B$10*$B$12*$B$17*$B$19*$B$23*$B$25,0)</f>
        <v/>
      </c>
      <c r="AF57" s="10">
        <f>ROUND($B$6*$B$10*$B$12*$B$17*$B$20*$B$22*$B$24,0)</f>
        <v/>
      </c>
      <c r="AG57" s="10">
        <f>ROUND($B$6*$B$10*$B$12*$B$17*$B$20*$B$22*$B$25,0)</f>
        <v/>
      </c>
      <c r="AH57" s="10">
        <f>ROUND($B$6*$B$10*$B$12*$B$17*$B$20*$B$23*$B$24,0)</f>
        <v/>
      </c>
      <c r="AI57" s="10">
        <f>ROUND($B$6*$B$10*$B$12*$B$17*$B$20*$B$23*$B$25,0)</f>
        <v/>
      </c>
      <c r="AJ57" s="10">
        <f>ROUND($B$6*$B$10*$B$12*$B$17*$B$21*$B$22*$B$24,0)</f>
        <v/>
      </c>
      <c r="AK57" s="10">
        <f>ROUND($B$6*$B$10*$B$12*$B$17*$B$21*$B$22*$B$25,0)</f>
        <v/>
      </c>
      <c r="AL57" s="10">
        <f>ROUND($B$6*$B$10*$B$12*$B$17*$B$21*$B$23*$B$24,0)</f>
        <v/>
      </c>
      <c r="AM57" s="10">
        <f>ROUND($B$6*$B$10*$B$12*$B$17*$B$21*$B$23*$B$25,0)</f>
        <v/>
      </c>
    </row>
    <row r="58" ht="20.1" customHeight="1" s="62">
      <c r="A58" s="67" t="n"/>
      <c r="B58" s="59" t="n"/>
      <c r="C58" s="15" t="inlineStr">
        <is>
          <t>Désorganisation élevée</t>
        </is>
      </c>
      <c r="D58" s="10">
        <f>ROUND($B$4*$B$10*$B$12*$B$18*$B$19*$B$22*$B$24,0)</f>
        <v/>
      </c>
      <c r="E58" s="10">
        <f>ROUND($B$4*$B$10*$B$12*$B$18*$B$19*$B$22*$B$25,0)</f>
        <v/>
      </c>
      <c r="F58" s="10">
        <f>ROUND($B$4*$B$10*$B$12*$B$18*$B$19*$B$23*$B$24,0)</f>
        <v/>
      </c>
      <c r="G58" s="10">
        <f>ROUND($B$4*$B$10*$B$12*$B$18*$B$19*$B$23*$B$25,0)</f>
        <v/>
      </c>
      <c r="H58" s="10">
        <f>ROUND($B$4*$B$10*$B$12*$B$18*$B$20*$B$22*$B$24,0)</f>
        <v/>
      </c>
      <c r="I58" s="10">
        <f>ROUND($B$4*$B$10*$B$12*$B$18*$B$20*$B$22*$B$25,0)</f>
        <v/>
      </c>
      <c r="J58" s="10">
        <f>ROUND($B$4*$B$10*$B$12*$B$18*$B$20*$B$23*$B$24,0)</f>
        <v/>
      </c>
      <c r="K58" s="10">
        <f>ROUND($B$4*$B$10*$B$12*$B$18*$B$20*$B$23*$B$25,0)</f>
        <v/>
      </c>
      <c r="L58" s="10">
        <f>ROUND($B$4*$B$10*$B$12*$B$18*$B$21*$B$22*$B$24,0)</f>
        <v/>
      </c>
      <c r="M58" s="10">
        <f>ROUND($B$4*$B$10*$B$12*$B$18*$B$21*$B$22*$B$25,0)</f>
        <v/>
      </c>
      <c r="N58" s="10">
        <f>ROUND($B$4*$B$10*$B$12*$B$18*$B$21*$B$23*$B$24,0)</f>
        <v/>
      </c>
      <c r="O58" s="10">
        <f>ROUND($B$4*$B$10*$B$12*$B$18*$B$21*$B$23*$B$25,0)</f>
        <v/>
      </c>
      <c r="P58" s="10">
        <f>ROUND($B$5*$B$10*$B$12*$B$18*$B$19*$B$22*$B$24,0)</f>
        <v/>
      </c>
      <c r="Q58" s="10">
        <f>ROUND($B$5*$B$10*$B$12*$B$18*$B$19*$B$22*$B$25,0)</f>
        <v/>
      </c>
      <c r="R58" s="10">
        <f>ROUND($B$5*$B$10*$B$12*$B$18*$B$19*$B$23*$B$24,0)</f>
        <v/>
      </c>
      <c r="S58" s="10">
        <f>ROUND($B$5*$B$10*$B$12*$B$18*$B$19*$B$23*$B$25,0)</f>
        <v/>
      </c>
      <c r="T58" s="10">
        <f>ROUND($B$5*$B$10*$B$12*$B$18*$B$20*$B$22*$B$24,0)</f>
        <v/>
      </c>
      <c r="U58" s="10">
        <f>ROUND($B$5*$B$10*$B$12*$B$18*$B$20*$B$22*$B$25,0)</f>
        <v/>
      </c>
      <c r="V58" s="10">
        <f>ROUND($B$5*$B$10*$B$12*$B$18*$B$20*$B$23*$B$24,0)</f>
        <v/>
      </c>
      <c r="W58" s="10">
        <f>ROUND($B$5*$B$10*$B$12*$B$18*$B$20*$B$23*$B$25,0)</f>
        <v/>
      </c>
      <c r="X58" s="10">
        <f>ROUND($B$5*$B$10*$B$12*$B$18*$B$21*$B$22*$B$24,0)</f>
        <v/>
      </c>
      <c r="Y58" s="10">
        <f>ROUND($B$5*$B$10*$B$12*$B$18*$B$21*$B$22*$B$25,0)</f>
        <v/>
      </c>
      <c r="Z58" s="10">
        <f>ROUND($B$5*$B$10*$B$12*$B$18*$B$21*$B$23*$B$24,0)</f>
        <v/>
      </c>
      <c r="AA58" s="10">
        <f>ROUND($B$5*$B$10*$B$12*$B$18*$B$21*$B$23*$B$25,0)</f>
        <v/>
      </c>
      <c r="AB58" s="10">
        <f>ROUND($B$6*$B$10*$B$12*$B$18*$B$19*$B$22*$B$24,0)</f>
        <v/>
      </c>
      <c r="AC58" s="10">
        <f>ROUND($B$6*$B$10*$B$12*$B$18*$B$19*$B$22*$B$25,0)</f>
        <v/>
      </c>
      <c r="AD58" s="10">
        <f>ROUND($B$6*$B$10*$B$12*$B$18*$B$19*$B$23*$B$24,0)</f>
        <v/>
      </c>
      <c r="AE58" s="10">
        <f>ROUND($B$6*$B$10*$B$12*$B$18*$B$19*$B$23*$B$25,0)</f>
        <v/>
      </c>
      <c r="AF58" s="10">
        <f>ROUND($B$6*$B$10*$B$12*$B$18*$B$20*$B$22*$B$24,0)</f>
        <v/>
      </c>
      <c r="AG58" s="10">
        <f>ROUND($B$6*$B$10*$B$12*$B$18*$B$20*$B$22*$B$25,0)</f>
        <v/>
      </c>
      <c r="AH58" s="10">
        <f>ROUND($B$6*$B$10*$B$12*$B$18*$B$20*$B$23*$B$24,0)</f>
        <v/>
      </c>
      <c r="AI58" s="10">
        <f>ROUND($B$6*$B$10*$B$12*$B$18*$B$20*$B$23*$B$25,0)</f>
        <v/>
      </c>
      <c r="AJ58" s="10">
        <f>ROUND($B$6*$B$10*$B$12*$B$18*$B$21*$B$22*$B$24,0)</f>
        <v/>
      </c>
      <c r="AK58" s="10">
        <f>ROUND($B$6*$B$10*$B$12*$B$18*$B$21*$B$22*$B$25,0)</f>
        <v/>
      </c>
      <c r="AL58" s="10">
        <f>ROUND($B$6*$B$10*$B$12*$B$18*$B$21*$B$23*$B$24,0)</f>
        <v/>
      </c>
      <c r="AM58" s="10">
        <f>ROUND($B$6*$B$10*$B$12*$B$18*$B$21*$B$23*$B$25,0)</f>
        <v/>
      </c>
    </row>
    <row r="59" ht="20.1" customHeight="1" s="62">
      <c r="A59" s="67" t="n"/>
      <c r="B59" s="57" t="inlineStr">
        <is>
          <t>3-5 équipes</t>
        </is>
      </c>
      <c r="C59" s="14" t="inlineStr">
        <is>
          <t>Faible désorganisation</t>
        </is>
      </c>
      <c r="D59" s="10">
        <f>ROUND($B$4*$B$10*$B$13*$B$16*$B$19*$B$22*$B$24,0)</f>
        <v/>
      </c>
      <c r="E59" s="10">
        <f>ROUND($B$4*$B$10*$B$13*$B$16*$B$19*$B$22*$B$25,0)</f>
        <v/>
      </c>
      <c r="F59" s="10">
        <f>ROUND($B$4*$B$10*$B$13*$B$16*$B$19*$B$23*$B$24,0)</f>
        <v/>
      </c>
      <c r="G59" s="10">
        <f>ROUND($B$4*$B$10*$B$13*$B$16*$B$19*$B$23*$B$25,0)</f>
        <v/>
      </c>
      <c r="H59" s="10">
        <f>ROUND($B$4*$B$10*$B$13*$B$16*$B$20*$B$22*$B$24,0)</f>
        <v/>
      </c>
      <c r="I59" s="10">
        <f>ROUND($B$4*$B$10*$B$13*$B$16*$B$20*$B$22*$B$25,0)</f>
        <v/>
      </c>
      <c r="J59" s="10">
        <f>ROUND($B$4*$B$10*$B$13*$B$16*$B$20*$B$23*$B$24,0)</f>
        <v/>
      </c>
      <c r="K59" s="10">
        <f>ROUND($B$4*$B$10*$B$13*$B$16*$B$20*$B$23*$B$25,0)</f>
        <v/>
      </c>
      <c r="L59" s="10">
        <f>ROUND($B$4*$B$10*$B$13*$B$16*$B$21*$B$22*$B$24,0)</f>
        <v/>
      </c>
      <c r="M59" s="10">
        <f>ROUND($B$4*$B$10*$B$13*$B$16*$B$21*$B$22*$B$25,0)</f>
        <v/>
      </c>
      <c r="N59" s="10">
        <f>ROUND($B$4*$B$10*$B$13*$B$16*$B$21*$B$23*$B$24,0)</f>
        <v/>
      </c>
      <c r="O59" s="10">
        <f>ROUND($B$4*$B$10*$B$13*$B$16*$B$21*$B$23*$B$25,0)</f>
        <v/>
      </c>
      <c r="P59" s="10">
        <f>ROUND($B$5*$B$10*$B$13*$B$16*$B$19*$B$22*$B$24,0)</f>
        <v/>
      </c>
      <c r="Q59" s="10">
        <f>ROUND($B$5*$B$10*$B$13*$B$16*$B$19*$B$22*$B$25,0)</f>
        <v/>
      </c>
      <c r="R59" s="10">
        <f>ROUND($B$5*$B$10*$B$13*$B$16*$B$19*$B$23*$B$24,0)</f>
        <v/>
      </c>
      <c r="S59" s="10">
        <f>ROUND($B$5*$B$10*$B$13*$B$16*$B$19*$B$23*$B$25,0)</f>
        <v/>
      </c>
      <c r="T59" s="10">
        <f>ROUND($B$5*$B$10*$B$13*$B$16*$B$20*$B$22*$B$24,0)</f>
        <v/>
      </c>
      <c r="U59" s="10">
        <f>ROUND($B$5*$B$10*$B$13*$B$16*$B$20*$B$22*$B$25,0)</f>
        <v/>
      </c>
      <c r="V59" s="10">
        <f>ROUND($B$5*$B$10*$B$13*$B$16*$B$20*$B$23*$B$24,0)</f>
        <v/>
      </c>
      <c r="W59" s="10">
        <f>ROUND($B$5*$B$10*$B$13*$B$16*$B$20*$B$23*$B$25,0)</f>
        <v/>
      </c>
      <c r="X59" s="10">
        <f>ROUND($B$5*$B$10*$B$13*$B$16*$B$21*$B$22*$B$24,0)</f>
        <v/>
      </c>
      <c r="Y59" s="10">
        <f>ROUND($B$5*$B$10*$B$13*$B$16*$B$21*$B$22*$B$25,0)</f>
        <v/>
      </c>
      <c r="Z59" s="10">
        <f>ROUND($B$5*$B$10*$B$13*$B$16*$B$21*$B$23*$B$24,0)</f>
        <v/>
      </c>
      <c r="AA59" s="10">
        <f>ROUND($B$5*$B$10*$B$13*$B$16*$B$21*$B$23*$B$25,0)</f>
        <v/>
      </c>
      <c r="AB59" s="10">
        <f>ROUND($B$6*$B$10*$B$13*$B$16*$B$19*$B$22*$B$24,0)</f>
        <v/>
      </c>
      <c r="AC59" s="10">
        <f>ROUND($B$6*$B$10*$B$13*$B$16*$B$19*$B$22*$B$25,0)</f>
        <v/>
      </c>
      <c r="AD59" s="10">
        <f>ROUND($B$6*$B$10*$B$13*$B$16*$B$19*$B$23*$B$24,0)</f>
        <v/>
      </c>
      <c r="AE59" s="10">
        <f>ROUND($B$6*$B$10*$B$13*$B$16*$B$19*$B$23*$B$25,0)</f>
        <v/>
      </c>
      <c r="AF59" s="10">
        <f>ROUND($B$6*$B$10*$B$13*$B$16*$B$20*$B$22*$B$24,0)</f>
        <v/>
      </c>
      <c r="AG59" s="10">
        <f>ROUND($B$6*$B$10*$B$13*$B$16*$B$20*$B$22*$B$25,0)</f>
        <v/>
      </c>
      <c r="AH59" s="10">
        <f>ROUND($B$6*$B$10*$B$13*$B$16*$B$20*$B$23*$B$24,0)</f>
        <v/>
      </c>
      <c r="AI59" s="10">
        <f>ROUND($B$6*$B$10*$B$13*$B$16*$B$20*$B$23*$B$25,0)</f>
        <v/>
      </c>
      <c r="AJ59" s="10">
        <f>ROUND($B$6*$B$10*$B$13*$B$16*$B$21*$B$22*$B$24,0)</f>
        <v/>
      </c>
      <c r="AK59" s="10">
        <f>ROUND($B$6*$B$10*$B$13*$B$16*$B$21*$B$22*$B$25,0)</f>
        <v/>
      </c>
      <c r="AL59" s="10">
        <f>ROUND($B$6*$B$10*$B$13*$B$16*$B$21*$B$23*$B$24,0)</f>
        <v/>
      </c>
      <c r="AM59" s="10">
        <f>ROUND($B$6*$B$10*$B$13*$B$16*$B$21*$B$23*$B$25,0)</f>
        <v/>
      </c>
    </row>
    <row r="60" ht="20.1" customHeight="1" s="62">
      <c r="A60" s="67" t="n"/>
      <c r="B60" s="58" t="n"/>
      <c r="C60" s="57" t="inlineStr">
        <is>
          <t>Désorganisation modérée</t>
        </is>
      </c>
      <c r="D60" s="10">
        <f>ROUND($B$4*$B$10*$B$13*$B$17*$B$19*$B$22*$B$24,0)</f>
        <v/>
      </c>
      <c r="E60" s="10">
        <f>ROUND($B$4*$B$10*$B$13*$B$17*$B$19*$B$22*$B$25,0)</f>
        <v/>
      </c>
      <c r="F60" s="10">
        <f>ROUND($B$4*$B$10*$B$13*$B$17*$B$19*$B$23*$B$24,0)</f>
        <v/>
      </c>
      <c r="G60" s="10">
        <f>ROUND($B$4*$B$10*$B$13*$B$17*$B$19*$B$23*$B$25,0)</f>
        <v/>
      </c>
      <c r="H60" s="10">
        <f>ROUND($B$4*$B$10*$B$13*$B$17*$B$20*$B$22*$B$24,0)</f>
        <v/>
      </c>
      <c r="I60" s="10">
        <f>ROUND($B$4*$B$10*$B$13*$B$17*$B$20*$B$22*$B$25,0)</f>
        <v/>
      </c>
      <c r="J60" s="10">
        <f>ROUND($B$4*$B$10*$B$13*$B$17*$B$20*$B$23*$B$24,0)</f>
        <v/>
      </c>
      <c r="K60" s="10">
        <f>ROUND($B$4*$B$10*$B$13*$B$17*$B$20*$B$23*$B$25,0)</f>
        <v/>
      </c>
      <c r="L60" s="10">
        <f>ROUND($B$4*$B$10*$B$13*$B$17*$B$21*$B$22*$B$24,0)</f>
        <v/>
      </c>
      <c r="M60" s="10">
        <f>ROUND($B$4*$B$10*$B$13*$B$17*$B$21*$B$22*$B$25,0)</f>
        <v/>
      </c>
      <c r="N60" s="10">
        <f>ROUND($B$4*$B$10*$B$13*$B$17*$B$21*$B$23*$B$24,0)</f>
        <v/>
      </c>
      <c r="O60" s="10">
        <f>ROUND($B$4*$B$10*$B$13*$B$17*$B$21*$B$23*$B$25,0)</f>
        <v/>
      </c>
      <c r="P60" s="10">
        <f>ROUND($B$5*$B$10*$B$13*$B$17*$B$19*$B$22*$B$24,0)</f>
        <v/>
      </c>
      <c r="Q60" s="10">
        <f>ROUND($B$5*$B$10*$B$13*$B$17*$B$19*$B$22*$B$25,0)</f>
        <v/>
      </c>
      <c r="R60" s="10">
        <f>ROUND($B$5*$B$10*$B$13*$B$17*$B$19*$B$23*$B$24,0)</f>
        <v/>
      </c>
      <c r="S60" s="10">
        <f>ROUND($B$5*$B$10*$B$13*$B$17*$B$19*$B$23*$B$25,0)</f>
        <v/>
      </c>
      <c r="T60" s="10">
        <f>ROUND($B$5*$B$10*$B$13*$B$17*$B$20*$B$22*$B$24,0)</f>
        <v/>
      </c>
      <c r="U60" s="10">
        <f>ROUND($B$5*$B$10*$B$13*$B$17*$B$20*$B$22*$B$25,0)</f>
        <v/>
      </c>
      <c r="V60" s="10">
        <f>ROUND($B$5*$B$10*$B$13*$B$17*$B$20*$B$23*$B$24,0)</f>
        <v/>
      </c>
      <c r="W60" s="10">
        <f>ROUND($B$5*$B$10*$B$13*$B$17*$B$20*$B$23*$B$25,0)</f>
        <v/>
      </c>
      <c r="X60" s="10">
        <f>ROUND($B$5*$B$10*$B$13*$B$17*$B$21*$B$22*$B$24,0)</f>
        <v/>
      </c>
      <c r="Y60" s="10">
        <f>ROUND($B$5*$B$10*$B$13*$B$17*$B$21*$B$22*$B$25,0)</f>
        <v/>
      </c>
      <c r="Z60" s="10">
        <f>ROUND($B$5*$B$10*$B$13*$B$17*$B$21*$B$23*$B$24,0)</f>
        <v/>
      </c>
      <c r="AA60" s="10">
        <f>ROUND($B$5*$B$10*$B$13*$B$17*$B$21*$B$23*$B$25,0)</f>
        <v/>
      </c>
      <c r="AB60" s="10">
        <f>ROUND($B$6*$B$10*$B$13*$B$17*$B$19*$B$22*$B$24,0)</f>
        <v/>
      </c>
      <c r="AC60" s="10">
        <f>ROUND($B$6*$B$10*$B$13*$B$17*$B$19*$B$22*$B$25,0)</f>
        <v/>
      </c>
      <c r="AD60" s="10">
        <f>ROUND($B$6*$B$10*$B$13*$B$17*$B$19*$B$23*$B$24,0)</f>
        <v/>
      </c>
      <c r="AE60" s="10">
        <f>ROUND($B$6*$B$10*$B$13*$B$17*$B$19*$B$23*$B$25,0)</f>
        <v/>
      </c>
      <c r="AF60" s="10">
        <f>ROUND($B$6*$B$10*$B$13*$B$17*$B$20*$B$22*$B$24,0)</f>
        <v/>
      </c>
      <c r="AG60" s="10">
        <f>ROUND($B$6*$B$10*$B$13*$B$17*$B$20*$B$22*$B$25,0)</f>
        <v/>
      </c>
      <c r="AH60" s="10">
        <f>ROUND($B$6*$B$10*$B$13*$B$17*$B$20*$B$23*$B$24,0)</f>
        <v/>
      </c>
      <c r="AI60" s="10">
        <f>ROUND($B$6*$B$10*$B$13*$B$17*$B$20*$B$23*$B$25,0)</f>
        <v/>
      </c>
      <c r="AJ60" s="10">
        <f>ROUND($B$6*$B$10*$B$13*$B$17*$B$21*$B$22*$B$24,0)</f>
        <v/>
      </c>
      <c r="AK60" s="10">
        <f>ROUND($B$6*$B$10*$B$13*$B$17*$B$21*$B$22*$B$25,0)</f>
        <v/>
      </c>
      <c r="AL60" s="10">
        <f>ROUND($B$6*$B$10*$B$13*$B$17*$B$21*$B$23*$B$24,0)</f>
        <v/>
      </c>
      <c r="AM60" s="10">
        <f>ROUND($B$6*$B$10*$B$13*$B$17*$B$21*$B$23*$B$25,0)</f>
        <v/>
      </c>
    </row>
    <row r="61" ht="20.1" customHeight="1" s="62">
      <c r="A61" s="67" t="n"/>
      <c r="B61" s="59" t="n"/>
      <c r="C61" s="15" t="inlineStr">
        <is>
          <t>Désorganisation élevée</t>
        </is>
      </c>
      <c r="D61" s="10">
        <f>ROUND($B$4*$B$10*$B$13*$B$18*$B$19*$B$22*$B$24,0)</f>
        <v/>
      </c>
      <c r="E61" s="10">
        <f>ROUND($B$4*$B$10*$B$13*$B$18*$B$19*$B$22*$B$25,0)</f>
        <v/>
      </c>
      <c r="F61" s="10">
        <f>ROUND($B$4*$B$10*$B$13*$B$18*$B$19*$B$23*$B$24,0)</f>
        <v/>
      </c>
      <c r="G61" s="10">
        <f>ROUND($B$4*$B$10*$B$13*$B$18*$B$19*$B$23*$B$25,0)</f>
        <v/>
      </c>
      <c r="H61" s="10">
        <f>ROUND($B$4*$B$10*$B$13*$B$18*$B$20*$B$22*$B$24,0)</f>
        <v/>
      </c>
      <c r="I61" s="10">
        <f>ROUND($B$4*$B$10*$B$13*$B$18*$B$20*$B$22*$B$25,0)</f>
        <v/>
      </c>
      <c r="J61" s="10">
        <f>ROUND($B$4*$B$10*$B$13*$B$18*$B$20*$B$23*$B$24,0)</f>
        <v/>
      </c>
      <c r="K61" s="10">
        <f>ROUND($B$4*$B$10*$B$13*$B$18*$B$20*$B$23*$B$25,0)</f>
        <v/>
      </c>
      <c r="L61" s="10">
        <f>ROUND($B$4*$B$10*$B$13*$B$18*$B$21*$B$22*$B$24,0)</f>
        <v/>
      </c>
      <c r="M61" s="10">
        <f>ROUND($B$4*$B$10*$B$13*$B$18*$B$21*$B$22*$B$25,0)</f>
        <v/>
      </c>
      <c r="N61" s="10">
        <f>ROUND($B$4*$B$10*$B$13*$B$18*$B$21*$B$23*$B$24,0)</f>
        <v/>
      </c>
      <c r="O61" s="10">
        <f>ROUND($B$4*$B$10*$B$13*$B$18*$B$21*$B$23*$B$25,0)</f>
        <v/>
      </c>
      <c r="P61" s="10">
        <f>ROUND($B$5*$B$10*$B$13*$B$18*$B$19*$B$22*$B$24,0)</f>
        <v/>
      </c>
      <c r="Q61" s="10">
        <f>ROUND($B$5*$B$10*$B$13*$B$18*$B$19*$B$22*$B$25,0)</f>
        <v/>
      </c>
      <c r="R61" s="10">
        <f>ROUND($B$5*$B$10*$B$13*$B$18*$B$19*$B$23*$B$24,0)</f>
        <v/>
      </c>
      <c r="S61" s="10">
        <f>ROUND($B$5*$B$10*$B$13*$B$18*$B$19*$B$23*$B$25,0)</f>
        <v/>
      </c>
      <c r="T61" s="10">
        <f>ROUND($B$5*$B$10*$B$13*$B$18*$B$20*$B$22*$B$24,0)</f>
        <v/>
      </c>
      <c r="U61" s="10">
        <f>ROUND($B$5*$B$10*$B$13*$B$18*$B$20*$B$22*$B$25,0)</f>
        <v/>
      </c>
      <c r="V61" s="10">
        <f>ROUND($B$5*$B$10*$B$13*$B$18*$B$20*$B$23*$B$24,0)</f>
        <v/>
      </c>
      <c r="W61" s="10">
        <f>ROUND($B$5*$B$10*$B$13*$B$18*$B$20*$B$23*$B$25,0)</f>
        <v/>
      </c>
      <c r="X61" s="10">
        <f>ROUND($B$5*$B$10*$B$13*$B$18*$B$21*$B$22*$B$24,0)</f>
        <v/>
      </c>
      <c r="Y61" s="10">
        <f>ROUND($B$5*$B$10*$B$13*$B$18*$B$21*$B$22*$B$25,0)</f>
        <v/>
      </c>
      <c r="Z61" s="10">
        <f>ROUND($B$5*$B$10*$B$13*$B$18*$B$21*$B$23*$B$24,0)</f>
        <v/>
      </c>
      <c r="AA61" s="10">
        <f>ROUND($B$5*$B$10*$B$13*$B$18*$B$21*$B$23*$B$25,0)</f>
        <v/>
      </c>
      <c r="AB61" s="10">
        <f>ROUND($B$6*$B$10*$B$13*$B$18*$B$19*$B$22*$B$24,0)</f>
        <v/>
      </c>
      <c r="AC61" s="10">
        <f>ROUND($B$6*$B$10*$B$13*$B$18*$B$19*$B$22*$B$25,0)</f>
        <v/>
      </c>
      <c r="AD61" s="10">
        <f>ROUND($B$6*$B$10*$B$13*$B$18*$B$19*$B$23*$B$24,0)</f>
        <v/>
      </c>
      <c r="AE61" s="10">
        <f>ROUND($B$6*$B$10*$B$13*$B$18*$B$19*$B$23*$B$25,0)</f>
        <v/>
      </c>
      <c r="AF61" s="10">
        <f>ROUND($B$6*$B$10*$B$13*$B$18*$B$20*$B$22*$B$24,0)</f>
        <v/>
      </c>
      <c r="AG61" s="10">
        <f>ROUND($B$6*$B$10*$B$13*$B$18*$B$20*$B$22*$B$25,0)</f>
        <v/>
      </c>
      <c r="AH61" s="10">
        <f>ROUND($B$6*$B$10*$B$13*$B$18*$B$20*$B$23*$B$24,0)</f>
        <v/>
      </c>
      <c r="AI61" s="10">
        <f>ROUND($B$6*$B$10*$B$13*$B$18*$B$20*$B$23*$B$25,0)</f>
        <v/>
      </c>
      <c r="AJ61" s="10">
        <f>ROUND($B$6*$B$10*$B$13*$B$18*$B$21*$B$22*$B$24,0)</f>
        <v/>
      </c>
      <c r="AK61" s="10">
        <f>ROUND($B$6*$B$10*$B$13*$B$18*$B$21*$B$22*$B$25,0)</f>
        <v/>
      </c>
      <c r="AL61" s="10">
        <f>ROUND($B$6*$B$10*$B$13*$B$18*$B$21*$B$23*$B$24,0)</f>
        <v/>
      </c>
      <c r="AM61" s="10">
        <f>ROUND($B$6*$B$10*$B$13*$B$18*$B$21*$B$23*$B$25,0)</f>
        <v/>
      </c>
    </row>
    <row r="62" ht="20.1" customHeight="1" s="62">
      <c r="A62" s="67" t="n"/>
      <c r="B62" s="57" t="inlineStr">
        <is>
          <t>6-10 équipes</t>
        </is>
      </c>
      <c r="C62" s="14" t="inlineStr">
        <is>
          <t>Faible désorganisation</t>
        </is>
      </c>
      <c r="D62" s="10">
        <f>ROUND($B$4*$B$10*$B$14*$B$16*$B$19*$B$22*$B$24,0)</f>
        <v/>
      </c>
      <c r="E62" s="10">
        <f>ROUND($B$4*$B$10*$B$14*$B$16*$B$19*$B$22*$B$25,0)</f>
        <v/>
      </c>
      <c r="F62" s="10">
        <f>ROUND($B$4*$B$10*$B$14*$B$16*$B$19*$B$23*$B$24,0)</f>
        <v/>
      </c>
      <c r="G62" s="10">
        <f>ROUND($B$4*$B$10*$B$14*$B$16*$B$19*$B$23*$B$25,0)</f>
        <v/>
      </c>
      <c r="H62" s="10">
        <f>ROUND($B$4*$B$10*$B$14*$B$16*$B$20*$B$22*$B$24,0)</f>
        <v/>
      </c>
      <c r="I62" s="10">
        <f>ROUND($B$4*$B$10*$B$14*$B$16*$B$20*$B$22*$B$25,0)</f>
        <v/>
      </c>
      <c r="J62" s="10">
        <f>ROUND($B$4*$B$10*$B$14*$B$16*$B$20*$B$23*$B$24,0)</f>
        <v/>
      </c>
      <c r="K62" s="10">
        <f>ROUND($B$4*$B$10*$B$14*$B$16*$B$20*$B$23*$B$25,0)</f>
        <v/>
      </c>
      <c r="L62" s="10">
        <f>ROUND($B$4*$B$10*$B$14*$B$16*$B$21*$B$22*$B$24,0)</f>
        <v/>
      </c>
      <c r="M62" s="10">
        <f>ROUND($B$4*$B$10*$B$14*$B$16*$B$21*$B$22*$B$25,0)</f>
        <v/>
      </c>
      <c r="N62" s="10">
        <f>ROUND($B$4*$B$10*$B$14*$B$16*$B$21*$B$23*$B$24,0)</f>
        <v/>
      </c>
      <c r="O62" s="10">
        <f>ROUND($B$4*$B$10*$B$14*$B$16*$B$21*$B$23*$B$25,0)</f>
        <v/>
      </c>
      <c r="P62" s="10">
        <f>ROUND($B$5*$B$10*$B$14*$B$16*$B$19*$B$22*$B$24,0)</f>
        <v/>
      </c>
      <c r="Q62" s="10">
        <f>ROUND($B$5*$B$10*$B$14*$B$16*$B$19*$B$22*$B$25,0)</f>
        <v/>
      </c>
      <c r="R62" s="10">
        <f>ROUND($B$5*$B$10*$B$14*$B$16*$B$19*$B$23*$B$24,0)</f>
        <v/>
      </c>
      <c r="S62" s="10">
        <f>ROUND($B$5*$B$10*$B$14*$B$16*$B$19*$B$23*$B$25,0)</f>
        <v/>
      </c>
      <c r="T62" s="10">
        <f>ROUND($B$5*$B$10*$B$14*$B$16*$B$20*$B$22*$B$24,0)</f>
        <v/>
      </c>
      <c r="U62" s="10">
        <f>ROUND($B$5*$B$10*$B$14*$B$16*$B$20*$B$22*$B$25,0)</f>
        <v/>
      </c>
      <c r="V62" s="10">
        <f>ROUND($B$5*$B$10*$B$14*$B$16*$B$20*$B$23*$B$24,0)</f>
        <v/>
      </c>
      <c r="W62" s="10">
        <f>ROUND($B$5*$B$10*$B$14*$B$16*$B$20*$B$23*$B$25,0)</f>
        <v/>
      </c>
      <c r="X62" s="10">
        <f>ROUND($B$5*$B$10*$B$14*$B$16*$B$21*$B$22*$B$24,0)</f>
        <v/>
      </c>
      <c r="Y62" s="10">
        <f>ROUND($B$5*$B$10*$B$14*$B$16*$B$21*$B$22*$B$25,0)</f>
        <v/>
      </c>
      <c r="Z62" s="10">
        <f>ROUND($B$5*$B$10*$B$14*$B$16*$B$21*$B$23*$B$24,0)</f>
        <v/>
      </c>
      <c r="AA62" s="10">
        <f>ROUND($B$5*$B$10*$B$14*$B$16*$B$21*$B$23*$B$25,0)</f>
        <v/>
      </c>
      <c r="AB62" s="10">
        <f>ROUND($B$6*$B$10*$B$14*$B$16*$B$19*$B$22*$B$24,0)</f>
        <v/>
      </c>
      <c r="AC62" s="10">
        <f>ROUND($B$6*$B$10*$B$14*$B$16*$B$19*$B$22*$B$25,0)</f>
        <v/>
      </c>
      <c r="AD62" s="10">
        <f>ROUND($B$6*$B$10*$B$14*$B$16*$B$19*$B$23*$B$24,0)</f>
        <v/>
      </c>
      <c r="AE62" s="10">
        <f>ROUND($B$6*$B$10*$B$14*$B$16*$B$19*$B$23*$B$25,0)</f>
        <v/>
      </c>
      <c r="AF62" s="10">
        <f>ROUND($B$6*$B$10*$B$14*$B$16*$B$20*$B$22*$B$24,0)</f>
        <v/>
      </c>
      <c r="AG62" s="10">
        <f>ROUND($B$6*$B$10*$B$14*$B$16*$B$20*$B$22*$B$25,0)</f>
        <v/>
      </c>
      <c r="AH62" s="10">
        <f>ROUND($B$6*$B$10*$B$14*$B$16*$B$20*$B$23*$B$24,0)</f>
        <v/>
      </c>
      <c r="AI62" s="10">
        <f>ROUND($B$6*$B$10*$B$14*$B$16*$B$20*$B$23*$B$25,0)</f>
        <v/>
      </c>
      <c r="AJ62" s="10">
        <f>ROUND($B$6*$B$10*$B$14*$B$16*$B$21*$B$22*$B$24,0)</f>
        <v/>
      </c>
      <c r="AK62" s="10">
        <f>ROUND($B$6*$B$10*$B$14*$B$16*$B$21*$B$22*$B$25,0)</f>
        <v/>
      </c>
      <c r="AL62" s="10">
        <f>ROUND($B$6*$B$10*$B$14*$B$16*$B$21*$B$23*$B$24,0)</f>
        <v/>
      </c>
      <c r="AM62" s="10">
        <f>ROUND($B$6*$B$10*$B$14*$B$16*$B$21*$B$23*$B$25,0)</f>
        <v/>
      </c>
    </row>
    <row r="63" ht="20.1" customHeight="1" s="62">
      <c r="A63" s="67" t="n"/>
      <c r="B63" s="58" t="n"/>
      <c r="C63" s="57" t="inlineStr">
        <is>
          <t>Désorganisation modérée</t>
        </is>
      </c>
      <c r="D63" s="10">
        <f>ROUND($B$4*$B$10*$B$14*$B$17*$B$19*$B$22*$B$24,0)</f>
        <v/>
      </c>
      <c r="E63" s="10">
        <f>ROUND($B$4*$B$10*$B$14*$B$17*$B$19*$B$22*$B$25,0)</f>
        <v/>
      </c>
      <c r="F63" s="10">
        <f>ROUND($B$4*$B$10*$B$14*$B$17*$B$19*$B$23*$B$24,0)</f>
        <v/>
      </c>
      <c r="G63" s="10">
        <f>ROUND($B$4*$B$10*$B$14*$B$17*$B$19*$B$23*$B$25,0)</f>
        <v/>
      </c>
      <c r="H63" s="10">
        <f>ROUND($B$4*$B$10*$B$14*$B$17*$B$20*$B$22*$B$24,0)</f>
        <v/>
      </c>
      <c r="I63" s="10">
        <f>ROUND($B$4*$B$10*$B$14*$B$17*$B$20*$B$22*$B$25,0)</f>
        <v/>
      </c>
      <c r="J63" s="10">
        <f>ROUND($B$4*$B$10*$B$14*$B$17*$B$20*$B$23*$B$24,0)</f>
        <v/>
      </c>
      <c r="K63" s="10">
        <f>ROUND($B$4*$B$10*$B$14*$B$17*$B$20*$B$23*$B$25,0)</f>
        <v/>
      </c>
      <c r="L63" s="10">
        <f>ROUND($B$4*$B$10*$B$14*$B$17*$B$21*$B$22*$B$24,0)</f>
        <v/>
      </c>
      <c r="M63" s="10">
        <f>ROUND($B$4*$B$10*$B$14*$B$17*$B$21*$B$22*$B$25,0)</f>
        <v/>
      </c>
      <c r="N63" s="10">
        <f>ROUND($B$4*$B$10*$B$14*$B$17*$B$21*$B$23*$B$24,0)</f>
        <v/>
      </c>
      <c r="O63" s="10">
        <f>ROUND($B$4*$B$10*$B$14*$B$17*$B$21*$B$23*$B$25,0)</f>
        <v/>
      </c>
      <c r="P63" s="10">
        <f>ROUND($B$5*$B$10*$B$14*$B$17*$B$19*$B$22*$B$24,0)</f>
        <v/>
      </c>
      <c r="Q63" s="10">
        <f>ROUND($B$5*$B$10*$B$14*$B$17*$B$19*$B$22*$B$25,0)</f>
        <v/>
      </c>
      <c r="R63" s="10">
        <f>ROUND($B$5*$B$10*$B$14*$B$17*$B$19*$B$23*$B$24,0)</f>
        <v/>
      </c>
      <c r="S63" s="10">
        <f>ROUND($B$5*$B$10*$B$14*$B$17*$B$19*$B$23*$B$25,0)</f>
        <v/>
      </c>
      <c r="T63" s="10">
        <f>ROUND($B$5*$B$10*$B$14*$B$17*$B$20*$B$22*$B$24,0)</f>
        <v/>
      </c>
      <c r="U63" s="10">
        <f>ROUND($B$5*$B$10*$B$14*$B$17*$B$20*$B$22*$B$25,0)</f>
        <v/>
      </c>
      <c r="V63" s="10">
        <f>ROUND($B$5*$B$10*$B$14*$B$17*$B$20*$B$23*$B$24,0)</f>
        <v/>
      </c>
      <c r="W63" s="10">
        <f>ROUND($B$5*$B$10*$B$14*$B$17*$B$20*$B$23*$B$25,0)</f>
        <v/>
      </c>
      <c r="X63" s="10">
        <f>ROUND($B$5*$B$10*$B$14*$B$17*$B$21*$B$22*$B$24,0)</f>
        <v/>
      </c>
      <c r="Y63" s="10">
        <f>ROUND($B$5*$B$10*$B$14*$B$17*$B$21*$B$22*$B$25,0)</f>
        <v/>
      </c>
      <c r="Z63" s="10">
        <f>ROUND($B$5*$B$10*$B$14*$B$17*$B$21*$B$23*$B$24,0)</f>
        <v/>
      </c>
      <c r="AA63" s="10">
        <f>ROUND($B$5*$B$10*$B$14*$B$17*$B$21*$B$23*$B$25,0)</f>
        <v/>
      </c>
      <c r="AB63" s="10">
        <f>ROUND($B$6*$B$10*$B$14*$B$17*$B$19*$B$22*$B$24,0)</f>
        <v/>
      </c>
      <c r="AC63" s="10">
        <f>ROUND($B$6*$B$10*$B$14*$B$17*$B$19*$B$22*$B$25,0)</f>
        <v/>
      </c>
      <c r="AD63" s="10">
        <f>ROUND($B$6*$B$10*$B$14*$B$17*$B$19*$B$23*$B$24,0)</f>
        <v/>
      </c>
      <c r="AE63" s="10">
        <f>ROUND($B$6*$B$10*$B$14*$B$17*$B$19*$B$23*$B$25,0)</f>
        <v/>
      </c>
      <c r="AF63" s="10">
        <f>ROUND($B$6*$B$10*$B$14*$B$17*$B$20*$B$22*$B$24,0)</f>
        <v/>
      </c>
      <c r="AG63" s="10">
        <f>ROUND($B$6*$B$10*$B$14*$B$17*$B$20*$B$22*$B$25,0)</f>
        <v/>
      </c>
      <c r="AH63" s="10">
        <f>ROUND($B$6*$B$10*$B$14*$B$17*$B$20*$B$23*$B$24,0)</f>
        <v/>
      </c>
      <c r="AI63" s="10">
        <f>ROUND($B$6*$B$10*$B$14*$B$17*$B$20*$B$23*$B$25,0)</f>
        <v/>
      </c>
      <c r="AJ63" s="10">
        <f>ROUND($B$6*$B$10*$B$14*$B$17*$B$21*$B$22*$B$24,0)</f>
        <v/>
      </c>
      <c r="AK63" s="10">
        <f>ROUND($B$6*$B$10*$B$14*$B$17*$B$21*$B$22*$B$25,0)</f>
        <v/>
      </c>
      <c r="AL63" s="10">
        <f>ROUND($B$6*$B$10*$B$14*$B$17*$B$21*$B$23*$B$24,0)</f>
        <v/>
      </c>
      <c r="AM63" s="10">
        <f>ROUND($B$6*$B$10*$B$14*$B$17*$B$21*$B$23*$B$25,0)</f>
        <v/>
      </c>
    </row>
    <row r="64" ht="20.1" customHeight="1" s="62">
      <c r="A64" s="67" t="n"/>
      <c r="B64" s="59" t="n"/>
      <c r="C64" s="15" t="inlineStr">
        <is>
          <t>Désorganisation élevée</t>
        </is>
      </c>
      <c r="D64" s="10">
        <f>ROUND($B$4*$B$10*$B$14*$B$18*$B$19*$B$22*$B$24,0)</f>
        <v/>
      </c>
      <c r="E64" s="10">
        <f>ROUND($B$4*$B$10*$B$14*$B$18*$B$19*$B$22*$B$25,0)</f>
        <v/>
      </c>
      <c r="F64" s="10">
        <f>ROUND($B$4*$B$10*$B$14*$B$18*$B$19*$B$23*$B$24,0)</f>
        <v/>
      </c>
      <c r="G64" s="10">
        <f>ROUND($B$4*$B$10*$B$14*$B$18*$B$19*$B$23*$B$25,0)</f>
        <v/>
      </c>
      <c r="H64" s="10">
        <f>ROUND($B$4*$B$10*$B$14*$B$18*$B$20*$B$22*$B$24,0)</f>
        <v/>
      </c>
      <c r="I64" s="10">
        <f>ROUND($B$4*$B$10*$B$14*$B$18*$B$20*$B$22*$B$25,0)</f>
        <v/>
      </c>
      <c r="J64" s="10">
        <f>ROUND($B$4*$B$10*$B$14*$B$18*$B$20*$B$23*$B$24,0)</f>
        <v/>
      </c>
      <c r="K64" s="10">
        <f>ROUND($B$4*$B$10*$B$14*$B$18*$B$20*$B$23*$B$25,0)</f>
        <v/>
      </c>
      <c r="L64" s="10">
        <f>ROUND($B$4*$B$10*$B$14*$B$18*$B$21*$B$22*$B$24,0)</f>
        <v/>
      </c>
      <c r="M64" s="10">
        <f>ROUND($B$4*$B$10*$B$14*$B$18*$B$21*$B$22*$B$25,0)</f>
        <v/>
      </c>
      <c r="N64" s="10">
        <f>ROUND($B$4*$B$10*$B$14*$B$18*$B$21*$B$23*$B$24,0)</f>
        <v/>
      </c>
      <c r="O64" s="10">
        <f>ROUND($B$4*$B$10*$B$14*$B$18*$B$21*$B$23*$B$25,0)</f>
        <v/>
      </c>
      <c r="P64" s="10">
        <f>ROUND($B$5*$B$10*$B$14*$B$18*$B$19*$B$22*$B$24,0)</f>
        <v/>
      </c>
      <c r="Q64" s="10">
        <f>ROUND($B$5*$B$10*$B$14*$B$18*$B$19*$B$22*$B$25,0)</f>
        <v/>
      </c>
      <c r="R64" s="10">
        <f>ROUND($B$5*$B$10*$B$14*$B$18*$B$19*$B$23*$B$24,0)</f>
        <v/>
      </c>
      <c r="S64" s="10">
        <f>ROUND($B$5*$B$10*$B$14*$B$18*$B$19*$B$23*$B$25,0)</f>
        <v/>
      </c>
      <c r="T64" s="10">
        <f>ROUND($B$5*$B$10*$B$14*$B$18*$B$20*$B$22*$B$24,0)</f>
        <v/>
      </c>
      <c r="U64" s="10">
        <f>ROUND($B$5*$B$10*$B$14*$B$18*$B$20*$B$22*$B$25,0)</f>
        <v/>
      </c>
      <c r="V64" s="10">
        <f>ROUND($B$5*$B$10*$B$14*$B$18*$B$20*$B$23*$B$24,0)</f>
        <v/>
      </c>
      <c r="W64" s="10">
        <f>ROUND($B$5*$B$10*$B$14*$B$18*$B$20*$B$23*$B$25,0)</f>
        <v/>
      </c>
      <c r="X64" s="10">
        <f>ROUND($B$5*$B$10*$B$14*$B$18*$B$21*$B$22*$B$24,0)</f>
        <v/>
      </c>
      <c r="Y64" s="10">
        <f>ROUND($B$5*$B$10*$B$14*$B$18*$B$21*$B$22*$B$25,0)</f>
        <v/>
      </c>
      <c r="Z64" s="10">
        <f>ROUND($B$5*$B$10*$B$14*$B$18*$B$21*$B$23*$B$24,0)</f>
        <v/>
      </c>
      <c r="AA64" s="10">
        <f>ROUND($B$5*$B$10*$B$14*$B$18*$B$21*$B$23*$B$25,0)</f>
        <v/>
      </c>
      <c r="AB64" s="10">
        <f>ROUND($B$6*$B$10*$B$14*$B$18*$B$19*$B$22*$B$24,0)</f>
        <v/>
      </c>
      <c r="AC64" s="10">
        <f>ROUND($B$6*$B$10*$B$14*$B$18*$B$19*$B$22*$B$25,0)</f>
        <v/>
      </c>
      <c r="AD64" s="10">
        <f>ROUND($B$6*$B$10*$B$14*$B$18*$B$19*$B$23*$B$24,0)</f>
        <v/>
      </c>
      <c r="AE64" s="10">
        <f>ROUND($B$6*$B$10*$B$14*$B$18*$B$19*$B$23*$B$25,0)</f>
        <v/>
      </c>
      <c r="AF64" s="10">
        <f>ROUND($B$6*$B$10*$B$14*$B$18*$B$20*$B$22*$B$24,0)</f>
        <v/>
      </c>
      <c r="AG64" s="10">
        <f>ROUND($B$6*$B$10*$B$14*$B$18*$B$20*$B$22*$B$25,0)</f>
        <v/>
      </c>
      <c r="AH64" s="10">
        <f>ROUND($B$6*$B$10*$B$14*$B$18*$B$20*$B$23*$B$24,0)</f>
        <v/>
      </c>
      <c r="AI64" s="10">
        <f>ROUND($B$6*$B$10*$B$14*$B$18*$B$20*$B$23*$B$25,0)</f>
        <v/>
      </c>
      <c r="AJ64" s="10">
        <f>ROUND($B$6*$B$10*$B$14*$B$18*$B$21*$B$22*$B$24,0)</f>
        <v/>
      </c>
      <c r="AK64" s="10">
        <f>ROUND($B$6*$B$10*$B$14*$B$18*$B$21*$B$22*$B$25,0)</f>
        <v/>
      </c>
      <c r="AL64" s="10">
        <f>ROUND($B$6*$B$10*$B$14*$B$18*$B$21*$B$23*$B$24,0)</f>
        <v/>
      </c>
      <c r="AM64" s="10">
        <f>ROUND($B$6*$B$10*$B$14*$B$18*$B$21*$B$23*$B$25,0)</f>
        <v/>
      </c>
    </row>
    <row r="65" ht="20.1" customHeight="1" s="62">
      <c r="A65" s="67" t="n"/>
      <c r="B65" s="57" t="inlineStr">
        <is>
          <t>10+ équipes</t>
        </is>
      </c>
      <c r="C65" s="14" t="inlineStr">
        <is>
          <t>Faible désorganisation</t>
        </is>
      </c>
      <c r="D65" s="10">
        <f>ROUND($B$4*$B$10*$B$15*$B$16*$B$19*$B$22*$B$24,0)</f>
        <v/>
      </c>
      <c r="E65" s="10">
        <f>ROUND($B$4*$B$10*$B$15*$B$16*$B$19*$B$22*$B$25,0)</f>
        <v/>
      </c>
      <c r="F65" s="10">
        <f>ROUND($B$4*$B$10*$B$15*$B$16*$B$19*$B$23*$B$24,0)</f>
        <v/>
      </c>
      <c r="G65" s="10">
        <f>ROUND($B$4*$B$10*$B$15*$B$16*$B$19*$B$23*$B$25,0)</f>
        <v/>
      </c>
      <c r="H65" s="10">
        <f>ROUND($B$4*$B$10*$B$15*$B$16*$B$20*$B$22*$B$24,0)</f>
        <v/>
      </c>
      <c r="I65" s="10">
        <f>ROUND($B$4*$B$10*$B$15*$B$16*$B$20*$B$22*$B$25,0)</f>
        <v/>
      </c>
      <c r="J65" s="10">
        <f>ROUND($B$4*$B$10*$B$15*$B$16*$B$20*$B$23*$B$24,0)</f>
        <v/>
      </c>
      <c r="K65" s="10">
        <f>ROUND($B$4*$B$10*$B$15*$B$16*$B$20*$B$23*$B$25,0)</f>
        <v/>
      </c>
      <c r="L65" s="10">
        <f>ROUND($B$4*$B$10*$B$15*$B$16*$B$21*$B$22*$B$24,0)</f>
        <v/>
      </c>
      <c r="M65" s="10">
        <f>ROUND($B$4*$B$10*$B$15*$B$16*$B$21*$B$22*$B$25,0)</f>
        <v/>
      </c>
      <c r="N65" s="10">
        <f>ROUND($B$4*$B$10*$B$15*$B$16*$B$21*$B$23*$B$24,0)</f>
        <v/>
      </c>
      <c r="O65" s="10">
        <f>ROUND($B$4*$B$10*$B$15*$B$16*$B$21*$B$23*$B$25,0)</f>
        <v/>
      </c>
      <c r="P65" s="10">
        <f>ROUND($B$5*$B$10*$B$15*$B$16*$B$19*$B$22*$B$24,0)</f>
        <v/>
      </c>
      <c r="Q65" s="10">
        <f>ROUND($B$5*$B$10*$B$15*$B$16*$B$19*$B$22*$B$25,0)</f>
        <v/>
      </c>
      <c r="R65" s="10">
        <f>ROUND($B$5*$B$10*$B$15*$B$16*$B$19*$B$23*$B$24,0)</f>
        <v/>
      </c>
      <c r="S65" s="10">
        <f>ROUND($B$5*$B$10*$B$15*$B$16*$B$19*$B$23*$B$25,0)</f>
        <v/>
      </c>
      <c r="T65" s="10">
        <f>ROUND($B$5*$B$10*$B$15*$B$16*$B$20*$B$22*$B$24,0)</f>
        <v/>
      </c>
      <c r="U65" s="10">
        <f>ROUND($B$5*$B$10*$B$15*$B$16*$B$20*$B$22*$B$25,0)</f>
        <v/>
      </c>
      <c r="V65" s="10">
        <f>ROUND($B$5*$B$10*$B$15*$B$16*$B$20*$B$23*$B$24,0)</f>
        <v/>
      </c>
      <c r="W65" s="10">
        <f>ROUND($B$5*$B$10*$B$15*$B$16*$B$20*$B$23*$B$25,0)</f>
        <v/>
      </c>
      <c r="X65" s="10">
        <f>ROUND($B$5*$B$10*$B$15*$B$16*$B$21*$B$22*$B$24,0)</f>
        <v/>
      </c>
      <c r="Y65" s="10">
        <f>ROUND($B$5*$B$10*$B$15*$B$16*$B$21*$B$22*$B$25,0)</f>
        <v/>
      </c>
      <c r="Z65" s="10">
        <f>ROUND($B$5*$B$10*$B$15*$B$16*$B$21*$B$23*$B$24,0)</f>
        <v/>
      </c>
      <c r="AA65" s="10">
        <f>ROUND($B$5*$B$10*$B$15*$B$16*$B$21*$B$23*$B$25,0)</f>
        <v/>
      </c>
      <c r="AB65" s="10">
        <f>ROUND($B$6*$B$10*$B$15*$B$16*$B$19*$B$22*$B$24,0)</f>
        <v/>
      </c>
      <c r="AC65" s="10">
        <f>ROUND($B$6*$B$10*$B$15*$B$16*$B$19*$B$22*$B$25,0)</f>
        <v/>
      </c>
      <c r="AD65" s="10">
        <f>ROUND($B$6*$B$10*$B$15*$B$16*$B$19*$B$23*$B$24,0)</f>
        <v/>
      </c>
      <c r="AE65" s="10">
        <f>ROUND($B$6*$B$10*$B$15*$B$16*$B$19*$B$23*$B$25,0)</f>
        <v/>
      </c>
      <c r="AF65" s="10">
        <f>ROUND($B$6*$B$10*$B$15*$B$16*$B$20*$B$22*$B$24,0)</f>
        <v/>
      </c>
      <c r="AG65" s="10">
        <f>ROUND($B$6*$B$10*$B$15*$B$16*$B$20*$B$22*$B$25,0)</f>
        <v/>
      </c>
      <c r="AH65" s="10">
        <f>ROUND($B$6*$B$10*$B$15*$B$16*$B$20*$B$23*$B$24,0)</f>
        <v/>
      </c>
      <c r="AI65" s="10">
        <f>ROUND($B$6*$B$10*$B$15*$B$16*$B$20*$B$23*$B$25,0)</f>
        <v/>
      </c>
      <c r="AJ65" s="10">
        <f>ROUND($B$6*$B$10*$B$15*$B$16*$B$21*$B$22*$B$24,0)</f>
        <v/>
      </c>
      <c r="AK65" s="10">
        <f>ROUND($B$6*$B$10*$B$15*$B$16*$B$21*$B$22*$B$25,0)</f>
        <v/>
      </c>
      <c r="AL65" s="10">
        <f>ROUND($B$6*$B$10*$B$15*$B$16*$B$21*$B$23*$B$24,0)</f>
        <v/>
      </c>
      <c r="AM65" s="10">
        <f>ROUND($B$6*$B$10*$B$15*$B$16*$B$21*$B$23*$B$25,0)</f>
        <v/>
      </c>
    </row>
    <row r="66" ht="20.1" customHeight="1" s="62">
      <c r="A66" s="67" t="n"/>
      <c r="B66" s="58" t="n"/>
      <c r="C66" s="57" t="inlineStr">
        <is>
          <t>Désorganisation modérée</t>
        </is>
      </c>
      <c r="D66" s="10">
        <f>ROUND($B$4*$B$10*$B$15*$B$17*$B$19*$B$22*$B$24,0)</f>
        <v/>
      </c>
      <c r="E66" s="10">
        <f>ROUND($B$4*$B$10*$B$15*$B$17*$B$19*$B$22*$B$25,0)</f>
        <v/>
      </c>
      <c r="F66" s="10">
        <f>ROUND($B$4*$B$10*$B$15*$B$17*$B$19*$B$23*$B$24,0)</f>
        <v/>
      </c>
      <c r="G66" s="10">
        <f>ROUND($B$4*$B$10*$B$15*$B$17*$B$19*$B$23*$B$25,0)</f>
        <v/>
      </c>
      <c r="H66" s="10">
        <f>ROUND($B$4*$B$10*$B$15*$B$17*$B$20*$B$22*$B$24,0)</f>
        <v/>
      </c>
      <c r="I66" s="10">
        <f>ROUND($B$4*$B$10*$B$15*$B$17*$B$20*$B$22*$B$25,0)</f>
        <v/>
      </c>
      <c r="J66" s="10">
        <f>ROUND($B$4*$B$10*$B$15*$B$17*$B$20*$B$23*$B$24,0)</f>
        <v/>
      </c>
      <c r="K66" s="10">
        <f>ROUND($B$4*$B$10*$B$15*$B$17*$B$20*$B$23*$B$25,0)</f>
        <v/>
      </c>
      <c r="L66" s="10">
        <f>ROUND($B$4*$B$10*$B$15*$B$17*$B$21*$B$22*$B$24,0)</f>
        <v/>
      </c>
      <c r="M66" s="10">
        <f>ROUND($B$4*$B$10*$B$15*$B$17*$B$21*$B$22*$B$25,0)</f>
        <v/>
      </c>
      <c r="N66" s="10">
        <f>ROUND($B$4*$B$10*$B$15*$B$17*$B$21*$B$23*$B$24,0)</f>
        <v/>
      </c>
      <c r="O66" s="10">
        <f>ROUND($B$4*$B$10*$B$15*$B$17*$B$21*$B$23*$B$25,0)</f>
        <v/>
      </c>
      <c r="P66" s="10">
        <f>ROUND($B$5*$B$10*$B$15*$B$17*$B$19*$B$22*$B$24,0)</f>
        <v/>
      </c>
      <c r="Q66" s="10">
        <f>ROUND($B$5*$B$10*$B$15*$B$17*$B$19*$B$22*$B$25,0)</f>
        <v/>
      </c>
      <c r="R66" s="10">
        <f>ROUND($B$5*$B$10*$B$15*$B$17*$B$19*$B$23*$B$24,0)</f>
        <v/>
      </c>
      <c r="S66" s="10">
        <f>ROUND($B$5*$B$10*$B$15*$B$17*$B$19*$B$23*$B$25,0)</f>
        <v/>
      </c>
      <c r="T66" s="10">
        <f>ROUND($B$5*$B$10*$B$15*$B$17*$B$20*$B$22*$B$24,0)</f>
        <v/>
      </c>
      <c r="U66" s="10">
        <f>ROUND($B$5*$B$10*$B$15*$B$17*$B$20*$B$22*$B$25,0)</f>
        <v/>
      </c>
      <c r="V66" s="10">
        <f>ROUND($B$5*$B$10*$B$15*$B$17*$B$20*$B$23*$B$24,0)</f>
        <v/>
      </c>
      <c r="W66" s="10">
        <f>ROUND($B$5*$B$10*$B$15*$B$17*$B$20*$B$23*$B$25,0)</f>
        <v/>
      </c>
      <c r="X66" s="10">
        <f>ROUND($B$5*$B$10*$B$15*$B$17*$B$21*$B$22*$B$24,0)</f>
        <v/>
      </c>
      <c r="Y66" s="10">
        <f>ROUND($B$5*$B$10*$B$15*$B$17*$B$21*$B$22*$B$25,0)</f>
        <v/>
      </c>
      <c r="Z66" s="10">
        <f>ROUND($B$5*$B$10*$B$15*$B$17*$B$21*$B$23*$B$24,0)</f>
        <v/>
      </c>
      <c r="AA66" s="10">
        <f>ROUND($B$5*$B$10*$B$15*$B$17*$B$21*$B$23*$B$25,0)</f>
        <v/>
      </c>
      <c r="AB66" s="10">
        <f>ROUND($B$6*$B$10*$B$15*$B$17*$B$19*$B$22*$B$24,0)</f>
        <v/>
      </c>
      <c r="AC66" s="10">
        <f>ROUND($B$6*$B$10*$B$15*$B$17*$B$19*$B$22*$B$25,0)</f>
        <v/>
      </c>
      <c r="AD66" s="10">
        <f>ROUND($B$6*$B$10*$B$15*$B$17*$B$19*$B$23*$B$24,0)</f>
        <v/>
      </c>
      <c r="AE66" s="10">
        <f>ROUND($B$6*$B$10*$B$15*$B$17*$B$19*$B$23*$B$25,0)</f>
        <v/>
      </c>
      <c r="AF66" s="10">
        <f>ROUND($B$6*$B$10*$B$15*$B$17*$B$20*$B$22*$B$24,0)</f>
        <v/>
      </c>
      <c r="AG66" s="10">
        <f>ROUND($B$6*$B$10*$B$15*$B$17*$B$20*$B$22*$B$25,0)</f>
        <v/>
      </c>
      <c r="AH66" s="10">
        <f>ROUND($B$6*$B$10*$B$15*$B$17*$B$20*$B$23*$B$24,0)</f>
        <v/>
      </c>
      <c r="AI66" s="10">
        <f>ROUND($B$6*$B$10*$B$15*$B$17*$B$20*$B$23*$B$25,0)</f>
        <v/>
      </c>
      <c r="AJ66" s="10">
        <f>ROUND($B$6*$B$10*$B$15*$B$17*$B$21*$B$22*$B$24,0)</f>
        <v/>
      </c>
      <c r="AK66" s="10">
        <f>ROUND($B$6*$B$10*$B$15*$B$17*$B$21*$B$22*$B$25,0)</f>
        <v/>
      </c>
      <c r="AL66" s="10">
        <f>ROUND($B$6*$B$10*$B$15*$B$17*$B$21*$B$23*$B$24,0)</f>
        <v/>
      </c>
      <c r="AM66" s="10">
        <f>ROUND($B$6*$B$10*$B$15*$B$17*$B$21*$B$23*$B$25,0)</f>
        <v/>
      </c>
    </row>
    <row r="67" ht="20.1" customHeight="1" s="62">
      <c r="A67" s="68" t="n"/>
      <c r="B67" s="59" t="n"/>
      <c r="C67" s="15" t="inlineStr">
        <is>
          <t>Désorganisation élevée</t>
        </is>
      </c>
      <c r="D67" s="10">
        <f>ROUND($B$4*$B$10*$B$15*$B$18*$B$19*$B$22*$B$24,0)</f>
        <v/>
      </c>
      <c r="E67" s="10">
        <f>ROUND($B$4*$B$10*$B$15*$B$18*$B$19*$B$22*$B$25,0)</f>
        <v/>
      </c>
      <c r="F67" s="10">
        <f>ROUND($B$4*$B$10*$B$15*$B$18*$B$19*$B$23*$B$24,0)</f>
        <v/>
      </c>
      <c r="G67" s="10">
        <f>ROUND($B$4*$B$10*$B$15*$B$18*$B$19*$B$23*$B$25,0)</f>
        <v/>
      </c>
      <c r="H67" s="10">
        <f>ROUND($B$4*$B$10*$B$15*$B$18*$B$20*$B$22*$B$24,0)</f>
        <v/>
      </c>
      <c r="I67" s="10">
        <f>ROUND($B$4*$B$10*$B$15*$B$18*$B$20*$B$22*$B$25,0)</f>
        <v/>
      </c>
      <c r="J67" s="10">
        <f>ROUND($B$4*$B$10*$B$15*$B$18*$B$20*$B$23*$B$24,0)</f>
        <v/>
      </c>
      <c r="K67" s="10">
        <f>ROUND($B$4*$B$10*$B$15*$B$18*$B$20*$B$23*$B$25,0)</f>
        <v/>
      </c>
      <c r="L67" s="10">
        <f>ROUND($B$4*$B$10*$B$15*$B$18*$B$21*$B$22*$B$24,0)</f>
        <v/>
      </c>
      <c r="M67" s="10">
        <f>ROUND($B$4*$B$10*$B$15*$B$18*$B$21*$B$22*$B$25,0)</f>
        <v/>
      </c>
      <c r="N67" s="10">
        <f>ROUND($B$4*$B$10*$B$15*$B$18*$B$21*$B$23*$B$24,0)</f>
        <v/>
      </c>
      <c r="O67" s="10">
        <f>ROUND($B$4*$B$10*$B$15*$B$18*$B$21*$B$23*$B$25,0)</f>
        <v/>
      </c>
      <c r="P67" s="10">
        <f>ROUND($B$5*$B$10*$B$15*$B$18*$B$19*$B$22*$B$24,0)</f>
        <v/>
      </c>
      <c r="Q67" s="10">
        <f>ROUND($B$5*$B$10*$B$15*$B$18*$B$19*$B$22*$B$25,0)</f>
        <v/>
      </c>
      <c r="R67" s="10">
        <f>ROUND($B$5*$B$10*$B$15*$B$18*$B$19*$B$23*$B$24,0)</f>
        <v/>
      </c>
      <c r="S67" s="10">
        <f>ROUND($B$5*$B$10*$B$15*$B$18*$B$19*$B$23*$B$25,0)</f>
        <v/>
      </c>
      <c r="T67" s="10">
        <f>ROUND($B$5*$B$10*$B$15*$B$18*$B$20*$B$22*$B$24,0)</f>
        <v/>
      </c>
      <c r="U67" s="10">
        <f>ROUND($B$5*$B$10*$B$15*$B$18*$B$20*$B$22*$B$25,0)</f>
        <v/>
      </c>
      <c r="V67" s="10">
        <f>ROUND($B$5*$B$10*$B$15*$B$18*$B$20*$B$23*$B$24,0)</f>
        <v/>
      </c>
      <c r="W67" s="10">
        <f>ROUND($B$5*$B$10*$B$15*$B$18*$B$20*$B$23*$B$25,0)</f>
        <v/>
      </c>
      <c r="X67" s="10">
        <f>ROUND($B$5*$B$10*$B$15*$B$18*$B$21*$B$22*$B$24,0)</f>
        <v/>
      </c>
      <c r="Y67" s="10">
        <f>ROUND($B$5*$B$10*$B$15*$B$18*$B$21*$B$22*$B$25,0)</f>
        <v/>
      </c>
      <c r="Z67" s="10">
        <f>ROUND($B$5*$B$10*$B$15*$B$18*$B$21*$B$23*$B$24,0)</f>
        <v/>
      </c>
      <c r="AA67" s="10">
        <f>ROUND($B$5*$B$10*$B$15*$B$18*$B$21*$B$23*$B$25,0)</f>
        <v/>
      </c>
      <c r="AB67" s="10">
        <f>ROUND($B$6*$B$10*$B$15*$B$18*$B$19*$B$22*$B$24,0)</f>
        <v/>
      </c>
      <c r="AC67" s="10">
        <f>ROUND($B$6*$B$10*$B$15*$B$18*$B$19*$B$22*$B$25,0)</f>
        <v/>
      </c>
      <c r="AD67" s="10">
        <f>ROUND($B$6*$B$10*$B$15*$B$18*$B$19*$B$23*$B$24,0)</f>
        <v/>
      </c>
      <c r="AE67" s="10">
        <f>ROUND($B$6*$B$10*$B$15*$B$18*$B$19*$B$23*$B$25,0)</f>
        <v/>
      </c>
      <c r="AF67" s="10">
        <f>ROUND($B$6*$B$10*$B$15*$B$18*$B$20*$B$22*$B$24,0)</f>
        <v/>
      </c>
      <c r="AG67" s="10">
        <f>ROUND($B$6*$B$10*$B$15*$B$18*$B$20*$B$22*$B$25,0)</f>
        <v/>
      </c>
      <c r="AH67" s="10">
        <f>ROUND($B$6*$B$10*$B$15*$B$18*$B$20*$B$23*$B$24,0)</f>
        <v/>
      </c>
      <c r="AI67" s="10">
        <f>ROUND($B$6*$B$10*$B$15*$B$18*$B$20*$B$23*$B$25,0)</f>
        <v/>
      </c>
      <c r="AJ67" s="10">
        <f>ROUND($B$6*$B$10*$B$15*$B$18*$B$21*$B$22*$B$24,0)</f>
        <v/>
      </c>
      <c r="AK67" s="10">
        <f>ROUND($B$6*$B$10*$B$15*$B$18*$B$21*$B$22*$B$25,0)</f>
        <v/>
      </c>
      <c r="AL67" s="10">
        <f>ROUND($B$6*$B$10*$B$15*$B$18*$B$21*$B$23*$B$24,0)</f>
        <v/>
      </c>
      <c r="AM67" s="10">
        <f>ROUND($B$6*$B$10*$B$15*$B$18*$B$21*$B$23*$B$25,0)</f>
        <v/>
      </c>
    </row>
    <row r="68" ht="20.1" customHeight="1" s="62">
      <c r="A68" s="66" t="inlineStr">
        <is>
          <t>ETI / Grand compte (100+)</t>
        </is>
      </c>
      <c r="B68" s="57" t="inlineStr">
        <is>
          <t>1-2 équipes</t>
        </is>
      </c>
      <c r="C68" s="14" t="inlineStr">
        <is>
          <t>Faible désorganisation</t>
        </is>
      </c>
      <c r="D68" s="10">
        <f>ROUND($B$4*$B$11*$B$12*$B$16*$B$19*$B$22*$B$24,0)</f>
        <v/>
      </c>
      <c r="E68" s="10">
        <f>ROUND($B$4*$B$11*$B$12*$B$16*$B$19*$B$22*$B$25,0)</f>
        <v/>
      </c>
      <c r="F68" s="10">
        <f>ROUND($B$4*$B$11*$B$12*$B$16*$B$19*$B$23*$B$24,0)</f>
        <v/>
      </c>
      <c r="G68" s="10">
        <f>ROUND($B$4*$B$11*$B$12*$B$16*$B$19*$B$23*$B$25,0)</f>
        <v/>
      </c>
      <c r="H68" s="10">
        <f>ROUND($B$4*$B$11*$B$12*$B$16*$B$20*$B$22*$B$24,0)</f>
        <v/>
      </c>
      <c r="I68" s="10">
        <f>ROUND($B$4*$B$11*$B$12*$B$16*$B$20*$B$22*$B$25,0)</f>
        <v/>
      </c>
      <c r="J68" s="10">
        <f>ROUND($B$4*$B$11*$B$12*$B$16*$B$20*$B$23*$B$24,0)</f>
        <v/>
      </c>
      <c r="K68" s="10">
        <f>ROUND($B$4*$B$11*$B$12*$B$16*$B$20*$B$23*$B$25,0)</f>
        <v/>
      </c>
      <c r="L68" s="10">
        <f>ROUND($B$4*$B$11*$B$12*$B$16*$B$21*$B$22*$B$24,0)</f>
        <v/>
      </c>
      <c r="M68" s="10">
        <f>ROUND($B$4*$B$11*$B$12*$B$16*$B$21*$B$22*$B$25,0)</f>
        <v/>
      </c>
      <c r="N68" s="10">
        <f>ROUND($B$4*$B$11*$B$12*$B$16*$B$21*$B$23*$B$24,0)</f>
        <v/>
      </c>
      <c r="O68" s="10">
        <f>ROUND($B$4*$B$11*$B$12*$B$16*$B$21*$B$23*$B$25,0)</f>
        <v/>
      </c>
      <c r="P68" s="10">
        <f>ROUND($B$5*$B$11*$B$12*$B$16*$B$19*$B$22*$B$24,0)</f>
        <v/>
      </c>
      <c r="Q68" s="10">
        <f>ROUND($B$5*$B$11*$B$12*$B$16*$B$19*$B$22*$B$25,0)</f>
        <v/>
      </c>
      <c r="R68" s="10">
        <f>ROUND($B$5*$B$11*$B$12*$B$16*$B$19*$B$23*$B$24,0)</f>
        <v/>
      </c>
      <c r="S68" s="10">
        <f>ROUND($B$5*$B$11*$B$12*$B$16*$B$19*$B$23*$B$25,0)</f>
        <v/>
      </c>
      <c r="T68" s="10">
        <f>ROUND($B$5*$B$11*$B$12*$B$16*$B$20*$B$22*$B$24,0)</f>
        <v/>
      </c>
      <c r="U68" s="10">
        <f>ROUND($B$5*$B$11*$B$12*$B$16*$B$20*$B$22*$B$25,0)</f>
        <v/>
      </c>
      <c r="V68" s="10">
        <f>ROUND($B$5*$B$11*$B$12*$B$16*$B$20*$B$23*$B$24,0)</f>
        <v/>
      </c>
      <c r="W68" s="10">
        <f>ROUND($B$5*$B$11*$B$12*$B$16*$B$20*$B$23*$B$25,0)</f>
        <v/>
      </c>
      <c r="X68" s="10">
        <f>ROUND($B$5*$B$11*$B$12*$B$16*$B$21*$B$22*$B$24,0)</f>
        <v/>
      </c>
      <c r="Y68" s="10">
        <f>ROUND($B$5*$B$11*$B$12*$B$16*$B$21*$B$22*$B$25,0)</f>
        <v/>
      </c>
      <c r="Z68" s="10">
        <f>ROUND($B$5*$B$11*$B$12*$B$16*$B$21*$B$23*$B$24,0)</f>
        <v/>
      </c>
      <c r="AA68" s="10">
        <f>ROUND($B$5*$B$11*$B$12*$B$16*$B$21*$B$23*$B$25,0)</f>
        <v/>
      </c>
      <c r="AB68" s="10">
        <f>ROUND($B$6*$B$11*$B$12*$B$16*$B$19*$B$22*$B$24,0)</f>
        <v/>
      </c>
      <c r="AC68" s="10">
        <f>ROUND($B$6*$B$11*$B$12*$B$16*$B$19*$B$22*$B$25,0)</f>
        <v/>
      </c>
      <c r="AD68" s="10">
        <f>ROUND($B$6*$B$11*$B$12*$B$16*$B$19*$B$23*$B$24,0)</f>
        <v/>
      </c>
      <c r="AE68" s="10">
        <f>ROUND($B$6*$B$11*$B$12*$B$16*$B$19*$B$23*$B$25,0)</f>
        <v/>
      </c>
      <c r="AF68" s="10">
        <f>ROUND($B$6*$B$11*$B$12*$B$16*$B$20*$B$22*$B$24,0)</f>
        <v/>
      </c>
      <c r="AG68" s="10">
        <f>ROUND($B$6*$B$11*$B$12*$B$16*$B$20*$B$22*$B$25,0)</f>
        <v/>
      </c>
      <c r="AH68" s="10">
        <f>ROUND($B$6*$B$11*$B$12*$B$16*$B$20*$B$23*$B$24,0)</f>
        <v/>
      </c>
      <c r="AI68" s="10">
        <f>ROUND($B$6*$B$11*$B$12*$B$16*$B$20*$B$23*$B$25,0)</f>
        <v/>
      </c>
      <c r="AJ68" s="10">
        <f>ROUND($B$6*$B$11*$B$12*$B$16*$B$21*$B$22*$B$24,0)</f>
        <v/>
      </c>
      <c r="AK68" s="10">
        <f>ROUND($B$6*$B$11*$B$12*$B$16*$B$21*$B$22*$B$25,0)</f>
        <v/>
      </c>
      <c r="AL68" s="10">
        <f>ROUND($B$6*$B$11*$B$12*$B$16*$B$21*$B$23*$B$24,0)</f>
        <v/>
      </c>
      <c r="AM68" s="10">
        <f>ROUND($B$6*$B$11*$B$12*$B$16*$B$21*$B$23*$B$25,0)</f>
        <v/>
      </c>
    </row>
    <row r="69" ht="20.1" customHeight="1" s="62">
      <c r="A69" s="67" t="n"/>
      <c r="B69" s="58" t="n"/>
      <c r="C69" s="57" t="inlineStr">
        <is>
          <t>Désorganisation modérée</t>
        </is>
      </c>
      <c r="D69" s="10">
        <f>ROUND($B$4*$B$11*$B$12*$B$17*$B$19*$B$22*$B$24,0)</f>
        <v/>
      </c>
      <c r="E69" s="10">
        <f>ROUND($B$4*$B$11*$B$12*$B$17*$B$19*$B$22*$B$25,0)</f>
        <v/>
      </c>
      <c r="F69" s="10">
        <f>ROUND($B$4*$B$11*$B$12*$B$17*$B$19*$B$23*$B$24,0)</f>
        <v/>
      </c>
      <c r="G69" s="10">
        <f>ROUND($B$4*$B$11*$B$12*$B$17*$B$19*$B$23*$B$25,0)</f>
        <v/>
      </c>
      <c r="H69" s="10">
        <f>ROUND($B$4*$B$11*$B$12*$B$17*$B$20*$B$22*$B$24,0)</f>
        <v/>
      </c>
      <c r="I69" s="10">
        <f>ROUND($B$4*$B$11*$B$12*$B$17*$B$20*$B$22*$B$25,0)</f>
        <v/>
      </c>
      <c r="J69" s="10">
        <f>ROUND($B$4*$B$11*$B$12*$B$17*$B$20*$B$23*$B$24,0)</f>
        <v/>
      </c>
      <c r="K69" s="10">
        <f>ROUND($B$4*$B$11*$B$12*$B$17*$B$20*$B$23*$B$25,0)</f>
        <v/>
      </c>
      <c r="L69" s="10">
        <f>ROUND($B$4*$B$11*$B$12*$B$17*$B$21*$B$22*$B$24,0)</f>
        <v/>
      </c>
      <c r="M69" s="10">
        <f>ROUND($B$4*$B$11*$B$12*$B$17*$B$21*$B$22*$B$25,0)</f>
        <v/>
      </c>
      <c r="N69" s="10">
        <f>ROUND($B$4*$B$11*$B$12*$B$17*$B$21*$B$23*$B$24,0)</f>
        <v/>
      </c>
      <c r="O69" s="10">
        <f>ROUND($B$4*$B$11*$B$12*$B$17*$B$21*$B$23*$B$25,0)</f>
        <v/>
      </c>
      <c r="P69" s="10">
        <f>ROUND($B$5*$B$11*$B$12*$B$17*$B$19*$B$22*$B$24,0)</f>
        <v/>
      </c>
      <c r="Q69" s="10">
        <f>ROUND($B$5*$B$11*$B$12*$B$17*$B$19*$B$22*$B$25,0)</f>
        <v/>
      </c>
      <c r="R69" s="10">
        <f>ROUND($B$5*$B$11*$B$12*$B$17*$B$19*$B$23*$B$24,0)</f>
        <v/>
      </c>
      <c r="S69" s="10">
        <f>ROUND($B$5*$B$11*$B$12*$B$17*$B$19*$B$23*$B$25,0)</f>
        <v/>
      </c>
      <c r="T69" s="10">
        <f>ROUND($B$5*$B$11*$B$12*$B$17*$B$20*$B$22*$B$24,0)</f>
        <v/>
      </c>
      <c r="U69" s="10">
        <f>ROUND($B$5*$B$11*$B$12*$B$17*$B$20*$B$22*$B$25,0)</f>
        <v/>
      </c>
      <c r="V69" s="10">
        <f>ROUND($B$5*$B$11*$B$12*$B$17*$B$20*$B$23*$B$24,0)</f>
        <v/>
      </c>
      <c r="W69" s="10">
        <f>ROUND($B$5*$B$11*$B$12*$B$17*$B$20*$B$23*$B$25,0)</f>
        <v/>
      </c>
      <c r="X69" s="10">
        <f>ROUND($B$5*$B$11*$B$12*$B$17*$B$21*$B$22*$B$24,0)</f>
        <v/>
      </c>
      <c r="Y69" s="10">
        <f>ROUND($B$5*$B$11*$B$12*$B$17*$B$21*$B$22*$B$25,0)</f>
        <v/>
      </c>
      <c r="Z69" s="10">
        <f>ROUND($B$5*$B$11*$B$12*$B$17*$B$21*$B$23*$B$24,0)</f>
        <v/>
      </c>
      <c r="AA69" s="10">
        <f>ROUND($B$5*$B$11*$B$12*$B$17*$B$21*$B$23*$B$25,0)</f>
        <v/>
      </c>
      <c r="AB69" s="10">
        <f>ROUND($B$6*$B$11*$B$12*$B$17*$B$19*$B$22*$B$24,0)</f>
        <v/>
      </c>
      <c r="AC69" s="10">
        <f>ROUND($B$6*$B$11*$B$12*$B$17*$B$19*$B$22*$B$25,0)</f>
        <v/>
      </c>
      <c r="AD69" s="10">
        <f>ROUND($B$6*$B$11*$B$12*$B$17*$B$19*$B$23*$B$24,0)</f>
        <v/>
      </c>
      <c r="AE69" s="10">
        <f>ROUND($B$6*$B$11*$B$12*$B$17*$B$19*$B$23*$B$25,0)</f>
        <v/>
      </c>
      <c r="AF69" s="10">
        <f>ROUND($B$6*$B$11*$B$12*$B$17*$B$20*$B$22*$B$24,0)</f>
        <v/>
      </c>
      <c r="AG69" s="10">
        <f>ROUND($B$6*$B$11*$B$12*$B$17*$B$20*$B$22*$B$25,0)</f>
        <v/>
      </c>
      <c r="AH69" s="10">
        <f>ROUND($B$6*$B$11*$B$12*$B$17*$B$20*$B$23*$B$24,0)</f>
        <v/>
      </c>
      <c r="AI69" s="10">
        <f>ROUND($B$6*$B$11*$B$12*$B$17*$B$20*$B$23*$B$25,0)</f>
        <v/>
      </c>
      <c r="AJ69" s="10">
        <f>ROUND($B$6*$B$11*$B$12*$B$17*$B$21*$B$22*$B$24,0)</f>
        <v/>
      </c>
      <c r="AK69" s="10">
        <f>ROUND($B$6*$B$11*$B$12*$B$17*$B$21*$B$22*$B$25,0)</f>
        <v/>
      </c>
      <c r="AL69" s="10">
        <f>ROUND($B$6*$B$11*$B$12*$B$17*$B$21*$B$23*$B$24,0)</f>
        <v/>
      </c>
      <c r="AM69" s="10">
        <f>ROUND($B$6*$B$11*$B$12*$B$17*$B$21*$B$23*$B$25,0)</f>
        <v/>
      </c>
    </row>
    <row r="70" ht="20.1" customHeight="1" s="62">
      <c r="A70" s="67" t="n"/>
      <c r="B70" s="59" t="n"/>
      <c r="C70" s="15" t="inlineStr">
        <is>
          <t>Désorganisation élevée</t>
        </is>
      </c>
      <c r="D70" s="10">
        <f>ROUND($B$4*$B$11*$B$12*$B$18*$B$19*$B$22*$B$24,0)</f>
        <v/>
      </c>
      <c r="E70" s="10">
        <f>ROUND($B$4*$B$11*$B$12*$B$18*$B$19*$B$22*$B$25,0)</f>
        <v/>
      </c>
      <c r="F70" s="10">
        <f>ROUND($B$4*$B$11*$B$12*$B$18*$B$19*$B$23*$B$24,0)</f>
        <v/>
      </c>
      <c r="G70" s="10">
        <f>ROUND($B$4*$B$11*$B$12*$B$18*$B$19*$B$23*$B$25,0)</f>
        <v/>
      </c>
      <c r="H70" s="10">
        <f>ROUND($B$4*$B$11*$B$12*$B$18*$B$20*$B$22*$B$24,0)</f>
        <v/>
      </c>
      <c r="I70" s="10">
        <f>ROUND($B$4*$B$11*$B$12*$B$18*$B$20*$B$22*$B$25,0)</f>
        <v/>
      </c>
      <c r="J70" s="10">
        <f>ROUND($B$4*$B$11*$B$12*$B$18*$B$20*$B$23*$B$24,0)</f>
        <v/>
      </c>
      <c r="K70" s="10">
        <f>ROUND($B$4*$B$11*$B$12*$B$18*$B$20*$B$23*$B$25,0)</f>
        <v/>
      </c>
      <c r="L70" s="10">
        <f>ROUND($B$4*$B$11*$B$12*$B$18*$B$21*$B$22*$B$24,0)</f>
        <v/>
      </c>
      <c r="M70" s="10">
        <f>ROUND($B$4*$B$11*$B$12*$B$18*$B$21*$B$22*$B$25,0)</f>
        <v/>
      </c>
      <c r="N70" s="10">
        <f>ROUND($B$4*$B$11*$B$12*$B$18*$B$21*$B$23*$B$24,0)</f>
        <v/>
      </c>
      <c r="O70" s="10">
        <f>ROUND($B$4*$B$11*$B$12*$B$18*$B$21*$B$23*$B$25,0)</f>
        <v/>
      </c>
      <c r="P70" s="10">
        <f>ROUND($B$5*$B$11*$B$12*$B$18*$B$19*$B$22*$B$24,0)</f>
        <v/>
      </c>
      <c r="Q70" s="10">
        <f>ROUND($B$5*$B$11*$B$12*$B$18*$B$19*$B$22*$B$25,0)</f>
        <v/>
      </c>
      <c r="R70" s="10">
        <f>ROUND($B$5*$B$11*$B$12*$B$18*$B$19*$B$23*$B$24,0)</f>
        <v/>
      </c>
      <c r="S70" s="10">
        <f>ROUND($B$5*$B$11*$B$12*$B$18*$B$19*$B$23*$B$25,0)</f>
        <v/>
      </c>
      <c r="T70" s="10">
        <f>ROUND($B$5*$B$11*$B$12*$B$18*$B$20*$B$22*$B$24,0)</f>
        <v/>
      </c>
      <c r="U70" s="10">
        <f>ROUND($B$5*$B$11*$B$12*$B$18*$B$20*$B$22*$B$25,0)</f>
        <v/>
      </c>
      <c r="V70" s="10">
        <f>ROUND($B$5*$B$11*$B$12*$B$18*$B$20*$B$23*$B$24,0)</f>
        <v/>
      </c>
      <c r="W70" s="10">
        <f>ROUND($B$5*$B$11*$B$12*$B$18*$B$20*$B$23*$B$25,0)</f>
        <v/>
      </c>
      <c r="X70" s="10">
        <f>ROUND($B$5*$B$11*$B$12*$B$18*$B$21*$B$22*$B$24,0)</f>
        <v/>
      </c>
      <c r="Y70" s="10">
        <f>ROUND($B$5*$B$11*$B$12*$B$18*$B$21*$B$22*$B$25,0)</f>
        <v/>
      </c>
      <c r="Z70" s="10">
        <f>ROUND($B$5*$B$11*$B$12*$B$18*$B$21*$B$23*$B$24,0)</f>
        <v/>
      </c>
      <c r="AA70" s="10">
        <f>ROUND($B$5*$B$11*$B$12*$B$18*$B$21*$B$23*$B$25,0)</f>
        <v/>
      </c>
      <c r="AB70" s="10">
        <f>ROUND($B$6*$B$11*$B$12*$B$18*$B$19*$B$22*$B$24,0)</f>
        <v/>
      </c>
      <c r="AC70" s="10">
        <f>ROUND($B$6*$B$11*$B$12*$B$18*$B$19*$B$22*$B$25,0)</f>
        <v/>
      </c>
      <c r="AD70" s="10">
        <f>ROUND($B$6*$B$11*$B$12*$B$18*$B$19*$B$23*$B$24,0)</f>
        <v/>
      </c>
      <c r="AE70" s="10">
        <f>ROUND($B$6*$B$11*$B$12*$B$18*$B$19*$B$23*$B$25,0)</f>
        <v/>
      </c>
      <c r="AF70" s="10">
        <f>ROUND($B$6*$B$11*$B$12*$B$18*$B$20*$B$22*$B$24,0)</f>
        <v/>
      </c>
      <c r="AG70" s="10">
        <f>ROUND($B$6*$B$11*$B$12*$B$18*$B$20*$B$22*$B$25,0)</f>
        <v/>
      </c>
      <c r="AH70" s="10">
        <f>ROUND($B$6*$B$11*$B$12*$B$18*$B$20*$B$23*$B$24,0)</f>
        <v/>
      </c>
      <c r="AI70" s="10">
        <f>ROUND($B$6*$B$11*$B$12*$B$18*$B$20*$B$23*$B$25,0)</f>
        <v/>
      </c>
      <c r="AJ70" s="10">
        <f>ROUND($B$6*$B$11*$B$12*$B$18*$B$21*$B$22*$B$24,0)</f>
        <v/>
      </c>
      <c r="AK70" s="10">
        <f>ROUND($B$6*$B$11*$B$12*$B$18*$B$21*$B$22*$B$25,0)</f>
        <v/>
      </c>
      <c r="AL70" s="10">
        <f>ROUND($B$6*$B$11*$B$12*$B$18*$B$21*$B$23*$B$24,0)</f>
        <v/>
      </c>
      <c r="AM70" s="10">
        <f>ROUND($B$6*$B$11*$B$12*$B$18*$B$21*$B$23*$B$25,0)</f>
        <v/>
      </c>
    </row>
    <row r="71" ht="20.1" customHeight="1" s="62">
      <c r="A71" s="67" t="n"/>
      <c r="B71" s="57" t="inlineStr">
        <is>
          <t>3-5 équipes</t>
        </is>
      </c>
      <c r="C71" s="14" t="inlineStr">
        <is>
          <t>Faible désorganisation</t>
        </is>
      </c>
      <c r="D71" s="10">
        <f>ROUND($B$4*$B$11*$B$13*$B$16*$B$19*$B$22*$B$24,0)</f>
        <v/>
      </c>
      <c r="E71" s="10">
        <f>ROUND($B$4*$B$11*$B$13*$B$16*$B$19*$B$22*$B$25,0)</f>
        <v/>
      </c>
      <c r="F71" s="10">
        <f>ROUND($B$4*$B$11*$B$13*$B$16*$B$19*$B$23*$B$24,0)</f>
        <v/>
      </c>
      <c r="G71" s="10">
        <f>ROUND($B$4*$B$11*$B$13*$B$16*$B$19*$B$23*$B$25,0)</f>
        <v/>
      </c>
      <c r="H71" s="10">
        <f>ROUND($B$4*$B$11*$B$13*$B$16*$B$20*$B$22*$B$24,0)</f>
        <v/>
      </c>
      <c r="I71" s="10">
        <f>ROUND($B$4*$B$11*$B$13*$B$16*$B$20*$B$22*$B$25,0)</f>
        <v/>
      </c>
      <c r="J71" s="10">
        <f>ROUND($B$4*$B$11*$B$13*$B$16*$B$20*$B$23*$B$24,0)</f>
        <v/>
      </c>
      <c r="K71" s="10">
        <f>ROUND($B$4*$B$11*$B$13*$B$16*$B$20*$B$23*$B$25,0)</f>
        <v/>
      </c>
      <c r="L71" s="10">
        <f>ROUND($B$4*$B$11*$B$13*$B$16*$B$21*$B$22*$B$24,0)</f>
        <v/>
      </c>
      <c r="M71" s="10">
        <f>ROUND($B$4*$B$11*$B$13*$B$16*$B$21*$B$22*$B$25,0)</f>
        <v/>
      </c>
      <c r="N71" s="10">
        <f>ROUND($B$4*$B$11*$B$13*$B$16*$B$21*$B$23*$B$24,0)</f>
        <v/>
      </c>
      <c r="O71" s="10">
        <f>ROUND($B$4*$B$11*$B$13*$B$16*$B$21*$B$23*$B$25,0)</f>
        <v/>
      </c>
      <c r="P71" s="10">
        <f>ROUND($B$5*$B$11*$B$13*$B$16*$B$19*$B$22*$B$24,0)</f>
        <v/>
      </c>
      <c r="Q71" s="10">
        <f>ROUND($B$5*$B$11*$B$13*$B$16*$B$19*$B$22*$B$25,0)</f>
        <v/>
      </c>
      <c r="R71" s="10">
        <f>ROUND($B$5*$B$11*$B$13*$B$16*$B$19*$B$23*$B$24,0)</f>
        <v/>
      </c>
      <c r="S71" s="10">
        <f>ROUND($B$5*$B$11*$B$13*$B$16*$B$19*$B$23*$B$25,0)</f>
        <v/>
      </c>
      <c r="T71" s="10">
        <f>ROUND($B$5*$B$11*$B$13*$B$16*$B$20*$B$22*$B$24,0)</f>
        <v/>
      </c>
      <c r="U71" s="10">
        <f>ROUND($B$5*$B$11*$B$13*$B$16*$B$20*$B$22*$B$25,0)</f>
        <v/>
      </c>
      <c r="V71" s="10">
        <f>ROUND($B$5*$B$11*$B$13*$B$16*$B$20*$B$23*$B$24,0)</f>
        <v/>
      </c>
      <c r="W71" s="10">
        <f>ROUND($B$5*$B$11*$B$13*$B$16*$B$20*$B$23*$B$25,0)</f>
        <v/>
      </c>
      <c r="X71" s="10">
        <f>ROUND($B$5*$B$11*$B$13*$B$16*$B$21*$B$22*$B$24,0)</f>
        <v/>
      </c>
      <c r="Y71" s="10">
        <f>ROUND($B$5*$B$11*$B$13*$B$16*$B$21*$B$22*$B$25,0)</f>
        <v/>
      </c>
      <c r="Z71" s="10">
        <f>ROUND($B$5*$B$11*$B$13*$B$16*$B$21*$B$23*$B$24,0)</f>
        <v/>
      </c>
      <c r="AA71" s="10">
        <f>ROUND($B$5*$B$11*$B$13*$B$16*$B$21*$B$23*$B$25,0)</f>
        <v/>
      </c>
      <c r="AB71" s="10">
        <f>ROUND($B$6*$B$11*$B$13*$B$16*$B$19*$B$22*$B$24,0)</f>
        <v/>
      </c>
      <c r="AC71" s="10">
        <f>ROUND($B$6*$B$11*$B$13*$B$16*$B$19*$B$22*$B$25,0)</f>
        <v/>
      </c>
      <c r="AD71" s="10">
        <f>ROUND($B$6*$B$11*$B$13*$B$16*$B$19*$B$23*$B$24,0)</f>
        <v/>
      </c>
      <c r="AE71" s="10">
        <f>ROUND($B$6*$B$11*$B$13*$B$16*$B$19*$B$23*$B$25,0)</f>
        <v/>
      </c>
      <c r="AF71" s="10">
        <f>ROUND($B$6*$B$11*$B$13*$B$16*$B$20*$B$22*$B$24,0)</f>
        <v/>
      </c>
      <c r="AG71" s="10">
        <f>ROUND($B$6*$B$11*$B$13*$B$16*$B$20*$B$22*$B$25,0)</f>
        <v/>
      </c>
      <c r="AH71" s="10">
        <f>ROUND($B$6*$B$11*$B$13*$B$16*$B$20*$B$23*$B$24,0)</f>
        <v/>
      </c>
      <c r="AI71" s="10">
        <f>ROUND($B$6*$B$11*$B$13*$B$16*$B$20*$B$23*$B$25,0)</f>
        <v/>
      </c>
      <c r="AJ71" s="10">
        <f>ROUND($B$6*$B$11*$B$13*$B$16*$B$21*$B$22*$B$24,0)</f>
        <v/>
      </c>
      <c r="AK71" s="10">
        <f>ROUND($B$6*$B$11*$B$13*$B$16*$B$21*$B$22*$B$25,0)</f>
        <v/>
      </c>
      <c r="AL71" s="10">
        <f>ROUND($B$6*$B$11*$B$13*$B$16*$B$21*$B$23*$B$24,0)</f>
        <v/>
      </c>
      <c r="AM71" s="10">
        <f>ROUND($B$6*$B$11*$B$13*$B$16*$B$21*$B$23*$B$25,0)</f>
        <v/>
      </c>
    </row>
    <row r="72" ht="20.1" customHeight="1" s="62">
      <c r="A72" s="67" t="n"/>
      <c r="B72" s="58" t="n"/>
      <c r="C72" s="57" t="inlineStr">
        <is>
          <t>Désorganisation modérée</t>
        </is>
      </c>
      <c r="D72" s="10">
        <f>ROUND($B$4*$B$11*$B$13*$B$17*$B$19*$B$22*$B$24,0)</f>
        <v/>
      </c>
      <c r="E72" s="10">
        <f>ROUND($B$4*$B$11*$B$13*$B$17*$B$19*$B$22*$B$25,0)</f>
        <v/>
      </c>
      <c r="F72" s="10">
        <f>ROUND($B$4*$B$11*$B$13*$B$17*$B$19*$B$23*$B$24,0)</f>
        <v/>
      </c>
      <c r="G72" s="10">
        <f>ROUND($B$4*$B$11*$B$13*$B$17*$B$19*$B$23*$B$25,0)</f>
        <v/>
      </c>
      <c r="H72" s="10">
        <f>ROUND($B$4*$B$11*$B$13*$B$17*$B$20*$B$22*$B$24,0)</f>
        <v/>
      </c>
      <c r="I72" s="10">
        <f>ROUND($B$4*$B$11*$B$13*$B$17*$B$20*$B$22*$B$25,0)</f>
        <v/>
      </c>
      <c r="J72" s="10">
        <f>ROUND($B$4*$B$11*$B$13*$B$17*$B$20*$B$23*$B$24,0)</f>
        <v/>
      </c>
      <c r="K72" s="10">
        <f>ROUND($B$4*$B$11*$B$13*$B$17*$B$20*$B$23*$B$25,0)</f>
        <v/>
      </c>
      <c r="L72" s="10">
        <f>ROUND($B$4*$B$11*$B$13*$B$17*$B$21*$B$22*$B$24,0)</f>
        <v/>
      </c>
      <c r="M72" s="10">
        <f>ROUND($B$4*$B$11*$B$13*$B$17*$B$21*$B$22*$B$25,0)</f>
        <v/>
      </c>
      <c r="N72" s="10">
        <f>ROUND($B$4*$B$11*$B$13*$B$17*$B$21*$B$23*$B$24,0)</f>
        <v/>
      </c>
      <c r="O72" s="10">
        <f>ROUND($B$4*$B$11*$B$13*$B$17*$B$21*$B$23*$B$25,0)</f>
        <v/>
      </c>
      <c r="P72" s="10">
        <f>ROUND($B$5*$B$11*$B$13*$B$17*$B$19*$B$22*$B$24,0)</f>
        <v/>
      </c>
      <c r="Q72" s="10">
        <f>ROUND($B$5*$B$11*$B$13*$B$17*$B$19*$B$22*$B$25,0)</f>
        <v/>
      </c>
      <c r="R72" s="10">
        <f>ROUND($B$5*$B$11*$B$13*$B$17*$B$19*$B$23*$B$24,0)</f>
        <v/>
      </c>
      <c r="S72" s="10">
        <f>ROUND($B$5*$B$11*$B$13*$B$17*$B$19*$B$23*$B$25,0)</f>
        <v/>
      </c>
      <c r="T72" s="10">
        <f>ROUND($B$5*$B$11*$B$13*$B$17*$B$20*$B$22*$B$24,0)</f>
        <v/>
      </c>
      <c r="U72" s="10">
        <f>ROUND($B$5*$B$11*$B$13*$B$17*$B$20*$B$22*$B$25,0)</f>
        <v/>
      </c>
      <c r="V72" s="10">
        <f>ROUND($B$5*$B$11*$B$13*$B$17*$B$20*$B$23*$B$24,0)</f>
        <v/>
      </c>
      <c r="W72" s="10">
        <f>ROUND($B$5*$B$11*$B$13*$B$17*$B$20*$B$23*$B$25,0)</f>
        <v/>
      </c>
      <c r="X72" s="10">
        <f>ROUND($B$5*$B$11*$B$13*$B$17*$B$21*$B$22*$B$24,0)</f>
        <v/>
      </c>
      <c r="Y72" s="10">
        <f>ROUND($B$5*$B$11*$B$13*$B$17*$B$21*$B$22*$B$25,0)</f>
        <v/>
      </c>
      <c r="Z72" s="10">
        <f>ROUND($B$5*$B$11*$B$13*$B$17*$B$21*$B$23*$B$24,0)</f>
        <v/>
      </c>
      <c r="AA72" s="10">
        <f>ROUND($B$5*$B$11*$B$13*$B$17*$B$21*$B$23*$B$25,0)</f>
        <v/>
      </c>
      <c r="AB72" s="10">
        <f>ROUND($B$6*$B$11*$B$13*$B$17*$B$19*$B$22*$B$24,0)</f>
        <v/>
      </c>
      <c r="AC72" s="10">
        <f>ROUND($B$6*$B$11*$B$13*$B$17*$B$19*$B$22*$B$25,0)</f>
        <v/>
      </c>
      <c r="AD72" s="10">
        <f>ROUND($B$6*$B$11*$B$13*$B$17*$B$19*$B$23*$B$24,0)</f>
        <v/>
      </c>
      <c r="AE72" s="10">
        <f>ROUND($B$6*$B$11*$B$13*$B$17*$B$19*$B$23*$B$25,0)</f>
        <v/>
      </c>
      <c r="AF72" s="10">
        <f>ROUND($B$6*$B$11*$B$13*$B$17*$B$20*$B$22*$B$24,0)</f>
        <v/>
      </c>
      <c r="AG72" s="10">
        <f>ROUND($B$6*$B$11*$B$13*$B$17*$B$20*$B$22*$B$25,0)</f>
        <v/>
      </c>
      <c r="AH72" s="10">
        <f>ROUND($B$6*$B$11*$B$13*$B$17*$B$20*$B$23*$B$24,0)</f>
        <v/>
      </c>
      <c r="AI72" s="10">
        <f>ROUND($B$6*$B$11*$B$13*$B$17*$B$20*$B$23*$B$25,0)</f>
        <v/>
      </c>
      <c r="AJ72" s="10">
        <f>ROUND($B$6*$B$11*$B$13*$B$17*$B$21*$B$22*$B$24,0)</f>
        <v/>
      </c>
      <c r="AK72" s="10">
        <f>ROUND($B$6*$B$11*$B$13*$B$17*$B$21*$B$22*$B$25,0)</f>
        <v/>
      </c>
      <c r="AL72" s="10">
        <f>ROUND($B$6*$B$11*$B$13*$B$17*$B$21*$B$23*$B$24,0)</f>
        <v/>
      </c>
      <c r="AM72" s="10">
        <f>ROUND($B$6*$B$11*$B$13*$B$17*$B$21*$B$23*$B$25,0)</f>
        <v/>
      </c>
    </row>
    <row r="73" ht="20.1" customHeight="1" s="62">
      <c r="A73" s="67" t="n"/>
      <c r="B73" s="59" t="n"/>
      <c r="C73" s="15" t="inlineStr">
        <is>
          <t>Désorganisation élevée</t>
        </is>
      </c>
      <c r="D73" s="10">
        <f>ROUND($B$4*$B$11*$B$13*$B$18*$B$19*$B$22*$B$24,0)</f>
        <v/>
      </c>
      <c r="E73" s="10">
        <f>ROUND($B$4*$B$11*$B$13*$B$18*$B$19*$B$22*$B$25,0)</f>
        <v/>
      </c>
      <c r="F73" s="10">
        <f>ROUND($B$4*$B$11*$B$13*$B$18*$B$19*$B$23*$B$24,0)</f>
        <v/>
      </c>
      <c r="G73" s="10">
        <f>ROUND($B$4*$B$11*$B$13*$B$18*$B$19*$B$23*$B$25,0)</f>
        <v/>
      </c>
      <c r="H73" s="10">
        <f>ROUND($B$4*$B$11*$B$13*$B$18*$B$20*$B$22*$B$24,0)</f>
        <v/>
      </c>
      <c r="I73" s="10">
        <f>ROUND($B$4*$B$11*$B$13*$B$18*$B$20*$B$22*$B$25,0)</f>
        <v/>
      </c>
      <c r="J73" s="10">
        <f>ROUND($B$4*$B$11*$B$13*$B$18*$B$20*$B$23*$B$24,0)</f>
        <v/>
      </c>
      <c r="K73" s="10">
        <f>ROUND($B$4*$B$11*$B$13*$B$18*$B$20*$B$23*$B$25,0)</f>
        <v/>
      </c>
      <c r="L73" s="10">
        <f>ROUND($B$4*$B$11*$B$13*$B$18*$B$21*$B$22*$B$24,0)</f>
        <v/>
      </c>
      <c r="M73" s="10">
        <f>ROUND($B$4*$B$11*$B$13*$B$18*$B$21*$B$22*$B$25,0)</f>
        <v/>
      </c>
      <c r="N73" s="10">
        <f>ROUND($B$4*$B$11*$B$13*$B$18*$B$21*$B$23*$B$24,0)</f>
        <v/>
      </c>
      <c r="O73" s="10">
        <f>ROUND($B$4*$B$11*$B$13*$B$18*$B$21*$B$23*$B$25,0)</f>
        <v/>
      </c>
      <c r="P73" s="10">
        <f>ROUND($B$5*$B$11*$B$13*$B$18*$B$19*$B$22*$B$24,0)</f>
        <v/>
      </c>
      <c r="Q73" s="10">
        <f>ROUND($B$5*$B$11*$B$13*$B$18*$B$19*$B$22*$B$25,0)</f>
        <v/>
      </c>
      <c r="R73" s="10">
        <f>ROUND($B$5*$B$11*$B$13*$B$18*$B$19*$B$23*$B$24,0)</f>
        <v/>
      </c>
      <c r="S73" s="10">
        <f>ROUND($B$5*$B$11*$B$13*$B$18*$B$19*$B$23*$B$25,0)</f>
        <v/>
      </c>
      <c r="T73" s="10">
        <f>ROUND($B$5*$B$11*$B$13*$B$18*$B$20*$B$22*$B$24,0)</f>
        <v/>
      </c>
      <c r="U73" s="10">
        <f>ROUND($B$5*$B$11*$B$13*$B$18*$B$20*$B$22*$B$25,0)</f>
        <v/>
      </c>
      <c r="V73" s="10">
        <f>ROUND($B$5*$B$11*$B$13*$B$18*$B$20*$B$23*$B$24,0)</f>
        <v/>
      </c>
      <c r="W73" s="10">
        <f>ROUND($B$5*$B$11*$B$13*$B$18*$B$20*$B$23*$B$25,0)</f>
        <v/>
      </c>
      <c r="X73" s="10">
        <f>ROUND($B$5*$B$11*$B$13*$B$18*$B$21*$B$22*$B$24,0)</f>
        <v/>
      </c>
      <c r="Y73" s="10">
        <f>ROUND($B$5*$B$11*$B$13*$B$18*$B$21*$B$22*$B$25,0)</f>
        <v/>
      </c>
      <c r="Z73" s="10">
        <f>ROUND($B$5*$B$11*$B$13*$B$18*$B$21*$B$23*$B$24,0)</f>
        <v/>
      </c>
      <c r="AA73" s="10">
        <f>ROUND($B$5*$B$11*$B$13*$B$18*$B$21*$B$23*$B$25,0)</f>
        <v/>
      </c>
      <c r="AB73" s="10">
        <f>ROUND($B$6*$B$11*$B$13*$B$18*$B$19*$B$22*$B$24,0)</f>
        <v/>
      </c>
      <c r="AC73" s="10">
        <f>ROUND($B$6*$B$11*$B$13*$B$18*$B$19*$B$22*$B$25,0)</f>
        <v/>
      </c>
      <c r="AD73" s="10">
        <f>ROUND($B$6*$B$11*$B$13*$B$18*$B$19*$B$23*$B$24,0)</f>
        <v/>
      </c>
      <c r="AE73" s="10">
        <f>ROUND($B$6*$B$11*$B$13*$B$18*$B$19*$B$23*$B$25,0)</f>
        <v/>
      </c>
      <c r="AF73" s="10">
        <f>ROUND($B$6*$B$11*$B$13*$B$18*$B$20*$B$22*$B$24,0)</f>
        <v/>
      </c>
      <c r="AG73" s="10">
        <f>ROUND($B$6*$B$11*$B$13*$B$18*$B$20*$B$22*$B$25,0)</f>
        <v/>
      </c>
      <c r="AH73" s="10">
        <f>ROUND($B$6*$B$11*$B$13*$B$18*$B$20*$B$23*$B$24,0)</f>
        <v/>
      </c>
      <c r="AI73" s="10">
        <f>ROUND($B$6*$B$11*$B$13*$B$18*$B$20*$B$23*$B$25,0)</f>
        <v/>
      </c>
      <c r="AJ73" s="10">
        <f>ROUND($B$6*$B$11*$B$13*$B$18*$B$21*$B$22*$B$24,0)</f>
        <v/>
      </c>
      <c r="AK73" s="10">
        <f>ROUND($B$6*$B$11*$B$13*$B$18*$B$21*$B$22*$B$25,0)</f>
        <v/>
      </c>
      <c r="AL73" s="10">
        <f>ROUND($B$6*$B$11*$B$13*$B$18*$B$21*$B$23*$B$24,0)</f>
        <v/>
      </c>
      <c r="AM73" s="10">
        <f>ROUND($B$6*$B$11*$B$13*$B$18*$B$21*$B$23*$B$25,0)</f>
        <v/>
      </c>
    </row>
    <row r="74" ht="20.1" customHeight="1" s="62">
      <c r="A74" s="67" t="n"/>
      <c r="B74" s="57" t="inlineStr">
        <is>
          <t>6-10 équipes</t>
        </is>
      </c>
      <c r="C74" s="14" t="inlineStr">
        <is>
          <t>Faible désorganisation</t>
        </is>
      </c>
      <c r="D74" s="10">
        <f>ROUND($B$4*$B$11*$B$14*$B$16*$B$19*$B$22*$B$24,0)</f>
        <v/>
      </c>
      <c r="E74" s="10">
        <f>ROUND($B$4*$B$11*$B$14*$B$16*$B$19*$B$22*$B$25,0)</f>
        <v/>
      </c>
      <c r="F74" s="10">
        <f>ROUND($B$4*$B$11*$B$14*$B$16*$B$19*$B$23*$B$24,0)</f>
        <v/>
      </c>
      <c r="G74" s="10">
        <f>ROUND($B$4*$B$11*$B$14*$B$16*$B$19*$B$23*$B$25,0)</f>
        <v/>
      </c>
      <c r="H74" s="10">
        <f>ROUND($B$4*$B$11*$B$14*$B$16*$B$20*$B$22*$B$24,0)</f>
        <v/>
      </c>
      <c r="I74" s="10">
        <f>ROUND($B$4*$B$11*$B$14*$B$16*$B$20*$B$22*$B$25,0)</f>
        <v/>
      </c>
      <c r="J74" s="10">
        <f>ROUND($B$4*$B$11*$B$14*$B$16*$B$20*$B$23*$B$24,0)</f>
        <v/>
      </c>
      <c r="K74" s="10">
        <f>ROUND($B$4*$B$11*$B$14*$B$16*$B$20*$B$23*$B$25,0)</f>
        <v/>
      </c>
      <c r="L74" s="10">
        <f>ROUND($B$4*$B$11*$B$14*$B$16*$B$21*$B$22*$B$24,0)</f>
        <v/>
      </c>
      <c r="M74" s="10">
        <f>ROUND($B$4*$B$11*$B$14*$B$16*$B$21*$B$22*$B$25,0)</f>
        <v/>
      </c>
      <c r="N74" s="10">
        <f>ROUND($B$4*$B$11*$B$14*$B$16*$B$21*$B$23*$B$24,0)</f>
        <v/>
      </c>
      <c r="O74" s="10">
        <f>ROUND($B$4*$B$11*$B$14*$B$16*$B$21*$B$23*$B$25,0)</f>
        <v/>
      </c>
      <c r="P74" s="10">
        <f>ROUND($B$5*$B$11*$B$14*$B$16*$B$19*$B$22*$B$24,0)</f>
        <v/>
      </c>
      <c r="Q74" s="10">
        <f>ROUND($B$5*$B$11*$B$14*$B$16*$B$19*$B$22*$B$25,0)</f>
        <v/>
      </c>
      <c r="R74" s="10">
        <f>ROUND($B$5*$B$11*$B$14*$B$16*$B$19*$B$23*$B$24,0)</f>
        <v/>
      </c>
      <c r="S74" s="10">
        <f>ROUND($B$5*$B$11*$B$14*$B$16*$B$19*$B$23*$B$25,0)</f>
        <v/>
      </c>
      <c r="T74" s="10">
        <f>ROUND($B$5*$B$11*$B$14*$B$16*$B$20*$B$22*$B$24,0)</f>
        <v/>
      </c>
      <c r="U74" s="10">
        <f>ROUND($B$5*$B$11*$B$14*$B$16*$B$20*$B$22*$B$25,0)</f>
        <v/>
      </c>
      <c r="V74" s="10">
        <f>ROUND($B$5*$B$11*$B$14*$B$16*$B$20*$B$23*$B$24,0)</f>
        <v/>
      </c>
      <c r="W74" s="10">
        <f>ROUND($B$5*$B$11*$B$14*$B$16*$B$20*$B$23*$B$25,0)</f>
        <v/>
      </c>
      <c r="X74" s="10">
        <f>ROUND($B$5*$B$11*$B$14*$B$16*$B$21*$B$22*$B$24,0)</f>
        <v/>
      </c>
      <c r="Y74" s="10">
        <f>ROUND($B$5*$B$11*$B$14*$B$16*$B$21*$B$22*$B$25,0)</f>
        <v/>
      </c>
      <c r="Z74" s="10">
        <f>ROUND($B$5*$B$11*$B$14*$B$16*$B$21*$B$23*$B$24,0)</f>
        <v/>
      </c>
      <c r="AA74" s="10">
        <f>ROUND($B$5*$B$11*$B$14*$B$16*$B$21*$B$23*$B$25,0)</f>
        <v/>
      </c>
      <c r="AB74" s="10">
        <f>ROUND($B$6*$B$11*$B$14*$B$16*$B$19*$B$22*$B$24,0)</f>
        <v/>
      </c>
      <c r="AC74" s="10">
        <f>ROUND($B$6*$B$11*$B$14*$B$16*$B$19*$B$22*$B$25,0)</f>
        <v/>
      </c>
      <c r="AD74" s="10">
        <f>ROUND($B$6*$B$11*$B$14*$B$16*$B$19*$B$23*$B$24,0)</f>
        <v/>
      </c>
      <c r="AE74" s="10">
        <f>ROUND($B$6*$B$11*$B$14*$B$16*$B$19*$B$23*$B$25,0)</f>
        <v/>
      </c>
      <c r="AF74" s="10">
        <f>ROUND($B$6*$B$11*$B$14*$B$16*$B$20*$B$22*$B$24,0)</f>
        <v/>
      </c>
      <c r="AG74" s="10">
        <f>ROUND($B$6*$B$11*$B$14*$B$16*$B$20*$B$22*$B$25,0)</f>
        <v/>
      </c>
      <c r="AH74" s="10">
        <f>ROUND($B$6*$B$11*$B$14*$B$16*$B$20*$B$23*$B$24,0)</f>
        <v/>
      </c>
      <c r="AI74" s="10">
        <f>ROUND($B$6*$B$11*$B$14*$B$16*$B$20*$B$23*$B$25,0)</f>
        <v/>
      </c>
      <c r="AJ74" s="10">
        <f>ROUND($B$6*$B$11*$B$14*$B$16*$B$21*$B$22*$B$24,0)</f>
        <v/>
      </c>
      <c r="AK74" s="10">
        <f>ROUND($B$6*$B$11*$B$14*$B$16*$B$21*$B$22*$B$25,0)</f>
        <v/>
      </c>
      <c r="AL74" s="10">
        <f>ROUND($B$6*$B$11*$B$14*$B$16*$B$21*$B$23*$B$24,0)</f>
        <v/>
      </c>
      <c r="AM74" s="10">
        <f>ROUND($B$6*$B$11*$B$14*$B$16*$B$21*$B$23*$B$25,0)</f>
        <v/>
      </c>
    </row>
    <row r="75" ht="20.1" customHeight="1" s="62">
      <c r="A75" s="67" t="n"/>
      <c r="B75" s="58" t="n"/>
      <c r="C75" s="57" t="inlineStr">
        <is>
          <t>Désorganisation modérée</t>
        </is>
      </c>
      <c r="D75" s="10">
        <f>ROUND($B$4*$B$11*$B$14*$B$17*$B$19*$B$22*$B$24,0)</f>
        <v/>
      </c>
      <c r="E75" s="10">
        <f>ROUND($B$4*$B$11*$B$14*$B$17*$B$19*$B$22*$B$25,0)</f>
        <v/>
      </c>
      <c r="F75" s="10">
        <f>ROUND($B$4*$B$11*$B$14*$B$17*$B$19*$B$23*$B$24,0)</f>
        <v/>
      </c>
      <c r="G75" s="10">
        <f>ROUND($B$4*$B$11*$B$14*$B$17*$B$19*$B$23*$B$25,0)</f>
        <v/>
      </c>
      <c r="H75" s="10">
        <f>ROUND($B$4*$B$11*$B$14*$B$17*$B$20*$B$22*$B$24,0)</f>
        <v/>
      </c>
      <c r="I75" s="10">
        <f>ROUND($B$4*$B$11*$B$14*$B$17*$B$20*$B$22*$B$25,0)</f>
        <v/>
      </c>
      <c r="J75" s="10">
        <f>ROUND($B$4*$B$11*$B$14*$B$17*$B$20*$B$23*$B$24,0)</f>
        <v/>
      </c>
      <c r="K75" s="10">
        <f>ROUND($B$4*$B$11*$B$14*$B$17*$B$20*$B$23*$B$25,0)</f>
        <v/>
      </c>
      <c r="L75" s="10">
        <f>ROUND($B$4*$B$11*$B$14*$B$17*$B$21*$B$22*$B$24,0)</f>
        <v/>
      </c>
      <c r="M75" s="10">
        <f>ROUND($B$4*$B$11*$B$14*$B$17*$B$21*$B$22*$B$25,0)</f>
        <v/>
      </c>
      <c r="N75" s="10">
        <f>ROUND($B$4*$B$11*$B$14*$B$17*$B$21*$B$23*$B$24,0)</f>
        <v/>
      </c>
      <c r="O75" s="10">
        <f>ROUND($B$4*$B$11*$B$14*$B$17*$B$21*$B$23*$B$25,0)</f>
        <v/>
      </c>
      <c r="P75" s="10">
        <f>ROUND($B$5*$B$11*$B$14*$B$17*$B$19*$B$22*$B$24,0)</f>
        <v/>
      </c>
      <c r="Q75" s="10">
        <f>ROUND($B$5*$B$11*$B$14*$B$17*$B$19*$B$22*$B$25,0)</f>
        <v/>
      </c>
      <c r="R75" s="10">
        <f>ROUND($B$5*$B$11*$B$14*$B$17*$B$19*$B$23*$B$24,0)</f>
        <v/>
      </c>
      <c r="S75" s="10">
        <f>ROUND($B$5*$B$11*$B$14*$B$17*$B$19*$B$23*$B$25,0)</f>
        <v/>
      </c>
      <c r="T75" s="10">
        <f>ROUND($B$5*$B$11*$B$14*$B$17*$B$20*$B$22*$B$24,0)</f>
        <v/>
      </c>
      <c r="U75" s="10">
        <f>ROUND($B$5*$B$11*$B$14*$B$17*$B$20*$B$22*$B$25,0)</f>
        <v/>
      </c>
      <c r="V75" s="10">
        <f>ROUND($B$5*$B$11*$B$14*$B$17*$B$20*$B$23*$B$24,0)</f>
        <v/>
      </c>
      <c r="W75" s="10">
        <f>ROUND($B$5*$B$11*$B$14*$B$17*$B$20*$B$23*$B$25,0)</f>
        <v/>
      </c>
      <c r="X75" s="10">
        <f>ROUND($B$5*$B$11*$B$14*$B$17*$B$21*$B$22*$B$24,0)</f>
        <v/>
      </c>
      <c r="Y75" s="10">
        <f>ROUND($B$5*$B$11*$B$14*$B$17*$B$21*$B$22*$B$25,0)</f>
        <v/>
      </c>
      <c r="Z75" s="10">
        <f>ROUND($B$5*$B$11*$B$14*$B$17*$B$21*$B$23*$B$24,0)</f>
        <v/>
      </c>
      <c r="AA75" s="10">
        <f>ROUND($B$5*$B$11*$B$14*$B$17*$B$21*$B$23*$B$25,0)</f>
        <v/>
      </c>
      <c r="AB75" s="10">
        <f>ROUND($B$6*$B$11*$B$14*$B$17*$B$19*$B$22*$B$24,0)</f>
        <v/>
      </c>
      <c r="AC75" s="10">
        <f>ROUND($B$6*$B$11*$B$14*$B$17*$B$19*$B$22*$B$25,0)</f>
        <v/>
      </c>
      <c r="AD75" s="10">
        <f>ROUND($B$6*$B$11*$B$14*$B$17*$B$19*$B$23*$B$24,0)</f>
        <v/>
      </c>
      <c r="AE75" s="10">
        <f>ROUND($B$6*$B$11*$B$14*$B$17*$B$19*$B$23*$B$25,0)</f>
        <v/>
      </c>
      <c r="AF75" s="10">
        <f>ROUND($B$6*$B$11*$B$14*$B$17*$B$20*$B$22*$B$24,0)</f>
        <v/>
      </c>
      <c r="AG75" s="10">
        <f>ROUND($B$6*$B$11*$B$14*$B$17*$B$20*$B$22*$B$25,0)</f>
        <v/>
      </c>
      <c r="AH75" s="10">
        <f>ROUND($B$6*$B$11*$B$14*$B$17*$B$20*$B$23*$B$24,0)</f>
        <v/>
      </c>
      <c r="AI75" s="10">
        <f>ROUND($B$6*$B$11*$B$14*$B$17*$B$20*$B$23*$B$25,0)</f>
        <v/>
      </c>
      <c r="AJ75" s="10">
        <f>ROUND($B$6*$B$11*$B$14*$B$17*$B$21*$B$22*$B$24,0)</f>
        <v/>
      </c>
      <c r="AK75" s="10">
        <f>ROUND($B$6*$B$11*$B$14*$B$17*$B$21*$B$22*$B$25,0)</f>
        <v/>
      </c>
      <c r="AL75" s="10">
        <f>ROUND($B$6*$B$11*$B$14*$B$17*$B$21*$B$23*$B$24,0)</f>
        <v/>
      </c>
      <c r="AM75" s="10">
        <f>ROUND($B$6*$B$11*$B$14*$B$17*$B$21*$B$23*$B$25,0)</f>
        <v/>
      </c>
    </row>
    <row r="76" ht="20.1" customHeight="1" s="62">
      <c r="A76" s="67" t="n"/>
      <c r="B76" s="59" t="n"/>
      <c r="C76" s="15" t="inlineStr">
        <is>
          <t>Désorganisation élevée</t>
        </is>
      </c>
      <c r="D76" s="10">
        <f>ROUND($B$4*$B$11*$B$14*$B$18*$B$19*$B$22*$B$24,0)</f>
        <v/>
      </c>
      <c r="E76" s="10">
        <f>ROUND($B$4*$B$11*$B$14*$B$18*$B$19*$B$22*$B$25,0)</f>
        <v/>
      </c>
      <c r="F76" s="10">
        <f>ROUND($B$4*$B$11*$B$14*$B$18*$B$19*$B$23*$B$24,0)</f>
        <v/>
      </c>
      <c r="G76" s="10">
        <f>ROUND($B$4*$B$11*$B$14*$B$18*$B$19*$B$23*$B$25,0)</f>
        <v/>
      </c>
      <c r="H76" s="10">
        <f>ROUND($B$4*$B$11*$B$14*$B$18*$B$20*$B$22*$B$24,0)</f>
        <v/>
      </c>
      <c r="I76" s="10">
        <f>ROUND($B$4*$B$11*$B$14*$B$18*$B$20*$B$22*$B$25,0)</f>
        <v/>
      </c>
      <c r="J76" s="10">
        <f>ROUND($B$4*$B$11*$B$14*$B$18*$B$20*$B$23*$B$24,0)</f>
        <v/>
      </c>
      <c r="K76" s="10">
        <f>ROUND($B$4*$B$11*$B$14*$B$18*$B$20*$B$23*$B$25,0)</f>
        <v/>
      </c>
      <c r="L76" s="10">
        <f>ROUND($B$4*$B$11*$B$14*$B$18*$B$21*$B$22*$B$24,0)</f>
        <v/>
      </c>
      <c r="M76" s="10">
        <f>ROUND($B$4*$B$11*$B$14*$B$18*$B$21*$B$22*$B$25,0)</f>
        <v/>
      </c>
      <c r="N76" s="10">
        <f>ROUND($B$4*$B$11*$B$14*$B$18*$B$21*$B$23*$B$24,0)</f>
        <v/>
      </c>
      <c r="O76" s="10">
        <f>ROUND($B$4*$B$11*$B$14*$B$18*$B$21*$B$23*$B$25,0)</f>
        <v/>
      </c>
      <c r="P76" s="10">
        <f>ROUND($B$5*$B$11*$B$14*$B$18*$B$19*$B$22*$B$24,0)</f>
        <v/>
      </c>
      <c r="Q76" s="10">
        <f>ROUND($B$5*$B$11*$B$14*$B$18*$B$19*$B$22*$B$25,0)</f>
        <v/>
      </c>
      <c r="R76" s="10">
        <f>ROUND($B$5*$B$11*$B$14*$B$18*$B$19*$B$23*$B$24,0)</f>
        <v/>
      </c>
      <c r="S76" s="10">
        <f>ROUND($B$5*$B$11*$B$14*$B$18*$B$19*$B$23*$B$25,0)</f>
        <v/>
      </c>
      <c r="T76" s="10">
        <f>ROUND($B$5*$B$11*$B$14*$B$18*$B$20*$B$22*$B$24,0)</f>
        <v/>
      </c>
      <c r="U76" s="10">
        <f>ROUND($B$5*$B$11*$B$14*$B$18*$B$20*$B$22*$B$25,0)</f>
        <v/>
      </c>
      <c r="V76" s="10">
        <f>ROUND($B$5*$B$11*$B$14*$B$18*$B$20*$B$23*$B$24,0)</f>
        <v/>
      </c>
      <c r="W76" s="10">
        <f>ROUND($B$5*$B$11*$B$14*$B$18*$B$20*$B$23*$B$25,0)</f>
        <v/>
      </c>
      <c r="X76" s="10">
        <f>ROUND($B$5*$B$11*$B$14*$B$18*$B$21*$B$22*$B$24,0)</f>
        <v/>
      </c>
      <c r="Y76" s="10">
        <f>ROUND($B$5*$B$11*$B$14*$B$18*$B$21*$B$22*$B$25,0)</f>
        <v/>
      </c>
      <c r="Z76" s="10">
        <f>ROUND($B$5*$B$11*$B$14*$B$18*$B$21*$B$23*$B$24,0)</f>
        <v/>
      </c>
      <c r="AA76" s="10">
        <f>ROUND($B$5*$B$11*$B$14*$B$18*$B$21*$B$23*$B$25,0)</f>
        <v/>
      </c>
      <c r="AB76" s="10">
        <f>ROUND($B$6*$B$11*$B$14*$B$18*$B$19*$B$22*$B$24,0)</f>
        <v/>
      </c>
      <c r="AC76" s="10">
        <f>ROUND($B$6*$B$11*$B$14*$B$18*$B$19*$B$22*$B$25,0)</f>
        <v/>
      </c>
      <c r="AD76" s="10">
        <f>ROUND($B$6*$B$11*$B$14*$B$18*$B$19*$B$23*$B$24,0)</f>
        <v/>
      </c>
      <c r="AE76" s="10">
        <f>ROUND($B$6*$B$11*$B$14*$B$18*$B$19*$B$23*$B$25,0)</f>
        <v/>
      </c>
      <c r="AF76" s="10">
        <f>ROUND($B$6*$B$11*$B$14*$B$18*$B$20*$B$22*$B$24,0)</f>
        <v/>
      </c>
      <c r="AG76" s="10">
        <f>ROUND($B$6*$B$11*$B$14*$B$18*$B$20*$B$22*$B$25,0)</f>
        <v/>
      </c>
      <c r="AH76" s="10">
        <f>ROUND($B$6*$B$11*$B$14*$B$18*$B$20*$B$23*$B$24,0)</f>
        <v/>
      </c>
      <c r="AI76" s="10">
        <f>ROUND($B$6*$B$11*$B$14*$B$18*$B$20*$B$23*$B$25,0)</f>
        <v/>
      </c>
      <c r="AJ76" s="10">
        <f>ROUND($B$6*$B$11*$B$14*$B$18*$B$21*$B$22*$B$24,0)</f>
        <v/>
      </c>
      <c r="AK76" s="10">
        <f>ROUND($B$6*$B$11*$B$14*$B$18*$B$21*$B$22*$B$25,0)</f>
        <v/>
      </c>
      <c r="AL76" s="10">
        <f>ROUND($B$6*$B$11*$B$14*$B$18*$B$21*$B$23*$B$24,0)</f>
        <v/>
      </c>
      <c r="AM76" s="10">
        <f>ROUND($B$6*$B$11*$B$14*$B$18*$B$21*$B$23*$B$25,0)</f>
        <v/>
      </c>
    </row>
    <row r="77" ht="20.1" customHeight="1" s="62">
      <c r="A77" s="67" t="n"/>
      <c r="B77" s="57" t="inlineStr">
        <is>
          <t>10+ équipes</t>
        </is>
      </c>
      <c r="C77" s="14" t="inlineStr">
        <is>
          <t>Faible désorganisation</t>
        </is>
      </c>
      <c r="D77" s="10">
        <f>ROUND($B$4*$B$11*$B$15*$B$16*$B$19*$B$22*$B$24,0)</f>
        <v/>
      </c>
      <c r="E77" s="10">
        <f>ROUND($B$4*$B$11*$B$15*$B$16*$B$19*$B$22*$B$25,0)</f>
        <v/>
      </c>
      <c r="F77" s="10">
        <f>ROUND($B$4*$B$11*$B$15*$B$16*$B$19*$B$23*$B$24,0)</f>
        <v/>
      </c>
      <c r="G77" s="10">
        <f>ROUND($B$4*$B$11*$B$15*$B$16*$B$19*$B$23*$B$25,0)</f>
        <v/>
      </c>
      <c r="H77" s="10">
        <f>ROUND($B$4*$B$11*$B$15*$B$16*$B$20*$B$22*$B$24,0)</f>
        <v/>
      </c>
      <c r="I77" s="10">
        <f>ROUND($B$4*$B$11*$B$15*$B$16*$B$20*$B$22*$B$25,0)</f>
        <v/>
      </c>
      <c r="J77" s="10">
        <f>ROUND($B$4*$B$11*$B$15*$B$16*$B$20*$B$23*$B$24,0)</f>
        <v/>
      </c>
      <c r="K77" s="10">
        <f>ROUND($B$4*$B$11*$B$15*$B$16*$B$20*$B$23*$B$25,0)</f>
        <v/>
      </c>
      <c r="L77" s="10">
        <f>ROUND($B$4*$B$11*$B$15*$B$16*$B$21*$B$22*$B$24,0)</f>
        <v/>
      </c>
      <c r="M77" s="10">
        <f>ROUND($B$4*$B$11*$B$15*$B$16*$B$21*$B$22*$B$25,0)</f>
        <v/>
      </c>
      <c r="N77" s="10">
        <f>ROUND($B$4*$B$11*$B$15*$B$16*$B$21*$B$23*$B$24,0)</f>
        <v/>
      </c>
      <c r="O77" s="10">
        <f>ROUND($B$4*$B$11*$B$15*$B$16*$B$21*$B$23*$B$25,0)</f>
        <v/>
      </c>
      <c r="P77" s="10">
        <f>ROUND($B$5*$B$11*$B$15*$B$16*$B$19*$B$22*$B$24,0)</f>
        <v/>
      </c>
      <c r="Q77" s="10">
        <f>ROUND($B$5*$B$11*$B$15*$B$16*$B$19*$B$22*$B$25,0)</f>
        <v/>
      </c>
      <c r="R77" s="10">
        <f>ROUND($B$5*$B$11*$B$15*$B$16*$B$19*$B$23*$B$24,0)</f>
        <v/>
      </c>
      <c r="S77" s="10">
        <f>ROUND($B$5*$B$11*$B$15*$B$16*$B$19*$B$23*$B$25,0)</f>
        <v/>
      </c>
      <c r="T77" s="10">
        <f>ROUND($B$5*$B$11*$B$15*$B$16*$B$20*$B$22*$B$24,0)</f>
        <v/>
      </c>
      <c r="U77" s="10">
        <f>ROUND($B$5*$B$11*$B$15*$B$16*$B$20*$B$22*$B$25,0)</f>
        <v/>
      </c>
      <c r="V77" s="10">
        <f>ROUND($B$5*$B$11*$B$15*$B$16*$B$20*$B$23*$B$24,0)</f>
        <v/>
      </c>
      <c r="W77" s="10">
        <f>ROUND($B$5*$B$11*$B$15*$B$16*$B$20*$B$23*$B$25,0)</f>
        <v/>
      </c>
      <c r="X77" s="10">
        <f>ROUND($B$5*$B$11*$B$15*$B$16*$B$21*$B$22*$B$24,0)</f>
        <v/>
      </c>
      <c r="Y77" s="10">
        <f>ROUND($B$5*$B$11*$B$15*$B$16*$B$21*$B$22*$B$25,0)</f>
        <v/>
      </c>
      <c r="Z77" s="10">
        <f>ROUND($B$5*$B$11*$B$15*$B$16*$B$21*$B$23*$B$24,0)</f>
        <v/>
      </c>
      <c r="AA77" s="10">
        <f>ROUND($B$5*$B$11*$B$15*$B$16*$B$21*$B$23*$B$25,0)</f>
        <v/>
      </c>
      <c r="AB77" s="10">
        <f>ROUND($B$6*$B$11*$B$15*$B$16*$B$19*$B$22*$B$24,0)</f>
        <v/>
      </c>
      <c r="AC77" s="10">
        <f>ROUND($B$6*$B$11*$B$15*$B$16*$B$19*$B$22*$B$25,0)</f>
        <v/>
      </c>
      <c r="AD77" s="10">
        <f>ROUND($B$6*$B$11*$B$15*$B$16*$B$19*$B$23*$B$24,0)</f>
        <v/>
      </c>
      <c r="AE77" s="10">
        <f>ROUND($B$6*$B$11*$B$15*$B$16*$B$19*$B$23*$B$25,0)</f>
        <v/>
      </c>
      <c r="AF77" s="10">
        <f>ROUND($B$6*$B$11*$B$15*$B$16*$B$20*$B$22*$B$24,0)</f>
        <v/>
      </c>
      <c r="AG77" s="10">
        <f>ROUND($B$6*$B$11*$B$15*$B$16*$B$20*$B$22*$B$25,0)</f>
        <v/>
      </c>
      <c r="AH77" s="10">
        <f>ROUND($B$6*$B$11*$B$15*$B$16*$B$20*$B$23*$B$24,0)</f>
        <v/>
      </c>
      <c r="AI77" s="10">
        <f>ROUND($B$6*$B$11*$B$15*$B$16*$B$20*$B$23*$B$25,0)</f>
        <v/>
      </c>
      <c r="AJ77" s="10">
        <f>ROUND($B$6*$B$11*$B$15*$B$16*$B$21*$B$22*$B$24,0)</f>
        <v/>
      </c>
      <c r="AK77" s="10">
        <f>ROUND($B$6*$B$11*$B$15*$B$16*$B$21*$B$22*$B$25,0)</f>
        <v/>
      </c>
      <c r="AL77" s="10">
        <f>ROUND($B$6*$B$11*$B$15*$B$16*$B$21*$B$23*$B$24,0)</f>
        <v/>
      </c>
      <c r="AM77" s="10">
        <f>ROUND($B$6*$B$11*$B$15*$B$16*$B$21*$B$23*$B$25,0)</f>
        <v/>
      </c>
    </row>
    <row r="78" ht="20.1" customHeight="1" s="62">
      <c r="A78" s="67" t="n"/>
      <c r="B78" s="58" t="n"/>
      <c r="C78" s="57" t="inlineStr">
        <is>
          <t>Désorganisation modérée</t>
        </is>
      </c>
      <c r="D78" s="10">
        <f>ROUND($B$4*$B$11*$B$15*$B$17*$B$19*$B$22*$B$24,0)</f>
        <v/>
      </c>
      <c r="E78" s="10">
        <f>ROUND($B$4*$B$11*$B$15*$B$17*$B$19*$B$22*$B$25,0)</f>
        <v/>
      </c>
      <c r="F78" s="10">
        <f>ROUND($B$4*$B$11*$B$15*$B$17*$B$19*$B$23*$B$24,0)</f>
        <v/>
      </c>
      <c r="G78" s="10">
        <f>ROUND($B$4*$B$11*$B$15*$B$17*$B$19*$B$23*$B$25,0)</f>
        <v/>
      </c>
      <c r="H78" s="10">
        <f>ROUND($B$4*$B$11*$B$15*$B$17*$B$20*$B$22*$B$24,0)</f>
        <v/>
      </c>
      <c r="I78" s="10">
        <f>ROUND($B$4*$B$11*$B$15*$B$17*$B$20*$B$22*$B$25,0)</f>
        <v/>
      </c>
      <c r="J78" s="10">
        <f>ROUND($B$4*$B$11*$B$15*$B$17*$B$20*$B$23*$B$24,0)</f>
        <v/>
      </c>
      <c r="K78" s="10">
        <f>ROUND($B$4*$B$11*$B$15*$B$17*$B$20*$B$23*$B$25,0)</f>
        <v/>
      </c>
      <c r="L78" s="10">
        <f>ROUND($B$4*$B$11*$B$15*$B$17*$B$21*$B$22*$B$24,0)</f>
        <v/>
      </c>
      <c r="M78" s="10">
        <f>ROUND($B$4*$B$11*$B$15*$B$17*$B$21*$B$22*$B$25,0)</f>
        <v/>
      </c>
      <c r="N78" s="10">
        <f>ROUND($B$4*$B$11*$B$15*$B$17*$B$21*$B$23*$B$24,0)</f>
        <v/>
      </c>
      <c r="O78" s="10">
        <f>ROUND($B$4*$B$11*$B$15*$B$17*$B$21*$B$23*$B$25,0)</f>
        <v/>
      </c>
      <c r="P78" s="10">
        <f>ROUND($B$5*$B$11*$B$15*$B$17*$B$19*$B$22*$B$24,0)</f>
        <v/>
      </c>
      <c r="Q78" s="10">
        <f>ROUND($B$5*$B$11*$B$15*$B$17*$B$19*$B$22*$B$25,0)</f>
        <v/>
      </c>
      <c r="R78" s="10">
        <f>ROUND($B$5*$B$11*$B$15*$B$17*$B$19*$B$23*$B$24,0)</f>
        <v/>
      </c>
      <c r="S78" s="10">
        <f>ROUND($B$5*$B$11*$B$15*$B$17*$B$19*$B$23*$B$25,0)</f>
        <v/>
      </c>
      <c r="T78" s="10">
        <f>ROUND($B$5*$B$11*$B$15*$B$17*$B$20*$B$22*$B$24,0)</f>
        <v/>
      </c>
      <c r="U78" s="10">
        <f>ROUND($B$5*$B$11*$B$15*$B$17*$B$20*$B$22*$B$25,0)</f>
        <v/>
      </c>
      <c r="V78" s="10">
        <f>ROUND($B$5*$B$11*$B$15*$B$17*$B$20*$B$23*$B$24,0)</f>
        <v/>
      </c>
      <c r="W78" s="10">
        <f>ROUND($B$5*$B$11*$B$15*$B$17*$B$20*$B$23*$B$25,0)</f>
        <v/>
      </c>
      <c r="X78" s="10">
        <f>ROUND($B$5*$B$11*$B$15*$B$17*$B$21*$B$22*$B$24,0)</f>
        <v/>
      </c>
      <c r="Y78" s="10">
        <f>ROUND($B$5*$B$11*$B$15*$B$17*$B$21*$B$22*$B$25,0)</f>
        <v/>
      </c>
      <c r="Z78" s="10">
        <f>ROUND($B$5*$B$11*$B$15*$B$17*$B$21*$B$23*$B$24,0)</f>
        <v/>
      </c>
      <c r="AA78" s="10">
        <f>ROUND($B$5*$B$11*$B$15*$B$17*$B$21*$B$23*$B$25,0)</f>
        <v/>
      </c>
      <c r="AB78" s="10">
        <f>ROUND($B$6*$B$11*$B$15*$B$17*$B$19*$B$22*$B$24,0)</f>
        <v/>
      </c>
      <c r="AC78" s="10">
        <f>ROUND($B$6*$B$11*$B$15*$B$17*$B$19*$B$22*$B$25,0)</f>
        <v/>
      </c>
      <c r="AD78" s="10">
        <f>ROUND($B$6*$B$11*$B$15*$B$17*$B$19*$B$23*$B$24,0)</f>
        <v/>
      </c>
      <c r="AE78" s="10">
        <f>ROUND($B$6*$B$11*$B$15*$B$17*$B$19*$B$23*$B$25,0)</f>
        <v/>
      </c>
      <c r="AF78" s="10">
        <f>ROUND($B$6*$B$11*$B$15*$B$17*$B$20*$B$22*$B$24,0)</f>
        <v/>
      </c>
      <c r="AG78" s="10">
        <f>ROUND($B$6*$B$11*$B$15*$B$17*$B$20*$B$22*$B$25,0)</f>
        <v/>
      </c>
      <c r="AH78" s="10">
        <f>ROUND($B$6*$B$11*$B$15*$B$17*$B$20*$B$23*$B$24,0)</f>
        <v/>
      </c>
      <c r="AI78" s="10">
        <f>ROUND($B$6*$B$11*$B$15*$B$17*$B$20*$B$23*$B$25,0)</f>
        <v/>
      </c>
      <c r="AJ78" s="10">
        <f>ROUND($B$6*$B$11*$B$15*$B$17*$B$21*$B$22*$B$24,0)</f>
        <v/>
      </c>
      <c r="AK78" s="10">
        <f>ROUND($B$6*$B$11*$B$15*$B$17*$B$21*$B$22*$B$25,0)</f>
        <v/>
      </c>
      <c r="AL78" s="10">
        <f>ROUND($B$6*$B$11*$B$15*$B$17*$B$21*$B$23*$B$24,0)</f>
        <v/>
      </c>
      <c r="AM78" s="10">
        <f>ROUND($B$6*$B$11*$B$15*$B$17*$B$21*$B$23*$B$25,0)</f>
        <v/>
      </c>
    </row>
    <row r="79" ht="20.1" customHeight="1" s="62">
      <c r="A79" s="68" t="n"/>
      <c r="B79" s="59" t="n"/>
      <c r="C79" s="15" t="inlineStr">
        <is>
          <t>Désorganisation élevée</t>
        </is>
      </c>
      <c r="D79" s="10">
        <f>ROUND($B$4*$B$11*$B$15*$B$18*$B$19*$B$22*$B$24,0)</f>
        <v/>
      </c>
      <c r="E79" s="10">
        <f>ROUND($B$4*$B$11*$B$15*$B$18*$B$19*$B$22*$B$25,0)</f>
        <v/>
      </c>
      <c r="F79" s="10">
        <f>ROUND($B$4*$B$11*$B$15*$B$18*$B$19*$B$23*$B$24,0)</f>
        <v/>
      </c>
      <c r="G79" s="10">
        <f>ROUND($B$4*$B$11*$B$15*$B$18*$B$19*$B$23*$B$25,0)</f>
        <v/>
      </c>
      <c r="H79" s="10">
        <f>ROUND($B$4*$B$11*$B$15*$B$18*$B$20*$B$22*$B$24,0)</f>
        <v/>
      </c>
      <c r="I79" s="10">
        <f>ROUND($B$4*$B$11*$B$15*$B$18*$B$20*$B$22*$B$25,0)</f>
        <v/>
      </c>
      <c r="J79" s="10">
        <f>ROUND($B$4*$B$11*$B$15*$B$18*$B$20*$B$23*$B$24,0)</f>
        <v/>
      </c>
      <c r="K79" s="10">
        <f>ROUND($B$4*$B$11*$B$15*$B$18*$B$20*$B$23*$B$25,0)</f>
        <v/>
      </c>
      <c r="L79" s="10">
        <f>ROUND($B$4*$B$11*$B$15*$B$18*$B$21*$B$22*$B$24,0)</f>
        <v/>
      </c>
      <c r="M79" s="10">
        <f>ROUND($B$4*$B$11*$B$15*$B$18*$B$21*$B$22*$B$25,0)</f>
        <v/>
      </c>
      <c r="N79" s="10">
        <f>ROUND($B$4*$B$11*$B$15*$B$18*$B$21*$B$23*$B$24,0)</f>
        <v/>
      </c>
      <c r="O79" s="10">
        <f>ROUND($B$4*$B$11*$B$15*$B$18*$B$21*$B$23*$B$25,0)</f>
        <v/>
      </c>
      <c r="P79" s="10">
        <f>ROUND($B$5*$B$11*$B$15*$B$18*$B$19*$B$22*$B$24,0)</f>
        <v/>
      </c>
      <c r="Q79" s="10">
        <f>ROUND($B$5*$B$11*$B$15*$B$18*$B$19*$B$22*$B$25,0)</f>
        <v/>
      </c>
      <c r="R79" s="10">
        <f>ROUND($B$5*$B$11*$B$15*$B$18*$B$19*$B$23*$B$24,0)</f>
        <v/>
      </c>
      <c r="S79" s="10">
        <f>ROUND($B$5*$B$11*$B$15*$B$18*$B$19*$B$23*$B$25,0)</f>
        <v/>
      </c>
      <c r="T79" s="10">
        <f>ROUND($B$5*$B$11*$B$15*$B$18*$B$20*$B$22*$B$24,0)</f>
        <v/>
      </c>
      <c r="U79" s="10">
        <f>ROUND($B$5*$B$11*$B$15*$B$18*$B$20*$B$22*$B$25,0)</f>
        <v/>
      </c>
      <c r="V79" s="10">
        <f>ROUND($B$5*$B$11*$B$15*$B$18*$B$20*$B$23*$B$24,0)</f>
        <v/>
      </c>
      <c r="W79" s="10">
        <f>ROUND($B$5*$B$11*$B$15*$B$18*$B$20*$B$23*$B$25,0)</f>
        <v/>
      </c>
      <c r="X79" s="10">
        <f>ROUND($B$5*$B$11*$B$15*$B$18*$B$21*$B$22*$B$24,0)</f>
        <v/>
      </c>
      <c r="Y79" s="10">
        <f>ROUND($B$5*$B$11*$B$15*$B$18*$B$21*$B$22*$B$25,0)</f>
        <v/>
      </c>
      <c r="Z79" s="10">
        <f>ROUND($B$5*$B$11*$B$15*$B$18*$B$21*$B$23*$B$24,0)</f>
        <v/>
      </c>
      <c r="AA79" s="10">
        <f>ROUND($B$5*$B$11*$B$15*$B$18*$B$21*$B$23*$B$25,0)</f>
        <v/>
      </c>
      <c r="AB79" s="10">
        <f>ROUND($B$6*$B$11*$B$15*$B$18*$B$19*$B$22*$B$24,0)</f>
        <v/>
      </c>
      <c r="AC79" s="10">
        <f>ROUND($B$6*$B$11*$B$15*$B$18*$B$19*$B$22*$B$25,0)</f>
        <v/>
      </c>
      <c r="AD79" s="10">
        <f>ROUND($B$6*$B$11*$B$15*$B$18*$B$19*$B$23*$B$24,0)</f>
        <v/>
      </c>
      <c r="AE79" s="10">
        <f>ROUND($B$6*$B$11*$B$15*$B$18*$B$19*$B$23*$B$25,0)</f>
        <v/>
      </c>
      <c r="AF79" s="10">
        <f>ROUND($B$6*$B$11*$B$15*$B$18*$B$20*$B$22*$B$24,0)</f>
        <v/>
      </c>
      <c r="AG79" s="10">
        <f>ROUND($B$6*$B$11*$B$15*$B$18*$B$20*$B$22*$B$25,0)</f>
        <v/>
      </c>
      <c r="AH79" s="10">
        <f>ROUND($B$6*$B$11*$B$15*$B$18*$B$20*$B$23*$B$24,0)</f>
        <v/>
      </c>
      <c r="AI79" s="10">
        <f>ROUND($B$6*$B$11*$B$15*$B$18*$B$20*$B$23*$B$25,0)</f>
        <v/>
      </c>
      <c r="AJ79" s="10">
        <f>ROUND($B$6*$B$11*$B$15*$B$18*$B$21*$B$22*$B$24,0)</f>
        <v/>
      </c>
      <c r="AK79" s="10">
        <f>ROUND($B$6*$B$11*$B$15*$B$18*$B$21*$B$22*$B$25,0)</f>
        <v/>
      </c>
      <c r="AL79" s="10">
        <f>ROUND($B$6*$B$11*$B$15*$B$18*$B$21*$B$23*$B$24,0)</f>
        <v/>
      </c>
      <c r="AM79" s="10">
        <f>ROUND($B$6*$B$11*$B$15*$B$18*$B$21*$B$23*$B$25,0)</f>
        <v/>
      </c>
    </row>
  </sheetData>
  <mergeCells count="58">
    <mergeCell ref="Z30:AA30"/>
    <mergeCell ref="B53:B55"/>
    <mergeCell ref="A1:AM1"/>
    <mergeCell ref="AB30:AC30"/>
    <mergeCell ref="T30:U30"/>
    <mergeCell ref="B65:B67"/>
    <mergeCell ref="AL30:AM30"/>
    <mergeCell ref="B68:B70"/>
    <mergeCell ref="A7:AM7"/>
    <mergeCell ref="AJ29:AM29"/>
    <mergeCell ref="D29:G29"/>
    <mergeCell ref="A68:A79"/>
    <mergeCell ref="A44:A55"/>
    <mergeCell ref="B74:B76"/>
    <mergeCell ref="J30:K30"/>
    <mergeCell ref="F30:G30"/>
    <mergeCell ref="R30:S30"/>
    <mergeCell ref="B35:B37"/>
    <mergeCell ref="D28:O28"/>
    <mergeCell ref="A26:AM26"/>
    <mergeCell ref="A3:AM3"/>
    <mergeCell ref="P28:AA28"/>
    <mergeCell ref="B56:B58"/>
    <mergeCell ref="P29:S29"/>
    <mergeCell ref="H29:K29"/>
    <mergeCell ref="B41:B43"/>
    <mergeCell ref="T29:W29"/>
    <mergeCell ref="A2:AM2"/>
    <mergeCell ref="B32:B34"/>
    <mergeCell ref="B47:B49"/>
    <mergeCell ref="AB29:AE29"/>
    <mergeCell ref="B50:B52"/>
    <mergeCell ref="B59:B61"/>
    <mergeCell ref="B28:B31"/>
    <mergeCell ref="L30:M30"/>
    <mergeCell ref="V30:W30"/>
    <mergeCell ref="B62:B64"/>
    <mergeCell ref="X30:Y30"/>
    <mergeCell ref="AD30:AE30"/>
    <mergeCell ref="AF30:AG30"/>
    <mergeCell ref="AJ30:AK30"/>
    <mergeCell ref="AB28:AM28"/>
    <mergeCell ref="A56:A67"/>
    <mergeCell ref="AF29:AI29"/>
    <mergeCell ref="B71:B73"/>
    <mergeCell ref="AH30:AI30"/>
    <mergeCell ref="C28:C31"/>
    <mergeCell ref="B77:B79"/>
    <mergeCell ref="N30:O30"/>
    <mergeCell ref="D30:E30"/>
    <mergeCell ref="P30:Q30"/>
    <mergeCell ref="B44:B46"/>
    <mergeCell ref="A28:A31"/>
    <mergeCell ref="B38:B40"/>
    <mergeCell ref="L29:O29"/>
    <mergeCell ref="X29:AA29"/>
    <mergeCell ref="H30:I30"/>
    <mergeCell ref="A32:A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3864"/>
    <outlinePr summaryBelow="1" summaryRight="1"/>
    <pageSetUpPr/>
  </sheetPr>
  <dimension ref="A1:AA81"/>
  <sheetViews>
    <sheetView topLeftCell="A2" workbookViewId="0">
      <pane xSplit="3" topLeftCell="D1" activePane="topRight" state="frozen"/>
      <selection pane="topRight" activeCell="B26" sqref="B26"/>
    </sheetView>
  </sheetViews>
  <sheetFormatPr baseColWidth="10" defaultColWidth="9.140625" defaultRowHeight="15"/>
  <cols>
    <col width="24" customWidth="1" style="62" min="1" max="1"/>
    <col width="22" customWidth="1" style="62" min="2" max="2"/>
    <col width="24" customWidth="1" style="62" min="3" max="3"/>
    <col width="14" customWidth="1" style="62" min="4" max="27"/>
  </cols>
  <sheetData>
    <row r="1" ht="33.95" customHeight="1" s="62">
      <c r="A1" s="72" t="inlineStr">
        <is>
          <t>GRILLE TARIFAIRE — Accompagnement RSE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Forfait par niveau de démarche RSE</t>
        </is>
      </c>
    </row>
    <row r="4" ht="21.95" customHeight="1" s="62">
      <c r="A4" s="1" t="inlineStr">
        <is>
          <t>Tarif de base — RSE simple</t>
        </is>
      </c>
      <c r="B4" s="2" t="n">
        <v>4500</v>
      </c>
      <c r="C4" s="3" t="inlineStr">
        <is>
          <t>Fourchette indicative : 2 000 – 5 000 €</t>
        </is>
      </c>
    </row>
    <row r="5" ht="21.95" customHeight="1" s="62">
      <c r="A5" s="1" t="inlineStr">
        <is>
          <t>Tarif de base — RSE structurée</t>
        </is>
      </c>
      <c r="B5" s="2" t="n">
        <v>12000</v>
      </c>
      <c r="C5" s="3" t="inlineStr">
        <is>
          <t>Fourchette indicative : 5 000 – 15 000 €</t>
        </is>
      </c>
    </row>
    <row r="6" ht="21.95" customHeight="1" s="62">
      <c r="A6" s="1" t="inlineStr">
        <is>
          <t>Tarif de base — RSE intégrée</t>
        </is>
      </c>
      <c r="B6" s="2" t="n">
        <v>22000</v>
      </c>
      <c r="C6" s="3" t="inlineStr">
        <is>
          <t>Fourchette indicative : 15 000 € +</t>
        </is>
      </c>
    </row>
    <row r="7" ht="21.95" customHeight="1" s="62">
      <c r="A7" s="61" t="inlineStr">
        <is>
          <t>COEFFICIENTS MULTIPLICATEURS  —  1,00 = neutre. Ex : 1,20 = +20 %</t>
        </is>
      </c>
    </row>
    <row r="8" ht="20.1" customHeight="1" s="62">
      <c r="A8" s="13" t="inlineStr">
        <is>
          <t>Coeff. taille — Micro (1-5 sal.)</t>
        </is>
      </c>
      <c r="B8" s="5" t="n">
        <v>0.7</v>
      </c>
      <c r="C8" s="6" t="inlineStr">
        <is>
          <t>Petite structure</t>
        </is>
      </c>
    </row>
    <row r="9" ht="20.1" customHeight="1" s="62">
      <c r="A9" s="13" t="inlineStr">
        <is>
          <t>Coeff. taille — TPE (6-19 sal.)</t>
        </is>
      </c>
      <c r="B9" s="5" t="n">
        <v>1</v>
      </c>
      <c r="C9" s="6" t="inlineStr">
        <is>
          <t>Référence</t>
        </is>
      </c>
    </row>
    <row r="10" ht="20.1" customHeight="1" s="62">
      <c r="A10" s="13" t="inlineStr">
        <is>
          <t>Coeff. taille — PME (20-99 sal.)</t>
        </is>
      </c>
      <c r="B10" s="5" t="n">
        <v>1.4</v>
      </c>
      <c r="C10" s="6" t="inlineStr">
        <is>
          <t>Complexité accrue</t>
        </is>
      </c>
    </row>
    <row r="11" ht="20.1" customHeight="1" s="62">
      <c r="A11" s="13" t="inlineStr">
        <is>
          <t>Coeff. taille — ETI / Grand compte (100+)</t>
        </is>
      </c>
      <c r="B11" s="5" t="n">
        <v>2</v>
      </c>
      <c r="C11" s="6" t="inlineStr">
        <is>
          <t>Structure complexe</t>
        </is>
      </c>
    </row>
    <row r="12" ht="20.1" customHeight="1" s="62">
      <c r="A12" s="13" t="inlineStr">
        <is>
          <t>Coeff. secteur — Standard</t>
        </is>
      </c>
      <c r="B12" s="5" t="n">
        <v>1</v>
      </c>
      <c r="C12" s="6" t="inlineStr">
        <is>
          <t>Référence</t>
        </is>
      </c>
    </row>
    <row r="13" ht="20.1" customHeight="1" s="62">
      <c r="A13" s="13" t="inlineStr">
        <is>
          <t>Coeff. secteur — Industrie / BTP</t>
        </is>
      </c>
      <c r="B13" s="5" t="n">
        <v>1.25</v>
      </c>
      <c r="C13" s="6" t="inlineStr">
        <is>
          <t>Enjeux environnementaux forts</t>
        </is>
      </c>
    </row>
    <row r="14" ht="20.1" customHeight="1" s="62">
      <c r="A14" s="13" t="inlineStr">
        <is>
          <t>Coeff. secteur — Santé / Finance</t>
        </is>
      </c>
      <c r="B14" s="5" t="n">
        <v>1.4</v>
      </c>
      <c r="C14" s="6" t="inlineStr">
        <is>
          <t>Contraintes réglementaires RSE</t>
        </is>
      </c>
    </row>
    <row r="15" ht="20.1" customHeight="1" s="62">
      <c r="A15" s="13" t="inlineStr">
        <is>
          <t>Coeff. secteur — Tech / Numérique</t>
        </is>
      </c>
      <c r="B15" s="5" t="n">
        <v>1.1</v>
      </c>
      <c r="C15" s="6" t="inlineStr">
        <is>
          <t>Enjeux sociaux et gouvernance</t>
        </is>
      </c>
    </row>
    <row r="16" ht="20.1" customHeight="1" s="62">
      <c r="A16" s="13" t="inlineStr">
        <is>
          <t>Coeff. maturité — Faible</t>
        </is>
      </c>
      <c r="B16" s="5" t="n">
        <v>1.25</v>
      </c>
      <c r="C16" s="6" t="inlineStr">
        <is>
          <t>Travail de fond important</t>
        </is>
      </c>
    </row>
    <row r="17" ht="20.1" customHeight="1" s="62">
      <c r="A17" s="13" t="inlineStr">
        <is>
          <t>Coeff. maturité — Intermédiaire</t>
        </is>
      </c>
      <c r="B17" s="5" t="n">
        <v>1</v>
      </c>
      <c r="C17" s="6" t="inlineStr">
        <is>
          <t>Référence</t>
        </is>
      </c>
    </row>
    <row r="18" ht="20.1" customHeight="1" s="62">
      <c r="A18" s="13" t="inlineStr">
        <is>
          <t>Coeff. maturité — Avancée</t>
        </is>
      </c>
      <c r="B18" s="5" t="n">
        <v>0.8</v>
      </c>
      <c r="C18" s="6" t="inlineStr">
        <is>
          <t>Base existante → gain de temps</t>
        </is>
      </c>
    </row>
    <row r="19" ht="20.1" customHeight="1" s="62">
      <c r="A19" s="13" t="inlineStr">
        <is>
          <t>Coeff. objectif — Image</t>
        </is>
      </c>
      <c r="B19" s="5" t="n">
        <v>0.9</v>
      </c>
      <c r="C19" s="6" t="inlineStr">
        <is>
          <t>Périmètre limité</t>
        </is>
      </c>
    </row>
    <row r="20" ht="20.1" customHeight="1" s="62">
      <c r="A20" s="13" t="inlineStr">
        <is>
          <t>Coeff. objectif — Conformité réglementaire</t>
        </is>
      </c>
      <c r="B20" s="5" t="n">
        <v>1</v>
      </c>
      <c r="C20" s="6" t="inlineStr">
        <is>
          <t>Référence</t>
        </is>
      </c>
    </row>
    <row r="21" ht="20.1" customHeight="1" s="62">
      <c r="A21" s="13" t="inlineStr">
        <is>
          <t>Coeff. objectif — Engagement réel</t>
        </is>
      </c>
      <c r="B21" s="5" t="n">
        <v>1.5</v>
      </c>
      <c r="C21" s="6" t="inlineStr">
        <is>
          <t>Démarche complète et profonde</t>
        </is>
      </c>
    </row>
    <row r="22" ht="20.1" customHeight="1" s="62">
      <c r="A22" s="13" t="inlineStr">
        <is>
          <t>Coeff. structuration — Simple</t>
        </is>
      </c>
      <c r="B22" s="5" t="n">
        <v>1</v>
      </c>
      <c r="C22" s="6" t="inlineStr">
        <is>
          <t>Référence</t>
        </is>
      </c>
    </row>
    <row r="23" ht="20.1" customHeight="1" s="62">
      <c r="A23" s="13" t="inlineStr">
        <is>
          <t>Coeff. structuration — Complète avec pilotage</t>
        </is>
      </c>
      <c r="B23" s="5" t="n">
        <v>1.4</v>
      </c>
      <c r="C23" s="6" t="inlineStr">
        <is>
          <t>Accompagnement long terme</t>
        </is>
      </c>
    </row>
    <row r="24" ht="20.1" customHeight="1" s="62">
      <c r="A24" s="13" t="inlineStr">
        <is>
          <t>Coeff. intégration — Non intégrée</t>
        </is>
      </c>
      <c r="B24" s="5" t="n">
        <v>1</v>
      </c>
      <c r="C24" s="6" t="inlineStr">
        <is>
          <t>Référence</t>
        </is>
      </c>
    </row>
    <row r="25" ht="20.1" customHeight="1" s="62">
      <c r="A25" s="13" t="inlineStr">
        <is>
          <t>Coeff. intégration — Intégrée à la stratégie</t>
        </is>
      </c>
      <c r="B25" s="5" t="n">
        <v>1.3</v>
      </c>
      <c r="C25" s="6" t="inlineStr">
        <is>
          <t>Travail transversal supplémentaire</t>
        </is>
      </c>
    </row>
    <row r="26" ht="20.1" customHeight="1" s="62">
      <c r="A26" s="13" t="inlineStr">
        <is>
          <t>Coeff. mode — Distanciel</t>
        </is>
      </c>
      <c r="B26" s="5" t="n">
        <v>1</v>
      </c>
      <c r="C26" s="6" t="inlineStr">
        <is>
          <t>Référence</t>
        </is>
      </c>
    </row>
    <row r="27" ht="20.1" customHeight="1" s="62">
      <c r="A27" s="13" t="inlineStr">
        <is>
          <t>Coeff. mode — Présentiel</t>
        </is>
      </c>
      <c r="B27" s="5" t="n">
        <v>1.2</v>
      </c>
      <c r="C27" s="6" t="inlineStr">
        <is>
          <t>Déplacements + ateliers sur site</t>
        </is>
      </c>
    </row>
    <row r="28" ht="24" customHeight="1" s="62">
      <c r="A28" s="71" t="inlineStr">
        <is>
          <t>▼  GRILLE TARIFAIRE CALCULÉE AUTOMATIQUEMENT  — Les cellules bleues sont en lecture seule (formules).</t>
        </is>
      </c>
    </row>
    <row r="29" ht="6" customHeight="1" s="62"/>
    <row r="30" ht="38.1" customHeight="1" s="62">
      <c r="A30" s="54" t="inlineStr">
        <is>
          <t>Taille de l'entreprise</t>
        </is>
      </c>
      <c r="B30" s="60" t="inlineStr">
        <is>
          <t>Secteur d'activité</t>
        </is>
      </c>
      <c r="C30" s="63" t="inlineStr">
        <is>
          <t>Maturité RSE initiale</t>
        </is>
      </c>
      <c r="D30" s="54" t="inlineStr">
        <is>
          <t>Objectif image</t>
        </is>
      </c>
      <c r="E30" s="55" t="n"/>
      <c r="F30" s="55" t="n"/>
      <c r="G30" s="55" t="n"/>
      <c r="H30" s="55" t="n"/>
      <c r="I30" s="55" t="n"/>
      <c r="J30" s="55" t="n"/>
      <c r="K30" s="56" t="n"/>
      <c r="L30" s="54" t="inlineStr">
        <is>
          <t>Conformité réglementaire</t>
        </is>
      </c>
      <c r="M30" s="55" t="n"/>
      <c r="N30" s="55" t="n"/>
      <c r="O30" s="55" t="n"/>
      <c r="P30" s="55" t="n"/>
      <c r="Q30" s="55" t="n"/>
      <c r="R30" s="55" t="n"/>
      <c r="S30" s="56" t="n"/>
      <c r="T30" s="54" t="inlineStr">
        <is>
          <t>Engagement réel</t>
        </is>
      </c>
      <c r="U30" s="55" t="n"/>
      <c r="V30" s="55" t="n"/>
      <c r="W30" s="55" t="n"/>
      <c r="X30" s="55" t="n"/>
      <c r="Y30" s="55" t="n"/>
      <c r="Z30" s="55" t="n"/>
      <c r="AA30" s="56" t="n"/>
    </row>
    <row r="31" ht="38.1" customHeight="1" s="62">
      <c r="A31" s="64" t="n"/>
      <c r="B31" s="64" t="n"/>
      <c r="C31" s="64" t="n"/>
      <c r="D31" s="60" t="inlineStr">
        <is>
          <t>Structuration simple</t>
        </is>
      </c>
      <c r="E31" s="55" t="n"/>
      <c r="F31" s="55" t="n"/>
      <c r="G31" s="56" t="n"/>
      <c r="H31" s="60" t="inlineStr">
        <is>
          <t>Complète avec pilotage</t>
        </is>
      </c>
      <c r="I31" s="55" t="n"/>
      <c r="J31" s="55" t="n"/>
      <c r="K31" s="56" t="n"/>
      <c r="L31" s="60" t="inlineStr">
        <is>
          <t>Structuration simple</t>
        </is>
      </c>
      <c r="M31" s="55" t="n"/>
      <c r="N31" s="55" t="n"/>
      <c r="O31" s="56" t="n"/>
      <c r="P31" s="60" t="inlineStr">
        <is>
          <t>Complète avec pilotage</t>
        </is>
      </c>
      <c r="Q31" s="55" t="n"/>
      <c r="R31" s="55" t="n"/>
      <c r="S31" s="56" t="n"/>
      <c r="T31" s="60" t="inlineStr">
        <is>
          <t>Structuration simple</t>
        </is>
      </c>
      <c r="U31" s="55" t="n"/>
      <c r="V31" s="55" t="n"/>
      <c r="W31" s="56" t="n"/>
      <c r="X31" s="60" t="inlineStr">
        <is>
          <t>Complète avec pilotage</t>
        </is>
      </c>
      <c r="Y31" s="55" t="n"/>
      <c r="Z31" s="55" t="n"/>
      <c r="AA31" s="56" t="n"/>
    </row>
    <row r="32" ht="38.1" customHeight="1" s="62">
      <c r="A32" s="64" t="n"/>
      <c r="B32" s="64" t="n"/>
      <c r="C32" s="64" t="n"/>
      <c r="D32" s="63" t="inlineStr">
        <is>
          <t>Non intégrée à la stratégie</t>
        </is>
      </c>
      <c r="E32" s="56" t="n"/>
      <c r="F32" s="63" t="inlineStr">
        <is>
          <t>Intégrée à la stratégie globale</t>
        </is>
      </c>
      <c r="G32" s="56" t="n"/>
      <c r="H32" s="63" t="inlineStr">
        <is>
          <t>Non intégrée à la stratégie</t>
        </is>
      </c>
      <c r="I32" s="56" t="n"/>
      <c r="J32" s="63" t="inlineStr">
        <is>
          <t>Intégrée à la stratégie globale</t>
        </is>
      </c>
      <c r="K32" s="56" t="n"/>
      <c r="L32" s="63" t="inlineStr">
        <is>
          <t>Non intégrée à la stratégie</t>
        </is>
      </c>
      <c r="M32" s="56" t="n"/>
      <c r="N32" s="63" t="inlineStr">
        <is>
          <t>Intégrée à la stratégie globale</t>
        </is>
      </c>
      <c r="O32" s="56" t="n"/>
      <c r="P32" s="63" t="inlineStr">
        <is>
          <t>Non intégrée à la stratégie</t>
        </is>
      </c>
      <c r="Q32" s="56" t="n"/>
      <c r="R32" s="63" t="inlineStr">
        <is>
          <t>Intégrée à la stratégie globale</t>
        </is>
      </c>
      <c r="S32" s="56" t="n"/>
      <c r="T32" s="63" t="inlineStr">
        <is>
          <t>Non intégrée à la stratégie</t>
        </is>
      </c>
      <c r="U32" s="56" t="n"/>
      <c r="V32" s="63" t="inlineStr">
        <is>
          <t>Intégrée à la stratégie globale</t>
        </is>
      </c>
      <c r="W32" s="56" t="n"/>
      <c r="X32" s="63" t="inlineStr">
        <is>
          <t>Non intégrée à la stratégie</t>
        </is>
      </c>
      <c r="Y32" s="56" t="n"/>
      <c r="Z32" s="63" t="inlineStr">
        <is>
          <t>Intégrée à la stratégie globale</t>
        </is>
      </c>
      <c r="AA32" s="56" t="n"/>
    </row>
    <row r="33" ht="38.1" customHeight="1" s="62">
      <c r="A33" s="65" t="n"/>
      <c r="B33" s="65" t="n"/>
      <c r="C33" s="65" t="n"/>
      <c r="D33" s="7" t="inlineStr">
        <is>
          <t>Distanciel</t>
        </is>
      </c>
      <c r="E33" s="7" t="inlineStr">
        <is>
          <t>Présentiel</t>
        </is>
      </c>
      <c r="F33" s="7" t="inlineStr">
        <is>
          <t>Distanciel</t>
        </is>
      </c>
      <c r="G33" s="7" t="inlineStr">
        <is>
          <t>Présentiel</t>
        </is>
      </c>
      <c r="H33" s="7" t="inlineStr">
        <is>
          <t>Distanciel</t>
        </is>
      </c>
      <c r="I33" s="7" t="inlineStr">
        <is>
          <t>Présentiel</t>
        </is>
      </c>
      <c r="J33" s="7" t="inlineStr">
        <is>
          <t>Distanciel</t>
        </is>
      </c>
      <c r="K33" s="7" t="inlineStr">
        <is>
          <t>Présentiel</t>
        </is>
      </c>
      <c r="L33" s="7" t="inlineStr">
        <is>
          <t>Distanciel</t>
        </is>
      </c>
      <c r="M33" s="7" t="inlineStr">
        <is>
          <t>Présentiel</t>
        </is>
      </c>
      <c r="N33" s="7" t="inlineStr">
        <is>
          <t>Distanciel</t>
        </is>
      </c>
      <c r="O33" s="7" t="inlineStr">
        <is>
          <t>Présentiel</t>
        </is>
      </c>
      <c r="P33" s="7" t="inlineStr">
        <is>
          <t>Distanciel</t>
        </is>
      </c>
      <c r="Q33" s="7" t="inlineStr">
        <is>
          <t>Présentiel</t>
        </is>
      </c>
      <c r="R33" s="7" t="inlineStr">
        <is>
          <t>Distanciel</t>
        </is>
      </c>
      <c r="S33" s="7" t="inlineStr">
        <is>
          <t>Présentiel</t>
        </is>
      </c>
      <c r="T33" s="7" t="inlineStr">
        <is>
          <t>Distanciel</t>
        </is>
      </c>
      <c r="U33" s="7" t="inlineStr">
        <is>
          <t>Présentiel</t>
        </is>
      </c>
      <c r="V33" s="7" t="inlineStr">
        <is>
          <t>Distanciel</t>
        </is>
      </c>
      <c r="W33" s="7" t="inlineStr">
        <is>
          <t>Présentiel</t>
        </is>
      </c>
      <c r="X33" s="7" t="inlineStr">
        <is>
          <t>Distanciel</t>
        </is>
      </c>
      <c r="Y33" s="7" t="inlineStr">
        <is>
          <t>Présentiel</t>
        </is>
      </c>
      <c r="Z33" s="7" t="inlineStr">
        <is>
          <t>Distanciel</t>
        </is>
      </c>
      <c r="AA33" s="7" t="inlineStr">
        <is>
          <t>Présentiel</t>
        </is>
      </c>
    </row>
    <row r="34" ht="20.1" customHeight="1" s="62">
      <c r="A34" s="66" t="inlineStr">
        <is>
          <t>Micro (1-5 sal.)</t>
        </is>
      </c>
      <c r="B34" s="57" t="inlineStr">
        <is>
          <t>Standard</t>
        </is>
      </c>
      <c r="C34" s="14" t="inlineStr">
        <is>
          <t>Maturité RSE faible</t>
        </is>
      </c>
      <c r="D34" s="10">
        <f>ROUND($B$4*$B$8*$B$12*$B$16*$B$19*$B$22*$B$24*$B$26,0)</f>
        <v/>
      </c>
      <c r="E34" s="10">
        <f>ROUND($B$4*$B$8*$B$12*$B$16*$B$19*$B$22*$B$24*$B$27,0)</f>
        <v/>
      </c>
      <c r="F34" s="10">
        <f>ROUND($B$4*$B$8*$B$12*$B$16*$B$19*$B$22*$B$25*$B$26,0)</f>
        <v/>
      </c>
      <c r="G34" s="10">
        <f>ROUND($B$4*$B$8*$B$12*$B$16*$B$19*$B$22*$B$25*$B$27,0)</f>
        <v/>
      </c>
      <c r="H34" s="10">
        <f>ROUND($B$5*$B$8*$B$12*$B$16*$B$19*$B$23*$B$24*$B$26,0)</f>
        <v/>
      </c>
      <c r="I34" s="10">
        <f>ROUND($B$5*$B$8*$B$12*$B$16*$B$19*$B$23*$B$24*$B$27,0)</f>
        <v/>
      </c>
      <c r="J34" s="10">
        <f>ROUND($B$5*$B$8*$B$12*$B$16*$B$19*$B$23*$B$25*$B$26,0)</f>
        <v/>
      </c>
      <c r="K34" s="10">
        <f>ROUND($B$5*$B$8*$B$12*$B$16*$B$19*$B$23*$B$25*$B$27,0)</f>
        <v/>
      </c>
      <c r="L34" s="10">
        <f>ROUND($B$4*$B$8*$B$12*$B$16*$B$20*$B$22*$B$24*$B$26,0)</f>
        <v/>
      </c>
      <c r="M34" s="10">
        <f>ROUND($B$4*$B$8*$B$12*$B$16*$B$20*$B$22*$B$24*$B$27,0)</f>
        <v/>
      </c>
      <c r="N34" s="10">
        <f>ROUND($B$4*$B$8*$B$12*$B$16*$B$20*$B$22*$B$25*$B$26,0)</f>
        <v/>
      </c>
      <c r="O34" s="10">
        <f>ROUND($B$4*$B$8*$B$12*$B$16*$B$20*$B$22*$B$25*$B$27,0)</f>
        <v/>
      </c>
      <c r="P34" s="10">
        <f>ROUND($B$5*$B$8*$B$12*$B$16*$B$20*$B$23*$B$24*$B$26,0)</f>
        <v/>
      </c>
      <c r="Q34" s="10">
        <f>ROUND($B$5*$B$8*$B$12*$B$16*$B$20*$B$23*$B$24*$B$27,0)</f>
        <v/>
      </c>
      <c r="R34" s="10">
        <f>ROUND($B$5*$B$8*$B$12*$B$16*$B$20*$B$23*$B$25*$B$26,0)</f>
        <v/>
      </c>
      <c r="S34" s="10">
        <f>ROUND($B$5*$B$8*$B$12*$B$16*$B$20*$B$23*$B$25*$B$27,0)</f>
        <v/>
      </c>
      <c r="T34" s="10">
        <f>ROUND($B$4*$B$8*$B$12*$B$16*$B$21*$B$22*$B$24*$B$26,0)</f>
        <v/>
      </c>
      <c r="U34" s="10">
        <f>ROUND($B$4*$B$8*$B$12*$B$16*$B$21*$B$22*$B$24*$B$27,0)</f>
        <v/>
      </c>
      <c r="V34" s="10">
        <f>ROUND($B$4*$B$8*$B$12*$B$16*$B$21*$B$22*$B$25*$B$26,0)</f>
        <v/>
      </c>
      <c r="W34" s="10">
        <f>ROUND($B$4*$B$8*$B$12*$B$16*$B$21*$B$22*$B$25*$B$27,0)</f>
        <v/>
      </c>
      <c r="X34" s="10">
        <f>ROUND($B$6*$B$8*$B$12*$B$16*$B$21*$B$23*$B$24*$B$26,0)</f>
        <v/>
      </c>
      <c r="Y34" s="10">
        <f>ROUND($B$6*$B$8*$B$12*$B$16*$B$21*$B$23*$B$24*$B$27,0)</f>
        <v/>
      </c>
      <c r="Z34" s="10">
        <f>ROUND($B$6*$B$8*$B$12*$B$16*$B$21*$B$23*$B$25*$B$26,0)</f>
        <v/>
      </c>
      <c r="AA34" s="10">
        <f>ROUND($B$6*$B$8*$B$12*$B$16*$B$21*$B$23*$B$25*$B$27,0)</f>
        <v/>
      </c>
    </row>
    <row r="35" ht="20.1" customHeight="1" s="62">
      <c r="A35" s="67" t="n"/>
      <c r="B35" s="58" t="n"/>
      <c r="C35" s="57" t="inlineStr">
        <is>
          <t>Maturité RSE intermédiaire</t>
        </is>
      </c>
      <c r="D35" s="10">
        <f>ROUND($B$4*$B$8*$B$12*$B$17*$B$19*$B$22*$B$24*$B$26,0)</f>
        <v/>
      </c>
      <c r="E35" s="10">
        <f>ROUND($B$4*$B$8*$B$12*$B$17*$B$19*$B$22*$B$24*$B$27,0)</f>
        <v/>
      </c>
      <c r="F35" s="10">
        <f>ROUND($B$4*$B$8*$B$12*$B$17*$B$19*$B$22*$B$25*$B$26,0)</f>
        <v/>
      </c>
      <c r="G35" s="10">
        <f>ROUND($B$4*$B$8*$B$12*$B$17*$B$19*$B$22*$B$25*$B$27,0)</f>
        <v/>
      </c>
      <c r="H35" s="10">
        <f>ROUND($B$5*$B$8*$B$12*$B$17*$B$19*$B$23*$B$24*$B$26,0)</f>
        <v/>
      </c>
      <c r="I35" s="10">
        <f>ROUND($B$5*$B$8*$B$12*$B$17*$B$19*$B$23*$B$24*$B$27,0)</f>
        <v/>
      </c>
      <c r="J35" s="10">
        <f>ROUND($B$5*$B$8*$B$12*$B$17*$B$19*$B$23*$B$25*$B$26,0)</f>
        <v/>
      </c>
      <c r="K35" s="10">
        <f>ROUND($B$5*$B$8*$B$12*$B$17*$B$19*$B$23*$B$25*$B$27,0)</f>
        <v/>
      </c>
      <c r="L35" s="10">
        <f>ROUND($B$4*$B$8*$B$12*$B$17*$B$20*$B$22*$B$24*$B$26,0)</f>
        <v/>
      </c>
      <c r="M35" s="10">
        <f>ROUND($B$4*$B$8*$B$12*$B$17*$B$20*$B$22*$B$24*$B$27,0)</f>
        <v/>
      </c>
      <c r="N35" s="10">
        <f>ROUND($B$4*$B$8*$B$12*$B$17*$B$20*$B$22*$B$25*$B$26,0)</f>
        <v/>
      </c>
      <c r="O35" s="10">
        <f>ROUND($B$4*$B$8*$B$12*$B$17*$B$20*$B$22*$B$25*$B$27,0)</f>
        <v/>
      </c>
      <c r="P35" s="10">
        <f>ROUND($B$5*$B$8*$B$12*$B$17*$B$20*$B$23*$B$24*$B$26,0)</f>
        <v/>
      </c>
      <c r="Q35" s="10">
        <f>ROUND($B$5*$B$8*$B$12*$B$17*$B$20*$B$23*$B$24*$B$27,0)</f>
        <v/>
      </c>
      <c r="R35" s="10">
        <f>ROUND($B$5*$B$8*$B$12*$B$17*$B$20*$B$23*$B$25*$B$26,0)</f>
        <v/>
      </c>
      <c r="S35" s="10">
        <f>ROUND($B$5*$B$8*$B$12*$B$17*$B$20*$B$23*$B$25*$B$27,0)</f>
        <v/>
      </c>
      <c r="T35" s="10">
        <f>ROUND($B$4*$B$8*$B$12*$B$17*$B$21*$B$22*$B$24*$B$26,0)</f>
        <v/>
      </c>
      <c r="U35" s="10">
        <f>ROUND($B$4*$B$8*$B$12*$B$17*$B$21*$B$22*$B$24*$B$27,0)</f>
        <v/>
      </c>
      <c r="V35" s="10">
        <f>ROUND($B$4*$B$8*$B$12*$B$17*$B$21*$B$22*$B$25*$B$26,0)</f>
        <v/>
      </c>
      <c r="W35" s="10">
        <f>ROUND($B$4*$B$8*$B$12*$B$17*$B$21*$B$22*$B$25*$B$27,0)</f>
        <v/>
      </c>
      <c r="X35" s="10">
        <f>ROUND($B$6*$B$8*$B$12*$B$17*$B$21*$B$23*$B$24*$B$26,0)</f>
        <v/>
      </c>
      <c r="Y35" s="10">
        <f>ROUND($B$6*$B$8*$B$12*$B$17*$B$21*$B$23*$B$24*$B$27,0)</f>
        <v/>
      </c>
      <c r="Z35" s="10">
        <f>ROUND($B$6*$B$8*$B$12*$B$17*$B$21*$B$23*$B$25*$B$26,0)</f>
        <v/>
      </c>
      <c r="AA35" s="10">
        <f>ROUND($B$6*$B$8*$B$12*$B$17*$B$21*$B$23*$B$25*$B$27,0)</f>
        <v/>
      </c>
    </row>
    <row r="36" ht="20.1" customHeight="1" s="62">
      <c r="A36" s="67" t="n"/>
      <c r="B36" s="59" t="n"/>
      <c r="C36" s="15" t="inlineStr">
        <is>
          <t>Maturité RSE avancée</t>
        </is>
      </c>
      <c r="D36" s="10">
        <f>ROUND($B$4*$B$8*$B$12*$B$18*$B$19*$B$22*$B$24*$B$26,0)</f>
        <v/>
      </c>
      <c r="E36" s="10">
        <f>ROUND($B$4*$B$8*$B$12*$B$18*$B$19*$B$22*$B$24*$B$27,0)</f>
        <v/>
      </c>
      <c r="F36" s="10">
        <f>ROUND($B$4*$B$8*$B$12*$B$18*$B$19*$B$22*$B$25*$B$26,0)</f>
        <v/>
      </c>
      <c r="G36" s="10">
        <f>ROUND($B$4*$B$8*$B$12*$B$18*$B$19*$B$22*$B$25*$B$27,0)</f>
        <v/>
      </c>
      <c r="H36" s="10">
        <f>ROUND($B$5*$B$8*$B$12*$B$18*$B$19*$B$23*$B$24*$B$26,0)</f>
        <v/>
      </c>
      <c r="I36" s="10">
        <f>ROUND($B$5*$B$8*$B$12*$B$18*$B$19*$B$23*$B$24*$B$27,0)</f>
        <v/>
      </c>
      <c r="J36" s="10">
        <f>ROUND($B$5*$B$8*$B$12*$B$18*$B$19*$B$23*$B$25*$B$26,0)</f>
        <v/>
      </c>
      <c r="K36" s="10">
        <f>ROUND($B$5*$B$8*$B$12*$B$18*$B$19*$B$23*$B$25*$B$27,0)</f>
        <v/>
      </c>
      <c r="L36" s="10">
        <f>ROUND($B$4*$B$8*$B$12*$B$18*$B$20*$B$22*$B$24*$B$26,0)</f>
        <v/>
      </c>
      <c r="M36" s="10">
        <f>ROUND($B$4*$B$8*$B$12*$B$18*$B$20*$B$22*$B$24*$B$27,0)</f>
        <v/>
      </c>
      <c r="N36" s="10">
        <f>ROUND($B$4*$B$8*$B$12*$B$18*$B$20*$B$22*$B$25*$B$26,0)</f>
        <v/>
      </c>
      <c r="O36" s="10">
        <f>ROUND($B$4*$B$8*$B$12*$B$18*$B$20*$B$22*$B$25*$B$27,0)</f>
        <v/>
      </c>
      <c r="P36" s="10">
        <f>ROUND($B$5*$B$8*$B$12*$B$18*$B$20*$B$23*$B$24*$B$26,0)</f>
        <v/>
      </c>
      <c r="Q36" s="10">
        <f>ROUND($B$5*$B$8*$B$12*$B$18*$B$20*$B$23*$B$24*$B$27,0)</f>
        <v/>
      </c>
      <c r="R36" s="10">
        <f>ROUND($B$5*$B$8*$B$12*$B$18*$B$20*$B$23*$B$25*$B$26,0)</f>
        <v/>
      </c>
      <c r="S36" s="10">
        <f>ROUND($B$5*$B$8*$B$12*$B$18*$B$20*$B$23*$B$25*$B$27,0)</f>
        <v/>
      </c>
      <c r="T36" s="10">
        <f>ROUND($B$4*$B$8*$B$12*$B$18*$B$21*$B$22*$B$24*$B$26,0)</f>
        <v/>
      </c>
      <c r="U36" s="10">
        <f>ROUND($B$4*$B$8*$B$12*$B$18*$B$21*$B$22*$B$24*$B$27,0)</f>
        <v/>
      </c>
      <c r="V36" s="10">
        <f>ROUND($B$4*$B$8*$B$12*$B$18*$B$21*$B$22*$B$25*$B$26,0)</f>
        <v/>
      </c>
      <c r="W36" s="10">
        <f>ROUND($B$4*$B$8*$B$12*$B$18*$B$21*$B$22*$B$25*$B$27,0)</f>
        <v/>
      </c>
      <c r="X36" s="10">
        <f>ROUND($B$6*$B$8*$B$12*$B$18*$B$21*$B$23*$B$24*$B$26,0)</f>
        <v/>
      </c>
      <c r="Y36" s="10">
        <f>ROUND($B$6*$B$8*$B$12*$B$18*$B$21*$B$23*$B$24*$B$27,0)</f>
        <v/>
      </c>
      <c r="Z36" s="10">
        <f>ROUND($B$6*$B$8*$B$12*$B$18*$B$21*$B$23*$B$25*$B$26,0)</f>
        <v/>
      </c>
      <c r="AA36" s="10">
        <f>ROUND($B$6*$B$8*$B$12*$B$18*$B$21*$B$23*$B$25*$B$27,0)</f>
        <v/>
      </c>
    </row>
    <row r="37" ht="20.1" customHeight="1" s="62">
      <c r="A37" s="67" t="n"/>
      <c r="B37" s="57" t="inlineStr">
        <is>
          <t>Industrie / BTP</t>
        </is>
      </c>
      <c r="C37" s="14" t="inlineStr">
        <is>
          <t>Maturité RSE faible</t>
        </is>
      </c>
      <c r="D37" s="10">
        <f>ROUND($B$4*$B$8*$B$13*$B$16*$B$19*$B$22*$B$24*$B$26,0)</f>
        <v/>
      </c>
      <c r="E37" s="10">
        <f>ROUND($B$4*$B$8*$B$13*$B$16*$B$19*$B$22*$B$24*$B$27,0)</f>
        <v/>
      </c>
      <c r="F37" s="10">
        <f>ROUND($B$4*$B$8*$B$13*$B$16*$B$19*$B$22*$B$25*$B$26,0)</f>
        <v/>
      </c>
      <c r="G37" s="10">
        <f>ROUND($B$4*$B$8*$B$13*$B$16*$B$19*$B$22*$B$25*$B$27,0)</f>
        <v/>
      </c>
      <c r="H37" s="10">
        <f>ROUND($B$5*$B$8*$B$13*$B$16*$B$19*$B$23*$B$24*$B$26,0)</f>
        <v/>
      </c>
      <c r="I37" s="10">
        <f>ROUND($B$5*$B$8*$B$13*$B$16*$B$19*$B$23*$B$24*$B$27,0)</f>
        <v/>
      </c>
      <c r="J37" s="10">
        <f>ROUND($B$5*$B$8*$B$13*$B$16*$B$19*$B$23*$B$25*$B$26,0)</f>
        <v/>
      </c>
      <c r="K37" s="10">
        <f>ROUND($B$5*$B$8*$B$13*$B$16*$B$19*$B$23*$B$25*$B$27,0)</f>
        <v/>
      </c>
      <c r="L37" s="10">
        <f>ROUND($B$4*$B$8*$B$13*$B$16*$B$20*$B$22*$B$24*$B$26,0)</f>
        <v/>
      </c>
      <c r="M37" s="10">
        <f>ROUND($B$4*$B$8*$B$13*$B$16*$B$20*$B$22*$B$24*$B$27,0)</f>
        <v/>
      </c>
      <c r="N37" s="10">
        <f>ROUND($B$4*$B$8*$B$13*$B$16*$B$20*$B$22*$B$25*$B$26,0)</f>
        <v/>
      </c>
      <c r="O37" s="10">
        <f>ROUND($B$4*$B$8*$B$13*$B$16*$B$20*$B$22*$B$25*$B$27,0)</f>
        <v/>
      </c>
      <c r="P37" s="10">
        <f>ROUND($B$5*$B$8*$B$13*$B$16*$B$20*$B$23*$B$24*$B$26,0)</f>
        <v/>
      </c>
      <c r="Q37" s="10">
        <f>ROUND($B$5*$B$8*$B$13*$B$16*$B$20*$B$23*$B$24*$B$27,0)</f>
        <v/>
      </c>
      <c r="R37" s="10">
        <f>ROUND($B$5*$B$8*$B$13*$B$16*$B$20*$B$23*$B$25*$B$26,0)</f>
        <v/>
      </c>
      <c r="S37" s="10">
        <f>ROUND($B$5*$B$8*$B$13*$B$16*$B$20*$B$23*$B$25*$B$27,0)</f>
        <v/>
      </c>
      <c r="T37" s="10">
        <f>ROUND($B$4*$B$8*$B$13*$B$16*$B$21*$B$22*$B$24*$B$26,0)</f>
        <v/>
      </c>
      <c r="U37" s="10">
        <f>ROUND($B$4*$B$8*$B$13*$B$16*$B$21*$B$22*$B$24*$B$27,0)</f>
        <v/>
      </c>
      <c r="V37" s="10">
        <f>ROUND($B$4*$B$8*$B$13*$B$16*$B$21*$B$22*$B$25*$B$26,0)</f>
        <v/>
      </c>
      <c r="W37" s="10">
        <f>ROUND($B$4*$B$8*$B$13*$B$16*$B$21*$B$22*$B$25*$B$27,0)</f>
        <v/>
      </c>
      <c r="X37" s="10">
        <f>ROUND($B$6*$B$8*$B$13*$B$16*$B$21*$B$23*$B$24*$B$26,0)</f>
        <v/>
      </c>
      <c r="Y37" s="10">
        <f>ROUND($B$6*$B$8*$B$13*$B$16*$B$21*$B$23*$B$24*$B$27,0)</f>
        <v/>
      </c>
      <c r="Z37" s="10">
        <f>ROUND($B$6*$B$8*$B$13*$B$16*$B$21*$B$23*$B$25*$B$26,0)</f>
        <v/>
      </c>
      <c r="AA37" s="10">
        <f>ROUND($B$6*$B$8*$B$13*$B$16*$B$21*$B$23*$B$25*$B$27,0)</f>
        <v/>
      </c>
    </row>
    <row r="38" ht="20.1" customHeight="1" s="62">
      <c r="A38" s="67" t="n"/>
      <c r="B38" s="58" t="n"/>
      <c r="C38" s="57" t="inlineStr">
        <is>
          <t>Maturité RSE intermédiaire</t>
        </is>
      </c>
      <c r="D38" s="10">
        <f>ROUND($B$4*$B$8*$B$13*$B$17*$B$19*$B$22*$B$24*$B$26,0)</f>
        <v/>
      </c>
      <c r="E38" s="10">
        <f>ROUND($B$4*$B$8*$B$13*$B$17*$B$19*$B$22*$B$24*$B$27,0)</f>
        <v/>
      </c>
      <c r="F38" s="10">
        <f>ROUND($B$4*$B$8*$B$13*$B$17*$B$19*$B$22*$B$25*$B$26,0)</f>
        <v/>
      </c>
      <c r="G38" s="10">
        <f>ROUND($B$4*$B$8*$B$13*$B$17*$B$19*$B$22*$B$25*$B$27,0)</f>
        <v/>
      </c>
      <c r="H38" s="10">
        <f>ROUND($B$5*$B$8*$B$13*$B$17*$B$19*$B$23*$B$24*$B$26,0)</f>
        <v/>
      </c>
      <c r="I38" s="10">
        <f>ROUND($B$5*$B$8*$B$13*$B$17*$B$19*$B$23*$B$24*$B$27,0)</f>
        <v/>
      </c>
      <c r="J38" s="10">
        <f>ROUND($B$5*$B$8*$B$13*$B$17*$B$19*$B$23*$B$25*$B$26,0)</f>
        <v/>
      </c>
      <c r="K38" s="10">
        <f>ROUND($B$5*$B$8*$B$13*$B$17*$B$19*$B$23*$B$25*$B$27,0)</f>
        <v/>
      </c>
      <c r="L38" s="10">
        <f>ROUND($B$4*$B$8*$B$13*$B$17*$B$20*$B$22*$B$24*$B$26,0)</f>
        <v/>
      </c>
      <c r="M38" s="10">
        <f>ROUND($B$4*$B$8*$B$13*$B$17*$B$20*$B$22*$B$24*$B$27,0)</f>
        <v/>
      </c>
      <c r="N38" s="10">
        <f>ROUND($B$4*$B$8*$B$13*$B$17*$B$20*$B$22*$B$25*$B$26,0)</f>
        <v/>
      </c>
      <c r="O38" s="10">
        <f>ROUND($B$4*$B$8*$B$13*$B$17*$B$20*$B$22*$B$25*$B$27,0)</f>
        <v/>
      </c>
      <c r="P38" s="10">
        <f>ROUND($B$5*$B$8*$B$13*$B$17*$B$20*$B$23*$B$24*$B$26,0)</f>
        <v/>
      </c>
      <c r="Q38" s="10">
        <f>ROUND($B$5*$B$8*$B$13*$B$17*$B$20*$B$23*$B$24*$B$27,0)</f>
        <v/>
      </c>
      <c r="R38" s="10">
        <f>ROUND($B$5*$B$8*$B$13*$B$17*$B$20*$B$23*$B$25*$B$26,0)</f>
        <v/>
      </c>
      <c r="S38" s="10">
        <f>ROUND($B$5*$B$8*$B$13*$B$17*$B$20*$B$23*$B$25*$B$27,0)</f>
        <v/>
      </c>
      <c r="T38" s="10">
        <f>ROUND($B$4*$B$8*$B$13*$B$17*$B$21*$B$22*$B$24*$B$26,0)</f>
        <v/>
      </c>
      <c r="U38" s="10">
        <f>ROUND($B$4*$B$8*$B$13*$B$17*$B$21*$B$22*$B$24*$B$27,0)</f>
        <v/>
      </c>
      <c r="V38" s="10">
        <f>ROUND($B$4*$B$8*$B$13*$B$17*$B$21*$B$22*$B$25*$B$26,0)</f>
        <v/>
      </c>
      <c r="W38" s="10">
        <f>ROUND($B$4*$B$8*$B$13*$B$17*$B$21*$B$22*$B$25*$B$27,0)</f>
        <v/>
      </c>
      <c r="X38" s="10">
        <f>ROUND($B$6*$B$8*$B$13*$B$17*$B$21*$B$23*$B$24*$B$26,0)</f>
        <v/>
      </c>
      <c r="Y38" s="10">
        <f>ROUND($B$6*$B$8*$B$13*$B$17*$B$21*$B$23*$B$24*$B$27,0)</f>
        <v/>
      </c>
      <c r="Z38" s="10">
        <f>ROUND($B$6*$B$8*$B$13*$B$17*$B$21*$B$23*$B$25*$B$26,0)</f>
        <v/>
      </c>
      <c r="AA38" s="10">
        <f>ROUND($B$6*$B$8*$B$13*$B$17*$B$21*$B$23*$B$25*$B$27,0)</f>
        <v/>
      </c>
    </row>
    <row r="39" ht="20.1" customHeight="1" s="62">
      <c r="A39" s="67" t="n"/>
      <c r="B39" s="59" t="n"/>
      <c r="C39" s="15" t="inlineStr">
        <is>
          <t>Maturité RSE avancée</t>
        </is>
      </c>
      <c r="D39" s="10">
        <f>ROUND($B$4*$B$8*$B$13*$B$18*$B$19*$B$22*$B$24*$B$26,0)</f>
        <v/>
      </c>
      <c r="E39" s="10">
        <f>ROUND($B$4*$B$8*$B$13*$B$18*$B$19*$B$22*$B$24*$B$27,0)</f>
        <v/>
      </c>
      <c r="F39" s="10">
        <f>ROUND($B$4*$B$8*$B$13*$B$18*$B$19*$B$22*$B$25*$B$26,0)</f>
        <v/>
      </c>
      <c r="G39" s="10">
        <f>ROUND($B$4*$B$8*$B$13*$B$18*$B$19*$B$22*$B$25*$B$27,0)</f>
        <v/>
      </c>
      <c r="H39" s="10">
        <f>ROUND($B$5*$B$8*$B$13*$B$18*$B$19*$B$23*$B$24*$B$26,0)</f>
        <v/>
      </c>
      <c r="I39" s="10">
        <f>ROUND($B$5*$B$8*$B$13*$B$18*$B$19*$B$23*$B$24*$B$27,0)</f>
        <v/>
      </c>
      <c r="J39" s="10">
        <f>ROUND($B$5*$B$8*$B$13*$B$18*$B$19*$B$23*$B$25*$B$26,0)</f>
        <v/>
      </c>
      <c r="K39" s="10">
        <f>ROUND($B$5*$B$8*$B$13*$B$18*$B$19*$B$23*$B$25*$B$27,0)</f>
        <v/>
      </c>
      <c r="L39" s="10">
        <f>ROUND($B$4*$B$8*$B$13*$B$18*$B$20*$B$22*$B$24*$B$26,0)</f>
        <v/>
      </c>
      <c r="M39" s="10">
        <f>ROUND($B$4*$B$8*$B$13*$B$18*$B$20*$B$22*$B$24*$B$27,0)</f>
        <v/>
      </c>
      <c r="N39" s="10">
        <f>ROUND($B$4*$B$8*$B$13*$B$18*$B$20*$B$22*$B$25*$B$26,0)</f>
        <v/>
      </c>
      <c r="O39" s="10">
        <f>ROUND($B$4*$B$8*$B$13*$B$18*$B$20*$B$22*$B$25*$B$27,0)</f>
        <v/>
      </c>
      <c r="P39" s="10">
        <f>ROUND($B$5*$B$8*$B$13*$B$18*$B$20*$B$23*$B$24*$B$26,0)</f>
        <v/>
      </c>
      <c r="Q39" s="10">
        <f>ROUND($B$5*$B$8*$B$13*$B$18*$B$20*$B$23*$B$24*$B$27,0)</f>
        <v/>
      </c>
      <c r="R39" s="10">
        <f>ROUND($B$5*$B$8*$B$13*$B$18*$B$20*$B$23*$B$25*$B$26,0)</f>
        <v/>
      </c>
      <c r="S39" s="10">
        <f>ROUND($B$5*$B$8*$B$13*$B$18*$B$20*$B$23*$B$25*$B$27,0)</f>
        <v/>
      </c>
      <c r="T39" s="10">
        <f>ROUND($B$4*$B$8*$B$13*$B$18*$B$21*$B$22*$B$24*$B$26,0)</f>
        <v/>
      </c>
      <c r="U39" s="10">
        <f>ROUND($B$4*$B$8*$B$13*$B$18*$B$21*$B$22*$B$24*$B$27,0)</f>
        <v/>
      </c>
      <c r="V39" s="10">
        <f>ROUND($B$4*$B$8*$B$13*$B$18*$B$21*$B$22*$B$25*$B$26,0)</f>
        <v/>
      </c>
      <c r="W39" s="10">
        <f>ROUND($B$4*$B$8*$B$13*$B$18*$B$21*$B$22*$B$25*$B$27,0)</f>
        <v/>
      </c>
      <c r="X39" s="10">
        <f>ROUND($B$6*$B$8*$B$13*$B$18*$B$21*$B$23*$B$24*$B$26,0)</f>
        <v/>
      </c>
      <c r="Y39" s="10">
        <f>ROUND($B$6*$B$8*$B$13*$B$18*$B$21*$B$23*$B$24*$B$27,0)</f>
        <v/>
      </c>
      <c r="Z39" s="10">
        <f>ROUND($B$6*$B$8*$B$13*$B$18*$B$21*$B$23*$B$25*$B$26,0)</f>
        <v/>
      </c>
      <c r="AA39" s="10">
        <f>ROUND($B$6*$B$8*$B$13*$B$18*$B$21*$B$23*$B$25*$B$27,0)</f>
        <v/>
      </c>
    </row>
    <row r="40" ht="20.1" customHeight="1" s="62">
      <c r="A40" s="67" t="n"/>
      <c r="B40" s="57" t="inlineStr">
        <is>
          <t>Santé / Finance</t>
        </is>
      </c>
      <c r="C40" s="14" t="inlineStr">
        <is>
          <t>Maturité RSE faible</t>
        </is>
      </c>
      <c r="D40" s="10">
        <f>ROUND($B$4*$B$8*$B$14*$B$16*$B$19*$B$22*$B$24*$B$26,0)</f>
        <v/>
      </c>
      <c r="E40" s="10">
        <f>ROUND($B$4*$B$8*$B$14*$B$16*$B$19*$B$22*$B$24*$B$27,0)</f>
        <v/>
      </c>
      <c r="F40" s="10">
        <f>ROUND($B$4*$B$8*$B$14*$B$16*$B$19*$B$22*$B$25*$B$26,0)</f>
        <v/>
      </c>
      <c r="G40" s="10">
        <f>ROUND($B$4*$B$8*$B$14*$B$16*$B$19*$B$22*$B$25*$B$27,0)</f>
        <v/>
      </c>
      <c r="H40" s="10">
        <f>ROUND($B$5*$B$8*$B$14*$B$16*$B$19*$B$23*$B$24*$B$26,0)</f>
        <v/>
      </c>
      <c r="I40" s="10">
        <f>ROUND($B$5*$B$8*$B$14*$B$16*$B$19*$B$23*$B$24*$B$27,0)</f>
        <v/>
      </c>
      <c r="J40" s="10">
        <f>ROUND($B$5*$B$8*$B$14*$B$16*$B$19*$B$23*$B$25*$B$26,0)</f>
        <v/>
      </c>
      <c r="K40" s="10">
        <f>ROUND($B$5*$B$8*$B$14*$B$16*$B$19*$B$23*$B$25*$B$27,0)</f>
        <v/>
      </c>
      <c r="L40" s="10">
        <f>ROUND($B$4*$B$8*$B$14*$B$16*$B$20*$B$22*$B$24*$B$26,0)</f>
        <v/>
      </c>
      <c r="M40" s="10">
        <f>ROUND($B$4*$B$8*$B$14*$B$16*$B$20*$B$22*$B$24*$B$27,0)</f>
        <v/>
      </c>
      <c r="N40" s="10">
        <f>ROUND($B$4*$B$8*$B$14*$B$16*$B$20*$B$22*$B$25*$B$26,0)</f>
        <v/>
      </c>
      <c r="O40" s="10">
        <f>ROUND($B$4*$B$8*$B$14*$B$16*$B$20*$B$22*$B$25*$B$27,0)</f>
        <v/>
      </c>
      <c r="P40" s="10">
        <f>ROUND($B$5*$B$8*$B$14*$B$16*$B$20*$B$23*$B$24*$B$26,0)</f>
        <v/>
      </c>
      <c r="Q40" s="10">
        <f>ROUND($B$5*$B$8*$B$14*$B$16*$B$20*$B$23*$B$24*$B$27,0)</f>
        <v/>
      </c>
      <c r="R40" s="10">
        <f>ROUND($B$5*$B$8*$B$14*$B$16*$B$20*$B$23*$B$25*$B$26,0)</f>
        <v/>
      </c>
      <c r="S40" s="10">
        <f>ROUND($B$5*$B$8*$B$14*$B$16*$B$20*$B$23*$B$25*$B$27,0)</f>
        <v/>
      </c>
      <c r="T40" s="10">
        <f>ROUND($B$4*$B$8*$B$14*$B$16*$B$21*$B$22*$B$24*$B$26,0)</f>
        <v/>
      </c>
      <c r="U40" s="10">
        <f>ROUND($B$4*$B$8*$B$14*$B$16*$B$21*$B$22*$B$24*$B$27,0)</f>
        <v/>
      </c>
      <c r="V40" s="10">
        <f>ROUND($B$4*$B$8*$B$14*$B$16*$B$21*$B$22*$B$25*$B$26,0)</f>
        <v/>
      </c>
      <c r="W40" s="10">
        <f>ROUND($B$4*$B$8*$B$14*$B$16*$B$21*$B$22*$B$25*$B$27,0)</f>
        <v/>
      </c>
      <c r="X40" s="10">
        <f>ROUND($B$6*$B$8*$B$14*$B$16*$B$21*$B$23*$B$24*$B$26,0)</f>
        <v/>
      </c>
      <c r="Y40" s="10">
        <f>ROUND($B$6*$B$8*$B$14*$B$16*$B$21*$B$23*$B$24*$B$27,0)</f>
        <v/>
      </c>
      <c r="Z40" s="10">
        <f>ROUND($B$6*$B$8*$B$14*$B$16*$B$21*$B$23*$B$25*$B$26,0)</f>
        <v/>
      </c>
      <c r="AA40" s="10">
        <f>ROUND($B$6*$B$8*$B$14*$B$16*$B$21*$B$23*$B$25*$B$27,0)</f>
        <v/>
      </c>
    </row>
    <row r="41" ht="20.1" customHeight="1" s="62">
      <c r="A41" s="67" t="n"/>
      <c r="B41" s="58" t="n"/>
      <c r="C41" s="57" t="inlineStr">
        <is>
          <t>Maturité RSE intermédiaire</t>
        </is>
      </c>
      <c r="D41" s="10">
        <f>ROUND($B$4*$B$8*$B$14*$B$17*$B$19*$B$22*$B$24*$B$26,0)</f>
        <v/>
      </c>
      <c r="E41" s="10">
        <f>ROUND($B$4*$B$8*$B$14*$B$17*$B$19*$B$22*$B$24*$B$27,0)</f>
        <v/>
      </c>
      <c r="F41" s="10">
        <f>ROUND($B$4*$B$8*$B$14*$B$17*$B$19*$B$22*$B$25*$B$26,0)</f>
        <v/>
      </c>
      <c r="G41" s="10">
        <f>ROUND($B$4*$B$8*$B$14*$B$17*$B$19*$B$22*$B$25*$B$27,0)</f>
        <v/>
      </c>
      <c r="H41" s="10">
        <f>ROUND($B$5*$B$8*$B$14*$B$17*$B$19*$B$23*$B$24*$B$26,0)</f>
        <v/>
      </c>
      <c r="I41" s="10">
        <f>ROUND($B$5*$B$8*$B$14*$B$17*$B$19*$B$23*$B$24*$B$27,0)</f>
        <v/>
      </c>
      <c r="J41" s="10">
        <f>ROUND($B$5*$B$8*$B$14*$B$17*$B$19*$B$23*$B$25*$B$26,0)</f>
        <v/>
      </c>
      <c r="K41" s="10">
        <f>ROUND($B$5*$B$8*$B$14*$B$17*$B$19*$B$23*$B$25*$B$27,0)</f>
        <v/>
      </c>
      <c r="L41" s="10">
        <f>ROUND($B$4*$B$8*$B$14*$B$17*$B$20*$B$22*$B$24*$B$26,0)</f>
        <v/>
      </c>
      <c r="M41" s="10">
        <f>ROUND($B$4*$B$8*$B$14*$B$17*$B$20*$B$22*$B$24*$B$27,0)</f>
        <v/>
      </c>
      <c r="N41" s="10">
        <f>ROUND($B$4*$B$8*$B$14*$B$17*$B$20*$B$22*$B$25*$B$26,0)</f>
        <v/>
      </c>
      <c r="O41" s="10">
        <f>ROUND($B$4*$B$8*$B$14*$B$17*$B$20*$B$22*$B$25*$B$27,0)</f>
        <v/>
      </c>
      <c r="P41" s="10">
        <f>ROUND($B$5*$B$8*$B$14*$B$17*$B$20*$B$23*$B$24*$B$26,0)</f>
        <v/>
      </c>
      <c r="Q41" s="10">
        <f>ROUND($B$5*$B$8*$B$14*$B$17*$B$20*$B$23*$B$24*$B$27,0)</f>
        <v/>
      </c>
      <c r="R41" s="10">
        <f>ROUND($B$5*$B$8*$B$14*$B$17*$B$20*$B$23*$B$25*$B$26,0)</f>
        <v/>
      </c>
      <c r="S41" s="10">
        <f>ROUND($B$5*$B$8*$B$14*$B$17*$B$20*$B$23*$B$25*$B$27,0)</f>
        <v/>
      </c>
      <c r="T41" s="10">
        <f>ROUND($B$4*$B$8*$B$14*$B$17*$B$21*$B$22*$B$24*$B$26,0)</f>
        <v/>
      </c>
      <c r="U41" s="10">
        <f>ROUND($B$4*$B$8*$B$14*$B$17*$B$21*$B$22*$B$24*$B$27,0)</f>
        <v/>
      </c>
      <c r="V41" s="10">
        <f>ROUND($B$4*$B$8*$B$14*$B$17*$B$21*$B$22*$B$25*$B$26,0)</f>
        <v/>
      </c>
      <c r="W41" s="10">
        <f>ROUND($B$4*$B$8*$B$14*$B$17*$B$21*$B$22*$B$25*$B$27,0)</f>
        <v/>
      </c>
      <c r="X41" s="10">
        <f>ROUND($B$6*$B$8*$B$14*$B$17*$B$21*$B$23*$B$24*$B$26,0)</f>
        <v/>
      </c>
      <c r="Y41" s="10">
        <f>ROUND($B$6*$B$8*$B$14*$B$17*$B$21*$B$23*$B$24*$B$27,0)</f>
        <v/>
      </c>
      <c r="Z41" s="10">
        <f>ROUND($B$6*$B$8*$B$14*$B$17*$B$21*$B$23*$B$25*$B$26,0)</f>
        <v/>
      </c>
      <c r="AA41" s="10">
        <f>ROUND($B$6*$B$8*$B$14*$B$17*$B$21*$B$23*$B$25*$B$27,0)</f>
        <v/>
      </c>
    </row>
    <row r="42" ht="20.1" customHeight="1" s="62">
      <c r="A42" s="67" t="n"/>
      <c r="B42" s="59" t="n"/>
      <c r="C42" s="15" t="inlineStr">
        <is>
          <t>Maturité RSE avancée</t>
        </is>
      </c>
      <c r="D42" s="10">
        <f>ROUND($B$4*$B$8*$B$14*$B$18*$B$19*$B$22*$B$24*$B$26,0)</f>
        <v/>
      </c>
      <c r="E42" s="10">
        <f>ROUND($B$4*$B$8*$B$14*$B$18*$B$19*$B$22*$B$24*$B$27,0)</f>
        <v/>
      </c>
      <c r="F42" s="10">
        <f>ROUND($B$4*$B$8*$B$14*$B$18*$B$19*$B$22*$B$25*$B$26,0)</f>
        <v/>
      </c>
      <c r="G42" s="10">
        <f>ROUND($B$4*$B$8*$B$14*$B$18*$B$19*$B$22*$B$25*$B$27,0)</f>
        <v/>
      </c>
      <c r="H42" s="10">
        <f>ROUND($B$5*$B$8*$B$14*$B$18*$B$19*$B$23*$B$24*$B$26,0)</f>
        <v/>
      </c>
      <c r="I42" s="10">
        <f>ROUND($B$5*$B$8*$B$14*$B$18*$B$19*$B$23*$B$24*$B$27,0)</f>
        <v/>
      </c>
      <c r="J42" s="10">
        <f>ROUND($B$5*$B$8*$B$14*$B$18*$B$19*$B$23*$B$25*$B$26,0)</f>
        <v/>
      </c>
      <c r="K42" s="10">
        <f>ROUND($B$5*$B$8*$B$14*$B$18*$B$19*$B$23*$B$25*$B$27,0)</f>
        <v/>
      </c>
      <c r="L42" s="10">
        <f>ROUND($B$4*$B$8*$B$14*$B$18*$B$20*$B$22*$B$24*$B$26,0)</f>
        <v/>
      </c>
      <c r="M42" s="10">
        <f>ROUND($B$4*$B$8*$B$14*$B$18*$B$20*$B$22*$B$24*$B$27,0)</f>
        <v/>
      </c>
      <c r="N42" s="10">
        <f>ROUND($B$4*$B$8*$B$14*$B$18*$B$20*$B$22*$B$25*$B$26,0)</f>
        <v/>
      </c>
      <c r="O42" s="10">
        <f>ROUND($B$4*$B$8*$B$14*$B$18*$B$20*$B$22*$B$25*$B$27,0)</f>
        <v/>
      </c>
      <c r="P42" s="10">
        <f>ROUND($B$5*$B$8*$B$14*$B$18*$B$20*$B$23*$B$24*$B$26,0)</f>
        <v/>
      </c>
      <c r="Q42" s="10">
        <f>ROUND($B$5*$B$8*$B$14*$B$18*$B$20*$B$23*$B$24*$B$27,0)</f>
        <v/>
      </c>
      <c r="R42" s="10">
        <f>ROUND($B$5*$B$8*$B$14*$B$18*$B$20*$B$23*$B$25*$B$26,0)</f>
        <v/>
      </c>
      <c r="S42" s="10">
        <f>ROUND($B$5*$B$8*$B$14*$B$18*$B$20*$B$23*$B$25*$B$27,0)</f>
        <v/>
      </c>
      <c r="T42" s="10">
        <f>ROUND($B$4*$B$8*$B$14*$B$18*$B$21*$B$22*$B$24*$B$26,0)</f>
        <v/>
      </c>
      <c r="U42" s="10">
        <f>ROUND($B$4*$B$8*$B$14*$B$18*$B$21*$B$22*$B$24*$B$27,0)</f>
        <v/>
      </c>
      <c r="V42" s="10">
        <f>ROUND($B$4*$B$8*$B$14*$B$18*$B$21*$B$22*$B$25*$B$26,0)</f>
        <v/>
      </c>
      <c r="W42" s="10">
        <f>ROUND($B$4*$B$8*$B$14*$B$18*$B$21*$B$22*$B$25*$B$27,0)</f>
        <v/>
      </c>
      <c r="X42" s="10">
        <f>ROUND($B$6*$B$8*$B$14*$B$18*$B$21*$B$23*$B$24*$B$26,0)</f>
        <v/>
      </c>
      <c r="Y42" s="10">
        <f>ROUND($B$6*$B$8*$B$14*$B$18*$B$21*$B$23*$B$24*$B$27,0)</f>
        <v/>
      </c>
      <c r="Z42" s="10">
        <f>ROUND($B$6*$B$8*$B$14*$B$18*$B$21*$B$23*$B$25*$B$26,0)</f>
        <v/>
      </c>
      <c r="AA42" s="10">
        <f>ROUND($B$6*$B$8*$B$14*$B$18*$B$21*$B$23*$B$25*$B$27,0)</f>
        <v/>
      </c>
    </row>
    <row r="43" ht="20.1" customHeight="1" s="62">
      <c r="A43" s="67" t="n"/>
      <c r="B43" s="57" t="inlineStr">
        <is>
          <t>Tech / Numérique</t>
        </is>
      </c>
      <c r="C43" s="14" t="inlineStr">
        <is>
          <t>Maturité RSE faible</t>
        </is>
      </c>
      <c r="D43" s="10">
        <f>ROUND($B$4*$B$8*$B$15*$B$16*$B$19*$B$22*$B$24*$B$26,0)</f>
        <v/>
      </c>
      <c r="E43" s="10">
        <f>ROUND($B$4*$B$8*$B$15*$B$16*$B$19*$B$22*$B$24*$B$27,0)</f>
        <v/>
      </c>
      <c r="F43" s="10">
        <f>ROUND($B$4*$B$8*$B$15*$B$16*$B$19*$B$22*$B$25*$B$26,0)</f>
        <v/>
      </c>
      <c r="G43" s="10">
        <f>ROUND($B$4*$B$8*$B$15*$B$16*$B$19*$B$22*$B$25*$B$27,0)</f>
        <v/>
      </c>
      <c r="H43" s="10">
        <f>ROUND($B$5*$B$8*$B$15*$B$16*$B$19*$B$23*$B$24*$B$26,0)</f>
        <v/>
      </c>
      <c r="I43" s="10">
        <f>ROUND($B$5*$B$8*$B$15*$B$16*$B$19*$B$23*$B$24*$B$27,0)</f>
        <v/>
      </c>
      <c r="J43" s="10">
        <f>ROUND($B$5*$B$8*$B$15*$B$16*$B$19*$B$23*$B$25*$B$26,0)</f>
        <v/>
      </c>
      <c r="K43" s="10">
        <f>ROUND($B$5*$B$8*$B$15*$B$16*$B$19*$B$23*$B$25*$B$27,0)</f>
        <v/>
      </c>
      <c r="L43" s="10">
        <f>ROUND($B$4*$B$8*$B$15*$B$16*$B$20*$B$22*$B$24*$B$26,0)</f>
        <v/>
      </c>
      <c r="M43" s="10">
        <f>ROUND($B$4*$B$8*$B$15*$B$16*$B$20*$B$22*$B$24*$B$27,0)</f>
        <v/>
      </c>
      <c r="N43" s="10">
        <f>ROUND($B$4*$B$8*$B$15*$B$16*$B$20*$B$22*$B$25*$B$26,0)</f>
        <v/>
      </c>
      <c r="O43" s="10">
        <f>ROUND($B$4*$B$8*$B$15*$B$16*$B$20*$B$22*$B$25*$B$27,0)</f>
        <v/>
      </c>
      <c r="P43" s="10">
        <f>ROUND($B$5*$B$8*$B$15*$B$16*$B$20*$B$23*$B$24*$B$26,0)</f>
        <v/>
      </c>
      <c r="Q43" s="10">
        <f>ROUND($B$5*$B$8*$B$15*$B$16*$B$20*$B$23*$B$24*$B$27,0)</f>
        <v/>
      </c>
      <c r="R43" s="10">
        <f>ROUND($B$5*$B$8*$B$15*$B$16*$B$20*$B$23*$B$25*$B$26,0)</f>
        <v/>
      </c>
      <c r="S43" s="10">
        <f>ROUND($B$5*$B$8*$B$15*$B$16*$B$20*$B$23*$B$25*$B$27,0)</f>
        <v/>
      </c>
      <c r="T43" s="10">
        <f>ROUND($B$4*$B$8*$B$15*$B$16*$B$21*$B$22*$B$24*$B$26,0)</f>
        <v/>
      </c>
      <c r="U43" s="10">
        <f>ROUND($B$4*$B$8*$B$15*$B$16*$B$21*$B$22*$B$24*$B$27,0)</f>
        <v/>
      </c>
      <c r="V43" s="10">
        <f>ROUND($B$4*$B$8*$B$15*$B$16*$B$21*$B$22*$B$25*$B$26,0)</f>
        <v/>
      </c>
      <c r="W43" s="10">
        <f>ROUND($B$4*$B$8*$B$15*$B$16*$B$21*$B$22*$B$25*$B$27,0)</f>
        <v/>
      </c>
      <c r="X43" s="10">
        <f>ROUND($B$6*$B$8*$B$15*$B$16*$B$21*$B$23*$B$24*$B$26,0)</f>
        <v/>
      </c>
      <c r="Y43" s="10">
        <f>ROUND($B$6*$B$8*$B$15*$B$16*$B$21*$B$23*$B$24*$B$27,0)</f>
        <v/>
      </c>
      <c r="Z43" s="10">
        <f>ROUND($B$6*$B$8*$B$15*$B$16*$B$21*$B$23*$B$25*$B$26,0)</f>
        <v/>
      </c>
      <c r="AA43" s="10">
        <f>ROUND($B$6*$B$8*$B$15*$B$16*$B$21*$B$23*$B$25*$B$27,0)</f>
        <v/>
      </c>
    </row>
    <row r="44" ht="20.1" customHeight="1" s="62">
      <c r="A44" s="67" t="n"/>
      <c r="B44" s="58" t="n"/>
      <c r="C44" s="57" t="inlineStr">
        <is>
          <t>Maturité RSE intermédiaire</t>
        </is>
      </c>
      <c r="D44" s="10">
        <f>ROUND($B$4*$B$8*$B$15*$B$17*$B$19*$B$22*$B$24*$B$26,0)</f>
        <v/>
      </c>
      <c r="E44" s="10">
        <f>ROUND($B$4*$B$8*$B$15*$B$17*$B$19*$B$22*$B$24*$B$27,0)</f>
        <v/>
      </c>
      <c r="F44" s="10">
        <f>ROUND($B$4*$B$8*$B$15*$B$17*$B$19*$B$22*$B$25*$B$26,0)</f>
        <v/>
      </c>
      <c r="G44" s="10">
        <f>ROUND($B$4*$B$8*$B$15*$B$17*$B$19*$B$22*$B$25*$B$27,0)</f>
        <v/>
      </c>
      <c r="H44" s="10">
        <f>ROUND($B$5*$B$8*$B$15*$B$17*$B$19*$B$23*$B$24*$B$26,0)</f>
        <v/>
      </c>
      <c r="I44" s="10">
        <f>ROUND($B$5*$B$8*$B$15*$B$17*$B$19*$B$23*$B$24*$B$27,0)</f>
        <v/>
      </c>
      <c r="J44" s="10">
        <f>ROUND($B$5*$B$8*$B$15*$B$17*$B$19*$B$23*$B$25*$B$26,0)</f>
        <v/>
      </c>
      <c r="K44" s="10">
        <f>ROUND($B$5*$B$8*$B$15*$B$17*$B$19*$B$23*$B$25*$B$27,0)</f>
        <v/>
      </c>
      <c r="L44" s="10">
        <f>ROUND($B$4*$B$8*$B$15*$B$17*$B$20*$B$22*$B$24*$B$26,0)</f>
        <v/>
      </c>
      <c r="M44" s="10">
        <f>ROUND($B$4*$B$8*$B$15*$B$17*$B$20*$B$22*$B$24*$B$27,0)</f>
        <v/>
      </c>
      <c r="N44" s="10">
        <f>ROUND($B$4*$B$8*$B$15*$B$17*$B$20*$B$22*$B$25*$B$26,0)</f>
        <v/>
      </c>
      <c r="O44" s="10">
        <f>ROUND($B$4*$B$8*$B$15*$B$17*$B$20*$B$22*$B$25*$B$27,0)</f>
        <v/>
      </c>
      <c r="P44" s="10">
        <f>ROUND($B$5*$B$8*$B$15*$B$17*$B$20*$B$23*$B$24*$B$26,0)</f>
        <v/>
      </c>
      <c r="Q44" s="10">
        <f>ROUND($B$5*$B$8*$B$15*$B$17*$B$20*$B$23*$B$24*$B$27,0)</f>
        <v/>
      </c>
      <c r="R44" s="10">
        <f>ROUND($B$5*$B$8*$B$15*$B$17*$B$20*$B$23*$B$25*$B$26,0)</f>
        <v/>
      </c>
      <c r="S44" s="10">
        <f>ROUND($B$5*$B$8*$B$15*$B$17*$B$20*$B$23*$B$25*$B$27,0)</f>
        <v/>
      </c>
      <c r="T44" s="10">
        <f>ROUND($B$4*$B$8*$B$15*$B$17*$B$21*$B$22*$B$24*$B$26,0)</f>
        <v/>
      </c>
      <c r="U44" s="10">
        <f>ROUND($B$4*$B$8*$B$15*$B$17*$B$21*$B$22*$B$24*$B$27,0)</f>
        <v/>
      </c>
      <c r="V44" s="10">
        <f>ROUND($B$4*$B$8*$B$15*$B$17*$B$21*$B$22*$B$25*$B$26,0)</f>
        <v/>
      </c>
      <c r="W44" s="10">
        <f>ROUND($B$4*$B$8*$B$15*$B$17*$B$21*$B$22*$B$25*$B$27,0)</f>
        <v/>
      </c>
      <c r="X44" s="10">
        <f>ROUND($B$6*$B$8*$B$15*$B$17*$B$21*$B$23*$B$24*$B$26,0)</f>
        <v/>
      </c>
      <c r="Y44" s="10">
        <f>ROUND($B$6*$B$8*$B$15*$B$17*$B$21*$B$23*$B$24*$B$27,0)</f>
        <v/>
      </c>
      <c r="Z44" s="10">
        <f>ROUND($B$6*$B$8*$B$15*$B$17*$B$21*$B$23*$B$25*$B$26,0)</f>
        <v/>
      </c>
      <c r="AA44" s="10">
        <f>ROUND($B$6*$B$8*$B$15*$B$17*$B$21*$B$23*$B$25*$B$27,0)</f>
        <v/>
      </c>
    </row>
    <row r="45" ht="20.1" customHeight="1" s="62">
      <c r="A45" s="68" t="n"/>
      <c r="B45" s="59" t="n"/>
      <c r="C45" s="15" t="inlineStr">
        <is>
          <t>Maturité RSE avancée</t>
        </is>
      </c>
      <c r="D45" s="10">
        <f>ROUND($B$4*$B$8*$B$15*$B$18*$B$19*$B$22*$B$24*$B$26,0)</f>
        <v/>
      </c>
      <c r="E45" s="10">
        <f>ROUND($B$4*$B$8*$B$15*$B$18*$B$19*$B$22*$B$24*$B$27,0)</f>
        <v/>
      </c>
      <c r="F45" s="10">
        <f>ROUND($B$4*$B$8*$B$15*$B$18*$B$19*$B$22*$B$25*$B$26,0)</f>
        <v/>
      </c>
      <c r="G45" s="10">
        <f>ROUND($B$4*$B$8*$B$15*$B$18*$B$19*$B$22*$B$25*$B$27,0)</f>
        <v/>
      </c>
      <c r="H45" s="10">
        <f>ROUND($B$5*$B$8*$B$15*$B$18*$B$19*$B$23*$B$24*$B$26,0)</f>
        <v/>
      </c>
      <c r="I45" s="10">
        <f>ROUND($B$5*$B$8*$B$15*$B$18*$B$19*$B$23*$B$24*$B$27,0)</f>
        <v/>
      </c>
      <c r="J45" s="10">
        <f>ROUND($B$5*$B$8*$B$15*$B$18*$B$19*$B$23*$B$25*$B$26,0)</f>
        <v/>
      </c>
      <c r="K45" s="10">
        <f>ROUND($B$5*$B$8*$B$15*$B$18*$B$19*$B$23*$B$25*$B$27,0)</f>
        <v/>
      </c>
      <c r="L45" s="10">
        <f>ROUND($B$4*$B$8*$B$15*$B$18*$B$20*$B$22*$B$24*$B$26,0)</f>
        <v/>
      </c>
      <c r="M45" s="10">
        <f>ROUND($B$4*$B$8*$B$15*$B$18*$B$20*$B$22*$B$24*$B$27,0)</f>
        <v/>
      </c>
      <c r="N45" s="10">
        <f>ROUND($B$4*$B$8*$B$15*$B$18*$B$20*$B$22*$B$25*$B$26,0)</f>
        <v/>
      </c>
      <c r="O45" s="10">
        <f>ROUND($B$4*$B$8*$B$15*$B$18*$B$20*$B$22*$B$25*$B$27,0)</f>
        <v/>
      </c>
      <c r="P45" s="10">
        <f>ROUND($B$5*$B$8*$B$15*$B$18*$B$20*$B$23*$B$24*$B$26,0)</f>
        <v/>
      </c>
      <c r="Q45" s="10">
        <f>ROUND($B$5*$B$8*$B$15*$B$18*$B$20*$B$23*$B$24*$B$27,0)</f>
        <v/>
      </c>
      <c r="R45" s="10">
        <f>ROUND($B$5*$B$8*$B$15*$B$18*$B$20*$B$23*$B$25*$B$26,0)</f>
        <v/>
      </c>
      <c r="S45" s="10">
        <f>ROUND($B$5*$B$8*$B$15*$B$18*$B$20*$B$23*$B$25*$B$27,0)</f>
        <v/>
      </c>
      <c r="T45" s="10">
        <f>ROUND($B$4*$B$8*$B$15*$B$18*$B$21*$B$22*$B$24*$B$26,0)</f>
        <v/>
      </c>
      <c r="U45" s="10">
        <f>ROUND($B$4*$B$8*$B$15*$B$18*$B$21*$B$22*$B$24*$B$27,0)</f>
        <v/>
      </c>
      <c r="V45" s="10">
        <f>ROUND($B$4*$B$8*$B$15*$B$18*$B$21*$B$22*$B$25*$B$26,0)</f>
        <v/>
      </c>
      <c r="W45" s="10">
        <f>ROUND($B$4*$B$8*$B$15*$B$18*$B$21*$B$22*$B$25*$B$27,0)</f>
        <v/>
      </c>
      <c r="X45" s="10">
        <f>ROUND($B$6*$B$8*$B$15*$B$18*$B$21*$B$23*$B$24*$B$26,0)</f>
        <v/>
      </c>
      <c r="Y45" s="10">
        <f>ROUND($B$6*$B$8*$B$15*$B$18*$B$21*$B$23*$B$24*$B$27,0)</f>
        <v/>
      </c>
      <c r="Z45" s="10">
        <f>ROUND($B$6*$B$8*$B$15*$B$18*$B$21*$B$23*$B$25*$B$26,0)</f>
        <v/>
      </c>
      <c r="AA45" s="10">
        <f>ROUND($B$6*$B$8*$B$15*$B$18*$B$21*$B$23*$B$25*$B$27,0)</f>
        <v/>
      </c>
    </row>
    <row r="46" ht="20.1" customHeight="1" s="62">
      <c r="A46" s="66" t="inlineStr">
        <is>
          <t>TPE (6-19 sal.)</t>
        </is>
      </c>
      <c r="B46" s="57" t="inlineStr">
        <is>
          <t>Standard</t>
        </is>
      </c>
      <c r="C46" s="14" t="inlineStr">
        <is>
          <t>Maturité RSE faible</t>
        </is>
      </c>
      <c r="D46" s="10">
        <f>ROUND($B$4*$B$9*$B$12*$B$16*$B$19*$B$22*$B$24*$B$26,0)</f>
        <v/>
      </c>
      <c r="E46" s="10">
        <f>ROUND($B$4*$B$9*$B$12*$B$16*$B$19*$B$22*$B$24*$B$27,0)</f>
        <v/>
      </c>
      <c r="F46" s="10">
        <f>ROUND($B$4*$B$9*$B$12*$B$16*$B$19*$B$22*$B$25*$B$26,0)</f>
        <v/>
      </c>
      <c r="G46" s="10">
        <f>ROUND($B$4*$B$9*$B$12*$B$16*$B$19*$B$22*$B$25*$B$27,0)</f>
        <v/>
      </c>
      <c r="H46" s="10">
        <f>ROUND($B$5*$B$9*$B$12*$B$16*$B$19*$B$23*$B$24*$B$26,0)</f>
        <v/>
      </c>
      <c r="I46" s="10">
        <f>ROUND($B$5*$B$9*$B$12*$B$16*$B$19*$B$23*$B$24*$B$27,0)</f>
        <v/>
      </c>
      <c r="J46" s="10">
        <f>ROUND($B$5*$B$9*$B$12*$B$16*$B$19*$B$23*$B$25*$B$26,0)</f>
        <v/>
      </c>
      <c r="K46" s="10">
        <f>ROUND($B$5*$B$9*$B$12*$B$16*$B$19*$B$23*$B$25*$B$27,0)</f>
        <v/>
      </c>
      <c r="L46" s="10">
        <f>ROUND($B$4*$B$9*$B$12*$B$16*$B$20*$B$22*$B$24*$B$26,0)</f>
        <v/>
      </c>
      <c r="M46" s="10">
        <f>ROUND($B$4*$B$9*$B$12*$B$16*$B$20*$B$22*$B$24*$B$27,0)</f>
        <v/>
      </c>
      <c r="N46" s="10">
        <f>ROUND($B$4*$B$9*$B$12*$B$16*$B$20*$B$22*$B$25*$B$26,0)</f>
        <v/>
      </c>
      <c r="O46" s="10">
        <f>ROUND($B$4*$B$9*$B$12*$B$16*$B$20*$B$22*$B$25*$B$27,0)</f>
        <v/>
      </c>
      <c r="P46" s="10">
        <f>ROUND($B$5*$B$9*$B$12*$B$16*$B$20*$B$23*$B$24*$B$26,0)</f>
        <v/>
      </c>
      <c r="Q46" s="10">
        <f>ROUND($B$5*$B$9*$B$12*$B$16*$B$20*$B$23*$B$24*$B$27,0)</f>
        <v/>
      </c>
      <c r="R46" s="10">
        <f>ROUND($B$5*$B$9*$B$12*$B$16*$B$20*$B$23*$B$25*$B$26,0)</f>
        <v/>
      </c>
      <c r="S46" s="10">
        <f>ROUND($B$5*$B$9*$B$12*$B$16*$B$20*$B$23*$B$25*$B$27,0)</f>
        <v/>
      </c>
      <c r="T46" s="10">
        <f>ROUND($B$4*$B$9*$B$12*$B$16*$B$21*$B$22*$B$24*$B$26,0)</f>
        <v/>
      </c>
      <c r="U46" s="10">
        <f>ROUND($B$4*$B$9*$B$12*$B$16*$B$21*$B$22*$B$24*$B$27,0)</f>
        <v/>
      </c>
      <c r="V46" s="10">
        <f>ROUND($B$4*$B$9*$B$12*$B$16*$B$21*$B$22*$B$25*$B$26,0)</f>
        <v/>
      </c>
      <c r="W46" s="10">
        <f>ROUND($B$4*$B$9*$B$12*$B$16*$B$21*$B$22*$B$25*$B$27,0)</f>
        <v/>
      </c>
      <c r="X46" s="10">
        <f>ROUND($B$6*$B$9*$B$12*$B$16*$B$21*$B$23*$B$24*$B$26,0)</f>
        <v/>
      </c>
      <c r="Y46" s="10">
        <f>ROUND($B$6*$B$9*$B$12*$B$16*$B$21*$B$23*$B$24*$B$27,0)</f>
        <v/>
      </c>
      <c r="Z46" s="10">
        <f>ROUND($B$6*$B$9*$B$12*$B$16*$B$21*$B$23*$B$25*$B$26,0)</f>
        <v/>
      </c>
      <c r="AA46" s="10">
        <f>ROUND($B$6*$B$9*$B$12*$B$16*$B$21*$B$23*$B$25*$B$27,0)</f>
        <v/>
      </c>
    </row>
    <row r="47" ht="20.1" customHeight="1" s="62">
      <c r="A47" s="67" t="n"/>
      <c r="B47" s="58" t="n"/>
      <c r="C47" s="57" t="inlineStr">
        <is>
          <t>Maturité RSE intermédiaire</t>
        </is>
      </c>
      <c r="D47" s="10">
        <f>ROUND($B$4*$B$9*$B$12*$B$17*$B$19*$B$22*$B$24*$B$26,0)</f>
        <v/>
      </c>
      <c r="E47" s="10">
        <f>ROUND($B$4*$B$9*$B$12*$B$17*$B$19*$B$22*$B$24*$B$27,0)</f>
        <v/>
      </c>
      <c r="F47" s="10">
        <f>ROUND($B$4*$B$9*$B$12*$B$17*$B$19*$B$22*$B$25*$B$26,0)</f>
        <v/>
      </c>
      <c r="G47" s="10">
        <f>ROUND($B$4*$B$9*$B$12*$B$17*$B$19*$B$22*$B$25*$B$27,0)</f>
        <v/>
      </c>
      <c r="H47" s="10">
        <f>ROUND($B$5*$B$9*$B$12*$B$17*$B$19*$B$23*$B$24*$B$26,0)</f>
        <v/>
      </c>
      <c r="I47" s="10">
        <f>ROUND($B$5*$B$9*$B$12*$B$17*$B$19*$B$23*$B$24*$B$27,0)</f>
        <v/>
      </c>
      <c r="J47" s="10">
        <f>ROUND($B$5*$B$9*$B$12*$B$17*$B$19*$B$23*$B$25*$B$26,0)</f>
        <v/>
      </c>
      <c r="K47" s="10">
        <f>ROUND($B$5*$B$9*$B$12*$B$17*$B$19*$B$23*$B$25*$B$27,0)</f>
        <v/>
      </c>
      <c r="L47" s="10">
        <f>ROUND($B$4*$B$9*$B$12*$B$17*$B$20*$B$22*$B$24*$B$26,0)</f>
        <v/>
      </c>
      <c r="M47" s="10">
        <f>ROUND($B$4*$B$9*$B$12*$B$17*$B$20*$B$22*$B$24*$B$27,0)</f>
        <v/>
      </c>
      <c r="N47" s="10">
        <f>ROUND($B$4*$B$9*$B$12*$B$17*$B$20*$B$22*$B$25*$B$26,0)</f>
        <v/>
      </c>
      <c r="O47" s="10">
        <f>ROUND($B$4*$B$9*$B$12*$B$17*$B$20*$B$22*$B$25*$B$27,0)</f>
        <v/>
      </c>
      <c r="P47" s="10">
        <f>ROUND($B$5*$B$9*$B$12*$B$17*$B$20*$B$23*$B$24*$B$26,0)</f>
        <v/>
      </c>
      <c r="Q47" s="10">
        <f>ROUND($B$5*$B$9*$B$12*$B$17*$B$20*$B$23*$B$24*$B$27,0)</f>
        <v/>
      </c>
      <c r="R47" s="10">
        <f>ROUND($B$5*$B$9*$B$12*$B$17*$B$20*$B$23*$B$25*$B$26,0)</f>
        <v/>
      </c>
      <c r="S47" s="10">
        <f>ROUND($B$5*$B$9*$B$12*$B$17*$B$20*$B$23*$B$25*$B$27,0)</f>
        <v/>
      </c>
      <c r="T47" s="10">
        <f>ROUND($B$4*$B$9*$B$12*$B$17*$B$21*$B$22*$B$24*$B$26,0)</f>
        <v/>
      </c>
      <c r="U47" s="10">
        <f>ROUND($B$4*$B$9*$B$12*$B$17*$B$21*$B$22*$B$24*$B$27,0)</f>
        <v/>
      </c>
      <c r="V47" s="10">
        <f>ROUND($B$4*$B$9*$B$12*$B$17*$B$21*$B$22*$B$25*$B$26,0)</f>
        <v/>
      </c>
      <c r="W47" s="10">
        <f>ROUND($B$4*$B$9*$B$12*$B$17*$B$21*$B$22*$B$25*$B$27,0)</f>
        <v/>
      </c>
      <c r="X47" s="10">
        <f>ROUND($B$6*$B$9*$B$12*$B$17*$B$21*$B$23*$B$24*$B$26,0)</f>
        <v/>
      </c>
      <c r="Y47" s="10">
        <f>ROUND($B$6*$B$9*$B$12*$B$17*$B$21*$B$23*$B$24*$B$27,0)</f>
        <v/>
      </c>
      <c r="Z47" s="10">
        <f>ROUND($B$6*$B$9*$B$12*$B$17*$B$21*$B$23*$B$25*$B$26,0)</f>
        <v/>
      </c>
      <c r="AA47" s="10">
        <f>ROUND($B$6*$B$9*$B$12*$B$17*$B$21*$B$23*$B$25*$B$27,0)</f>
        <v/>
      </c>
    </row>
    <row r="48" ht="20.1" customHeight="1" s="62">
      <c r="A48" s="67" t="n"/>
      <c r="B48" s="59" t="n"/>
      <c r="C48" s="15" t="inlineStr">
        <is>
          <t>Maturité RSE avancée</t>
        </is>
      </c>
      <c r="D48" s="10">
        <f>ROUND($B$4*$B$9*$B$12*$B$18*$B$19*$B$22*$B$24*$B$26,0)</f>
        <v/>
      </c>
      <c r="E48" s="10">
        <f>ROUND($B$4*$B$9*$B$12*$B$18*$B$19*$B$22*$B$24*$B$27,0)</f>
        <v/>
      </c>
      <c r="F48" s="10">
        <f>ROUND($B$4*$B$9*$B$12*$B$18*$B$19*$B$22*$B$25*$B$26,0)</f>
        <v/>
      </c>
      <c r="G48" s="10">
        <f>ROUND($B$4*$B$9*$B$12*$B$18*$B$19*$B$22*$B$25*$B$27,0)</f>
        <v/>
      </c>
      <c r="H48" s="10">
        <f>ROUND($B$5*$B$9*$B$12*$B$18*$B$19*$B$23*$B$24*$B$26,0)</f>
        <v/>
      </c>
      <c r="I48" s="10">
        <f>ROUND($B$5*$B$9*$B$12*$B$18*$B$19*$B$23*$B$24*$B$27,0)</f>
        <v/>
      </c>
      <c r="J48" s="10">
        <f>ROUND($B$5*$B$9*$B$12*$B$18*$B$19*$B$23*$B$25*$B$26,0)</f>
        <v/>
      </c>
      <c r="K48" s="10">
        <f>ROUND($B$5*$B$9*$B$12*$B$18*$B$19*$B$23*$B$25*$B$27,0)</f>
        <v/>
      </c>
      <c r="L48" s="10">
        <f>ROUND($B$4*$B$9*$B$12*$B$18*$B$20*$B$22*$B$24*$B$26,0)</f>
        <v/>
      </c>
      <c r="M48" s="10">
        <f>ROUND($B$4*$B$9*$B$12*$B$18*$B$20*$B$22*$B$24*$B$27,0)</f>
        <v/>
      </c>
      <c r="N48" s="10">
        <f>ROUND($B$4*$B$9*$B$12*$B$18*$B$20*$B$22*$B$25*$B$26,0)</f>
        <v/>
      </c>
      <c r="O48" s="10">
        <f>ROUND($B$4*$B$9*$B$12*$B$18*$B$20*$B$22*$B$25*$B$27,0)</f>
        <v/>
      </c>
      <c r="P48" s="10">
        <f>ROUND($B$5*$B$9*$B$12*$B$18*$B$20*$B$23*$B$24*$B$26,0)</f>
        <v/>
      </c>
      <c r="Q48" s="10">
        <f>ROUND($B$5*$B$9*$B$12*$B$18*$B$20*$B$23*$B$24*$B$27,0)</f>
        <v/>
      </c>
      <c r="R48" s="10">
        <f>ROUND($B$5*$B$9*$B$12*$B$18*$B$20*$B$23*$B$25*$B$26,0)</f>
        <v/>
      </c>
      <c r="S48" s="10">
        <f>ROUND($B$5*$B$9*$B$12*$B$18*$B$20*$B$23*$B$25*$B$27,0)</f>
        <v/>
      </c>
      <c r="T48" s="10">
        <f>ROUND($B$4*$B$9*$B$12*$B$18*$B$21*$B$22*$B$24*$B$26,0)</f>
        <v/>
      </c>
      <c r="U48" s="10">
        <f>ROUND($B$4*$B$9*$B$12*$B$18*$B$21*$B$22*$B$24*$B$27,0)</f>
        <v/>
      </c>
      <c r="V48" s="10">
        <f>ROUND($B$4*$B$9*$B$12*$B$18*$B$21*$B$22*$B$25*$B$26,0)</f>
        <v/>
      </c>
      <c r="W48" s="10">
        <f>ROUND($B$4*$B$9*$B$12*$B$18*$B$21*$B$22*$B$25*$B$27,0)</f>
        <v/>
      </c>
      <c r="X48" s="10">
        <f>ROUND($B$6*$B$9*$B$12*$B$18*$B$21*$B$23*$B$24*$B$26,0)</f>
        <v/>
      </c>
      <c r="Y48" s="10">
        <f>ROUND($B$6*$B$9*$B$12*$B$18*$B$21*$B$23*$B$24*$B$27,0)</f>
        <v/>
      </c>
      <c r="Z48" s="10">
        <f>ROUND($B$6*$B$9*$B$12*$B$18*$B$21*$B$23*$B$25*$B$26,0)</f>
        <v/>
      </c>
      <c r="AA48" s="10">
        <f>ROUND($B$6*$B$9*$B$12*$B$18*$B$21*$B$23*$B$25*$B$27,0)</f>
        <v/>
      </c>
    </row>
    <row r="49" ht="20.1" customHeight="1" s="62">
      <c r="A49" s="67" t="n"/>
      <c r="B49" s="57" t="inlineStr">
        <is>
          <t>Industrie / BTP</t>
        </is>
      </c>
      <c r="C49" s="14" t="inlineStr">
        <is>
          <t>Maturité RSE faible</t>
        </is>
      </c>
      <c r="D49" s="10">
        <f>ROUND($B$4*$B$9*$B$13*$B$16*$B$19*$B$22*$B$24*$B$26,0)</f>
        <v/>
      </c>
      <c r="E49" s="10">
        <f>ROUND($B$4*$B$9*$B$13*$B$16*$B$19*$B$22*$B$24*$B$27,0)</f>
        <v/>
      </c>
      <c r="F49" s="10">
        <f>ROUND($B$4*$B$9*$B$13*$B$16*$B$19*$B$22*$B$25*$B$26,0)</f>
        <v/>
      </c>
      <c r="G49" s="10">
        <f>ROUND($B$4*$B$9*$B$13*$B$16*$B$19*$B$22*$B$25*$B$27,0)</f>
        <v/>
      </c>
      <c r="H49" s="10">
        <f>ROUND($B$5*$B$9*$B$13*$B$16*$B$19*$B$23*$B$24*$B$26,0)</f>
        <v/>
      </c>
      <c r="I49" s="10">
        <f>ROUND($B$5*$B$9*$B$13*$B$16*$B$19*$B$23*$B$24*$B$27,0)</f>
        <v/>
      </c>
      <c r="J49" s="10">
        <f>ROUND($B$5*$B$9*$B$13*$B$16*$B$19*$B$23*$B$25*$B$26,0)</f>
        <v/>
      </c>
      <c r="K49" s="10">
        <f>ROUND($B$5*$B$9*$B$13*$B$16*$B$19*$B$23*$B$25*$B$27,0)</f>
        <v/>
      </c>
      <c r="L49" s="10">
        <f>ROUND($B$4*$B$9*$B$13*$B$16*$B$20*$B$22*$B$24*$B$26,0)</f>
        <v/>
      </c>
      <c r="M49" s="10">
        <f>ROUND($B$4*$B$9*$B$13*$B$16*$B$20*$B$22*$B$24*$B$27,0)</f>
        <v/>
      </c>
      <c r="N49" s="10">
        <f>ROUND($B$4*$B$9*$B$13*$B$16*$B$20*$B$22*$B$25*$B$26,0)</f>
        <v/>
      </c>
      <c r="O49" s="10">
        <f>ROUND($B$4*$B$9*$B$13*$B$16*$B$20*$B$22*$B$25*$B$27,0)</f>
        <v/>
      </c>
      <c r="P49" s="10">
        <f>ROUND($B$5*$B$9*$B$13*$B$16*$B$20*$B$23*$B$24*$B$26,0)</f>
        <v/>
      </c>
      <c r="Q49" s="10">
        <f>ROUND($B$5*$B$9*$B$13*$B$16*$B$20*$B$23*$B$24*$B$27,0)</f>
        <v/>
      </c>
      <c r="R49" s="10">
        <f>ROUND($B$5*$B$9*$B$13*$B$16*$B$20*$B$23*$B$25*$B$26,0)</f>
        <v/>
      </c>
      <c r="S49" s="10">
        <f>ROUND($B$5*$B$9*$B$13*$B$16*$B$20*$B$23*$B$25*$B$27,0)</f>
        <v/>
      </c>
      <c r="T49" s="10">
        <f>ROUND($B$4*$B$9*$B$13*$B$16*$B$21*$B$22*$B$24*$B$26,0)</f>
        <v/>
      </c>
      <c r="U49" s="10">
        <f>ROUND($B$4*$B$9*$B$13*$B$16*$B$21*$B$22*$B$24*$B$27,0)</f>
        <v/>
      </c>
      <c r="V49" s="10">
        <f>ROUND($B$4*$B$9*$B$13*$B$16*$B$21*$B$22*$B$25*$B$26,0)</f>
        <v/>
      </c>
      <c r="W49" s="10">
        <f>ROUND($B$4*$B$9*$B$13*$B$16*$B$21*$B$22*$B$25*$B$27,0)</f>
        <v/>
      </c>
      <c r="X49" s="10">
        <f>ROUND($B$6*$B$9*$B$13*$B$16*$B$21*$B$23*$B$24*$B$26,0)</f>
        <v/>
      </c>
      <c r="Y49" s="10">
        <f>ROUND($B$6*$B$9*$B$13*$B$16*$B$21*$B$23*$B$24*$B$27,0)</f>
        <v/>
      </c>
      <c r="Z49" s="10">
        <f>ROUND($B$6*$B$9*$B$13*$B$16*$B$21*$B$23*$B$25*$B$26,0)</f>
        <v/>
      </c>
      <c r="AA49" s="10">
        <f>ROUND($B$6*$B$9*$B$13*$B$16*$B$21*$B$23*$B$25*$B$27,0)</f>
        <v/>
      </c>
    </row>
    <row r="50" ht="20.1" customHeight="1" s="62">
      <c r="A50" s="67" t="n"/>
      <c r="B50" s="58" t="n"/>
      <c r="C50" s="57" t="inlineStr">
        <is>
          <t>Maturité RSE intermédiaire</t>
        </is>
      </c>
      <c r="D50" s="10">
        <f>ROUND($B$4*$B$9*$B$13*$B$17*$B$19*$B$22*$B$24*$B$26,0)</f>
        <v/>
      </c>
      <c r="E50" s="10">
        <f>ROUND($B$4*$B$9*$B$13*$B$17*$B$19*$B$22*$B$24*$B$27,0)</f>
        <v/>
      </c>
      <c r="F50" s="10">
        <f>ROUND($B$4*$B$9*$B$13*$B$17*$B$19*$B$22*$B$25*$B$26,0)</f>
        <v/>
      </c>
      <c r="G50" s="10">
        <f>ROUND($B$4*$B$9*$B$13*$B$17*$B$19*$B$22*$B$25*$B$27,0)</f>
        <v/>
      </c>
      <c r="H50" s="10">
        <f>ROUND($B$5*$B$9*$B$13*$B$17*$B$19*$B$23*$B$24*$B$26,0)</f>
        <v/>
      </c>
      <c r="I50" s="10">
        <f>ROUND($B$5*$B$9*$B$13*$B$17*$B$19*$B$23*$B$24*$B$27,0)</f>
        <v/>
      </c>
      <c r="J50" s="10">
        <f>ROUND($B$5*$B$9*$B$13*$B$17*$B$19*$B$23*$B$25*$B$26,0)</f>
        <v/>
      </c>
      <c r="K50" s="10">
        <f>ROUND($B$5*$B$9*$B$13*$B$17*$B$19*$B$23*$B$25*$B$27,0)</f>
        <v/>
      </c>
      <c r="L50" s="10">
        <f>ROUND($B$4*$B$9*$B$13*$B$17*$B$20*$B$22*$B$24*$B$26,0)</f>
        <v/>
      </c>
      <c r="M50" s="10">
        <f>ROUND($B$4*$B$9*$B$13*$B$17*$B$20*$B$22*$B$24*$B$27,0)</f>
        <v/>
      </c>
      <c r="N50" s="10">
        <f>ROUND($B$4*$B$9*$B$13*$B$17*$B$20*$B$22*$B$25*$B$26,0)</f>
        <v/>
      </c>
      <c r="O50" s="10">
        <f>ROUND($B$4*$B$9*$B$13*$B$17*$B$20*$B$22*$B$25*$B$27,0)</f>
        <v/>
      </c>
      <c r="P50" s="10">
        <f>ROUND($B$5*$B$9*$B$13*$B$17*$B$20*$B$23*$B$24*$B$26,0)</f>
        <v/>
      </c>
      <c r="Q50" s="10">
        <f>ROUND($B$5*$B$9*$B$13*$B$17*$B$20*$B$23*$B$24*$B$27,0)</f>
        <v/>
      </c>
      <c r="R50" s="10">
        <f>ROUND($B$5*$B$9*$B$13*$B$17*$B$20*$B$23*$B$25*$B$26,0)</f>
        <v/>
      </c>
      <c r="S50" s="10">
        <f>ROUND($B$5*$B$9*$B$13*$B$17*$B$20*$B$23*$B$25*$B$27,0)</f>
        <v/>
      </c>
      <c r="T50" s="10">
        <f>ROUND($B$4*$B$9*$B$13*$B$17*$B$21*$B$22*$B$24*$B$26,0)</f>
        <v/>
      </c>
      <c r="U50" s="10">
        <f>ROUND($B$4*$B$9*$B$13*$B$17*$B$21*$B$22*$B$24*$B$27,0)</f>
        <v/>
      </c>
      <c r="V50" s="10">
        <f>ROUND($B$4*$B$9*$B$13*$B$17*$B$21*$B$22*$B$25*$B$26,0)</f>
        <v/>
      </c>
      <c r="W50" s="10">
        <f>ROUND($B$4*$B$9*$B$13*$B$17*$B$21*$B$22*$B$25*$B$27,0)</f>
        <v/>
      </c>
      <c r="X50" s="10">
        <f>ROUND($B$6*$B$9*$B$13*$B$17*$B$21*$B$23*$B$24*$B$26,0)</f>
        <v/>
      </c>
      <c r="Y50" s="10">
        <f>ROUND($B$6*$B$9*$B$13*$B$17*$B$21*$B$23*$B$24*$B$27,0)</f>
        <v/>
      </c>
      <c r="Z50" s="10">
        <f>ROUND($B$6*$B$9*$B$13*$B$17*$B$21*$B$23*$B$25*$B$26,0)</f>
        <v/>
      </c>
      <c r="AA50" s="10">
        <f>ROUND($B$6*$B$9*$B$13*$B$17*$B$21*$B$23*$B$25*$B$27,0)</f>
        <v/>
      </c>
    </row>
    <row r="51" ht="20.1" customHeight="1" s="62">
      <c r="A51" s="67" t="n"/>
      <c r="B51" s="59" t="n"/>
      <c r="C51" s="15" t="inlineStr">
        <is>
          <t>Maturité RSE avancée</t>
        </is>
      </c>
      <c r="D51" s="10">
        <f>ROUND($B$4*$B$9*$B$13*$B$18*$B$19*$B$22*$B$24*$B$26,0)</f>
        <v/>
      </c>
      <c r="E51" s="10">
        <f>ROUND($B$4*$B$9*$B$13*$B$18*$B$19*$B$22*$B$24*$B$27,0)</f>
        <v/>
      </c>
      <c r="F51" s="10">
        <f>ROUND($B$4*$B$9*$B$13*$B$18*$B$19*$B$22*$B$25*$B$26,0)</f>
        <v/>
      </c>
      <c r="G51" s="10">
        <f>ROUND($B$4*$B$9*$B$13*$B$18*$B$19*$B$22*$B$25*$B$27,0)</f>
        <v/>
      </c>
      <c r="H51" s="10">
        <f>ROUND($B$5*$B$9*$B$13*$B$18*$B$19*$B$23*$B$24*$B$26,0)</f>
        <v/>
      </c>
      <c r="I51" s="10">
        <f>ROUND($B$5*$B$9*$B$13*$B$18*$B$19*$B$23*$B$24*$B$27,0)</f>
        <v/>
      </c>
      <c r="J51" s="10">
        <f>ROUND($B$5*$B$9*$B$13*$B$18*$B$19*$B$23*$B$25*$B$26,0)</f>
        <v/>
      </c>
      <c r="K51" s="10">
        <f>ROUND($B$5*$B$9*$B$13*$B$18*$B$19*$B$23*$B$25*$B$27,0)</f>
        <v/>
      </c>
      <c r="L51" s="10">
        <f>ROUND($B$4*$B$9*$B$13*$B$18*$B$20*$B$22*$B$24*$B$26,0)</f>
        <v/>
      </c>
      <c r="M51" s="10">
        <f>ROUND($B$4*$B$9*$B$13*$B$18*$B$20*$B$22*$B$24*$B$27,0)</f>
        <v/>
      </c>
      <c r="N51" s="10">
        <f>ROUND($B$4*$B$9*$B$13*$B$18*$B$20*$B$22*$B$25*$B$26,0)</f>
        <v/>
      </c>
      <c r="O51" s="10">
        <f>ROUND($B$4*$B$9*$B$13*$B$18*$B$20*$B$22*$B$25*$B$27,0)</f>
        <v/>
      </c>
      <c r="P51" s="10">
        <f>ROUND($B$5*$B$9*$B$13*$B$18*$B$20*$B$23*$B$24*$B$26,0)</f>
        <v/>
      </c>
      <c r="Q51" s="10">
        <f>ROUND($B$5*$B$9*$B$13*$B$18*$B$20*$B$23*$B$24*$B$27,0)</f>
        <v/>
      </c>
      <c r="R51" s="10">
        <f>ROUND($B$5*$B$9*$B$13*$B$18*$B$20*$B$23*$B$25*$B$26,0)</f>
        <v/>
      </c>
      <c r="S51" s="10">
        <f>ROUND($B$5*$B$9*$B$13*$B$18*$B$20*$B$23*$B$25*$B$27,0)</f>
        <v/>
      </c>
      <c r="T51" s="10">
        <f>ROUND($B$4*$B$9*$B$13*$B$18*$B$21*$B$22*$B$24*$B$26,0)</f>
        <v/>
      </c>
      <c r="U51" s="10">
        <f>ROUND($B$4*$B$9*$B$13*$B$18*$B$21*$B$22*$B$24*$B$27,0)</f>
        <v/>
      </c>
      <c r="V51" s="10">
        <f>ROUND($B$4*$B$9*$B$13*$B$18*$B$21*$B$22*$B$25*$B$26,0)</f>
        <v/>
      </c>
      <c r="W51" s="10">
        <f>ROUND($B$4*$B$9*$B$13*$B$18*$B$21*$B$22*$B$25*$B$27,0)</f>
        <v/>
      </c>
      <c r="X51" s="10">
        <f>ROUND($B$6*$B$9*$B$13*$B$18*$B$21*$B$23*$B$24*$B$26,0)</f>
        <v/>
      </c>
      <c r="Y51" s="10">
        <f>ROUND($B$6*$B$9*$B$13*$B$18*$B$21*$B$23*$B$24*$B$27,0)</f>
        <v/>
      </c>
      <c r="Z51" s="10">
        <f>ROUND($B$6*$B$9*$B$13*$B$18*$B$21*$B$23*$B$25*$B$26,0)</f>
        <v/>
      </c>
      <c r="AA51" s="10">
        <f>ROUND($B$6*$B$9*$B$13*$B$18*$B$21*$B$23*$B$25*$B$27,0)</f>
        <v/>
      </c>
    </row>
    <row r="52" ht="20.1" customHeight="1" s="62">
      <c r="A52" s="67" t="n"/>
      <c r="B52" s="57" t="inlineStr">
        <is>
          <t>Santé / Finance</t>
        </is>
      </c>
      <c r="C52" s="14" t="inlineStr">
        <is>
          <t>Maturité RSE faible</t>
        </is>
      </c>
      <c r="D52" s="10">
        <f>ROUND($B$4*$B$9*$B$14*$B$16*$B$19*$B$22*$B$24*$B$26,0)</f>
        <v/>
      </c>
      <c r="E52" s="10">
        <f>ROUND($B$4*$B$9*$B$14*$B$16*$B$19*$B$22*$B$24*$B$27,0)</f>
        <v/>
      </c>
      <c r="F52" s="10">
        <f>ROUND($B$4*$B$9*$B$14*$B$16*$B$19*$B$22*$B$25*$B$26,0)</f>
        <v/>
      </c>
      <c r="G52" s="10">
        <f>ROUND($B$4*$B$9*$B$14*$B$16*$B$19*$B$22*$B$25*$B$27,0)</f>
        <v/>
      </c>
      <c r="H52" s="10">
        <f>ROUND($B$5*$B$9*$B$14*$B$16*$B$19*$B$23*$B$24*$B$26,0)</f>
        <v/>
      </c>
      <c r="I52" s="10">
        <f>ROUND($B$5*$B$9*$B$14*$B$16*$B$19*$B$23*$B$24*$B$27,0)</f>
        <v/>
      </c>
      <c r="J52" s="10">
        <f>ROUND($B$5*$B$9*$B$14*$B$16*$B$19*$B$23*$B$25*$B$26,0)</f>
        <v/>
      </c>
      <c r="K52" s="10">
        <f>ROUND($B$5*$B$9*$B$14*$B$16*$B$19*$B$23*$B$25*$B$27,0)</f>
        <v/>
      </c>
      <c r="L52" s="10">
        <f>ROUND($B$4*$B$9*$B$14*$B$16*$B$20*$B$22*$B$24*$B$26,0)</f>
        <v/>
      </c>
      <c r="M52" s="10">
        <f>ROUND($B$4*$B$9*$B$14*$B$16*$B$20*$B$22*$B$24*$B$27,0)</f>
        <v/>
      </c>
      <c r="N52" s="10">
        <f>ROUND($B$4*$B$9*$B$14*$B$16*$B$20*$B$22*$B$25*$B$26,0)</f>
        <v/>
      </c>
      <c r="O52" s="10">
        <f>ROUND($B$4*$B$9*$B$14*$B$16*$B$20*$B$22*$B$25*$B$27,0)</f>
        <v/>
      </c>
      <c r="P52" s="10">
        <f>ROUND($B$5*$B$9*$B$14*$B$16*$B$20*$B$23*$B$24*$B$26,0)</f>
        <v/>
      </c>
      <c r="Q52" s="10">
        <f>ROUND($B$5*$B$9*$B$14*$B$16*$B$20*$B$23*$B$24*$B$27,0)</f>
        <v/>
      </c>
      <c r="R52" s="10">
        <f>ROUND($B$5*$B$9*$B$14*$B$16*$B$20*$B$23*$B$25*$B$26,0)</f>
        <v/>
      </c>
      <c r="S52" s="10">
        <f>ROUND($B$5*$B$9*$B$14*$B$16*$B$20*$B$23*$B$25*$B$27,0)</f>
        <v/>
      </c>
      <c r="T52" s="10">
        <f>ROUND($B$4*$B$9*$B$14*$B$16*$B$21*$B$22*$B$24*$B$26,0)</f>
        <v/>
      </c>
      <c r="U52" s="10">
        <f>ROUND($B$4*$B$9*$B$14*$B$16*$B$21*$B$22*$B$24*$B$27,0)</f>
        <v/>
      </c>
      <c r="V52" s="10">
        <f>ROUND($B$4*$B$9*$B$14*$B$16*$B$21*$B$22*$B$25*$B$26,0)</f>
        <v/>
      </c>
      <c r="W52" s="10">
        <f>ROUND($B$4*$B$9*$B$14*$B$16*$B$21*$B$22*$B$25*$B$27,0)</f>
        <v/>
      </c>
      <c r="X52" s="10">
        <f>ROUND($B$6*$B$9*$B$14*$B$16*$B$21*$B$23*$B$24*$B$26,0)</f>
        <v/>
      </c>
      <c r="Y52" s="10">
        <f>ROUND($B$6*$B$9*$B$14*$B$16*$B$21*$B$23*$B$24*$B$27,0)</f>
        <v/>
      </c>
      <c r="Z52" s="10">
        <f>ROUND($B$6*$B$9*$B$14*$B$16*$B$21*$B$23*$B$25*$B$26,0)</f>
        <v/>
      </c>
      <c r="AA52" s="10">
        <f>ROUND($B$6*$B$9*$B$14*$B$16*$B$21*$B$23*$B$25*$B$27,0)</f>
        <v/>
      </c>
    </row>
    <row r="53" ht="20.1" customHeight="1" s="62">
      <c r="A53" s="67" t="n"/>
      <c r="B53" s="58" t="n"/>
      <c r="C53" s="57" t="inlineStr">
        <is>
          <t>Maturité RSE intermédiaire</t>
        </is>
      </c>
      <c r="D53" s="10">
        <f>ROUND($B$4*$B$9*$B$14*$B$17*$B$19*$B$22*$B$24*$B$26,0)</f>
        <v/>
      </c>
      <c r="E53" s="10">
        <f>ROUND($B$4*$B$9*$B$14*$B$17*$B$19*$B$22*$B$24*$B$27,0)</f>
        <v/>
      </c>
      <c r="F53" s="10">
        <f>ROUND($B$4*$B$9*$B$14*$B$17*$B$19*$B$22*$B$25*$B$26,0)</f>
        <v/>
      </c>
      <c r="G53" s="10">
        <f>ROUND($B$4*$B$9*$B$14*$B$17*$B$19*$B$22*$B$25*$B$27,0)</f>
        <v/>
      </c>
      <c r="H53" s="10">
        <f>ROUND($B$5*$B$9*$B$14*$B$17*$B$19*$B$23*$B$24*$B$26,0)</f>
        <v/>
      </c>
      <c r="I53" s="10">
        <f>ROUND($B$5*$B$9*$B$14*$B$17*$B$19*$B$23*$B$24*$B$27,0)</f>
        <v/>
      </c>
      <c r="J53" s="10">
        <f>ROUND($B$5*$B$9*$B$14*$B$17*$B$19*$B$23*$B$25*$B$26,0)</f>
        <v/>
      </c>
      <c r="K53" s="10">
        <f>ROUND($B$5*$B$9*$B$14*$B$17*$B$19*$B$23*$B$25*$B$27,0)</f>
        <v/>
      </c>
      <c r="L53" s="10">
        <f>ROUND($B$4*$B$9*$B$14*$B$17*$B$20*$B$22*$B$24*$B$26,0)</f>
        <v/>
      </c>
      <c r="M53" s="10">
        <f>ROUND($B$4*$B$9*$B$14*$B$17*$B$20*$B$22*$B$24*$B$27,0)</f>
        <v/>
      </c>
      <c r="N53" s="10">
        <f>ROUND($B$4*$B$9*$B$14*$B$17*$B$20*$B$22*$B$25*$B$26,0)</f>
        <v/>
      </c>
      <c r="O53" s="10">
        <f>ROUND($B$4*$B$9*$B$14*$B$17*$B$20*$B$22*$B$25*$B$27,0)</f>
        <v/>
      </c>
      <c r="P53" s="10">
        <f>ROUND($B$5*$B$9*$B$14*$B$17*$B$20*$B$23*$B$24*$B$26,0)</f>
        <v/>
      </c>
      <c r="Q53" s="10">
        <f>ROUND($B$5*$B$9*$B$14*$B$17*$B$20*$B$23*$B$24*$B$27,0)</f>
        <v/>
      </c>
      <c r="R53" s="10">
        <f>ROUND($B$5*$B$9*$B$14*$B$17*$B$20*$B$23*$B$25*$B$26,0)</f>
        <v/>
      </c>
      <c r="S53" s="10">
        <f>ROUND($B$5*$B$9*$B$14*$B$17*$B$20*$B$23*$B$25*$B$27,0)</f>
        <v/>
      </c>
      <c r="T53" s="10">
        <f>ROUND($B$4*$B$9*$B$14*$B$17*$B$21*$B$22*$B$24*$B$26,0)</f>
        <v/>
      </c>
      <c r="U53" s="10">
        <f>ROUND($B$4*$B$9*$B$14*$B$17*$B$21*$B$22*$B$24*$B$27,0)</f>
        <v/>
      </c>
      <c r="V53" s="10">
        <f>ROUND($B$4*$B$9*$B$14*$B$17*$B$21*$B$22*$B$25*$B$26,0)</f>
        <v/>
      </c>
      <c r="W53" s="10">
        <f>ROUND($B$4*$B$9*$B$14*$B$17*$B$21*$B$22*$B$25*$B$27,0)</f>
        <v/>
      </c>
      <c r="X53" s="10">
        <f>ROUND($B$6*$B$9*$B$14*$B$17*$B$21*$B$23*$B$24*$B$26,0)</f>
        <v/>
      </c>
      <c r="Y53" s="10">
        <f>ROUND($B$6*$B$9*$B$14*$B$17*$B$21*$B$23*$B$24*$B$27,0)</f>
        <v/>
      </c>
      <c r="Z53" s="10">
        <f>ROUND($B$6*$B$9*$B$14*$B$17*$B$21*$B$23*$B$25*$B$26,0)</f>
        <v/>
      </c>
      <c r="AA53" s="10">
        <f>ROUND($B$6*$B$9*$B$14*$B$17*$B$21*$B$23*$B$25*$B$27,0)</f>
        <v/>
      </c>
    </row>
    <row r="54" ht="20.1" customHeight="1" s="62">
      <c r="A54" s="67" t="n"/>
      <c r="B54" s="59" t="n"/>
      <c r="C54" s="15" t="inlineStr">
        <is>
          <t>Maturité RSE avancée</t>
        </is>
      </c>
      <c r="D54" s="10">
        <f>ROUND($B$4*$B$9*$B$14*$B$18*$B$19*$B$22*$B$24*$B$26,0)</f>
        <v/>
      </c>
      <c r="E54" s="10">
        <f>ROUND($B$4*$B$9*$B$14*$B$18*$B$19*$B$22*$B$24*$B$27,0)</f>
        <v/>
      </c>
      <c r="F54" s="10">
        <f>ROUND($B$4*$B$9*$B$14*$B$18*$B$19*$B$22*$B$25*$B$26,0)</f>
        <v/>
      </c>
      <c r="G54" s="10">
        <f>ROUND($B$4*$B$9*$B$14*$B$18*$B$19*$B$22*$B$25*$B$27,0)</f>
        <v/>
      </c>
      <c r="H54" s="10">
        <f>ROUND($B$5*$B$9*$B$14*$B$18*$B$19*$B$23*$B$24*$B$26,0)</f>
        <v/>
      </c>
      <c r="I54" s="10">
        <f>ROUND($B$5*$B$9*$B$14*$B$18*$B$19*$B$23*$B$24*$B$27,0)</f>
        <v/>
      </c>
      <c r="J54" s="10">
        <f>ROUND($B$5*$B$9*$B$14*$B$18*$B$19*$B$23*$B$25*$B$26,0)</f>
        <v/>
      </c>
      <c r="K54" s="10">
        <f>ROUND($B$5*$B$9*$B$14*$B$18*$B$19*$B$23*$B$25*$B$27,0)</f>
        <v/>
      </c>
      <c r="L54" s="10">
        <f>ROUND($B$4*$B$9*$B$14*$B$18*$B$20*$B$22*$B$24*$B$26,0)</f>
        <v/>
      </c>
      <c r="M54" s="10">
        <f>ROUND($B$4*$B$9*$B$14*$B$18*$B$20*$B$22*$B$24*$B$27,0)</f>
        <v/>
      </c>
      <c r="N54" s="10">
        <f>ROUND($B$4*$B$9*$B$14*$B$18*$B$20*$B$22*$B$25*$B$26,0)</f>
        <v/>
      </c>
      <c r="O54" s="10">
        <f>ROUND($B$4*$B$9*$B$14*$B$18*$B$20*$B$22*$B$25*$B$27,0)</f>
        <v/>
      </c>
      <c r="P54" s="10">
        <f>ROUND($B$5*$B$9*$B$14*$B$18*$B$20*$B$23*$B$24*$B$26,0)</f>
        <v/>
      </c>
      <c r="Q54" s="10">
        <f>ROUND($B$5*$B$9*$B$14*$B$18*$B$20*$B$23*$B$24*$B$27,0)</f>
        <v/>
      </c>
      <c r="R54" s="10">
        <f>ROUND($B$5*$B$9*$B$14*$B$18*$B$20*$B$23*$B$25*$B$26,0)</f>
        <v/>
      </c>
      <c r="S54" s="10">
        <f>ROUND($B$5*$B$9*$B$14*$B$18*$B$20*$B$23*$B$25*$B$27,0)</f>
        <v/>
      </c>
      <c r="T54" s="10">
        <f>ROUND($B$4*$B$9*$B$14*$B$18*$B$21*$B$22*$B$24*$B$26,0)</f>
        <v/>
      </c>
      <c r="U54" s="10">
        <f>ROUND($B$4*$B$9*$B$14*$B$18*$B$21*$B$22*$B$24*$B$27,0)</f>
        <v/>
      </c>
      <c r="V54" s="10">
        <f>ROUND($B$4*$B$9*$B$14*$B$18*$B$21*$B$22*$B$25*$B$26,0)</f>
        <v/>
      </c>
      <c r="W54" s="10">
        <f>ROUND($B$4*$B$9*$B$14*$B$18*$B$21*$B$22*$B$25*$B$27,0)</f>
        <v/>
      </c>
      <c r="X54" s="10">
        <f>ROUND($B$6*$B$9*$B$14*$B$18*$B$21*$B$23*$B$24*$B$26,0)</f>
        <v/>
      </c>
      <c r="Y54" s="10">
        <f>ROUND($B$6*$B$9*$B$14*$B$18*$B$21*$B$23*$B$24*$B$27,0)</f>
        <v/>
      </c>
      <c r="Z54" s="10">
        <f>ROUND($B$6*$B$9*$B$14*$B$18*$B$21*$B$23*$B$25*$B$26,0)</f>
        <v/>
      </c>
      <c r="AA54" s="10">
        <f>ROUND($B$6*$B$9*$B$14*$B$18*$B$21*$B$23*$B$25*$B$27,0)</f>
        <v/>
      </c>
    </row>
    <row r="55" ht="20.1" customHeight="1" s="62">
      <c r="A55" s="67" t="n"/>
      <c r="B55" s="57" t="inlineStr">
        <is>
          <t>Tech / Numérique</t>
        </is>
      </c>
      <c r="C55" s="14" t="inlineStr">
        <is>
          <t>Maturité RSE faible</t>
        </is>
      </c>
      <c r="D55" s="10">
        <f>ROUND($B$4*$B$9*$B$15*$B$16*$B$19*$B$22*$B$24*$B$26,0)</f>
        <v/>
      </c>
      <c r="E55" s="10">
        <f>ROUND($B$4*$B$9*$B$15*$B$16*$B$19*$B$22*$B$24*$B$27,0)</f>
        <v/>
      </c>
      <c r="F55" s="10">
        <f>ROUND($B$4*$B$9*$B$15*$B$16*$B$19*$B$22*$B$25*$B$26,0)</f>
        <v/>
      </c>
      <c r="G55" s="10">
        <f>ROUND($B$4*$B$9*$B$15*$B$16*$B$19*$B$22*$B$25*$B$27,0)</f>
        <v/>
      </c>
      <c r="H55" s="10">
        <f>ROUND($B$5*$B$9*$B$15*$B$16*$B$19*$B$23*$B$24*$B$26,0)</f>
        <v/>
      </c>
      <c r="I55" s="10">
        <f>ROUND($B$5*$B$9*$B$15*$B$16*$B$19*$B$23*$B$24*$B$27,0)</f>
        <v/>
      </c>
      <c r="J55" s="10">
        <f>ROUND($B$5*$B$9*$B$15*$B$16*$B$19*$B$23*$B$25*$B$26,0)</f>
        <v/>
      </c>
      <c r="K55" s="10">
        <f>ROUND($B$5*$B$9*$B$15*$B$16*$B$19*$B$23*$B$25*$B$27,0)</f>
        <v/>
      </c>
      <c r="L55" s="10">
        <f>ROUND($B$4*$B$9*$B$15*$B$16*$B$20*$B$22*$B$24*$B$26,0)</f>
        <v/>
      </c>
      <c r="M55" s="10">
        <f>ROUND($B$4*$B$9*$B$15*$B$16*$B$20*$B$22*$B$24*$B$27,0)</f>
        <v/>
      </c>
      <c r="N55" s="10">
        <f>ROUND($B$4*$B$9*$B$15*$B$16*$B$20*$B$22*$B$25*$B$26,0)</f>
        <v/>
      </c>
      <c r="O55" s="10">
        <f>ROUND($B$4*$B$9*$B$15*$B$16*$B$20*$B$22*$B$25*$B$27,0)</f>
        <v/>
      </c>
      <c r="P55" s="10">
        <f>ROUND($B$5*$B$9*$B$15*$B$16*$B$20*$B$23*$B$24*$B$26,0)</f>
        <v/>
      </c>
      <c r="Q55" s="10">
        <f>ROUND($B$5*$B$9*$B$15*$B$16*$B$20*$B$23*$B$24*$B$27,0)</f>
        <v/>
      </c>
      <c r="R55" s="10">
        <f>ROUND($B$5*$B$9*$B$15*$B$16*$B$20*$B$23*$B$25*$B$26,0)</f>
        <v/>
      </c>
      <c r="S55" s="10">
        <f>ROUND($B$5*$B$9*$B$15*$B$16*$B$20*$B$23*$B$25*$B$27,0)</f>
        <v/>
      </c>
      <c r="T55" s="10">
        <f>ROUND($B$4*$B$9*$B$15*$B$16*$B$21*$B$22*$B$24*$B$26,0)</f>
        <v/>
      </c>
      <c r="U55" s="10">
        <f>ROUND($B$4*$B$9*$B$15*$B$16*$B$21*$B$22*$B$24*$B$27,0)</f>
        <v/>
      </c>
      <c r="V55" s="10">
        <f>ROUND($B$4*$B$9*$B$15*$B$16*$B$21*$B$22*$B$25*$B$26,0)</f>
        <v/>
      </c>
      <c r="W55" s="10">
        <f>ROUND($B$4*$B$9*$B$15*$B$16*$B$21*$B$22*$B$25*$B$27,0)</f>
        <v/>
      </c>
      <c r="X55" s="10">
        <f>ROUND($B$6*$B$9*$B$15*$B$16*$B$21*$B$23*$B$24*$B$26,0)</f>
        <v/>
      </c>
      <c r="Y55" s="10">
        <f>ROUND($B$6*$B$9*$B$15*$B$16*$B$21*$B$23*$B$24*$B$27,0)</f>
        <v/>
      </c>
      <c r="Z55" s="10">
        <f>ROUND($B$6*$B$9*$B$15*$B$16*$B$21*$B$23*$B$25*$B$26,0)</f>
        <v/>
      </c>
      <c r="AA55" s="10">
        <f>ROUND($B$6*$B$9*$B$15*$B$16*$B$21*$B$23*$B$25*$B$27,0)</f>
        <v/>
      </c>
    </row>
    <row r="56" ht="20.1" customHeight="1" s="62">
      <c r="A56" s="67" t="n"/>
      <c r="B56" s="58" t="n"/>
      <c r="C56" s="57" t="inlineStr">
        <is>
          <t>Maturité RSE intermédiaire</t>
        </is>
      </c>
      <c r="D56" s="10">
        <f>ROUND($B$4*$B$9*$B$15*$B$17*$B$19*$B$22*$B$24*$B$26,0)</f>
        <v/>
      </c>
      <c r="E56" s="10">
        <f>ROUND($B$4*$B$9*$B$15*$B$17*$B$19*$B$22*$B$24*$B$27,0)</f>
        <v/>
      </c>
      <c r="F56" s="10">
        <f>ROUND($B$4*$B$9*$B$15*$B$17*$B$19*$B$22*$B$25*$B$26,0)</f>
        <v/>
      </c>
      <c r="G56" s="10">
        <f>ROUND($B$4*$B$9*$B$15*$B$17*$B$19*$B$22*$B$25*$B$27,0)</f>
        <v/>
      </c>
      <c r="H56" s="10">
        <f>ROUND($B$5*$B$9*$B$15*$B$17*$B$19*$B$23*$B$24*$B$26,0)</f>
        <v/>
      </c>
      <c r="I56" s="10">
        <f>ROUND($B$5*$B$9*$B$15*$B$17*$B$19*$B$23*$B$24*$B$27,0)</f>
        <v/>
      </c>
      <c r="J56" s="10">
        <f>ROUND($B$5*$B$9*$B$15*$B$17*$B$19*$B$23*$B$25*$B$26,0)</f>
        <v/>
      </c>
      <c r="K56" s="10">
        <f>ROUND($B$5*$B$9*$B$15*$B$17*$B$19*$B$23*$B$25*$B$27,0)</f>
        <v/>
      </c>
      <c r="L56" s="10">
        <f>ROUND($B$4*$B$9*$B$15*$B$17*$B$20*$B$22*$B$24*$B$26,0)</f>
        <v/>
      </c>
      <c r="M56" s="10">
        <f>ROUND($B$4*$B$9*$B$15*$B$17*$B$20*$B$22*$B$24*$B$27,0)</f>
        <v/>
      </c>
      <c r="N56" s="10">
        <f>ROUND($B$4*$B$9*$B$15*$B$17*$B$20*$B$22*$B$25*$B$26,0)</f>
        <v/>
      </c>
      <c r="O56" s="10">
        <f>ROUND($B$4*$B$9*$B$15*$B$17*$B$20*$B$22*$B$25*$B$27,0)</f>
        <v/>
      </c>
      <c r="P56" s="10">
        <f>ROUND($B$5*$B$9*$B$15*$B$17*$B$20*$B$23*$B$24*$B$26,0)</f>
        <v/>
      </c>
      <c r="Q56" s="10">
        <f>ROUND($B$5*$B$9*$B$15*$B$17*$B$20*$B$23*$B$24*$B$27,0)</f>
        <v/>
      </c>
      <c r="R56" s="10">
        <f>ROUND($B$5*$B$9*$B$15*$B$17*$B$20*$B$23*$B$25*$B$26,0)</f>
        <v/>
      </c>
      <c r="S56" s="10">
        <f>ROUND($B$5*$B$9*$B$15*$B$17*$B$20*$B$23*$B$25*$B$27,0)</f>
        <v/>
      </c>
      <c r="T56" s="10">
        <f>ROUND($B$4*$B$9*$B$15*$B$17*$B$21*$B$22*$B$24*$B$26,0)</f>
        <v/>
      </c>
      <c r="U56" s="10">
        <f>ROUND($B$4*$B$9*$B$15*$B$17*$B$21*$B$22*$B$24*$B$27,0)</f>
        <v/>
      </c>
      <c r="V56" s="10">
        <f>ROUND($B$4*$B$9*$B$15*$B$17*$B$21*$B$22*$B$25*$B$26,0)</f>
        <v/>
      </c>
      <c r="W56" s="10">
        <f>ROUND($B$4*$B$9*$B$15*$B$17*$B$21*$B$22*$B$25*$B$27,0)</f>
        <v/>
      </c>
      <c r="X56" s="10">
        <f>ROUND($B$6*$B$9*$B$15*$B$17*$B$21*$B$23*$B$24*$B$26,0)</f>
        <v/>
      </c>
      <c r="Y56" s="10">
        <f>ROUND($B$6*$B$9*$B$15*$B$17*$B$21*$B$23*$B$24*$B$27,0)</f>
        <v/>
      </c>
      <c r="Z56" s="10">
        <f>ROUND($B$6*$B$9*$B$15*$B$17*$B$21*$B$23*$B$25*$B$26,0)</f>
        <v/>
      </c>
      <c r="AA56" s="10">
        <f>ROUND($B$6*$B$9*$B$15*$B$17*$B$21*$B$23*$B$25*$B$27,0)</f>
        <v/>
      </c>
    </row>
    <row r="57" ht="20.1" customHeight="1" s="62">
      <c r="A57" s="68" t="n"/>
      <c r="B57" s="59" t="n"/>
      <c r="C57" s="15" t="inlineStr">
        <is>
          <t>Maturité RSE avancée</t>
        </is>
      </c>
      <c r="D57" s="10">
        <f>ROUND($B$4*$B$9*$B$15*$B$18*$B$19*$B$22*$B$24*$B$26,0)</f>
        <v/>
      </c>
      <c r="E57" s="10">
        <f>ROUND($B$4*$B$9*$B$15*$B$18*$B$19*$B$22*$B$24*$B$27,0)</f>
        <v/>
      </c>
      <c r="F57" s="10">
        <f>ROUND($B$4*$B$9*$B$15*$B$18*$B$19*$B$22*$B$25*$B$26,0)</f>
        <v/>
      </c>
      <c r="G57" s="10">
        <f>ROUND($B$4*$B$9*$B$15*$B$18*$B$19*$B$22*$B$25*$B$27,0)</f>
        <v/>
      </c>
      <c r="H57" s="10">
        <f>ROUND($B$5*$B$9*$B$15*$B$18*$B$19*$B$23*$B$24*$B$26,0)</f>
        <v/>
      </c>
      <c r="I57" s="10">
        <f>ROUND($B$5*$B$9*$B$15*$B$18*$B$19*$B$23*$B$24*$B$27,0)</f>
        <v/>
      </c>
      <c r="J57" s="10">
        <f>ROUND($B$5*$B$9*$B$15*$B$18*$B$19*$B$23*$B$25*$B$26,0)</f>
        <v/>
      </c>
      <c r="K57" s="10">
        <f>ROUND($B$5*$B$9*$B$15*$B$18*$B$19*$B$23*$B$25*$B$27,0)</f>
        <v/>
      </c>
      <c r="L57" s="10">
        <f>ROUND($B$4*$B$9*$B$15*$B$18*$B$20*$B$22*$B$24*$B$26,0)</f>
        <v/>
      </c>
      <c r="M57" s="10">
        <f>ROUND($B$4*$B$9*$B$15*$B$18*$B$20*$B$22*$B$24*$B$27,0)</f>
        <v/>
      </c>
      <c r="N57" s="10">
        <f>ROUND($B$4*$B$9*$B$15*$B$18*$B$20*$B$22*$B$25*$B$26,0)</f>
        <v/>
      </c>
      <c r="O57" s="10">
        <f>ROUND($B$4*$B$9*$B$15*$B$18*$B$20*$B$22*$B$25*$B$27,0)</f>
        <v/>
      </c>
      <c r="P57" s="10">
        <f>ROUND($B$5*$B$9*$B$15*$B$18*$B$20*$B$23*$B$24*$B$26,0)</f>
        <v/>
      </c>
      <c r="Q57" s="10">
        <f>ROUND($B$5*$B$9*$B$15*$B$18*$B$20*$B$23*$B$24*$B$27,0)</f>
        <v/>
      </c>
      <c r="R57" s="10">
        <f>ROUND($B$5*$B$9*$B$15*$B$18*$B$20*$B$23*$B$25*$B$26,0)</f>
        <v/>
      </c>
      <c r="S57" s="10">
        <f>ROUND($B$5*$B$9*$B$15*$B$18*$B$20*$B$23*$B$25*$B$27,0)</f>
        <v/>
      </c>
      <c r="T57" s="10">
        <f>ROUND($B$4*$B$9*$B$15*$B$18*$B$21*$B$22*$B$24*$B$26,0)</f>
        <v/>
      </c>
      <c r="U57" s="10">
        <f>ROUND($B$4*$B$9*$B$15*$B$18*$B$21*$B$22*$B$24*$B$27,0)</f>
        <v/>
      </c>
      <c r="V57" s="10">
        <f>ROUND($B$4*$B$9*$B$15*$B$18*$B$21*$B$22*$B$25*$B$26,0)</f>
        <v/>
      </c>
      <c r="W57" s="10">
        <f>ROUND($B$4*$B$9*$B$15*$B$18*$B$21*$B$22*$B$25*$B$27,0)</f>
        <v/>
      </c>
      <c r="X57" s="10">
        <f>ROUND($B$6*$B$9*$B$15*$B$18*$B$21*$B$23*$B$24*$B$26,0)</f>
        <v/>
      </c>
      <c r="Y57" s="10">
        <f>ROUND($B$6*$B$9*$B$15*$B$18*$B$21*$B$23*$B$24*$B$27,0)</f>
        <v/>
      </c>
      <c r="Z57" s="10">
        <f>ROUND($B$6*$B$9*$B$15*$B$18*$B$21*$B$23*$B$25*$B$26,0)</f>
        <v/>
      </c>
      <c r="AA57" s="10">
        <f>ROUND($B$6*$B$9*$B$15*$B$18*$B$21*$B$23*$B$25*$B$27,0)</f>
        <v/>
      </c>
    </row>
    <row r="58" ht="20.1" customHeight="1" s="62">
      <c r="A58" s="66" t="inlineStr">
        <is>
          <t>PME (20-99 sal.)</t>
        </is>
      </c>
      <c r="B58" s="57" t="inlineStr">
        <is>
          <t>Standard</t>
        </is>
      </c>
      <c r="C58" s="14" t="inlineStr">
        <is>
          <t>Maturité RSE faible</t>
        </is>
      </c>
      <c r="D58" s="10">
        <f>ROUND($B$4*$B$10*$B$12*$B$16*$B$19*$B$22*$B$24*$B$26,0)</f>
        <v/>
      </c>
      <c r="E58" s="10">
        <f>ROUND($B$4*$B$10*$B$12*$B$16*$B$19*$B$22*$B$24*$B$27,0)</f>
        <v/>
      </c>
      <c r="F58" s="10">
        <f>ROUND($B$4*$B$10*$B$12*$B$16*$B$19*$B$22*$B$25*$B$26,0)</f>
        <v/>
      </c>
      <c r="G58" s="10">
        <f>ROUND($B$4*$B$10*$B$12*$B$16*$B$19*$B$22*$B$25*$B$27,0)</f>
        <v/>
      </c>
      <c r="H58" s="10">
        <f>ROUND($B$5*$B$10*$B$12*$B$16*$B$19*$B$23*$B$24*$B$26,0)</f>
        <v/>
      </c>
      <c r="I58" s="10">
        <f>ROUND($B$5*$B$10*$B$12*$B$16*$B$19*$B$23*$B$24*$B$27,0)</f>
        <v/>
      </c>
      <c r="J58" s="10">
        <f>ROUND($B$5*$B$10*$B$12*$B$16*$B$19*$B$23*$B$25*$B$26,0)</f>
        <v/>
      </c>
      <c r="K58" s="10">
        <f>ROUND($B$5*$B$10*$B$12*$B$16*$B$19*$B$23*$B$25*$B$27,0)</f>
        <v/>
      </c>
      <c r="L58" s="10">
        <f>ROUND($B$4*$B$10*$B$12*$B$16*$B$20*$B$22*$B$24*$B$26,0)</f>
        <v/>
      </c>
      <c r="M58" s="10">
        <f>ROUND($B$4*$B$10*$B$12*$B$16*$B$20*$B$22*$B$24*$B$27,0)</f>
        <v/>
      </c>
      <c r="N58" s="10">
        <f>ROUND($B$4*$B$10*$B$12*$B$16*$B$20*$B$22*$B$25*$B$26,0)</f>
        <v/>
      </c>
      <c r="O58" s="10">
        <f>ROUND($B$4*$B$10*$B$12*$B$16*$B$20*$B$22*$B$25*$B$27,0)</f>
        <v/>
      </c>
      <c r="P58" s="10">
        <f>ROUND($B$5*$B$10*$B$12*$B$16*$B$20*$B$23*$B$24*$B$26,0)</f>
        <v/>
      </c>
      <c r="Q58" s="10">
        <f>ROUND($B$5*$B$10*$B$12*$B$16*$B$20*$B$23*$B$24*$B$27,0)</f>
        <v/>
      </c>
      <c r="R58" s="10">
        <f>ROUND($B$5*$B$10*$B$12*$B$16*$B$20*$B$23*$B$25*$B$26,0)</f>
        <v/>
      </c>
      <c r="S58" s="10">
        <f>ROUND($B$5*$B$10*$B$12*$B$16*$B$20*$B$23*$B$25*$B$27,0)</f>
        <v/>
      </c>
      <c r="T58" s="10">
        <f>ROUND($B$4*$B$10*$B$12*$B$16*$B$21*$B$22*$B$24*$B$26,0)</f>
        <v/>
      </c>
      <c r="U58" s="10">
        <f>ROUND($B$4*$B$10*$B$12*$B$16*$B$21*$B$22*$B$24*$B$27,0)</f>
        <v/>
      </c>
      <c r="V58" s="10">
        <f>ROUND($B$4*$B$10*$B$12*$B$16*$B$21*$B$22*$B$25*$B$26,0)</f>
        <v/>
      </c>
      <c r="W58" s="10">
        <f>ROUND($B$4*$B$10*$B$12*$B$16*$B$21*$B$22*$B$25*$B$27,0)</f>
        <v/>
      </c>
      <c r="X58" s="10">
        <f>ROUND($B$6*$B$10*$B$12*$B$16*$B$21*$B$23*$B$24*$B$26,0)</f>
        <v/>
      </c>
      <c r="Y58" s="10">
        <f>ROUND($B$6*$B$10*$B$12*$B$16*$B$21*$B$23*$B$24*$B$27,0)</f>
        <v/>
      </c>
      <c r="Z58" s="10">
        <f>ROUND($B$6*$B$10*$B$12*$B$16*$B$21*$B$23*$B$25*$B$26,0)</f>
        <v/>
      </c>
      <c r="AA58" s="10">
        <f>ROUND($B$6*$B$10*$B$12*$B$16*$B$21*$B$23*$B$25*$B$27,0)</f>
        <v/>
      </c>
    </row>
    <row r="59" ht="20.1" customHeight="1" s="62">
      <c r="A59" s="67" t="n"/>
      <c r="B59" s="58" t="n"/>
      <c r="C59" s="57" t="inlineStr">
        <is>
          <t>Maturité RSE intermédiaire</t>
        </is>
      </c>
      <c r="D59" s="10">
        <f>ROUND($B$4*$B$10*$B$12*$B$17*$B$19*$B$22*$B$24*$B$26,0)</f>
        <v/>
      </c>
      <c r="E59" s="10">
        <f>ROUND($B$4*$B$10*$B$12*$B$17*$B$19*$B$22*$B$24*$B$27,0)</f>
        <v/>
      </c>
      <c r="F59" s="10">
        <f>ROUND($B$4*$B$10*$B$12*$B$17*$B$19*$B$22*$B$25*$B$26,0)</f>
        <v/>
      </c>
      <c r="G59" s="10">
        <f>ROUND($B$4*$B$10*$B$12*$B$17*$B$19*$B$22*$B$25*$B$27,0)</f>
        <v/>
      </c>
      <c r="H59" s="10">
        <f>ROUND($B$5*$B$10*$B$12*$B$17*$B$19*$B$23*$B$24*$B$26,0)</f>
        <v/>
      </c>
      <c r="I59" s="10">
        <f>ROUND($B$5*$B$10*$B$12*$B$17*$B$19*$B$23*$B$24*$B$27,0)</f>
        <v/>
      </c>
      <c r="J59" s="10">
        <f>ROUND($B$5*$B$10*$B$12*$B$17*$B$19*$B$23*$B$25*$B$26,0)</f>
        <v/>
      </c>
      <c r="K59" s="10">
        <f>ROUND($B$5*$B$10*$B$12*$B$17*$B$19*$B$23*$B$25*$B$27,0)</f>
        <v/>
      </c>
      <c r="L59" s="10">
        <f>ROUND($B$4*$B$10*$B$12*$B$17*$B$20*$B$22*$B$24*$B$26,0)</f>
        <v/>
      </c>
      <c r="M59" s="10">
        <f>ROUND($B$4*$B$10*$B$12*$B$17*$B$20*$B$22*$B$24*$B$27,0)</f>
        <v/>
      </c>
      <c r="N59" s="10">
        <f>ROUND($B$4*$B$10*$B$12*$B$17*$B$20*$B$22*$B$25*$B$26,0)</f>
        <v/>
      </c>
      <c r="O59" s="10">
        <f>ROUND($B$4*$B$10*$B$12*$B$17*$B$20*$B$22*$B$25*$B$27,0)</f>
        <v/>
      </c>
      <c r="P59" s="10">
        <f>ROUND($B$5*$B$10*$B$12*$B$17*$B$20*$B$23*$B$24*$B$26,0)</f>
        <v/>
      </c>
      <c r="Q59" s="10">
        <f>ROUND($B$5*$B$10*$B$12*$B$17*$B$20*$B$23*$B$24*$B$27,0)</f>
        <v/>
      </c>
      <c r="R59" s="10">
        <f>ROUND($B$5*$B$10*$B$12*$B$17*$B$20*$B$23*$B$25*$B$26,0)</f>
        <v/>
      </c>
      <c r="S59" s="10">
        <f>ROUND($B$5*$B$10*$B$12*$B$17*$B$20*$B$23*$B$25*$B$27,0)</f>
        <v/>
      </c>
      <c r="T59" s="10">
        <f>ROUND($B$4*$B$10*$B$12*$B$17*$B$21*$B$22*$B$24*$B$26,0)</f>
        <v/>
      </c>
      <c r="U59" s="10">
        <f>ROUND($B$4*$B$10*$B$12*$B$17*$B$21*$B$22*$B$24*$B$27,0)</f>
        <v/>
      </c>
      <c r="V59" s="10">
        <f>ROUND($B$4*$B$10*$B$12*$B$17*$B$21*$B$22*$B$25*$B$26,0)</f>
        <v/>
      </c>
      <c r="W59" s="10">
        <f>ROUND($B$4*$B$10*$B$12*$B$17*$B$21*$B$22*$B$25*$B$27,0)</f>
        <v/>
      </c>
      <c r="X59" s="10">
        <f>ROUND($B$6*$B$10*$B$12*$B$17*$B$21*$B$23*$B$24*$B$26,0)</f>
        <v/>
      </c>
      <c r="Y59" s="10">
        <f>ROUND($B$6*$B$10*$B$12*$B$17*$B$21*$B$23*$B$24*$B$27,0)</f>
        <v/>
      </c>
      <c r="Z59" s="10">
        <f>ROUND($B$6*$B$10*$B$12*$B$17*$B$21*$B$23*$B$25*$B$26,0)</f>
        <v/>
      </c>
      <c r="AA59" s="10">
        <f>ROUND($B$6*$B$10*$B$12*$B$17*$B$21*$B$23*$B$25*$B$27,0)</f>
        <v/>
      </c>
    </row>
    <row r="60" ht="20.1" customHeight="1" s="62">
      <c r="A60" s="67" t="n"/>
      <c r="B60" s="59" t="n"/>
      <c r="C60" s="15" t="inlineStr">
        <is>
          <t>Maturité RSE avancée</t>
        </is>
      </c>
      <c r="D60" s="10">
        <f>ROUND($B$4*$B$10*$B$12*$B$18*$B$19*$B$22*$B$24*$B$26,0)</f>
        <v/>
      </c>
      <c r="E60" s="10">
        <f>ROUND($B$4*$B$10*$B$12*$B$18*$B$19*$B$22*$B$24*$B$27,0)</f>
        <v/>
      </c>
      <c r="F60" s="10">
        <f>ROUND($B$4*$B$10*$B$12*$B$18*$B$19*$B$22*$B$25*$B$26,0)</f>
        <v/>
      </c>
      <c r="G60" s="10">
        <f>ROUND($B$4*$B$10*$B$12*$B$18*$B$19*$B$22*$B$25*$B$27,0)</f>
        <v/>
      </c>
      <c r="H60" s="10">
        <f>ROUND($B$5*$B$10*$B$12*$B$18*$B$19*$B$23*$B$24*$B$26,0)</f>
        <v/>
      </c>
      <c r="I60" s="10">
        <f>ROUND($B$5*$B$10*$B$12*$B$18*$B$19*$B$23*$B$24*$B$27,0)</f>
        <v/>
      </c>
      <c r="J60" s="10">
        <f>ROUND($B$5*$B$10*$B$12*$B$18*$B$19*$B$23*$B$25*$B$26,0)</f>
        <v/>
      </c>
      <c r="K60" s="10">
        <f>ROUND($B$5*$B$10*$B$12*$B$18*$B$19*$B$23*$B$25*$B$27,0)</f>
        <v/>
      </c>
      <c r="L60" s="10">
        <f>ROUND($B$4*$B$10*$B$12*$B$18*$B$20*$B$22*$B$24*$B$26,0)</f>
        <v/>
      </c>
      <c r="M60" s="10">
        <f>ROUND($B$4*$B$10*$B$12*$B$18*$B$20*$B$22*$B$24*$B$27,0)</f>
        <v/>
      </c>
      <c r="N60" s="10">
        <f>ROUND($B$4*$B$10*$B$12*$B$18*$B$20*$B$22*$B$25*$B$26,0)</f>
        <v/>
      </c>
      <c r="O60" s="10">
        <f>ROUND($B$4*$B$10*$B$12*$B$18*$B$20*$B$22*$B$25*$B$27,0)</f>
        <v/>
      </c>
      <c r="P60" s="10">
        <f>ROUND($B$5*$B$10*$B$12*$B$18*$B$20*$B$23*$B$24*$B$26,0)</f>
        <v/>
      </c>
      <c r="Q60" s="10">
        <f>ROUND($B$5*$B$10*$B$12*$B$18*$B$20*$B$23*$B$24*$B$27,0)</f>
        <v/>
      </c>
      <c r="R60" s="10">
        <f>ROUND($B$5*$B$10*$B$12*$B$18*$B$20*$B$23*$B$25*$B$26,0)</f>
        <v/>
      </c>
      <c r="S60" s="10">
        <f>ROUND($B$5*$B$10*$B$12*$B$18*$B$20*$B$23*$B$25*$B$27,0)</f>
        <v/>
      </c>
      <c r="T60" s="10">
        <f>ROUND($B$4*$B$10*$B$12*$B$18*$B$21*$B$22*$B$24*$B$26,0)</f>
        <v/>
      </c>
      <c r="U60" s="10">
        <f>ROUND($B$4*$B$10*$B$12*$B$18*$B$21*$B$22*$B$24*$B$27,0)</f>
        <v/>
      </c>
      <c r="V60" s="10">
        <f>ROUND($B$4*$B$10*$B$12*$B$18*$B$21*$B$22*$B$25*$B$26,0)</f>
        <v/>
      </c>
      <c r="W60" s="10">
        <f>ROUND($B$4*$B$10*$B$12*$B$18*$B$21*$B$22*$B$25*$B$27,0)</f>
        <v/>
      </c>
      <c r="X60" s="10">
        <f>ROUND($B$6*$B$10*$B$12*$B$18*$B$21*$B$23*$B$24*$B$26,0)</f>
        <v/>
      </c>
      <c r="Y60" s="10">
        <f>ROUND($B$6*$B$10*$B$12*$B$18*$B$21*$B$23*$B$24*$B$27,0)</f>
        <v/>
      </c>
      <c r="Z60" s="10">
        <f>ROUND($B$6*$B$10*$B$12*$B$18*$B$21*$B$23*$B$25*$B$26,0)</f>
        <v/>
      </c>
      <c r="AA60" s="10">
        <f>ROUND($B$6*$B$10*$B$12*$B$18*$B$21*$B$23*$B$25*$B$27,0)</f>
        <v/>
      </c>
    </row>
    <row r="61" ht="20.1" customHeight="1" s="62">
      <c r="A61" s="67" t="n"/>
      <c r="B61" s="57" t="inlineStr">
        <is>
          <t>Industrie / BTP</t>
        </is>
      </c>
      <c r="C61" s="14" t="inlineStr">
        <is>
          <t>Maturité RSE faible</t>
        </is>
      </c>
      <c r="D61" s="10">
        <f>ROUND($B$4*$B$10*$B$13*$B$16*$B$19*$B$22*$B$24*$B$26,0)</f>
        <v/>
      </c>
      <c r="E61" s="10">
        <f>ROUND($B$4*$B$10*$B$13*$B$16*$B$19*$B$22*$B$24*$B$27,0)</f>
        <v/>
      </c>
      <c r="F61" s="10">
        <f>ROUND($B$4*$B$10*$B$13*$B$16*$B$19*$B$22*$B$25*$B$26,0)</f>
        <v/>
      </c>
      <c r="G61" s="10">
        <f>ROUND($B$4*$B$10*$B$13*$B$16*$B$19*$B$22*$B$25*$B$27,0)</f>
        <v/>
      </c>
      <c r="H61" s="10">
        <f>ROUND($B$5*$B$10*$B$13*$B$16*$B$19*$B$23*$B$24*$B$26,0)</f>
        <v/>
      </c>
      <c r="I61" s="10">
        <f>ROUND($B$5*$B$10*$B$13*$B$16*$B$19*$B$23*$B$24*$B$27,0)</f>
        <v/>
      </c>
      <c r="J61" s="10">
        <f>ROUND($B$5*$B$10*$B$13*$B$16*$B$19*$B$23*$B$25*$B$26,0)</f>
        <v/>
      </c>
      <c r="K61" s="10">
        <f>ROUND($B$5*$B$10*$B$13*$B$16*$B$19*$B$23*$B$25*$B$27,0)</f>
        <v/>
      </c>
      <c r="L61" s="10">
        <f>ROUND($B$4*$B$10*$B$13*$B$16*$B$20*$B$22*$B$24*$B$26,0)</f>
        <v/>
      </c>
      <c r="M61" s="10">
        <f>ROUND($B$4*$B$10*$B$13*$B$16*$B$20*$B$22*$B$24*$B$27,0)</f>
        <v/>
      </c>
      <c r="N61" s="10">
        <f>ROUND($B$4*$B$10*$B$13*$B$16*$B$20*$B$22*$B$25*$B$26,0)</f>
        <v/>
      </c>
      <c r="O61" s="10">
        <f>ROUND($B$4*$B$10*$B$13*$B$16*$B$20*$B$22*$B$25*$B$27,0)</f>
        <v/>
      </c>
      <c r="P61" s="10">
        <f>ROUND($B$5*$B$10*$B$13*$B$16*$B$20*$B$23*$B$24*$B$26,0)</f>
        <v/>
      </c>
      <c r="Q61" s="10">
        <f>ROUND($B$5*$B$10*$B$13*$B$16*$B$20*$B$23*$B$24*$B$27,0)</f>
        <v/>
      </c>
      <c r="R61" s="10">
        <f>ROUND($B$5*$B$10*$B$13*$B$16*$B$20*$B$23*$B$25*$B$26,0)</f>
        <v/>
      </c>
      <c r="S61" s="10">
        <f>ROUND($B$5*$B$10*$B$13*$B$16*$B$20*$B$23*$B$25*$B$27,0)</f>
        <v/>
      </c>
      <c r="T61" s="10">
        <f>ROUND($B$4*$B$10*$B$13*$B$16*$B$21*$B$22*$B$24*$B$26,0)</f>
        <v/>
      </c>
      <c r="U61" s="10">
        <f>ROUND($B$4*$B$10*$B$13*$B$16*$B$21*$B$22*$B$24*$B$27,0)</f>
        <v/>
      </c>
      <c r="V61" s="10">
        <f>ROUND($B$4*$B$10*$B$13*$B$16*$B$21*$B$22*$B$25*$B$26,0)</f>
        <v/>
      </c>
      <c r="W61" s="10">
        <f>ROUND($B$4*$B$10*$B$13*$B$16*$B$21*$B$22*$B$25*$B$27,0)</f>
        <v/>
      </c>
      <c r="X61" s="10">
        <f>ROUND($B$6*$B$10*$B$13*$B$16*$B$21*$B$23*$B$24*$B$26,0)</f>
        <v/>
      </c>
      <c r="Y61" s="10">
        <f>ROUND($B$6*$B$10*$B$13*$B$16*$B$21*$B$23*$B$24*$B$27,0)</f>
        <v/>
      </c>
      <c r="Z61" s="10">
        <f>ROUND($B$6*$B$10*$B$13*$B$16*$B$21*$B$23*$B$25*$B$26,0)</f>
        <v/>
      </c>
      <c r="AA61" s="10">
        <f>ROUND($B$6*$B$10*$B$13*$B$16*$B$21*$B$23*$B$25*$B$27,0)</f>
        <v/>
      </c>
    </row>
    <row r="62" ht="20.1" customHeight="1" s="62">
      <c r="A62" s="67" t="n"/>
      <c r="B62" s="58" t="n"/>
      <c r="C62" s="57" t="inlineStr">
        <is>
          <t>Maturité RSE intermédiaire</t>
        </is>
      </c>
      <c r="D62" s="10">
        <f>ROUND($B$4*$B$10*$B$13*$B$17*$B$19*$B$22*$B$24*$B$26,0)</f>
        <v/>
      </c>
      <c r="E62" s="10">
        <f>ROUND($B$4*$B$10*$B$13*$B$17*$B$19*$B$22*$B$24*$B$27,0)</f>
        <v/>
      </c>
      <c r="F62" s="10">
        <f>ROUND($B$4*$B$10*$B$13*$B$17*$B$19*$B$22*$B$25*$B$26,0)</f>
        <v/>
      </c>
      <c r="G62" s="10">
        <f>ROUND($B$4*$B$10*$B$13*$B$17*$B$19*$B$22*$B$25*$B$27,0)</f>
        <v/>
      </c>
      <c r="H62" s="10">
        <f>ROUND($B$5*$B$10*$B$13*$B$17*$B$19*$B$23*$B$24*$B$26,0)</f>
        <v/>
      </c>
      <c r="I62" s="10">
        <f>ROUND($B$5*$B$10*$B$13*$B$17*$B$19*$B$23*$B$24*$B$27,0)</f>
        <v/>
      </c>
      <c r="J62" s="10">
        <f>ROUND($B$5*$B$10*$B$13*$B$17*$B$19*$B$23*$B$25*$B$26,0)</f>
        <v/>
      </c>
      <c r="K62" s="10">
        <f>ROUND($B$5*$B$10*$B$13*$B$17*$B$19*$B$23*$B$25*$B$27,0)</f>
        <v/>
      </c>
      <c r="L62" s="10">
        <f>ROUND($B$4*$B$10*$B$13*$B$17*$B$20*$B$22*$B$24*$B$26,0)</f>
        <v/>
      </c>
      <c r="M62" s="10">
        <f>ROUND($B$4*$B$10*$B$13*$B$17*$B$20*$B$22*$B$24*$B$27,0)</f>
        <v/>
      </c>
      <c r="N62" s="10">
        <f>ROUND($B$4*$B$10*$B$13*$B$17*$B$20*$B$22*$B$25*$B$26,0)</f>
        <v/>
      </c>
      <c r="O62" s="10">
        <f>ROUND($B$4*$B$10*$B$13*$B$17*$B$20*$B$22*$B$25*$B$27,0)</f>
        <v/>
      </c>
      <c r="P62" s="10">
        <f>ROUND($B$5*$B$10*$B$13*$B$17*$B$20*$B$23*$B$24*$B$26,0)</f>
        <v/>
      </c>
      <c r="Q62" s="10">
        <f>ROUND($B$5*$B$10*$B$13*$B$17*$B$20*$B$23*$B$24*$B$27,0)</f>
        <v/>
      </c>
      <c r="R62" s="10">
        <f>ROUND($B$5*$B$10*$B$13*$B$17*$B$20*$B$23*$B$25*$B$26,0)</f>
        <v/>
      </c>
      <c r="S62" s="10">
        <f>ROUND($B$5*$B$10*$B$13*$B$17*$B$20*$B$23*$B$25*$B$27,0)</f>
        <v/>
      </c>
      <c r="T62" s="10">
        <f>ROUND($B$4*$B$10*$B$13*$B$17*$B$21*$B$22*$B$24*$B$26,0)</f>
        <v/>
      </c>
      <c r="U62" s="10">
        <f>ROUND($B$4*$B$10*$B$13*$B$17*$B$21*$B$22*$B$24*$B$27,0)</f>
        <v/>
      </c>
      <c r="V62" s="10">
        <f>ROUND($B$4*$B$10*$B$13*$B$17*$B$21*$B$22*$B$25*$B$26,0)</f>
        <v/>
      </c>
      <c r="W62" s="10">
        <f>ROUND($B$4*$B$10*$B$13*$B$17*$B$21*$B$22*$B$25*$B$27,0)</f>
        <v/>
      </c>
      <c r="X62" s="10">
        <f>ROUND($B$6*$B$10*$B$13*$B$17*$B$21*$B$23*$B$24*$B$26,0)</f>
        <v/>
      </c>
      <c r="Y62" s="10">
        <f>ROUND($B$6*$B$10*$B$13*$B$17*$B$21*$B$23*$B$24*$B$27,0)</f>
        <v/>
      </c>
      <c r="Z62" s="10">
        <f>ROUND($B$6*$B$10*$B$13*$B$17*$B$21*$B$23*$B$25*$B$26,0)</f>
        <v/>
      </c>
      <c r="AA62" s="10">
        <f>ROUND($B$6*$B$10*$B$13*$B$17*$B$21*$B$23*$B$25*$B$27,0)</f>
        <v/>
      </c>
    </row>
    <row r="63" ht="20.1" customHeight="1" s="62">
      <c r="A63" s="67" t="n"/>
      <c r="B63" s="59" t="n"/>
      <c r="C63" s="15" t="inlineStr">
        <is>
          <t>Maturité RSE avancée</t>
        </is>
      </c>
      <c r="D63" s="10">
        <f>ROUND($B$4*$B$10*$B$13*$B$18*$B$19*$B$22*$B$24*$B$26,0)</f>
        <v/>
      </c>
      <c r="E63" s="10">
        <f>ROUND($B$4*$B$10*$B$13*$B$18*$B$19*$B$22*$B$24*$B$27,0)</f>
        <v/>
      </c>
      <c r="F63" s="10">
        <f>ROUND($B$4*$B$10*$B$13*$B$18*$B$19*$B$22*$B$25*$B$26,0)</f>
        <v/>
      </c>
      <c r="G63" s="10">
        <f>ROUND($B$4*$B$10*$B$13*$B$18*$B$19*$B$22*$B$25*$B$27,0)</f>
        <v/>
      </c>
      <c r="H63" s="10">
        <f>ROUND($B$5*$B$10*$B$13*$B$18*$B$19*$B$23*$B$24*$B$26,0)</f>
        <v/>
      </c>
      <c r="I63" s="10">
        <f>ROUND($B$5*$B$10*$B$13*$B$18*$B$19*$B$23*$B$24*$B$27,0)</f>
        <v/>
      </c>
      <c r="J63" s="10">
        <f>ROUND($B$5*$B$10*$B$13*$B$18*$B$19*$B$23*$B$25*$B$26,0)</f>
        <v/>
      </c>
      <c r="K63" s="10">
        <f>ROUND($B$5*$B$10*$B$13*$B$18*$B$19*$B$23*$B$25*$B$27,0)</f>
        <v/>
      </c>
      <c r="L63" s="10">
        <f>ROUND($B$4*$B$10*$B$13*$B$18*$B$20*$B$22*$B$24*$B$26,0)</f>
        <v/>
      </c>
      <c r="M63" s="10">
        <f>ROUND($B$4*$B$10*$B$13*$B$18*$B$20*$B$22*$B$24*$B$27,0)</f>
        <v/>
      </c>
      <c r="N63" s="10">
        <f>ROUND($B$4*$B$10*$B$13*$B$18*$B$20*$B$22*$B$25*$B$26,0)</f>
        <v/>
      </c>
      <c r="O63" s="10">
        <f>ROUND($B$4*$B$10*$B$13*$B$18*$B$20*$B$22*$B$25*$B$27,0)</f>
        <v/>
      </c>
      <c r="P63" s="10">
        <f>ROUND($B$5*$B$10*$B$13*$B$18*$B$20*$B$23*$B$24*$B$26,0)</f>
        <v/>
      </c>
      <c r="Q63" s="10">
        <f>ROUND($B$5*$B$10*$B$13*$B$18*$B$20*$B$23*$B$24*$B$27,0)</f>
        <v/>
      </c>
      <c r="R63" s="10">
        <f>ROUND($B$5*$B$10*$B$13*$B$18*$B$20*$B$23*$B$25*$B$26,0)</f>
        <v/>
      </c>
      <c r="S63" s="10">
        <f>ROUND($B$5*$B$10*$B$13*$B$18*$B$20*$B$23*$B$25*$B$27,0)</f>
        <v/>
      </c>
      <c r="T63" s="10">
        <f>ROUND($B$4*$B$10*$B$13*$B$18*$B$21*$B$22*$B$24*$B$26,0)</f>
        <v/>
      </c>
      <c r="U63" s="10">
        <f>ROUND($B$4*$B$10*$B$13*$B$18*$B$21*$B$22*$B$24*$B$27,0)</f>
        <v/>
      </c>
      <c r="V63" s="10">
        <f>ROUND($B$4*$B$10*$B$13*$B$18*$B$21*$B$22*$B$25*$B$26,0)</f>
        <v/>
      </c>
      <c r="W63" s="10">
        <f>ROUND($B$4*$B$10*$B$13*$B$18*$B$21*$B$22*$B$25*$B$27,0)</f>
        <v/>
      </c>
      <c r="X63" s="10">
        <f>ROUND($B$6*$B$10*$B$13*$B$18*$B$21*$B$23*$B$24*$B$26,0)</f>
        <v/>
      </c>
      <c r="Y63" s="10">
        <f>ROUND($B$6*$B$10*$B$13*$B$18*$B$21*$B$23*$B$24*$B$27,0)</f>
        <v/>
      </c>
      <c r="Z63" s="10">
        <f>ROUND($B$6*$B$10*$B$13*$B$18*$B$21*$B$23*$B$25*$B$26,0)</f>
        <v/>
      </c>
      <c r="AA63" s="10">
        <f>ROUND($B$6*$B$10*$B$13*$B$18*$B$21*$B$23*$B$25*$B$27,0)</f>
        <v/>
      </c>
    </row>
    <row r="64" ht="20.1" customHeight="1" s="62">
      <c r="A64" s="67" t="n"/>
      <c r="B64" s="57" t="inlineStr">
        <is>
          <t>Santé / Finance</t>
        </is>
      </c>
      <c r="C64" s="14" t="inlineStr">
        <is>
          <t>Maturité RSE faible</t>
        </is>
      </c>
      <c r="D64" s="10">
        <f>ROUND($B$4*$B$10*$B$14*$B$16*$B$19*$B$22*$B$24*$B$26,0)</f>
        <v/>
      </c>
      <c r="E64" s="10">
        <f>ROUND($B$4*$B$10*$B$14*$B$16*$B$19*$B$22*$B$24*$B$27,0)</f>
        <v/>
      </c>
      <c r="F64" s="10">
        <f>ROUND($B$4*$B$10*$B$14*$B$16*$B$19*$B$22*$B$25*$B$26,0)</f>
        <v/>
      </c>
      <c r="G64" s="10">
        <f>ROUND($B$4*$B$10*$B$14*$B$16*$B$19*$B$22*$B$25*$B$27,0)</f>
        <v/>
      </c>
      <c r="H64" s="10">
        <f>ROUND($B$5*$B$10*$B$14*$B$16*$B$19*$B$23*$B$24*$B$26,0)</f>
        <v/>
      </c>
      <c r="I64" s="10">
        <f>ROUND($B$5*$B$10*$B$14*$B$16*$B$19*$B$23*$B$24*$B$27,0)</f>
        <v/>
      </c>
      <c r="J64" s="10">
        <f>ROUND($B$5*$B$10*$B$14*$B$16*$B$19*$B$23*$B$25*$B$26,0)</f>
        <v/>
      </c>
      <c r="K64" s="10">
        <f>ROUND($B$5*$B$10*$B$14*$B$16*$B$19*$B$23*$B$25*$B$27,0)</f>
        <v/>
      </c>
      <c r="L64" s="10">
        <f>ROUND($B$4*$B$10*$B$14*$B$16*$B$20*$B$22*$B$24*$B$26,0)</f>
        <v/>
      </c>
      <c r="M64" s="10">
        <f>ROUND($B$4*$B$10*$B$14*$B$16*$B$20*$B$22*$B$24*$B$27,0)</f>
        <v/>
      </c>
      <c r="N64" s="10">
        <f>ROUND($B$4*$B$10*$B$14*$B$16*$B$20*$B$22*$B$25*$B$26,0)</f>
        <v/>
      </c>
      <c r="O64" s="10">
        <f>ROUND($B$4*$B$10*$B$14*$B$16*$B$20*$B$22*$B$25*$B$27,0)</f>
        <v/>
      </c>
      <c r="P64" s="10">
        <f>ROUND($B$5*$B$10*$B$14*$B$16*$B$20*$B$23*$B$24*$B$26,0)</f>
        <v/>
      </c>
      <c r="Q64" s="10">
        <f>ROUND($B$5*$B$10*$B$14*$B$16*$B$20*$B$23*$B$24*$B$27,0)</f>
        <v/>
      </c>
      <c r="R64" s="10">
        <f>ROUND($B$5*$B$10*$B$14*$B$16*$B$20*$B$23*$B$25*$B$26,0)</f>
        <v/>
      </c>
      <c r="S64" s="10">
        <f>ROUND($B$5*$B$10*$B$14*$B$16*$B$20*$B$23*$B$25*$B$27,0)</f>
        <v/>
      </c>
      <c r="T64" s="10">
        <f>ROUND($B$4*$B$10*$B$14*$B$16*$B$21*$B$22*$B$24*$B$26,0)</f>
        <v/>
      </c>
      <c r="U64" s="10">
        <f>ROUND($B$4*$B$10*$B$14*$B$16*$B$21*$B$22*$B$24*$B$27,0)</f>
        <v/>
      </c>
      <c r="V64" s="10">
        <f>ROUND($B$4*$B$10*$B$14*$B$16*$B$21*$B$22*$B$25*$B$26,0)</f>
        <v/>
      </c>
      <c r="W64" s="10">
        <f>ROUND($B$4*$B$10*$B$14*$B$16*$B$21*$B$22*$B$25*$B$27,0)</f>
        <v/>
      </c>
      <c r="X64" s="10">
        <f>ROUND($B$6*$B$10*$B$14*$B$16*$B$21*$B$23*$B$24*$B$26,0)</f>
        <v/>
      </c>
      <c r="Y64" s="10">
        <f>ROUND($B$6*$B$10*$B$14*$B$16*$B$21*$B$23*$B$24*$B$27,0)</f>
        <v/>
      </c>
      <c r="Z64" s="10">
        <f>ROUND($B$6*$B$10*$B$14*$B$16*$B$21*$B$23*$B$25*$B$26,0)</f>
        <v/>
      </c>
      <c r="AA64" s="10">
        <f>ROUND($B$6*$B$10*$B$14*$B$16*$B$21*$B$23*$B$25*$B$27,0)</f>
        <v/>
      </c>
    </row>
    <row r="65" ht="20.1" customHeight="1" s="62">
      <c r="A65" s="67" t="n"/>
      <c r="B65" s="58" t="n"/>
      <c r="C65" s="57" t="inlineStr">
        <is>
          <t>Maturité RSE intermédiaire</t>
        </is>
      </c>
      <c r="D65" s="10">
        <f>ROUND($B$4*$B$10*$B$14*$B$17*$B$19*$B$22*$B$24*$B$26,0)</f>
        <v/>
      </c>
      <c r="E65" s="10">
        <f>ROUND($B$4*$B$10*$B$14*$B$17*$B$19*$B$22*$B$24*$B$27,0)</f>
        <v/>
      </c>
      <c r="F65" s="10">
        <f>ROUND($B$4*$B$10*$B$14*$B$17*$B$19*$B$22*$B$25*$B$26,0)</f>
        <v/>
      </c>
      <c r="G65" s="10">
        <f>ROUND($B$4*$B$10*$B$14*$B$17*$B$19*$B$22*$B$25*$B$27,0)</f>
        <v/>
      </c>
      <c r="H65" s="10">
        <f>ROUND($B$5*$B$10*$B$14*$B$17*$B$19*$B$23*$B$24*$B$26,0)</f>
        <v/>
      </c>
      <c r="I65" s="10">
        <f>ROUND($B$5*$B$10*$B$14*$B$17*$B$19*$B$23*$B$24*$B$27,0)</f>
        <v/>
      </c>
      <c r="J65" s="10">
        <f>ROUND($B$5*$B$10*$B$14*$B$17*$B$19*$B$23*$B$25*$B$26,0)</f>
        <v/>
      </c>
      <c r="K65" s="10">
        <f>ROUND($B$5*$B$10*$B$14*$B$17*$B$19*$B$23*$B$25*$B$27,0)</f>
        <v/>
      </c>
      <c r="L65" s="10">
        <f>ROUND($B$4*$B$10*$B$14*$B$17*$B$20*$B$22*$B$24*$B$26,0)</f>
        <v/>
      </c>
      <c r="M65" s="10">
        <f>ROUND($B$4*$B$10*$B$14*$B$17*$B$20*$B$22*$B$24*$B$27,0)</f>
        <v/>
      </c>
      <c r="N65" s="10">
        <f>ROUND($B$4*$B$10*$B$14*$B$17*$B$20*$B$22*$B$25*$B$26,0)</f>
        <v/>
      </c>
      <c r="O65" s="10">
        <f>ROUND($B$4*$B$10*$B$14*$B$17*$B$20*$B$22*$B$25*$B$27,0)</f>
        <v/>
      </c>
      <c r="P65" s="10">
        <f>ROUND($B$5*$B$10*$B$14*$B$17*$B$20*$B$23*$B$24*$B$26,0)</f>
        <v/>
      </c>
      <c r="Q65" s="10">
        <f>ROUND($B$5*$B$10*$B$14*$B$17*$B$20*$B$23*$B$24*$B$27,0)</f>
        <v/>
      </c>
      <c r="R65" s="10">
        <f>ROUND($B$5*$B$10*$B$14*$B$17*$B$20*$B$23*$B$25*$B$26,0)</f>
        <v/>
      </c>
      <c r="S65" s="10">
        <f>ROUND($B$5*$B$10*$B$14*$B$17*$B$20*$B$23*$B$25*$B$27,0)</f>
        <v/>
      </c>
      <c r="T65" s="10">
        <f>ROUND($B$4*$B$10*$B$14*$B$17*$B$21*$B$22*$B$24*$B$26,0)</f>
        <v/>
      </c>
      <c r="U65" s="10">
        <f>ROUND($B$4*$B$10*$B$14*$B$17*$B$21*$B$22*$B$24*$B$27,0)</f>
        <v/>
      </c>
      <c r="V65" s="10">
        <f>ROUND($B$4*$B$10*$B$14*$B$17*$B$21*$B$22*$B$25*$B$26,0)</f>
        <v/>
      </c>
      <c r="W65" s="10">
        <f>ROUND($B$4*$B$10*$B$14*$B$17*$B$21*$B$22*$B$25*$B$27,0)</f>
        <v/>
      </c>
      <c r="X65" s="10">
        <f>ROUND($B$6*$B$10*$B$14*$B$17*$B$21*$B$23*$B$24*$B$26,0)</f>
        <v/>
      </c>
      <c r="Y65" s="10">
        <f>ROUND($B$6*$B$10*$B$14*$B$17*$B$21*$B$23*$B$24*$B$27,0)</f>
        <v/>
      </c>
      <c r="Z65" s="10">
        <f>ROUND($B$6*$B$10*$B$14*$B$17*$B$21*$B$23*$B$25*$B$26,0)</f>
        <v/>
      </c>
      <c r="AA65" s="10">
        <f>ROUND($B$6*$B$10*$B$14*$B$17*$B$21*$B$23*$B$25*$B$27,0)</f>
        <v/>
      </c>
    </row>
    <row r="66" ht="20.1" customHeight="1" s="62">
      <c r="A66" s="67" t="n"/>
      <c r="B66" s="59" t="n"/>
      <c r="C66" s="15" t="inlineStr">
        <is>
          <t>Maturité RSE avancée</t>
        </is>
      </c>
      <c r="D66" s="10">
        <f>ROUND($B$4*$B$10*$B$14*$B$18*$B$19*$B$22*$B$24*$B$26,0)</f>
        <v/>
      </c>
      <c r="E66" s="10">
        <f>ROUND($B$4*$B$10*$B$14*$B$18*$B$19*$B$22*$B$24*$B$27,0)</f>
        <v/>
      </c>
      <c r="F66" s="10">
        <f>ROUND($B$4*$B$10*$B$14*$B$18*$B$19*$B$22*$B$25*$B$26,0)</f>
        <v/>
      </c>
      <c r="G66" s="10">
        <f>ROUND($B$4*$B$10*$B$14*$B$18*$B$19*$B$22*$B$25*$B$27,0)</f>
        <v/>
      </c>
      <c r="H66" s="10">
        <f>ROUND($B$5*$B$10*$B$14*$B$18*$B$19*$B$23*$B$24*$B$26,0)</f>
        <v/>
      </c>
      <c r="I66" s="10">
        <f>ROUND($B$5*$B$10*$B$14*$B$18*$B$19*$B$23*$B$24*$B$27,0)</f>
        <v/>
      </c>
      <c r="J66" s="10">
        <f>ROUND($B$5*$B$10*$B$14*$B$18*$B$19*$B$23*$B$25*$B$26,0)</f>
        <v/>
      </c>
      <c r="K66" s="10">
        <f>ROUND($B$5*$B$10*$B$14*$B$18*$B$19*$B$23*$B$25*$B$27,0)</f>
        <v/>
      </c>
      <c r="L66" s="10">
        <f>ROUND($B$4*$B$10*$B$14*$B$18*$B$20*$B$22*$B$24*$B$26,0)</f>
        <v/>
      </c>
      <c r="M66" s="10">
        <f>ROUND($B$4*$B$10*$B$14*$B$18*$B$20*$B$22*$B$24*$B$27,0)</f>
        <v/>
      </c>
      <c r="N66" s="10">
        <f>ROUND($B$4*$B$10*$B$14*$B$18*$B$20*$B$22*$B$25*$B$26,0)</f>
        <v/>
      </c>
      <c r="O66" s="10">
        <f>ROUND($B$4*$B$10*$B$14*$B$18*$B$20*$B$22*$B$25*$B$27,0)</f>
        <v/>
      </c>
      <c r="P66" s="10">
        <f>ROUND($B$5*$B$10*$B$14*$B$18*$B$20*$B$23*$B$24*$B$26,0)</f>
        <v/>
      </c>
      <c r="Q66" s="10">
        <f>ROUND($B$5*$B$10*$B$14*$B$18*$B$20*$B$23*$B$24*$B$27,0)</f>
        <v/>
      </c>
      <c r="R66" s="10">
        <f>ROUND($B$5*$B$10*$B$14*$B$18*$B$20*$B$23*$B$25*$B$26,0)</f>
        <v/>
      </c>
      <c r="S66" s="10">
        <f>ROUND($B$5*$B$10*$B$14*$B$18*$B$20*$B$23*$B$25*$B$27,0)</f>
        <v/>
      </c>
      <c r="T66" s="10">
        <f>ROUND($B$4*$B$10*$B$14*$B$18*$B$21*$B$22*$B$24*$B$26,0)</f>
        <v/>
      </c>
      <c r="U66" s="10">
        <f>ROUND($B$4*$B$10*$B$14*$B$18*$B$21*$B$22*$B$24*$B$27,0)</f>
        <v/>
      </c>
      <c r="V66" s="10">
        <f>ROUND($B$4*$B$10*$B$14*$B$18*$B$21*$B$22*$B$25*$B$26,0)</f>
        <v/>
      </c>
      <c r="W66" s="10">
        <f>ROUND($B$4*$B$10*$B$14*$B$18*$B$21*$B$22*$B$25*$B$27,0)</f>
        <v/>
      </c>
      <c r="X66" s="10">
        <f>ROUND($B$6*$B$10*$B$14*$B$18*$B$21*$B$23*$B$24*$B$26,0)</f>
        <v/>
      </c>
      <c r="Y66" s="10">
        <f>ROUND($B$6*$B$10*$B$14*$B$18*$B$21*$B$23*$B$24*$B$27,0)</f>
        <v/>
      </c>
      <c r="Z66" s="10">
        <f>ROUND($B$6*$B$10*$B$14*$B$18*$B$21*$B$23*$B$25*$B$26,0)</f>
        <v/>
      </c>
      <c r="AA66" s="10">
        <f>ROUND($B$6*$B$10*$B$14*$B$18*$B$21*$B$23*$B$25*$B$27,0)</f>
        <v/>
      </c>
    </row>
    <row r="67" ht="20.1" customHeight="1" s="62">
      <c r="A67" s="67" t="n"/>
      <c r="B67" s="57" t="inlineStr">
        <is>
          <t>Tech / Numérique</t>
        </is>
      </c>
      <c r="C67" s="14" t="inlineStr">
        <is>
          <t>Maturité RSE faible</t>
        </is>
      </c>
      <c r="D67" s="10">
        <f>ROUND($B$4*$B$10*$B$15*$B$16*$B$19*$B$22*$B$24*$B$26,0)</f>
        <v/>
      </c>
      <c r="E67" s="10">
        <f>ROUND($B$4*$B$10*$B$15*$B$16*$B$19*$B$22*$B$24*$B$27,0)</f>
        <v/>
      </c>
      <c r="F67" s="10">
        <f>ROUND($B$4*$B$10*$B$15*$B$16*$B$19*$B$22*$B$25*$B$26,0)</f>
        <v/>
      </c>
      <c r="G67" s="10">
        <f>ROUND($B$4*$B$10*$B$15*$B$16*$B$19*$B$22*$B$25*$B$27,0)</f>
        <v/>
      </c>
      <c r="H67" s="10">
        <f>ROUND($B$5*$B$10*$B$15*$B$16*$B$19*$B$23*$B$24*$B$26,0)</f>
        <v/>
      </c>
      <c r="I67" s="10">
        <f>ROUND($B$5*$B$10*$B$15*$B$16*$B$19*$B$23*$B$24*$B$27,0)</f>
        <v/>
      </c>
      <c r="J67" s="10">
        <f>ROUND($B$5*$B$10*$B$15*$B$16*$B$19*$B$23*$B$25*$B$26,0)</f>
        <v/>
      </c>
      <c r="K67" s="10">
        <f>ROUND($B$5*$B$10*$B$15*$B$16*$B$19*$B$23*$B$25*$B$27,0)</f>
        <v/>
      </c>
      <c r="L67" s="10">
        <f>ROUND($B$4*$B$10*$B$15*$B$16*$B$20*$B$22*$B$24*$B$26,0)</f>
        <v/>
      </c>
      <c r="M67" s="10">
        <f>ROUND($B$4*$B$10*$B$15*$B$16*$B$20*$B$22*$B$24*$B$27,0)</f>
        <v/>
      </c>
      <c r="N67" s="10">
        <f>ROUND($B$4*$B$10*$B$15*$B$16*$B$20*$B$22*$B$25*$B$26,0)</f>
        <v/>
      </c>
      <c r="O67" s="10">
        <f>ROUND($B$4*$B$10*$B$15*$B$16*$B$20*$B$22*$B$25*$B$27,0)</f>
        <v/>
      </c>
      <c r="P67" s="10">
        <f>ROUND($B$5*$B$10*$B$15*$B$16*$B$20*$B$23*$B$24*$B$26,0)</f>
        <v/>
      </c>
      <c r="Q67" s="10">
        <f>ROUND($B$5*$B$10*$B$15*$B$16*$B$20*$B$23*$B$24*$B$27,0)</f>
        <v/>
      </c>
      <c r="R67" s="10">
        <f>ROUND($B$5*$B$10*$B$15*$B$16*$B$20*$B$23*$B$25*$B$26,0)</f>
        <v/>
      </c>
      <c r="S67" s="10">
        <f>ROUND($B$5*$B$10*$B$15*$B$16*$B$20*$B$23*$B$25*$B$27,0)</f>
        <v/>
      </c>
      <c r="T67" s="10">
        <f>ROUND($B$4*$B$10*$B$15*$B$16*$B$21*$B$22*$B$24*$B$26,0)</f>
        <v/>
      </c>
      <c r="U67" s="10">
        <f>ROUND($B$4*$B$10*$B$15*$B$16*$B$21*$B$22*$B$24*$B$27,0)</f>
        <v/>
      </c>
      <c r="V67" s="10">
        <f>ROUND($B$4*$B$10*$B$15*$B$16*$B$21*$B$22*$B$25*$B$26,0)</f>
        <v/>
      </c>
      <c r="W67" s="10">
        <f>ROUND($B$4*$B$10*$B$15*$B$16*$B$21*$B$22*$B$25*$B$27,0)</f>
        <v/>
      </c>
      <c r="X67" s="10">
        <f>ROUND($B$6*$B$10*$B$15*$B$16*$B$21*$B$23*$B$24*$B$26,0)</f>
        <v/>
      </c>
      <c r="Y67" s="10">
        <f>ROUND($B$6*$B$10*$B$15*$B$16*$B$21*$B$23*$B$24*$B$27,0)</f>
        <v/>
      </c>
      <c r="Z67" s="10">
        <f>ROUND($B$6*$B$10*$B$15*$B$16*$B$21*$B$23*$B$25*$B$26,0)</f>
        <v/>
      </c>
      <c r="AA67" s="10">
        <f>ROUND($B$6*$B$10*$B$15*$B$16*$B$21*$B$23*$B$25*$B$27,0)</f>
        <v/>
      </c>
    </row>
    <row r="68" ht="20.1" customHeight="1" s="62">
      <c r="A68" s="67" t="n"/>
      <c r="B68" s="58" t="n"/>
      <c r="C68" s="57" t="inlineStr">
        <is>
          <t>Maturité RSE intermédiaire</t>
        </is>
      </c>
      <c r="D68" s="10">
        <f>ROUND($B$4*$B$10*$B$15*$B$17*$B$19*$B$22*$B$24*$B$26,0)</f>
        <v/>
      </c>
      <c r="E68" s="10">
        <f>ROUND($B$4*$B$10*$B$15*$B$17*$B$19*$B$22*$B$24*$B$27,0)</f>
        <v/>
      </c>
      <c r="F68" s="10">
        <f>ROUND($B$4*$B$10*$B$15*$B$17*$B$19*$B$22*$B$25*$B$26,0)</f>
        <v/>
      </c>
      <c r="G68" s="10">
        <f>ROUND($B$4*$B$10*$B$15*$B$17*$B$19*$B$22*$B$25*$B$27,0)</f>
        <v/>
      </c>
      <c r="H68" s="10">
        <f>ROUND($B$5*$B$10*$B$15*$B$17*$B$19*$B$23*$B$24*$B$26,0)</f>
        <v/>
      </c>
      <c r="I68" s="10">
        <f>ROUND($B$5*$B$10*$B$15*$B$17*$B$19*$B$23*$B$24*$B$27,0)</f>
        <v/>
      </c>
      <c r="J68" s="10">
        <f>ROUND($B$5*$B$10*$B$15*$B$17*$B$19*$B$23*$B$25*$B$26,0)</f>
        <v/>
      </c>
      <c r="K68" s="10">
        <f>ROUND($B$5*$B$10*$B$15*$B$17*$B$19*$B$23*$B$25*$B$27,0)</f>
        <v/>
      </c>
      <c r="L68" s="10">
        <f>ROUND($B$4*$B$10*$B$15*$B$17*$B$20*$B$22*$B$24*$B$26,0)</f>
        <v/>
      </c>
      <c r="M68" s="10">
        <f>ROUND($B$4*$B$10*$B$15*$B$17*$B$20*$B$22*$B$24*$B$27,0)</f>
        <v/>
      </c>
      <c r="N68" s="10">
        <f>ROUND($B$4*$B$10*$B$15*$B$17*$B$20*$B$22*$B$25*$B$26,0)</f>
        <v/>
      </c>
      <c r="O68" s="10">
        <f>ROUND($B$4*$B$10*$B$15*$B$17*$B$20*$B$22*$B$25*$B$27,0)</f>
        <v/>
      </c>
      <c r="P68" s="10">
        <f>ROUND($B$5*$B$10*$B$15*$B$17*$B$20*$B$23*$B$24*$B$26,0)</f>
        <v/>
      </c>
      <c r="Q68" s="10">
        <f>ROUND($B$5*$B$10*$B$15*$B$17*$B$20*$B$23*$B$24*$B$27,0)</f>
        <v/>
      </c>
      <c r="R68" s="10">
        <f>ROUND($B$5*$B$10*$B$15*$B$17*$B$20*$B$23*$B$25*$B$26,0)</f>
        <v/>
      </c>
      <c r="S68" s="10">
        <f>ROUND($B$5*$B$10*$B$15*$B$17*$B$20*$B$23*$B$25*$B$27,0)</f>
        <v/>
      </c>
      <c r="T68" s="10">
        <f>ROUND($B$4*$B$10*$B$15*$B$17*$B$21*$B$22*$B$24*$B$26,0)</f>
        <v/>
      </c>
      <c r="U68" s="10">
        <f>ROUND($B$4*$B$10*$B$15*$B$17*$B$21*$B$22*$B$24*$B$27,0)</f>
        <v/>
      </c>
      <c r="V68" s="10">
        <f>ROUND($B$4*$B$10*$B$15*$B$17*$B$21*$B$22*$B$25*$B$26,0)</f>
        <v/>
      </c>
      <c r="W68" s="10">
        <f>ROUND($B$4*$B$10*$B$15*$B$17*$B$21*$B$22*$B$25*$B$27,0)</f>
        <v/>
      </c>
      <c r="X68" s="10">
        <f>ROUND($B$6*$B$10*$B$15*$B$17*$B$21*$B$23*$B$24*$B$26,0)</f>
        <v/>
      </c>
      <c r="Y68" s="10">
        <f>ROUND($B$6*$B$10*$B$15*$B$17*$B$21*$B$23*$B$24*$B$27,0)</f>
        <v/>
      </c>
      <c r="Z68" s="10">
        <f>ROUND($B$6*$B$10*$B$15*$B$17*$B$21*$B$23*$B$25*$B$26,0)</f>
        <v/>
      </c>
      <c r="AA68" s="10">
        <f>ROUND($B$6*$B$10*$B$15*$B$17*$B$21*$B$23*$B$25*$B$27,0)</f>
        <v/>
      </c>
    </row>
    <row r="69" ht="20.1" customHeight="1" s="62">
      <c r="A69" s="68" t="n"/>
      <c r="B69" s="59" t="n"/>
      <c r="C69" s="15" t="inlineStr">
        <is>
          <t>Maturité RSE avancée</t>
        </is>
      </c>
      <c r="D69" s="10">
        <f>ROUND($B$4*$B$10*$B$15*$B$18*$B$19*$B$22*$B$24*$B$26,0)</f>
        <v/>
      </c>
      <c r="E69" s="10">
        <f>ROUND($B$4*$B$10*$B$15*$B$18*$B$19*$B$22*$B$24*$B$27,0)</f>
        <v/>
      </c>
      <c r="F69" s="10">
        <f>ROUND($B$4*$B$10*$B$15*$B$18*$B$19*$B$22*$B$25*$B$26,0)</f>
        <v/>
      </c>
      <c r="G69" s="10">
        <f>ROUND($B$4*$B$10*$B$15*$B$18*$B$19*$B$22*$B$25*$B$27,0)</f>
        <v/>
      </c>
      <c r="H69" s="10">
        <f>ROUND($B$5*$B$10*$B$15*$B$18*$B$19*$B$23*$B$24*$B$26,0)</f>
        <v/>
      </c>
      <c r="I69" s="10">
        <f>ROUND($B$5*$B$10*$B$15*$B$18*$B$19*$B$23*$B$24*$B$27,0)</f>
        <v/>
      </c>
      <c r="J69" s="10">
        <f>ROUND($B$5*$B$10*$B$15*$B$18*$B$19*$B$23*$B$25*$B$26,0)</f>
        <v/>
      </c>
      <c r="K69" s="10">
        <f>ROUND($B$5*$B$10*$B$15*$B$18*$B$19*$B$23*$B$25*$B$27,0)</f>
        <v/>
      </c>
      <c r="L69" s="10">
        <f>ROUND($B$4*$B$10*$B$15*$B$18*$B$20*$B$22*$B$24*$B$26,0)</f>
        <v/>
      </c>
      <c r="M69" s="10">
        <f>ROUND($B$4*$B$10*$B$15*$B$18*$B$20*$B$22*$B$24*$B$27,0)</f>
        <v/>
      </c>
      <c r="N69" s="10">
        <f>ROUND($B$4*$B$10*$B$15*$B$18*$B$20*$B$22*$B$25*$B$26,0)</f>
        <v/>
      </c>
      <c r="O69" s="10">
        <f>ROUND($B$4*$B$10*$B$15*$B$18*$B$20*$B$22*$B$25*$B$27,0)</f>
        <v/>
      </c>
      <c r="P69" s="10">
        <f>ROUND($B$5*$B$10*$B$15*$B$18*$B$20*$B$23*$B$24*$B$26,0)</f>
        <v/>
      </c>
      <c r="Q69" s="10">
        <f>ROUND($B$5*$B$10*$B$15*$B$18*$B$20*$B$23*$B$24*$B$27,0)</f>
        <v/>
      </c>
      <c r="R69" s="10">
        <f>ROUND($B$5*$B$10*$B$15*$B$18*$B$20*$B$23*$B$25*$B$26,0)</f>
        <v/>
      </c>
      <c r="S69" s="10">
        <f>ROUND($B$5*$B$10*$B$15*$B$18*$B$20*$B$23*$B$25*$B$27,0)</f>
        <v/>
      </c>
      <c r="T69" s="10">
        <f>ROUND($B$4*$B$10*$B$15*$B$18*$B$21*$B$22*$B$24*$B$26,0)</f>
        <v/>
      </c>
      <c r="U69" s="10">
        <f>ROUND($B$4*$B$10*$B$15*$B$18*$B$21*$B$22*$B$24*$B$27,0)</f>
        <v/>
      </c>
      <c r="V69" s="10">
        <f>ROUND($B$4*$B$10*$B$15*$B$18*$B$21*$B$22*$B$25*$B$26,0)</f>
        <v/>
      </c>
      <c r="W69" s="10">
        <f>ROUND($B$4*$B$10*$B$15*$B$18*$B$21*$B$22*$B$25*$B$27,0)</f>
        <v/>
      </c>
      <c r="X69" s="10">
        <f>ROUND($B$6*$B$10*$B$15*$B$18*$B$21*$B$23*$B$24*$B$26,0)</f>
        <v/>
      </c>
      <c r="Y69" s="10">
        <f>ROUND($B$6*$B$10*$B$15*$B$18*$B$21*$B$23*$B$24*$B$27,0)</f>
        <v/>
      </c>
      <c r="Z69" s="10">
        <f>ROUND($B$6*$B$10*$B$15*$B$18*$B$21*$B$23*$B$25*$B$26,0)</f>
        <v/>
      </c>
      <c r="AA69" s="10">
        <f>ROUND($B$6*$B$10*$B$15*$B$18*$B$21*$B$23*$B$25*$B$27,0)</f>
        <v/>
      </c>
    </row>
    <row r="70" ht="20.1" customHeight="1" s="62">
      <c r="A70" s="66" t="inlineStr">
        <is>
          <t>ETI / Grand compte (100+)</t>
        </is>
      </c>
      <c r="B70" s="57" t="inlineStr">
        <is>
          <t>Standard</t>
        </is>
      </c>
      <c r="C70" s="14" t="inlineStr">
        <is>
          <t>Maturité RSE faible</t>
        </is>
      </c>
      <c r="D70" s="10">
        <f>ROUND($B$4*$B$11*$B$12*$B$16*$B$19*$B$22*$B$24*$B$26,0)</f>
        <v/>
      </c>
      <c r="E70" s="10">
        <f>ROUND($B$4*$B$11*$B$12*$B$16*$B$19*$B$22*$B$24*$B$27,0)</f>
        <v/>
      </c>
      <c r="F70" s="10">
        <f>ROUND($B$4*$B$11*$B$12*$B$16*$B$19*$B$22*$B$25*$B$26,0)</f>
        <v/>
      </c>
      <c r="G70" s="10">
        <f>ROUND($B$4*$B$11*$B$12*$B$16*$B$19*$B$22*$B$25*$B$27,0)</f>
        <v/>
      </c>
      <c r="H70" s="10">
        <f>ROUND($B$5*$B$11*$B$12*$B$16*$B$19*$B$23*$B$24*$B$26,0)</f>
        <v/>
      </c>
      <c r="I70" s="10">
        <f>ROUND($B$5*$B$11*$B$12*$B$16*$B$19*$B$23*$B$24*$B$27,0)</f>
        <v/>
      </c>
      <c r="J70" s="10">
        <f>ROUND($B$5*$B$11*$B$12*$B$16*$B$19*$B$23*$B$25*$B$26,0)</f>
        <v/>
      </c>
      <c r="K70" s="10">
        <f>ROUND($B$5*$B$11*$B$12*$B$16*$B$19*$B$23*$B$25*$B$27,0)</f>
        <v/>
      </c>
      <c r="L70" s="10">
        <f>ROUND($B$4*$B$11*$B$12*$B$16*$B$20*$B$22*$B$24*$B$26,0)</f>
        <v/>
      </c>
      <c r="M70" s="10">
        <f>ROUND($B$4*$B$11*$B$12*$B$16*$B$20*$B$22*$B$24*$B$27,0)</f>
        <v/>
      </c>
      <c r="N70" s="10">
        <f>ROUND($B$4*$B$11*$B$12*$B$16*$B$20*$B$22*$B$25*$B$26,0)</f>
        <v/>
      </c>
      <c r="O70" s="10">
        <f>ROUND($B$4*$B$11*$B$12*$B$16*$B$20*$B$22*$B$25*$B$27,0)</f>
        <v/>
      </c>
      <c r="P70" s="10">
        <f>ROUND($B$5*$B$11*$B$12*$B$16*$B$20*$B$23*$B$24*$B$26,0)</f>
        <v/>
      </c>
      <c r="Q70" s="10">
        <f>ROUND($B$5*$B$11*$B$12*$B$16*$B$20*$B$23*$B$24*$B$27,0)</f>
        <v/>
      </c>
      <c r="R70" s="10">
        <f>ROUND($B$5*$B$11*$B$12*$B$16*$B$20*$B$23*$B$25*$B$26,0)</f>
        <v/>
      </c>
      <c r="S70" s="10">
        <f>ROUND($B$5*$B$11*$B$12*$B$16*$B$20*$B$23*$B$25*$B$27,0)</f>
        <v/>
      </c>
      <c r="T70" s="10">
        <f>ROUND($B$4*$B$11*$B$12*$B$16*$B$21*$B$22*$B$24*$B$26,0)</f>
        <v/>
      </c>
      <c r="U70" s="10">
        <f>ROUND($B$4*$B$11*$B$12*$B$16*$B$21*$B$22*$B$24*$B$27,0)</f>
        <v/>
      </c>
      <c r="V70" s="10">
        <f>ROUND($B$4*$B$11*$B$12*$B$16*$B$21*$B$22*$B$25*$B$26,0)</f>
        <v/>
      </c>
      <c r="W70" s="10">
        <f>ROUND($B$4*$B$11*$B$12*$B$16*$B$21*$B$22*$B$25*$B$27,0)</f>
        <v/>
      </c>
      <c r="X70" s="10">
        <f>ROUND($B$6*$B$11*$B$12*$B$16*$B$21*$B$23*$B$24*$B$26,0)</f>
        <v/>
      </c>
      <c r="Y70" s="10">
        <f>ROUND($B$6*$B$11*$B$12*$B$16*$B$21*$B$23*$B$24*$B$27,0)</f>
        <v/>
      </c>
      <c r="Z70" s="10">
        <f>ROUND($B$6*$B$11*$B$12*$B$16*$B$21*$B$23*$B$25*$B$26,0)</f>
        <v/>
      </c>
      <c r="AA70" s="10">
        <f>ROUND($B$6*$B$11*$B$12*$B$16*$B$21*$B$23*$B$25*$B$27,0)</f>
        <v/>
      </c>
    </row>
    <row r="71" ht="20.1" customHeight="1" s="62">
      <c r="A71" s="67" t="n"/>
      <c r="B71" s="58" t="n"/>
      <c r="C71" s="57" t="inlineStr">
        <is>
          <t>Maturité RSE intermédiaire</t>
        </is>
      </c>
      <c r="D71" s="10">
        <f>ROUND($B$4*$B$11*$B$12*$B$17*$B$19*$B$22*$B$24*$B$26,0)</f>
        <v/>
      </c>
      <c r="E71" s="10">
        <f>ROUND($B$4*$B$11*$B$12*$B$17*$B$19*$B$22*$B$24*$B$27,0)</f>
        <v/>
      </c>
      <c r="F71" s="10">
        <f>ROUND($B$4*$B$11*$B$12*$B$17*$B$19*$B$22*$B$25*$B$26,0)</f>
        <v/>
      </c>
      <c r="G71" s="10">
        <f>ROUND($B$4*$B$11*$B$12*$B$17*$B$19*$B$22*$B$25*$B$27,0)</f>
        <v/>
      </c>
      <c r="H71" s="10">
        <f>ROUND($B$5*$B$11*$B$12*$B$17*$B$19*$B$23*$B$24*$B$26,0)</f>
        <v/>
      </c>
      <c r="I71" s="10">
        <f>ROUND($B$5*$B$11*$B$12*$B$17*$B$19*$B$23*$B$24*$B$27,0)</f>
        <v/>
      </c>
      <c r="J71" s="10">
        <f>ROUND($B$5*$B$11*$B$12*$B$17*$B$19*$B$23*$B$25*$B$26,0)</f>
        <v/>
      </c>
      <c r="K71" s="10">
        <f>ROUND($B$5*$B$11*$B$12*$B$17*$B$19*$B$23*$B$25*$B$27,0)</f>
        <v/>
      </c>
      <c r="L71" s="10">
        <f>ROUND($B$4*$B$11*$B$12*$B$17*$B$20*$B$22*$B$24*$B$26,0)</f>
        <v/>
      </c>
      <c r="M71" s="10">
        <f>ROUND($B$4*$B$11*$B$12*$B$17*$B$20*$B$22*$B$24*$B$27,0)</f>
        <v/>
      </c>
      <c r="N71" s="10">
        <f>ROUND($B$4*$B$11*$B$12*$B$17*$B$20*$B$22*$B$25*$B$26,0)</f>
        <v/>
      </c>
      <c r="O71" s="10">
        <f>ROUND($B$4*$B$11*$B$12*$B$17*$B$20*$B$22*$B$25*$B$27,0)</f>
        <v/>
      </c>
      <c r="P71" s="10">
        <f>ROUND($B$5*$B$11*$B$12*$B$17*$B$20*$B$23*$B$24*$B$26,0)</f>
        <v/>
      </c>
      <c r="Q71" s="10">
        <f>ROUND($B$5*$B$11*$B$12*$B$17*$B$20*$B$23*$B$24*$B$27,0)</f>
        <v/>
      </c>
      <c r="R71" s="10">
        <f>ROUND($B$5*$B$11*$B$12*$B$17*$B$20*$B$23*$B$25*$B$26,0)</f>
        <v/>
      </c>
      <c r="S71" s="10">
        <f>ROUND($B$5*$B$11*$B$12*$B$17*$B$20*$B$23*$B$25*$B$27,0)</f>
        <v/>
      </c>
      <c r="T71" s="10">
        <f>ROUND($B$4*$B$11*$B$12*$B$17*$B$21*$B$22*$B$24*$B$26,0)</f>
        <v/>
      </c>
      <c r="U71" s="10">
        <f>ROUND($B$4*$B$11*$B$12*$B$17*$B$21*$B$22*$B$24*$B$27,0)</f>
        <v/>
      </c>
      <c r="V71" s="10">
        <f>ROUND($B$4*$B$11*$B$12*$B$17*$B$21*$B$22*$B$25*$B$26,0)</f>
        <v/>
      </c>
      <c r="W71" s="10">
        <f>ROUND($B$4*$B$11*$B$12*$B$17*$B$21*$B$22*$B$25*$B$27,0)</f>
        <v/>
      </c>
      <c r="X71" s="10">
        <f>ROUND($B$6*$B$11*$B$12*$B$17*$B$21*$B$23*$B$24*$B$26,0)</f>
        <v/>
      </c>
      <c r="Y71" s="10">
        <f>ROUND($B$6*$B$11*$B$12*$B$17*$B$21*$B$23*$B$24*$B$27,0)</f>
        <v/>
      </c>
      <c r="Z71" s="10">
        <f>ROUND($B$6*$B$11*$B$12*$B$17*$B$21*$B$23*$B$25*$B$26,0)</f>
        <v/>
      </c>
      <c r="AA71" s="10">
        <f>ROUND($B$6*$B$11*$B$12*$B$17*$B$21*$B$23*$B$25*$B$27,0)</f>
        <v/>
      </c>
    </row>
    <row r="72" ht="20.1" customHeight="1" s="62">
      <c r="A72" s="67" t="n"/>
      <c r="B72" s="59" t="n"/>
      <c r="C72" s="15" t="inlineStr">
        <is>
          <t>Maturité RSE avancée</t>
        </is>
      </c>
      <c r="D72" s="10">
        <f>ROUND($B$4*$B$11*$B$12*$B$18*$B$19*$B$22*$B$24*$B$26,0)</f>
        <v/>
      </c>
      <c r="E72" s="10">
        <f>ROUND($B$4*$B$11*$B$12*$B$18*$B$19*$B$22*$B$24*$B$27,0)</f>
        <v/>
      </c>
      <c r="F72" s="10">
        <f>ROUND($B$4*$B$11*$B$12*$B$18*$B$19*$B$22*$B$25*$B$26,0)</f>
        <v/>
      </c>
      <c r="G72" s="10">
        <f>ROUND($B$4*$B$11*$B$12*$B$18*$B$19*$B$22*$B$25*$B$27,0)</f>
        <v/>
      </c>
      <c r="H72" s="10">
        <f>ROUND($B$5*$B$11*$B$12*$B$18*$B$19*$B$23*$B$24*$B$26,0)</f>
        <v/>
      </c>
      <c r="I72" s="10">
        <f>ROUND($B$5*$B$11*$B$12*$B$18*$B$19*$B$23*$B$24*$B$27,0)</f>
        <v/>
      </c>
      <c r="J72" s="10">
        <f>ROUND($B$5*$B$11*$B$12*$B$18*$B$19*$B$23*$B$25*$B$26,0)</f>
        <v/>
      </c>
      <c r="K72" s="10">
        <f>ROUND($B$5*$B$11*$B$12*$B$18*$B$19*$B$23*$B$25*$B$27,0)</f>
        <v/>
      </c>
      <c r="L72" s="10">
        <f>ROUND($B$4*$B$11*$B$12*$B$18*$B$20*$B$22*$B$24*$B$26,0)</f>
        <v/>
      </c>
      <c r="M72" s="10">
        <f>ROUND($B$4*$B$11*$B$12*$B$18*$B$20*$B$22*$B$24*$B$27,0)</f>
        <v/>
      </c>
      <c r="N72" s="10">
        <f>ROUND($B$4*$B$11*$B$12*$B$18*$B$20*$B$22*$B$25*$B$26,0)</f>
        <v/>
      </c>
      <c r="O72" s="10">
        <f>ROUND($B$4*$B$11*$B$12*$B$18*$B$20*$B$22*$B$25*$B$27,0)</f>
        <v/>
      </c>
      <c r="P72" s="10">
        <f>ROUND($B$5*$B$11*$B$12*$B$18*$B$20*$B$23*$B$24*$B$26,0)</f>
        <v/>
      </c>
      <c r="Q72" s="10">
        <f>ROUND($B$5*$B$11*$B$12*$B$18*$B$20*$B$23*$B$24*$B$27,0)</f>
        <v/>
      </c>
      <c r="R72" s="10">
        <f>ROUND($B$5*$B$11*$B$12*$B$18*$B$20*$B$23*$B$25*$B$26,0)</f>
        <v/>
      </c>
      <c r="S72" s="10">
        <f>ROUND($B$5*$B$11*$B$12*$B$18*$B$20*$B$23*$B$25*$B$27,0)</f>
        <v/>
      </c>
      <c r="T72" s="10">
        <f>ROUND($B$4*$B$11*$B$12*$B$18*$B$21*$B$22*$B$24*$B$26,0)</f>
        <v/>
      </c>
      <c r="U72" s="10">
        <f>ROUND($B$4*$B$11*$B$12*$B$18*$B$21*$B$22*$B$24*$B$27,0)</f>
        <v/>
      </c>
      <c r="V72" s="10">
        <f>ROUND($B$4*$B$11*$B$12*$B$18*$B$21*$B$22*$B$25*$B$26,0)</f>
        <v/>
      </c>
      <c r="W72" s="10">
        <f>ROUND($B$4*$B$11*$B$12*$B$18*$B$21*$B$22*$B$25*$B$27,0)</f>
        <v/>
      </c>
      <c r="X72" s="10">
        <f>ROUND($B$6*$B$11*$B$12*$B$18*$B$21*$B$23*$B$24*$B$26,0)</f>
        <v/>
      </c>
      <c r="Y72" s="10">
        <f>ROUND($B$6*$B$11*$B$12*$B$18*$B$21*$B$23*$B$24*$B$27,0)</f>
        <v/>
      </c>
      <c r="Z72" s="10">
        <f>ROUND($B$6*$B$11*$B$12*$B$18*$B$21*$B$23*$B$25*$B$26,0)</f>
        <v/>
      </c>
      <c r="AA72" s="10">
        <f>ROUND($B$6*$B$11*$B$12*$B$18*$B$21*$B$23*$B$25*$B$27,0)</f>
        <v/>
      </c>
    </row>
    <row r="73" ht="20.1" customHeight="1" s="62">
      <c r="A73" s="67" t="n"/>
      <c r="B73" s="57" t="inlineStr">
        <is>
          <t>Industrie / BTP</t>
        </is>
      </c>
      <c r="C73" s="14" t="inlineStr">
        <is>
          <t>Maturité RSE faible</t>
        </is>
      </c>
      <c r="D73" s="10">
        <f>ROUND($B$4*$B$11*$B$13*$B$16*$B$19*$B$22*$B$24*$B$26,0)</f>
        <v/>
      </c>
      <c r="E73" s="10">
        <f>ROUND($B$4*$B$11*$B$13*$B$16*$B$19*$B$22*$B$24*$B$27,0)</f>
        <v/>
      </c>
      <c r="F73" s="10">
        <f>ROUND($B$4*$B$11*$B$13*$B$16*$B$19*$B$22*$B$25*$B$26,0)</f>
        <v/>
      </c>
      <c r="G73" s="10">
        <f>ROUND($B$4*$B$11*$B$13*$B$16*$B$19*$B$22*$B$25*$B$27,0)</f>
        <v/>
      </c>
      <c r="H73" s="10">
        <f>ROUND($B$5*$B$11*$B$13*$B$16*$B$19*$B$23*$B$24*$B$26,0)</f>
        <v/>
      </c>
      <c r="I73" s="10">
        <f>ROUND($B$5*$B$11*$B$13*$B$16*$B$19*$B$23*$B$24*$B$27,0)</f>
        <v/>
      </c>
      <c r="J73" s="10">
        <f>ROUND($B$5*$B$11*$B$13*$B$16*$B$19*$B$23*$B$25*$B$26,0)</f>
        <v/>
      </c>
      <c r="K73" s="10">
        <f>ROUND($B$5*$B$11*$B$13*$B$16*$B$19*$B$23*$B$25*$B$27,0)</f>
        <v/>
      </c>
      <c r="L73" s="10">
        <f>ROUND($B$4*$B$11*$B$13*$B$16*$B$20*$B$22*$B$24*$B$26,0)</f>
        <v/>
      </c>
      <c r="M73" s="10">
        <f>ROUND($B$4*$B$11*$B$13*$B$16*$B$20*$B$22*$B$24*$B$27,0)</f>
        <v/>
      </c>
      <c r="N73" s="10">
        <f>ROUND($B$4*$B$11*$B$13*$B$16*$B$20*$B$22*$B$25*$B$26,0)</f>
        <v/>
      </c>
      <c r="O73" s="10">
        <f>ROUND($B$4*$B$11*$B$13*$B$16*$B$20*$B$22*$B$25*$B$27,0)</f>
        <v/>
      </c>
      <c r="P73" s="10">
        <f>ROUND($B$5*$B$11*$B$13*$B$16*$B$20*$B$23*$B$24*$B$26,0)</f>
        <v/>
      </c>
      <c r="Q73" s="10">
        <f>ROUND($B$5*$B$11*$B$13*$B$16*$B$20*$B$23*$B$24*$B$27,0)</f>
        <v/>
      </c>
      <c r="R73" s="10">
        <f>ROUND($B$5*$B$11*$B$13*$B$16*$B$20*$B$23*$B$25*$B$26,0)</f>
        <v/>
      </c>
      <c r="S73" s="10">
        <f>ROUND($B$5*$B$11*$B$13*$B$16*$B$20*$B$23*$B$25*$B$27,0)</f>
        <v/>
      </c>
      <c r="T73" s="10">
        <f>ROUND($B$4*$B$11*$B$13*$B$16*$B$21*$B$22*$B$24*$B$26,0)</f>
        <v/>
      </c>
      <c r="U73" s="10">
        <f>ROUND($B$4*$B$11*$B$13*$B$16*$B$21*$B$22*$B$24*$B$27,0)</f>
        <v/>
      </c>
      <c r="V73" s="10">
        <f>ROUND($B$4*$B$11*$B$13*$B$16*$B$21*$B$22*$B$25*$B$26,0)</f>
        <v/>
      </c>
      <c r="W73" s="10">
        <f>ROUND($B$4*$B$11*$B$13*$B$16*$B$21*$B$22*$B$25*$B$27,0)</f>
        <v/>
      </c>
      <c r="X73" s="10">
        <f>ROUND($B$6*$B$11*$B$13*$B$16*$B$21*$B$23*$B$24*$B$26,0)</f>
        <v/>
      </c>
      <c r="Y73" s="10">
        <f>ROUND($B$6*$B$11*$B$13*$B$16*$B$21*$B$23*$B$24*$B$27,0)</f>
        <v/>
      </c>
      <c r="Z73" s="10">
        <f>ROUND($B$6*$B$11*$B$13*$B$16*$B$21*$B$23*$B$25*$B$26,0)</f>
        <v/>
      </c>
      <c r="AA73" s="10">
        <f>ROUND($B$6*$B$11*$B$13*$B$16*$B$21*$B$23*$B$25*$B$27,0)</f>
        <v/>
      </c>
    </row>
    <row r="74" ht="20.1" customHeight="1" s="62">
      <c r="A74" s="67" t="n"/>
      <c r="B74" s="58" t="n"/>
      <c r="C74" s="57" t="inlineStr">
        <is>
          <t>Maturité RSE intermédiaire</t>
        </is>
      </c>
      <c r="D74" s="10">
        <f>ROUND($B$4*$B$11*$B$13*$B$17*$B$19*$B$22*$B$24*$B$26,0)</f>
        <v/>
      </c>
      <c r="E74" s="10">
        <f>ROUND($B$4*$B$11*$B$13*$B$17*$B$19*$B$22*$B$24*$B$27,0)</f>
        <v/>
      </c>
      <c r="F74" s="10">
        <f>ROUND($B$4*$B$11*$B$13*$B$17*$B$19*$B$22*$B$25*$B$26,0)</f>
        <v/>
      </c>
      <c r="G74" s="10">
        <f>ROUND($B$4*$B$11*$B$13*$B$17*$B$19*$B$22*$B$25*$B$27,0)</f>
        <v/>
      </c>
      <c r="H74" s="10">
        <f>ROUND($B$5*$B$11*$B$13*$B$17*$B$19*$B$23*$B$24*$B$26,0)</f>
        <v/>
      </c>
      <c r="I74" s="10">
        <f>ROUND($B$5*$B$11*$B$13*$B$17*$B$19*$B$23*$B$24*$B$27,0)</f>
        <v/>
      </c>
      <c r="J74" s="10">
        <f>ROUND($B$5*$B$11*$B$13*$B$17*$B$19*$B$23*$B$25*$B$26,0)</f>
        <v/>
      </c>
      <c r="K74" s="10">
        <f>ROUND($B$5*$B$11*$B$13*$B$17*$B$19*$B$23*$B$25*$B$27,0)</f>
        <v/>
      </c>
      <c r="L74" s="10">
        <f>ROUND($B$4*$B$11*$B$13*$B$17*$B$20*$B$22*$B$24*$B$26,0)</f>
        <v/>
      </c>
      <c r="M74" s="10">
        <f>ROUND($B$4*$B$11*$B$13*$B$17*$B$20*$B$22*$B$24*$B$27,0)</f>
        <v/>
      </c>
      <c r="N74" s="10">
        <f>ROUND($B$4*$B$11*$B$13*$B$17*$B$20*$B$22*$B$25*$B$26,0)</f>
        <v/>
      </c>
      <c r="O74" s="10">
        <f>ROUND($B$4*$B$11*$B$13*$B$17*$B$20*$B$22*$B$25*$B$27,0)</f>
        <v/>
      </c>
      <c r="P74" s="10">
        <f>ROUND($B$5*$B$11*$B$13*$B$17*$B$20*$B$23*$B$24*$B$26,0)</f>
        <v/>
      </c>
      <c r="Q74" s="10">
        <f>ROUND($B$5*$B$11*$B$13*$B$17*$B$20*$B$23*$B$24*$B$27,0)</f>
        <v/>
      </c>
      <c r="R74" s="10">
        <f>ROUND($B$5*$B$11*$B$13*$B$17*$B$20*$B$23*$B$25*$B$26,0)</f>
        <v/>
      </c>
      <c r="S74" s="10">
        <f>ROUND($B$5*$B$11*$B$13*$B$17*$B$20*$B$23*$B$25*$B$27,0)</f>
        <v/>
      </c>
      <c r="T74" s="10">
        <f>ROUND($B$4*$B$11*$B$13*$B$17*$B$21*$B$22*$B$24*$B$26,0)</f>
        <v/>
      </c>
      <c r="U74" s="10">
        <f>ROUND($B$4*$B$11*$B$13*$B$17*$B$21*$B$22*$B$24*$B$27,0)</f>
        <v/>
      </c>
      <c r="V74" s="10">
        <f>ROUND($B$4*$B$11*$B$13*$B$17*$B$21*$B$22*$B$25*$B$26,0)</f>
        <v/>
      </c>
      <c r="W74" s="10">
        <f>ROUND($B$4*$B$11*$B$13*$B$17*$B$21*$B$22*$B$25*$B$27,0)</f>
        <v/>
      </c>
      <c r="X74" s="10">
        <f>ROUND($B$6*$B$11*$B$13*$B$17*$B$21*$B$23*$B$24*$B$26,0)</f>
        <v/>
      </c>
      <c r="Y74" s="10">
        <f>ROUND($B$6*$B$11*$B$13*$B$17*$B$21*$B$23*$B$24*$B$27,0)</f>
        <v/>
      </c>
      <c r="Z74" s="10">
        <f>ROUND($B$6*$B$11*$B$13*$B$17*$B$21*$B$23*$B$25*$B$26,0)</f>
        <v/>
      </c>
      <c r="AA74" s="10">
        <f>ROUND($B$6*$B$11*$B$13*$B$17*$B$21*$B$23*$B$25*$B$27,0)</f>
        <v/>
      </c>
    </row>
    <row r="75" ht="20.1" customHeight="1" s="62">
      <c r="A75" s="67" t="n"/>
      <c r="B75" s="59" t="n"/>
      <c r="C75" s="15" t="inlineStr">
        <is>
          <t>Maturité RSE avancée</t>
        </is>
      </c>
      <c r="D75" s="10">
        <f>ROUND($B$4*$B$11*$B$13*$B$18*$B$19*$B$22*$B$24*$B$26,0)</f>
        <v/>
      </c>
      <c r="E75" s="10">
        <f>ROUND($B$4*$B$11*$B$13*$B$18*$B$19*$B$22*$B$24*$B$27,0)</f>
        <v/>
      </c>
      <c r="F75" s="10">
        <f>ROUND($B$4*$B$11*$B$13*$B$18*$B$19*$B$22*$B$25*$B$26,0)</f>
        <v/>
      </c>
      <c r="G75" s="10">
        <f>ROUND($B$4*$B$11*$B$13*$B$18*$B$19*$B$22*$B$25*$B$27,0)</f>
        <v/>
      </c>
      <c r="H75" s="10">
        <f>ROUND($B$5*$B$11*$B$13*$B$18*$B$19*$B$23*$B$24*$B$26,0)</f>
        <v/>
      </c>
      <c r="I75" s="10">
        <f>ROUND($B$5*$B$11*$B$13*$B$18*$B$19*$B$23*$B$24*$B$27,0)</f>
        <v/>
      </c>
      <c r="J75" s="10">
        <f>ROUND($B$5*$B$11*$B$13*$B$18*$B$19*$B$23*$B$25*$B$26,0)</f>
        <v/>
      </c>
      <c r="K75" s="10">
        <f>ROUND($B$5*$B$11*$B$13*$B$18*$B$19*$B$23*$B$25*$B$27,0)</f>
        <v/>
      </c>
      <c r="L75" s="10">
        <f>ROUND($B$4*$B$11*$B$13*$B$18*$B$20*$B$22*$B$24*$B$26,0)</f>
        <v/>
      </c>
      <c r="M75" s="10">
        <f>ROUND($B$4*$B$11*$B$13*$B$18*$B$20*$B$22*$B$24*$B$27,0)</f>
        <v/>
      </c>
      <c r="N75" s="10">
        <f>ROUND($B$4*$B$11*$B$13*$B$18*$B$20*$B$22*$B$25*$B$26,0)</f>
        <v/>
      </c>
      <c r="O75" s="10">
        <f>ROUND($B$4*$B$11*$B$13*$B$18*$B$20*$B$22*$B$25*$B$27,0)</f>
        <v/>
      </c>
      <c r="P75" s="10">
        <f>ROUND($B$5*$B$11*$B$13*$B$18*$B$20*$B$23*$B$24*$B$26,0)</f>
        <v/>
      </c>
      <c r="Q75" s="10">
        <f>ROUND($B$5*$B$11*$B$13*$B$18*$B$20*$B$23*$B$24*$B$27,0)</f>
        <v/>
      </c>
      <c r="R75" s="10">
        <f>ROUND($B$5*$B$11*$B$13*$B$18*$B$20*$B$23*$B$25*$B$26,0)</f>
        <v/>
      </c>
      <c r="S75" s="10">
        <f>ROUND($B$5*$B$11*$B$13*$B$18*$B$20*$B$23*$B$25*$B$27,0)</f>
        <v/>
      </c>
      <c r="T75" s="10">
        <f>ROUND($B$4*$B$11*$B$13*$B$18*$B$21*$B$22*$B$24*$B$26,0)</f>
        <v/>
      </c>
      <c r="U75" s="10">
        <f>ROUND($B$4*$B$11*$B$13*$B$18*$B$21*$B$22*$B$24*$B$27,0)</f>
        <v/>
      </c>
      <c r="V75" s="10">
        <f>ROUND($B$4*$B$11*$B$13*$B$18*$B$21*$B$22*$B$25*$B$26,0)</f>
        <v/>
      </c>
      <c r="W75" s="10">
        <f>ROUND($B$4*$B$11*$B$13*$B$18*$B$21*$B$22*$B$25*$B$27,0)</f>
        <v/>
      </c>
      <c r="X75" s="10">
        <f>ROUND($B$6*$B$11*$B$13*$B$18*$B$21*$B$23*$B$24*$B$26,0)</f>
        <v/>
      </c>
      <c r="Y75" s="10">
        <f>ROUND($B$6*$B$11*$B$13*$B$18*$B$21*$B$23*$B$24*$B$27,0)</f>
        <v/>
      </c>
      <c r="Z75" s="10">
        <f>ROUND($B$6*$B$11*$B$13*$B$18*$B$21*$B$23*$B$25*$B$26,0)</f>
        <v/>
      </c>
      <c r="AA75" s="10">
        <f>ROUND($B$6*$B$11*$B$13*$B$18*$B$21*$B$23*$B$25*$B$27,0)</f>
        <v/>
      </c>
    </row>
    <row r="76" ht="20.1" customHeight="1" s="62">
      <c r="A76" s="67" t="n"/>
      <c r="B76" s="57" t="inlineStr">
        <is>
          <t>Santé / Finance</t>
        </is>
      </c>
      <c r="C76" s="14" t="inlineStr">
        <is>
          <t>Maturité RSE faible</t>
        </is>
      </c>
      <c r="D76" s="10">
        <f>ROUND($B$4*$B$11*$B$14*$B$16*$B$19*$B$22*$B$24*$B$26,0)</f>
        <v/>
      </c>
      <c r="E76" s="10">
        <f>ROUND($B$4*$B$11*$B$14*$B$16*$B$19*$B$22*$B$24*$B$27,0)</f>
        <v/>
      </c>
      <c r="F76" s="10">
        <f>ROUND($B$4*$B$11*$B$14*$B$16*$B$19*$B$22*$B$25*$B$26,0)</f>
        <v/>
      </c>
      <c r="G76" s="10">
        <f>ROUND($B$4*$B$11*$B$14*$B$16*$B$19*$B$22*$B$25*$B$27,0)</f>
        <v/>
      </c>
      <c r="H76" s="10">
        <f>ROUND($B$5*$B$11*$B$14*$B$16*$B$19*$B$23*$B$24*$B$26,0)</f>
        <v/>
      </c>
      <c r="I76" s="10">
        <f>ROUND($B$5*$B$11*$B$14*$B$16*$B$19*$B$23*$B$24*$B$27,0)</f>
        <v/>
      </c>
      <c r="J76" s="10">
        <f>ROUND($B$5*$B$11*$B$14*$B$16*$B$19*$B$23*$B$25*$B$26,0)</f>
        <v/>
      </c>
      <c r="K76" s="10">
        <f>ROUND($B$5*$B$11*$B$14*$B$16*$B$19*$B$23*$B$25*$B$27,0)</f>
        <v/>
      </c>
      <c r="L76" s="10">
        <f>ROUND($B$4*$B$11*$B$14*$B$16*$B$20*$B$22*$B$24*$B$26,0)</f>
        <v/>
      </c>
      <c r="M76" s="10">
        <f>ROUND($B$4*$B$11*$B$14*$B$16*$B$20*$B$22*$B$24*$B$27,0)</f>
        <v/>
      </c>
      <c r="N76" s="10">
        <f>ROUND($B$4*$B$11*$B$14*$B$16*$B$20*$B$22*$B$25*$B$26,0)</f>
        <v/>
      </c>
      <c r="O76" s="10">
        <f>ROUND($B$4*$B$11*$B$14*$B$16*$B$20*$B$22*$B$25*$B$27,0)</f>
        <v/>
      </c>
      <c r="P76" s="10">
        <f>ROUND($B$5*$B$11*$B$14*$B$16*$B$20*$B$23*$B$24*$B$26,0)</f>
        <v/>
      </c>
      <c r="Q76" s="10">
        <f>ROUND($B$5*$B$11*$B$14*$B$16*$B$20*$B$23*$B$24*$B$27,0)</f>
        <v/>
      </c>
      <c r="R76" s="10">
        <f>ROUND($B$5*$B$11*$B$14*$B$16*$B$20*$B$23*$B$25*$B$26,0)</f>
        <v/>
      </c>
      <c r="S76" s="10">
        <f>ROUND($B$5*$B$11*$B$14*$B$16*$B$20*$B$23*$B$25*$B$27,0)</f>
        <v/>
      </c>
      <c r="T76" s="10">
        <f>ROUND($B$4*$B$11*$B$14*$B$16*$B$21*$B$22*$B$24*$B$26,0)</f>
        <v/>
      </c>
      <c r="U76" s="10">
        <f>ROUND($B$4*$B$11*$B$14*$B$16*$B$21*$B$22*$B$24*$B$27,0)</f>
        <v/>
      </c>
      <c r="V76" s="10">
        <f>ROUND($B$4*$B$11*$B$14*$B$16*$B$21*$B$22*$B$25*$B$26,0)</f>
        <v/>
      </c>
      <c r="W76" s="10">
        <f>ROUND($B$4*$B$11*$B$14*$B$16*$B$21*$B$22*$B$25*$B$27,0)</f>
        <v/>
      </c>
      <c r="X76" s="10">
        <f>ROUND($B$6*$B$11*$B$14*$B$16*$B$21*$B$23*$B$24*$B$26,0)</f>
        <v/>
      </c>
      <c r="Y76" s="10">
        <f>ROUND($B$6*$B$11*$B$14*$B$16*$B$21*$B$23*$B$24*$B$27,0)</f>
        <v/>
      </c>
      <c r="Z76" s="10">
        <f>ROUND($B$6*$B$11*$B$14*$B$16*$B$21*$B$23*$B$25*$B$26,0)</f>
        <v/>
      </c>
      <c r="AA76" s="10">
        <f>ROUND($B$6*$B$11*$B$14*$B$16*$B$21*$B$23*$B$25*$B$27,0)</f>
        <v/>
      </c>
    </row>
    <row r="77" ht="20.1" customHeight="1" s="62">
      <c r="A77" s="67" t="n"/>
      <c r="B77" s="58" t="n"/>
      <c r="C77" s="57" t="inlineStr">
        <is>
          <t>Maturité RSE intermédiaire</t>
        </is>
      </c>
      <c r="D77" s="10">
        <f>ROUND($B$4*$B$11*$B$14*$B$17*$B$19*$B$22*$B$24*$B$26,0)</f>
        <v/>
      </c>
      <c r="E77" s="10">
        <f>ROUND($B$4*$B$11*$B$14*$B$17*$B$19*$B$22*$B$24*$B$27,0)</f>
        <v/>
      </c>
      <c r="F77" s="10">
        <f>ROUND($B$4*$B$11*$B$14*$B$17*$B$19*$B$22*$B$25*$B$26,0)</f>
        <v/>
      </c>
      <c r="G77" s="10">
        <f>ROUND($B$4*$B$11*$B$14*$B$17*$B$19*$B$22*$B$25*$B$27,0)</f>
        <v/>
      </c>
      <c r="H77" s="10">
        <f>ROUND($B$5*$B$11*$B$14*$B$17*$B$19*$B$23*$B$24*$B$26,0)</f>
        <v/>
      </c>
      <c r="I77" s="10">
        <f>ROUND($B$5*$B$11*$B$14*$B$17*$B$19*$B$23*$B$24*$B$27,0)</f>
        <v/>
      </c>
      <c r="J77" s="10">
        <f>ROUND($B$5*$B$11*$B$14*$B$17*$B$19*$B$23*$B$25*$B$26,0)</f>
        <v/>
      </c>
      <c r="K77" s="10">
        <f>ROUND($B$5*$B$11*$B$14*$B$17*$B$19*$B$23*$B$25*$B$27,0)</f>
        <v/>
      </c>
      <c r="L77" s="10">
        <f>ROUND($B$4*$B$11*$B$14*$B$17*$B$20*$B$22*$B$24*$B$26,0)</f>
        <v/>
      </c>
      <c r="M77" s="10">
        <f>ROUND($B$4*$B$11*$B$14*$B$17*$B$20*$B$22*$B$24*$B$27,0)</f>
        <v/>
      </c>
      <c r="N77" s="10">
        <f>ROUND($B$4*$B$11*$B$14*$B$17*$B$20*$B$22*$B$25*$B$26,0)</f>
        <v/>
      </c>
      <c r="O77" s="10">
        <f>ROUND($B$4*$B$11*$B$14*$B$17*$B$20*$B$22*$B$25*$B$27,0)</f>
        <v/>
      </c>
      <c r="P77" s="10">
        <f>ROUND($B$5*$B$11*$B$14*$B$17*$B$20*$B$23*$B$24*$B$26,0)</f>
        <v/>
      </c>
      <c r="Q77" s="10">
        <f>ROUND($B$5*$B$11*$B$14*$B$17*$B$20*$B$23*$B$24*$B$27,0)</f>
        <v/>
      </c>
      <c r="R77" s="10">
        <f>ROUND($B$5*$B$11*$B$14*$B$17*$B$20*$B$23*$B$25*$B$26,0)</f>
        <v/>
      </c>
      <c r="S77" s="10">
        <f>ROUND($B$5*$B$11*$B$14*$B$17*$B$20*$B$23*$B$25*$B$27,0)</f>
        <v/>
      </c>
      <c r="T77" s="10">
        <f>ROUND($B$4*$B$11*$B$14*$B$17*$B$21*$B$22*$B$24*$B$26,0)</f>
        <v/>
      </c>
      <c r="U77" s="10">
        <f>ROUND($B$4*$B$11*$B$14*$B$17*$B$21*$B$22*$B$24*$B$27,0)</f>
        <v/>
      </c>
      <c r="V77" s="10">
        <f>ROUND($B$4*$B$11*$B$14*$B$17*$B$21*$B$22*$B$25*$B$26,0)</f>
        <v/>
      </c>
      <c r="W77" s="10">
        <f>ROUND($B$4*$B$11*$B$14*$B$17*$B$21*$B$22*$B$25*$B$27,0)</f>
        <v/>
      </c>
      <c r="X77" s="10">
        <f>ROUND($B$6*$B$11*$B$14*$B$17*$B$21*$B$23*$B$24*$B$26,0)</f>
        <v/>
      </c>
      <c r="Y77" s="10">
        <f>ROUND($B$6*$B$11*$B$14*$B$17*$B$21*$B$23*$B$24*$B$27,0)</f>
        <v/>
      </c>
      <c r="Z77" s="10">
        <f>ROUND($B$6*$B$11*$B$14*$B$17*$B$21*$B$23*$B$25*$B$26,0)</f>
        <v/>
      </c>
      <c r="AA77" s="10">
        <f>ROUND($B$6*$B$11*$B$14*$B$17*$B$21*$B$23*$B$25*$B$27,0)</f>
        <v/>
      </c>
    </row>
    <row r="78" ht="20.1" customHeight="1" s="62">
      <c r="A78" s="67" t="n"/>
      <c r="B78" s="59" t="n"/>
      <c r="C78" s="15" t="inlineStr">
        <is>
          <t>Maturité RSE avancée</t>
        </is>
      </c>
      <c r="D78" s="10">
        <f>ROUND($B$4*$B$11*$B$14*$B$18*$B$19*$B$22*$B$24*$B$26,0)</f>
        <v/>
      </c>
      <c r="E78" s="10">
        <f>ROUND($B$4*$B$11*$B$14*$B$18*$B$19*$B$22*$B$24*$B$27,0)</f>
        <v/>
      </c>
      <c r="F78" s="10">
        <f>ROUND($B$4*$B$11*$B$14*$B$18*$B$19*$B$22*$B$25*$B$26,0)</f>
        <v/>
      </c>
      <c r="G78" s="10">
        <f>ROUND($B$4*$B$11*$B$14*$B$18*$B$19*$B$22*$B$25*$B$27,0)</f>
        <v/>
      </c>
      <c r="H78" s="10">
        <f>ROUND($B$5*$B$11*$B$14*$B$18*$B$19*$B$23*$B$24*$B$26,0)</f>
        <v/>
      </c>
      <c r="I78" s="10">
        <f>ROUND($B$5*$B$11*$B$14*$B$18*$B$19*$B$23*$B$24*$B$27,0)</f>
        <v/>
      </c>
      <c r="J78" s="10">
        <f>ROUND($B$5*$B$11*$B$14*$B$18*$B$19*$B$23*$B$25*$B$26,0)</f>
        <v/>
      </c>
      <c r="K78" s="10">
        <f>ROUND($B$5*$B$11*$B$14*$B$18*$B$19*$B$23*$B$25*$B$27,0)</f>
        <v/>
      </c>
      <c r="L78" s="10">
        <f>ROUND($B$4*$B$11*$B$14*$B$18*$B$20*$B$22*$B$24*$B$26,0)</f>
        <v/>
      </c>
      <c r="M78" s="10">
        <f>ROUND($B$4*$B$11*$B$14*$B$18*$B$20*$B$22*$B$24*$B$27,0)</f>
        <v/>
      </c>
      <c r="N78" s="10">
        <f>ROUND($B$4*$B$11*$B$14*$B$18*$B$20*$B$22*$B$25*$B$26,0)</f>
        <v/>
      </c>
      <c r="O78" s="10">
        <f>ROUND($B$4*$B$11*$B$14*$B$18*$B$20*$B$22*$B$25*$B$27,0)</f>
        <v/>
      </c>
      <c r="P78" s="10">
        <f>ROUND($B$5*$B$11*$B$14*$B$18*$B$20*$B$23*$B$24*$B$26,0)</f>
        <v/>
      </c>
      <c r="Q78" s="10">
        <f>ROUND($B$5*$B$11*$B$14*$B$18*$B$20*$B$23*$B$24*$B$27,0)</f>
        <v/>
      </c>
      <c r="R78" s="10">
        <f>ROUND($B$5*$B$11*$B$14*$B$18*$B$20*$B$23*$B$25*$B$26,0)</f>
        <v/>
      </c>
      <c r="S78" s="10">
        <f>ROUND($B$5*$B$11*$B$14*$B$18*$B$20*$B$23*$B$25*$B$27,0)</f>
        <v/>
      </c>
      <c r="T78" s="10">
        <f>ROUND($B$4*$B$11*$B$14*$B$18*$B$21*$B$22*$B$24*$B$26,0)</f>
        <v/>
      </c>
      <c r="U78" s="10">
        <f>ROUND($B$4*$B$11*$B$14*$B$18*$B$21*$B$22*$B$24*$B$27,0)</f>
        <v/>
      </c>
      <c r="V78" s="10">
        <f>ROUND($B$4*$B$11*$B$14*$B$18*$B$21*$B$22*$B$25*$B$26,0)</f>
        <v/>
      </c>
      <c r="W78" s="10">
        <f>ROUND($B$4*$B$11*$B$14*$B$18*$B$21*$B$22*$B$25*$B$27,0)</f>
        <v/>
      </c>
      <c r="X78" s="10">
        <f>ROUND($B$6*$B$11*$B$14*$B$18*$B$21*$B$23*$B$24*$B$26,0)</f>
        <v/>
      </c>
      <c r="Y78" s="10">
        <f>ROUND($B$6*$B$11*$B$14*$B$18*$B$21*$B$23*$B$24*$B$27,0)</f>
        <v/>
      </c>
      <c r="Z78" s="10">
        <f>ROUND($B$6*$B$11*$B$14*$B$18*$B$21*$B$23*$B$25*$B$26,0)</f>
        <v/>
      </c>
      <c r="AA78" s="10">
        <f>ROUND($B$6*$B$11*$B$14*$B$18*$B$21*$B$23*$B$25*$B$27,0)</f>
        <v/>
      </c>
    </row>
    <row r="79" ht="20.1" customHeight="1" s="62">
      <c r="A79" s="67" t="n"/>
      <c r="B79" s="57" t="inlineStr">
        <is>
          <t>Tech / Numérique</t>
        </is>
      </c>
      <c r="C79" s="14" t="inlineStr">
        <is>
          <t>Maturité RSE faible</t>
        </is>
      </c>
      <c r="D79" s="10">
        <f>ROUND($B$4*$B$11*$B$15*$B$16*$B$19*$B$22*$B$24*$B$26,0)</f>
        <v/>
      </c>
      <c r="E79" s="10">
        <f>ROUND($B$4*$B$11*$B$15*$B$16*$B$19*$B$22*$B$24*$B$27,0)</f>
        <v/>
      </c>
      <c r="F79" s="10">
        <f>ROUND($B$4*$B$11*$B$15*$B$16*$B$19*$B$22*$B$25*$B$26,0)</f>
        <v/>
      </c>
      <c r="G79" s="10">
        <f>ROUND($B$4*$B$11*$B$15*$B$16*$B$19*$B$22*$B$25*$B$27,0)</f>
        <v/>
      </c>
      <c r="H79" s="10">
        <f>ROUND($B$5*$B$11*$B$15*$B$16*$B$19*$B$23*$B$24*$B$26,0)</f>
        <v/>
      </c>
      <c r="I79" s="10">
        <f>ROUND($B$5*$B$11*$B$15*$B$16*$B$19*$B$23*$B$24*$B$27,0)</f>
        <v/>
      </c>
      <c r="J79" s="10">
        <f>ROUND($B$5*$B$11*$B$15*$B$16*$B$19*$B$23*$B$25*$B$26,0)</f>
        <v/>
      </c>
      <c r="K79" s="10">
        <f>ROUND($B$5*$B$11*$B$15*$B$16*$B$19*$B$23*$B$25*$B$27,0)</f>
        <v/>
      </c>
      <c r="L79" s="10">
        <f>ROUND($B$4*$B$11*$B$15*$B$16*$B$20*$B$22*$B$24*$B$26,0)</f>
        <v/>
      </c>
      <c r="M79" s="10">
        <f>ROUND($B$4*$B$11*$B$15*$B$16*$B$20*$B$22*$B$24*$B$27,0)</f>
        <v/>
      </c>
      <c r="N79" s="10">
        <f>ROUND($B$4*$B$11*$B$15*$B$16*$B$20*$B$22*$B$25*$B$26,0)</f>
        <v/>
      </c>
      <c r="O79" s="10">
        <f>ROUND($B$4*$B$11*$B$15*$B$16*$B$20*$B$22*$B$25*$B$27,0)</f>
        <v/>
      </c>
      <c r="P79" s="10">
        <f>ROUND($B$5*$B$11*$B$15*$B$16*$B$20*$B$23*$B$24*$B$26,0)</f>
        <v/>
      </c>
      <c r="Q79" s="10">
        <f>ROUND($B$5*$B$11*$B$15*$B$16*$B$20*$B$23*$B$24*$B$27,0)</f>
        <v/>
      </c>
      <c r="R79" s="10">
        <f>ROUND($B$5*$B$11*$B$15*$B$16*$B$20*$B$23*$B$25*$B$26,0)</f>
        <v/>
      </c>
      <c r="S79" s="10">
        <f>ROUND($B$5*$B$11*$B$15*$B$16*$B$20*$B$23*$B$25*$B$27,0)</f>
        <v/>
      </c>
      <c r="T79" s="10">
        <f>ROUND($B$4*$B$11*$B$15*$B$16*$B$21*$B$22*$B$24*$B$26,0)</f>
        <v/>
      </c>
      <c r="U79" s="10">
        <f>ROUND($B$4*$B$11*$B$15*$B$16*$B$21*$B$22*$B$24*$B$27,0)</f>
        <v/>
      </c>
      <c r="V79" s="10">
        <f>ROUND($B$4*$B$11*$B$15*$B$16*$B$21*$B$22*$B$25*$B$26,0)</f>
        <v/>
      </c>
      <c r="W79" s="10">
        <f>ROUND($B$4*$B$11*$B$15*$B$16*$B$21*$B$22*$B$25*$B$27,0)</f>
        <v/>
      </c>
      <c r="X79" s="10">
        <f>ROUND($B$6*$B$11*$B$15*$B$16*$B$21*$B$23*$B$24*$B$26,0)</f>
        <v/>
      </c>
      <c r="Y79" s="10">
        <f>ROUND($B$6*$B$11*$B$15*$B$16*$B$21*$B$23*$B$24*$B$27,0)</f>
        <v/>
      </c>
      <c r="Z79" s="10">
        <f>ROUND($B$6*$B$11*$B$15*$B$16*$B$21*$B$23*$B$25*$B$26,0)</f>
        <v/>
      </c>
      <c r="AA79" s="10">
        <f>ROUND($B$6*$B$11*$B$15*$B$16*$B$21*$B$23*$B$25*$B$27,0)</f>
        <v/>
      </c>
    </row>
    <row r="80" ht="20.1" customHeight="1" s="62">
      <c r="A80" s="67" t="n"/>
      <c r="B80" s="58" t="n"/>
      <c r="C80" s="57" t="inlineStr">
        <is>
          <t>Maturité RSE intermédiaire</t>
        </is>
      </c>
      <c r="D80" s="10">
        <f>ROUND($B$4*$B$11*$B$15*$B$17*$B$19*$B$22*$B$24*$B$26,0)</f>
        <v/>
      </c>
      <c r="E80" s="10">
        <f>ROUND($B$4*$B$11*$B$15*$B$17*$B$19*$B$22*$B$24*$B$27,0)</f>
        <v/>
      </c>
      <c r="F80" s="10">
        <f>ROUND($B$4*$B$11*$B$15*$B$17*$B$19*$B$22*$B$25*$B$26,0)</f>
        <v/>
      </c>
      <c r="G80" s="10">
        <f>ROUND($B$4*$B$11*$B$15*$B$17*$B$19*$B$22*$B$25*$B$27,0)</f>
        <v/>
      </c>
      <c r="H80" s="10">
        <f>ROUND($B$5*$B$11*$B$15*$B$17*$B$19*$B$23*$B$24*$B$26,0)</f>
        <v/>
      </c>
      <c r="I80" s="10">
        <f>ROUND($B$5*$B$11*$B$15*$B$17*$B$19*$B$23*$B$24*$B$27,0)</f>
        <v/>
      </c>
      <c r="J80" s="10">
        <f>ROUND($B$5*$B$11*$B$15*$B$17*$B$19*$B$23*$B$25*$B$26,0)</f>
        <v/>
      </c>
      <c r="K80" s="10">
        <f>ROUND($B$5*$B$11*$B$15*$B$17*$B$19*$B$23*$B$25*$B$27,0)</f>
        <v/>
      </c>
      <c r="L80" s="10">
        <f>ROUND($B$4*$B$11*$B$15*$B$17*$B$20*$B$22*$B$24*$B$26,0)</f>
        <v/>
      </c>
      <c r="M80" s="10">
        <f>ROUND($B$4*$B$11*$B$15*$B$17*$B$20*$B$22*$B$24*$B$27,0)</f>
        <v/>
      </c>
      <c r="N80" s="10">
        <f>ROUND($B$4*$B$11*$B$15*$B$17*$B$20*$B$22*$B$25*$B$26,0)</f>
        <v/>
      </c>
      <c r="O80" s="10">
        <f>ROUND($B$4*$B$11*$B$15*$B$17*$B$20*$B$22*$B$25*$B$27,0)</f>
        <v/>
      </c>
      <c r="P80" s="10">
        <f>ROUND($B$5*$B$11*$B$15*$B$17*$B$20*$B$23*$B$24*$B$26,0)</f>
        <v/>
      </c>
      <c r="Q80" s="10">
        <f>ROUND($B$5*$B$11*$B$15*$B$17*$B$20*$B$23*$B$24*$B$27,0)</f>
        <v/>
      </c>
      <c r="R80" s="10">
        <f>ROUND($B$5*$B$11*$B$15*$B$17*$B$20*$B$23*$B$25*$B$26,0)</f>
        <v/>
      </c>
      <c r="S80" s="10">
        <f>ROUND($B$5*$B$11*$B$15*$B$17*$B$20*$B$23*$B$25*$B$27,0)</f>
        <v/>
      </c>
      <c r="T80" s="10">
        <f>ROUND($B$4*$B$11*$B$15*$B$17*$B$21*$B$22*$B$24*$B$26,0)</f>
        <v/>
      </c>
      <c r="U80" s="10">
        <f>ROUND($B$4*$B$11*$B$15*$B$17*$B$21*$B$22*$B$24*$B$27,0)</f>
        <v/>
      </c>
      <c r="V80" s="10">
        <f>ROUND($B$4*$B$11*$B$15*$B$17*$B$21*$B$22*$B$25*$B$26,0)</f>
        <v/>
      </c>
      <c r="W80" s="10">
        <f>ROUND($B$4*$B$11*$B$15*$B$17*$B$21*$B$22*$B$25*$B$27,0)</f>
        <v/>
      </c>
      <c r="X80" s="10">
        <f>ROUND($B$6*$B$11*$B$15*$B$17*$B$21*$B$23*$B$24*$B$26,0)</f>
        <v/>
      </c>
      <c r="Y80" s="10">
        <f>ROUND($B$6*$B$11*$B$15*$B$17*$B$21*$B$23*$B$24*$B$27,0)</f>
        <v/>
      </c>
      <c r="Z80" s="10">
        <f>ROUND($B$6*$B$11*$B$15*$B$17*$B$21*$B$23*$B$25*$B$26,0)</f>
        <v/>
      </c>
      <c r="AA80" s="10">
        <f>ROUND($B$6*$B$11*$B$15*$B$17*$B$21*$B$23*$B$25*$B$27,0)</f>
        <v/>
      </c>
    </row>
    <row r="81" ht="20.1" customHeight="1" s="62">
      <c r="A81" s="68" t="n"/>
      <c r="B81" s="59" t="n"/>
      <c r="C81" s="15" t="inlineStr">
        <is>
          <t>Maturité RSE avancée</t>
        </is>
      </c>
      <c r="D81" s="10">
        <f>ROUND($B$4*$B$11*$B$15*$B$18*$B$19*$B$22*$B$24*$B$26,0)</f>
        <v/>
      </c>
      <c r="E81" s="10">
        <f>ROUND($B$4*$B$11*$B$15*$B$18*$B$19*$B$22*$B$24*$B$27,0)</f>
        <v/>
      </c>
      <c r="F81" s="10">
        <f>ROUND($B$4*$B$11*$B$15*$B$18*$B$19*$B$22*$B$25*$B$26,0)</f>
        <v/>
      </c>
      <c r="G81" s="10">
        <f>ROUND($B$4*$B$11*$B$15*$B$18*$B$19*$B$22*$B$25*$B$27,0)</f>
        <v/>
      </c>
      <c r="H81" s="10">
        <f>ROUND($B$5*$B$11*$B$15*$B$18*$B$19*$B$23*$B$24*$B$26,0)</f>
        <v/>
      </c>
      <c r="I81" s="10">
        <f>ROUND($B$5*$B$11*$B$15*$B$18*$B$19*$B$23*$B$24*$B$27,0)</f>
        <v/>
      </c>
      <c r="J81" s="10">
        <f>ROUND($B$5*$B$11*$B$15*$B$18*$B$19*$B$23*$B$25*$B$26,0)</f>
        <v/>
      </c>
      <c r="K81" s="10">
        <f>ROUND($B$5*$B$11*$B$15*$B$18*$B$19*$B$23*$B$25*$B$27,0)</f>
        <v/>
      </c>
      <c r="L81" s="10">
        <f>ROUND($B$4*$B$11*$B$15*$B$18*$B$20*$B$22*$B$24*$B$26,0)</f>
        <v/>
      </c>
      <c r="M81" s="10">
        <f>ROUND($B$4*$B$11*$B$15*$B$18*$B$20*$B$22*$B$24*$B$27,0)</f>
        <v/>
      </c>
      <c r="N81" s="10">
        <f>ROUND($B$4*$B$11*$B$15*$B$18*$B$20*$B$22*$B$25*$B$26,0)</f>
        <v/>
      </c>
      <c r="O81" s="10">
        <f>ROUND($B$4*$B$11*$B$15*$B$18*$B$20*$B$22*$B$25*$B$27,0)</f>
        <v/>
      </c>
      <c r="P81" s="10">
        <f>ROUND($B$5*$B$11*$B$15*$B$18*$B$20*$B$23*$B$24*$B$26,0)</f>
        <v/>
      </c>
      <c r="Q81" s="10">
        <f>ROUND($B$5*$B$11*$B$15*$B$18*$B$20*$B$23*$B$24*$B$27,0)</f>
        <v/>
      </c>
      <c r="R81" s="10">
        <f>ROUND($B$5*$B$11*$B$15*$B$18*$B$20*$B$23*$B$25*$B$26,0)</f>
        <v/>
      </c>
      <c r="S81" s="10">
        <f>ROUND($B$5*$B$11*$B$15*$B$18*$B$20*$B$23*$B$25*$B$27,0)</f>
        <v/>
      </c>
      <c r="T81" s="10">
        <f>ROUND($B$4*$B$11*$B$15*$B$18*$B$21*$B$22*$B$24*$B$26,0)</f>
        <v/>
      </c>
      <c r="U81" s="10">
        <f>ROUND($B$4*$B$11*$B$15*$B$18*$B$21*$B$22*$B$24*$B$27,0)</f>
        <v/>
      </c>
      <c r="V81" s="10">
        <f>ROUND($B$4*$B$11*$B$15*$B$18*$B$21*$B$22*$B$25*$B$26,0)</f>
        <v/>
      </c>
      <c r="W81" s="10">
        <f>ROUND($B$4*$B$11*$B$15*$B$18*$B$21*$B$22*$B$25*$B$27,0)</f>
        <v/>
      </c>
      <c r="X81" s="10">
        <f>ROUND($B$6*$B$11*$B$15*$B$18*$B$21*$B$23*$B$24*$B$26,0)</f>
        <v/>
      </c>
      <c r="Y81" s="10">
        <f>ROUND($B$6*$B$11*$B$15*$B$18*$B$21*$B$23*$B$24*$B$27,0)</f>
        <v/>
      </c>
      <c r="Z81" s="10">
        <f>ROUND($B$6*$B$11*$B$15*$B$18*$B$21*$B$23*$B$25*$B$26,0)</f>
        <v/>
      </c>
      <c r="AA81" s="10">
        <f>ROUND($B$6*$B$11*$B$15*$B$18*$B$21*$B$23*$B$25*$B$27,0)</f>
        <v/>
      </c>
    </row>
  </sheetData>
  <mergeCells count="49">
    <mergeCell ref="L31:O31"/>
    <mergeCell ref="B49:B51"/>
    <mergeCell ref="T31:W31"/>
    <mergeCell ref="T30:AA30"/>
    <mergeCell ref="B40:B42"/>
    <mergeCell ref="A7:AA7"/>
    <mergeCell ref="L32:M32"/>
    <mergeCell ref="B34:B36"/>
    <mergeCell ref="N32:O32"/>
    <mergeCell ref="T32:U32"/>
    <mergeCell ref="B55:B57"/>
    <mergeCell ref="A30:A33"/>
    <mergeCell ref="X32:Y32"/>
    <mergeCell ref="Z32:AA32"/>
    <mergeCell ref="C30:C33"/>
    <mergeCell ref="X31:AA31"/>
    <mergeCell ref="A58:A69"/>
    <mergeCell ref="A34:A45"/>
    <mergeCell ref="A3:AA3"/>
    <mergeCell ref="B64:B66"/>
    <mergeCell ref="A2:AA2"/>
    <mergeCell ref="B76:B78"/>
    <mergeCell ref="D32:E32"/>
    <mergeCell ref="B79:B81"/>
    <mergeCell ref="F32:G32"/>
    <mergeCell ref="L30:S30"/>
    <mergeCell ref="D31:G31"/>
    <mergeCell ref="P31:S31"/>
    <mergeCell ref="A70:A81"/>
    <mergeCell ref="H31:K31"/>
    <mergeCell ref="H32:I32"/>
    <mergeCell ref="B43:B45"/>
    <mergeCell ref="J32:K32"/>
    <mergeCell ref="P32:Q32"/>
    <mergeCell ref="B52:B54"/>
    <mergeCell ref="R32:S32"/>
    <mergeCell ref="B30:B33"/>
    <mergeCell ref="A28:AA28"/>
    <mergeCell ref="B46:B48"/>
    <mergeCell ref="V32:W32"/>
    <mergeCell ref="B58:B60"/>
    <mergeCell ref="B70:B72"/>
    <mergeCell ref="B67:B69"/>
    <mergeCell ref="B61:B63"/>
    <mergeCell ref="D30:K30"/>
    <mergeCell ref="B73:B75"/>
    <mergeCell ref="A46:A57"/>
    <mergeCell ref="A1:AA1"/>
    <mergeCell ref="B37:B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F3864"/>
    <outlinePr summaryBelow="1" summaryRight="1"/>
    <pageSetUpPr/>
  </sheetPr>
  <dimension ref="A1:S67"/>
  <sheetViews>
    <sheetView workbookViewId="0">
      <pane xSplit="3" topLeftCell="D1" activePane="topRight" state="frozen"/>
      <selection pane="topRight" activeCell="B25" sqref="B25"/>
    </sheetView>
  </sheetViews>
  <sheetFormatPr baseColWidth="10" defaultColWidth="9.140625" defaultRowHeight="15"/>
  <cols>
    <col width="24" customWidth="1" style="62" min="1" max="2"/>
    <col width="22" customWidth="1" style="62" min="3" max="3"/>
    <col width="14" customWidth="1" style="62" min="4" max="19"/>
  </cols>
  <sheetData>
    <row r="1" ht="33.95" customHeight="1" s="62">
      <c r="A1" s="72" t="inlineStr">
        <is>
          <t>GRILLE TARIFAIRE — Conseil stratégique (tech, digital, organisation)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Par type d'engagement</t>
        </is>
      </c>
    </row>
    <row r="4" ht="21.95" customHeight="1" s="62">
      <c r="A4" s="1" t="inlineStr">
        <is>
          <t>Tarif de base — Session ponctuelle</t>
        </is>
      </c>
      <c r="B4" s="2" t="n">
        <v>650</v>
      </c>
      <c r="C4" s="3" t="inlineStr">
        <is>
          <t>Fourchette indicative : 300 – 800 € / séance</t>
        </is>
      </c>
    </row>
    <row r="5" ht="21.95" customHeight="1" s="62">
      <c r="A5" s="1" t="inlineStr">
        <is>
          <t>Tarif de base — Accompagnement court</t>
        </is>
      </c>
      <c r="B5" s="2" t="n">
        <v>4000</v>
      </c>
      <c r="C5" s="3" t="inlineStr">
        <is>
          <t>Fourchette indicative : 2 000 – 5 000 €</t>
        </is>
      </c>
    </row>
    <row r="6" ht="21.95" customHeight="1" s="62">
      <c r="A6" s="1" t="inlineStr">
        <is>
          <t>Tarif de base — Accompagnement stratégique</t>
        </is>
      </c>
      <c r="B6" s="2" t="n">
        <v>12000</v>
      </c>
      <c r="C6" s="3" t="inlineStr">
        <is>
          <t>Fourchette indicative : 5 000 – 15 000 €</t>
        </is>
      </c>
    </row>
    <row r="7" ht="21.95" customHeight="1" s="62">
      <c r="A7" s="1" t="inlineStr">
        <is>
          <t>Tarif de base — Suivi mensuel dirigeant</t>
        </is>
      </c>
      <c r="B7" s="2" t="n">
        <v>1800</v>
      </c>
      <c r="C7" s="3" t="inlineStr">
        <is>
          <t>Fourchette indicative : 1 000 – 3 000 €/mois</t>
        </is>
      </c>
    </row>
    <row r="8" ht="21.95" customHeight="1" s="62">
      <c r="A8" s="61" t="inlineStr">
        <is>
          <t>COEFFICIENTS MULTIPLICATEURS  —  1,00 = neutre. Ex : 1,20 = +20 %</t>
        </is>
      </c>
    </row>
    <row r="9" ht="20.1" customHeight="1" s="62">
      <c r="A9" s="13" t="inlineStr">
        <is>
          <t>Coeff. taille — Micro (1-5 sal.)</t>
        </is>
      </c>
      <c r="B9" s="5" t="n">
        <v>0.8</v>
      </c>
      <c r="C9" s="6" t="inlineStr">
        <is>
          <t>Petite structure</t>
        </is>
      </c>
    </row>
    <row r="10" ht="20.1" customHeight="1" s="62">
      <c r="A10" s="13" t="inlineStr">
        <is>
          <t>Coeff. taille — TPE (6-19 sal.)</t>
        </is>
      </c>
      <c r="B10" s="5" t="n">
        <v>1</v>
      </c>
      <c r="C10" s="6" t="inlineStr">
        <is>
          <t>Référence</t>
        </is>
      </c>
    </row>
    <row r="11" ht="20.1" customHeight="1" s="62">
      <c r="A11" s="13" t="inlineStr">
        <is>
          <t>Coeff. taille — PME (20-99 sal.)</t>
        </is>
      </c>
      <c r="B11" s="5" t="n">
        <v>1.25</v>
      </c>
      <c r="C11" s="6" t="inlineStr">
        <is>
          <t>Enjeux plus complexes</t>
        </is>
      </c>
    </row>
    <row r="12" ht="20.1" customHeight="1" s="62">
      <c r="A12" s="13" t="inlineStr">
        <is>
          <t>Coeff. taille — ETI / Grand compte (100+)</t>
        </is>
      </c>
      <c r="B12" s="5" t="n">
        <v>1.8</v>
      </c>
      <c r="C12" s="6" t="inlineStr">
        <is>
          <t>Complexité stratégique élevée</t>
        </is>
      </c>
    </row>
    <row r="13" ht="20.1" customHeight="1" s="62">
      <c r="A13" s="13" t="inlineStr">
        <is>
          <t>Coeff. dirigeant — Débutant</t>
        </is>
      </c>
      <c r="B13" s="5" t="n">
        <v>1.2</v>
      </c>
      <c r="C13" s="6" t="inlineStr">
        <is>
          <t>Accompagnement plus intensif</t>
        </is>
      </c>
    </row>
    <row r="14" ht="20.1" customHeight="1" s="62">
      <c r="A14" s="13" t="inlineStr">
        <is>
          <t>Coeff. dirigeant — Expérimenté</t>
        </is>
      </c>
      <c r="B14" s="5" t="n">
        <v>1</v>
      </c>
      <c r="C14" s="6" t="inlineStr">
        <is>
          <t>Référence</t>
        </is>
      </c>
    </row>
    <row r="15" ht="20.1" customHeight="1" s="62">
      <c r="A15" s="13" t="inlineStr">
        <is>
          <t>Coeff. dirigeant — Expert</t>
        </is>
      </c>
      <c r="B15" s="5" t="n">
        <v>1.25</v>
      </c>
      <c r="C15" s="6" t="inlineStr">
        <is>
          <t>Échanges plus ciblés</t>
        </is>
      </c>
    </row>
    <row r="16" ht="20.1" customHeight="1" s="62">
      <c r="A16" s="13" t="inlineStr">
        <is>
          <t>Coeff. implication — Faible</t>
        </is>
      </c>
      <c r="B16" s="5" t="n">
        <v>1.2</v>
      </c>
      <c r="C16" s="6" t="inlineStr">
        <is>
          <t>Travail de cadrage supplémentaire</t>
        </is>
      </c>
    </row>
    <row r="17" ht="20.1" customHeight="1" s="62">
      <c r="A17" s="13" t="inlineStr">
        <is>
          <t>Coeff. implication — Modérée</t>
        </is>
      </c>
      <c r="B17" s="5" t="n">
        <v>1</v>
      </c>
      <c r="C17" s="6" t="inlineStr">
        <is>
          <t>Référence</t>
        </is>
      </c>
    </row>
    <row r="18" ht="20.1" customHeight="1" s="62">
      <c r="A18" s="13" t="inlineStr">
        <is>
          <t>Coeff. implication — Forte</t>
        </is>
      </c>
      <c r="B18" s="5" t="n">
        <v>0.9</v>
      </c>
      <c r="C18" s="6" t="inlineStr">
        <is>
          <t>Collaboration efficace</t>
        </is>
      </c>
    </row>
    <row r="19" ht="20.1" customHeight="1" s="62">
      <c r="A19" s="13" t="inlineStr">
        <is>
          <t>Coeff. sujet — Tech</t>
        </is>
      </c>
      <c r="B19" s="5" t="n">
        <v>1.2</v>
      </c>
      <c r="C19" s="6" t="inlineStr">
        <is>
          <t>Expertise technique requise</t>
        </is>
      </c>
    </row>
    <row r="20" ht="20.1" customHeight="1" s="62">
      <c r="A20" s="13" t="inlineStr">
        <is>
          <t>Coeff. sujet — Organisation</t>
        </is>
      </c>
      <c r="B20" s="5" t="n">
        <v>1</v>
      </c>
      <c r="C20" s="6" t="inlineStr">
        <is>
          <t>Référence</t>
        </is>
      </c>
    </row>
    <row r="21" ht="20.1" customHeight="1" s="62">
      <c r="A21" s="13" t="inlineStr">
        <is>
          <t>Coeff. sujet — Business</t>
        </is>
      </c>
      <c r="B21" s="5" t="n">
        <v>1.05</v>
      </c>
      <c r="C21" s="6" t="inlineStr">
        <is>
          <t>Enjeux commerciaux</t>
        </is>
      </c>
    </row>
    <row r="22" ht="20.1" customHeight="1" s="62">
      <c r="A22" s="13" t="inlineStr">
        <is>
          <t>Coeff. sujet — Multi-sujets</t>
        </is>
      </c>
      <c r="B22" s="5" t="n">
        <v>1.5</v>
      </c>
      <c r="C22" s="6" t="inlineStr">
        <is>
          <t>Périmètre élargi</t>
        </is>
      </c>
    </row>
    <row r="23" ht="20.1" customHeight="1" s="62">
      <c r="A23" s="13" t="inlineStr">
        <is>
          <t>Coeff. fréquence — Ponctuelle</t>
        </is>
      </c>
      <c r="B23" s="5" t="n">
        <v>1</v>
      </c>
      <c r="C23" s="6" t="inlineStr">
        <is>
          <t>Référence</t>
        </is>
      </c>
    </row>
    <row r="24" ht="20.1" customHeight="1" s="62">
      <c r="A24" s="13" t="inlineStr">
        <is>
          <t>Coeff. fréquence — Régulière</t>
        </is>
      </c>
      <c r="B24" s="5" t="n">
        <v>1.1</v>
      </c>
      <c r="C24" s="6" t="inlineStr">
        <is>
          <t>Fidélisation → tarif optimisé</t>
        </is>
      </c>
    </row>
    <row r="25" ht="20.1" customHeight="1" s="62">
      <c r="A25" s="13" t="inlineStr">
        <is>
          <t>Coeff. mode — Visio</t>
        </is>
      </c>
      <c r="B25" s="5" t="n">
        <v>1</v>
      </c>
      <c r="C25" s="6" t="inlineStr">
        <is>
          <t>Référence</t>
        </is>
      </c>
    </row>
    <row r="26" ht="20.1" customHeight="1" s="62">
      <c r="A26" s="13" t="inlineStr">
        <is>
          <t>Coeff. mode — Présentiel</t>
        </is>
      </c>
      <c r="B26" s="5" t="n">
        <v>1.25</v>
      </c>
      <c r="C26" s="6" t="inlineStr">
        <is>
          <t>Déplacements + temps de trajet</t>
        </is>
      </c>
    </row>
    <row r="27" ht="24" customHeight="1" s="62">
      <c r="A27" s="71" t="inlineStr">
        <is>
          <t>▼  GRILLE TARIFAIRE CALCULÉE AUTOMATIQUEMENT  — Les cellules bleues sont en lecture seule (formules).</t>
        </is>
      </c>
    </row>
    <row r="28" ht="6" customHeight="1" s="62"/>
    <row r="29" ht="38.1" customHeight="1" s="62">
      <c r="A29" s="54" t="inlineStr">
        <is>
          <t>Taille de l'entreprise</t>
        </is>
      </c>
      <c r="B29" s="60" t="inlineStr">
        <is>
          <t>Niveau du dirigeant</t>
        </is>
      </c>
      <c r="C29" s="63" t="inlineStr">
        <is>
          <t>Niveau d'implication</t>
        </is>
      </c>
      <c r="D29" s="54" t="inlineStr">
        <is>
          <t>Tech</t>
        </is>
      </c>
      <c r="E29" s="55" t="n"/>
      <c r="F29" s="55" t="n"/>
      <c r="G29" s="56" t="n"/>
      <c r="H29" s="54" t="inlineStr">
        <is>
          <t>Organisation</t>
        </is>
      </c>
      <c r="I29" s="55" t="n"/>
      <c r="J29" s="55" t="n"/>
      <c r="K29" s="56" t="n"/>
      <c r="L29" s="54" t="inlineStr">
        <is>
          <t>Business</t>
        </is>
      </c>
      <c r="M29" s="55" t="n"/>
      <c r="N29" s="55" t="n"/>
      <c r="O29" s="56" t="n"/>
      <c r="P29" s="54" t="inlineStr">
        <is>
          <t>Multi-sujets</t>
        </is>
      </c>
      <c r="Q29" s="55" t="n"/>
      <c r="R29" s="55" t="n"/>
      <c r="S29" s="56" t="n"/>
    </row>
    <row r="30" ht="38.1" customHeight="1" s="62">
      <c r="A30" s="64" t="n"/>
      <c r="B30" s="64" t="n"/>
      <c r="C30" s="64" t="n"/>
      <c r="D30" s="60" t="inlineStr">
        <is>
          <t>Ponctuelle</t>
        </is>
      </c>
      <c r="E30" s="56" t="n"/>
      <c r="F30" s="60" t="inlineStr">
        <is>
          <t>Régulière</t>
        </is>
      </c>
      <c r="G30" s="56" t="n"/>
      <c r="H30" s="60" t="inlineStr">
        <is>
          <t>Ponctuelle</t>
        </is>
      </c>
      <c r="I30" s="56" t="n"/>
      <c r="J30" s="60" t="inlineStr">
        <is>
          <t>Régulière</t>
        </is>
      </c>
      <c r="K30" s="56" t="n"/>
      <c r="L30" s="60" t="inlineStr">
        <is>
          <t>Ponctuelle</t>
        </is>
      </c>
      <c r="M30" s="56" t="n"/>
      <c r="N30" s="60" t="inlineStr">
        <is>
          <t>Régulière</t>
        </is>
      </c>
      <c r="O30" s="56" t="n"/>
      <c r="P30" s="60" t="inlineStr">
        <is>
          <t>Ponctuelle</t>
        </is>
      </c>
      <c r="Q30" s="56" t="n"/>
      <c r="R30" s="60" t="inlineStr">
        <is>
          <t>Régulière</t>
        </is>
      </c>
      <c r="S30" s="56" t="n"/>
    </row>
    <row r="31" ht="38.1" customHeight="1" s="62">
      <c r="A31" s="65" t="n"/>
      <c r="B31" s="65" t="n"/>
      <c r="C31" s="65" t="n"/>
      <c r="D31" s="7" t="inlineStr">
        <is>
          <t>Visio</t>
        </is>
      </c>
      <c r="E31" s="7" t="inlineStr">
        <is>
          <t>Présentiel</t>
        </is>
      </c>
      <c r="F31" s="7" t="inlineStr">
        <is>
          <t>Visio</t>
        </is>
      </c>
      <c r="G31" s="7" t="inlineStr">
        <is>
          <t>Présentiel</t>
        </is>
      </c>
      <c r="H31" s="7" t="inlineStr">
        <is>
          <t>Visio</t>
        </is>
      </c>
      <c r="I31" s="7" t="inlineStr">
        <is>
          <t>Présentiel</t>
        </is>
      </c>
      <c r="J31" s="7" t="inlineStr">
        <is>
          <t>Visio</t>
        </is>
      </c>
      <c r="K31" s="7" t="inlineStr">
        <is>
          <t>Présentiel</t>
        </is>
      </c>
      <c r="L31" s="7" t="inlineStr">
        <is>
          <t>Visio</t>
        </is>
      </c>
      <c r="M31" s="7" t="inlineStr">
        <is>
          <t>Présentiel</t>
        </is>
      </c>
      <c r="N31" s="7" t="inlineStr">
        <is>
          <t>Visio</t>
        </is>
      </c>
      <c r="O31" s="7" t="inlineStr">
        <is>
          <t>Présentiel</t>
        </is>
      </c>
      <c r="P31" s="7" t="inlineStr">
        <is>
          <t>Visio</t>
        </is>
      </c>
      <c r="Q31" s="7" t="inlineStr">
        <is>
          <t>Présentiel</t>
        </is>
      </c>
      <c r="R31" s="7" t="inlineStr">
        <is>
          <t>Visio</t>
        </is>
      </c>
      <c r="S31" s="7" t="inlineStr">
        <is>
          <t>Présentiel</t>
        </is>
      </c>
    </row>
    <row r="32" ht="20.1" customHeight="1" s="62">
      <c r="A32" s="66" t="inlineStr">
        <is>
          <t>Micro (1-5 sal.)</t>
        </is>
      </c>
      <c r="B32" s="57" t="inlineStr">
        <is>
          <t>Dirigeant débutant</t>
        </is>
      </c>
      <c r="C32" s="14" t="inlineStr">
        <is>
          <t>Implication faible</t>
        </is>
      </c>
      <c r="D32" s="10">
        <f>ROUND($B$4*$B$9*$B$13*$B$16*$B$19*$B$23*$B$25,0)</f>
        <v/>
      </c>
      <c r="E32" s="10">
        <f>ROUND($B$4*$B$9*$B$13*$B$16*$B$19*$B$23*$B$26,0)</f>
        <v/>
      </c>
      <c r="F32" s="10">
        <f>ROUND($B$5*$B$9*$B$13*$B$16*$B$19*$B$24*$B$25,0)</f>
        <v/>
      </c>
      <c r="G32" s="10">
        <f>ROUND($B$5*$B$9*$B$13*$B$16*$B$19*$B$24*$B$26,0)</f>
        <v/>
      </c>
      <c r="H32" s="10">
        <f>ROUND($B$4*$B$9*$B$13*$B$16*$B$20*$B$23*$B$25,0)</f>
        <v/>
      </c>
      <c r="I32" s="10">
        <f>ROUND($B$4*$B$9*$B$13*$B$16*$B$20*$B$23*$B$26,0)</f>
        <v/>
      </c>
      <c r="J32" s="10">
        <f>ROUND($B$5*$B$9*$B$13*$B$16*$B$20*$B$24*$B$25,0)</f>
        <v/>
      </c>
      <c r="K32" s="10">
        <f>ROUND($B$5*$B$9*$B$13*$B$16*$B$20*$B$24*$B$26,0)</f>
        <v/>
      </c>
      <c r="L32" s="10">
        <f>ROUND($B$4*$B$9*$B$13*$B$16*$B$21*$B$23*$B$25,0)</f>
        <v/>
      </c>
      <c r="M32" s="10">
        <f>ROUND($B$4*$B$9*$B$13*$B$16*$B$21*$B$23*$B$26,0)</f>
        <v/>
      </c>
      <c r="N32" s="10">
        <f>ROUND($B$5*$B$9*$B$13*$B$16*$B$21*$B$24*$B$25,0)</f>
        <v/>
      </c>
      <c r="O32" s="10">
        <f>ROUND($B$5*$B$9*$B$13*$B$16*$B$21*$B$24*$B$26,0)</f>
        <v/>
      </c>
      <c r="P32" s="10">
        <f>ROUND($B$4*$B$9*$B$13*$B$16*$B$22*$B$23*$B$25,0)</f>
        <v/>
      </c>
      <c r="Q32" s="10">
        <f>ROUND($B$4*$B$9*$B$13*$B$16*$B$22*$B$23*$B$26,0)</f>
        <v/>
      </c>
      <c r="R32" s="10">
        <f>ROUND($B$6*$B$9*$B$13*$B$16*$B$22*$B$24*$B$25,0)</f>
        <v/>
      </c>
      <c r="S32" s="10">
        <f>ROUND($B$6*$B$9*$B$13*$B$16*$B$22*$B$24*$B$26,0)</f>
        <v/>
      </c>
    </row>
    <row r="33" ht="20.1" customHeight="1" s="62">
      <c r="A33" s="67" t="n"/>
      <c r="B33" s="58" t="n"/>
      <c r="C33" s="57" t="inlineStr">
        <is>
          <t>Implication modérée</t>
        </is>
      </c>
      <c r="D33" s="10">
        <f>ROUND($B$4*$B$9*$B$13*$B$17*$B$19*$B$23*$B$25,0)</f>
        <v/>
      </c>
      <c r="E33" s="10">
        <f>ROUND($B$4*$B$9*$B$13*$B$17*$B$19*$B$23*$B$26,0)</f>
        <v/>
      </c>
      <c r="F33" s="10">
        <f>ROUND($B$5*$B$9*$B$13*$B$17*$B$19*$B$24*$B$25,0)</f>
        <v/>
      </c>
      <c r="G33" s="10">
        <f>ROUND($B$5*$B$9*$B$13*$B$17*$B$19*$B$24*$B$26,0)</f>
        <v/>
      </c>
      <c r="H33" s="10">
        <f>ROUND($B$4*$B$9*$B$13*$B$17*$B$20*$B$23*$B$25,0)</f>
        <v/>
      </c>
      <c r="I33" s="10">
        <f>ROUND($B$4*$B$9*$B$13*$B$17*$B$20*$B$23*$B$26,0)</f>
        <v/>
      </c>
      <c r="J33" s="10">
        <f>ROUND($B$5*$B$9*$B$13*$B$17*$B$20*$B$24*$B$25,0)</f>
        <v/>
      </c>
      <c r="K33" s="10">
        <f>ROUND($B$5*$B$9*$B$13*$B$17*$B$20*$B$24*$B$26,0)</f>
        <v/>
      </c>
      <c r="L33" s="10">
        <f>ROUND($B$4*$B$9*$B$13*$B$17*$B$21*$B$23*$B$25,0)</f>
        <v/>
      </c>
      <c r="M33" s="10">
        <f>ROUND($B$4*$B$9*$B$13*$B$17*$B$21*$B$23*$B$26,0)</f>
        <v/>
      </c>
      <c r="N33" s="10">
        <f>ROUND($B$5*$B$9*$B$13*$B$17*$B$21*$B$24*$B$25,0)</f>
        <v/>
      </c>
      <c r="O33" s="10">
        <f>ROUND($B$5*$B$9*$B$13*$B$17*$B$21*$B$24*$B$26,0)</f>
        <v/>
      </c>
      <c r="P33" s="10">
        <f>ROUND($B$4*$B$9*$B$13*$B$17*$B$22*$B$23*$B$25,0)</f>
        <v/>
      </c>
      <c r="Q33" s="10">
        <f>ROUND($B$4*$B$9*$B$13*$B$17*$B$22*$B$23*$B$26,0)</f>
        <v/>
      </c>
      <c r="R33" s="10">
        <f>ROUND($B$6*$B$9*$B$13*$B$17*$B$22*$B$24*$B$25,0)</f>
        <v/>
      </c>
      <c r="S33" s="10">
        <f>ROUND($B$6*$B$9*$B$13*$B$17*$B$22*$B$24*$B$26,0)</f>
        <v/>
      </c>
    </row>
    <row r="34" ht="20.1" customHeight="1" s="62">
      <c r="A34" s="67" t="n"/>
      <c r="B34" s="59" t="n"/>
      <c r="C34" s="15" t="inlineStr">
        <is>
          <t>Implication forte</t>
        </is>
      </c>
      <c r="D34" s="10">
        <f>ROUND($B$4*$B$9*$B$13*$B$18*$B$19*$B$23*$B$25,0)</f>
        <v/>
      </c>
      <c r="E34" s="10">
        <f>ROUND($B$4*$B$9*$B$13*$B$18*$B$19*$B$23*$B$26,0)</f>
        <v/>
      </c>
      <c r="F34" s="10">
        <f>ROUND($B$5*$B$9*$B$13*$B$18*$B$19*$B$24*$B$25,0)</f>
        <v/>
      </c>
      <c r="G34" s="10">
        <f>ROUND($B$5*$B$9*$B$13*$B$18*$B$19*$B$24*$B$26,0)</f>
        <v/>
      </c>
      <c r="H34" s="10">
        <f>ROUND($B$4*$B$9*$B$13*$B$18*$B$20*$B$23*$B$25,0)</f>
        <v/>
      </c>
      <c r="I34" s="10">
        <f>ROUND($B$4*$B$9*$B$13*$B$18*$B$20*$B$23*$B$26,0)</f>
        <v/>
      </c>
      <c r="J34" s="10">
        <f>ROUND($B$5*$B$9*$B$13*$B$18*$B$20*$B$24*$B$25,0)</f>
        <v/>
      </c>
      <c r="K34" s="10">
        <f>ROUND($B$5*$B$9*$B$13*$B$18*$B$20*$B$24*$B$26,0)</f>
        <v/>
      </c>
      <c r="L34" s="10">
        <f>ROUND($B$4*$B$9*$B$13*$B$18*$B$21*$B$23*$B$25,0)</f>
        <v/>
      </c>
      <c r="M34" s="10">
        <f>ROUND($B$4*$B$9*$B$13*$B$18*$B$21*$B$23*$B$26,0)</f>
        <v/>
      </c>
      <c r="N34" s="10">
        <f>ROUND($B$5*$B$9*$B$13*$B$18*$B$21*$B$24*$B$25,0)</f>
        <v/>
      </c>
      <c r="O34" s="10">
        <f>ROUND($B$5*$B$9*$B$13*$B$18*$B$21*$B$24*$B$26,0)</f>
        <v/>
      </c>
      <c r="P34" s="10">
        <f>ROUND($B$4*$B$9*$B$13*$B$18*$B$22*$B$23*$B$25,0)</f>
        <v/>
      </c>
      <c r="Q34" s="10">
        <f>ROUND($B$4*$B$9*$B$13*$B$18*$B$22*$B$23*$B$26,0)</f>
        <v/>
      </c>
      <c r="R34" s="10">
        <f>ROUND($B$6*$B$9*$B$13*$B$18*$B$22*$B$24*$B$25,0)</f>
        <v/>
      </c>
      <c r="S34" s="10">
        <f>ROUND($B$6*$B$9*$B$13*$B$18*$B$22*$B$24*$B$26,0)</f>
        <v/>
      </c>
    </row>
    <row r="35" ht="20.1" customHeight="1" s="62">
      <c r="A35" s="67" t="n"/>
      <c r="B35" s="57" t="inlineStr">
        <is>
          <t>Dirigeant expérimenté</t>
        </is>
      </c>
      <c r="C35" s="14" t="inlineStr">
        <is>
          <t>Implication faible</t>
        </is>
      </c>
      <c r="D35" s="10">
        <f>ROUND($B$4*$B$9*$B$14*$B$16*$B$19*$B$23*$B$25,0)</f>
        <v/>
      </c>
      <c r="E35" s="10">
        <f>ROUND($B$4*$B$9*$B$14*$B$16*$B$19*$B$23*$B$26,0)</f>
        <v/>
      </c>
      <c r="F35" s="10">
        <f>ROUND($B$5*$B$9*$B$14*$B$16*$B$19*$B$24*$B$25,0)</f>
        <v/>
      </c>
      <c r="G35" s="10">
        <f>ROUND($B$5*$B$9*$B$14*$B$16*$B$19*$B$24*$B$26,0)</f>
        <v/>
      </c>
      <c r="H35" s="10">
        <f>ROUND($B$4*$B$9*$B$14*$B$16*$B$20*$B$23*$B$25,0)</f>
        <v/>
      </c>
      <c r="I35" s="10">
        <f>ROUND($B$4*$B$9*$B$14*$B$16*$B$20*$B$23*$B$26,0)</f>
        <v/>
      </c>
      <c r="J35" s="10">
        <f>ROUND($B$5*$B$9*$B$14*$B$16*$B$20*$B$24*$B$25,0)</f>
        <v/>
      </c>
      <c r="K35" s="10">
        <f>ROUND($B$5*$B$9*$B$14*$B$16*$B$20*$B$24*$B$26,0)</f>
        <v/>
      </c>
      <c r="L35" s="10">
        <f>ROUND($B$4*$B$9*$B$14*$B$16*$B$21*$B$23*$B$25,0)</f>
        <v/>
      </c>
      <c r="M35" s="10">
        <f>ROUND($B$4*$B$9*$B$14*$B$16*$B$21*$B$23*$B$26,0)</f>
        <v/>
      </c>
      <c r="N35" s="10">
        <f>ROUND($B$5*$B$9*$B$14*$B$16*$B$21*$B$24*$B$25,0)</f>
        <v/>
      </c>
      <c r="O35" s="10">
        <f>ROUND($B$5*$B$9*$B$14*$B$16*$B$21*$B$24*$B$26,0)</f>
        <v/>
      </c>
      <c r="P35" s="10">
        <f>ROUND($B$4*$B$9*$B$14*$B$16*$B$22*$B$23*$B$25,0)</f>
        <v/>
      </c>
      <c r="Q35" s="10">
        <f>ROUND($B$4*$B$9*$B$14*$B$16*$B$22*$B$23*$B$26,0)</f>
        <v/>
      </c>
      <c r="R35" s="10">
        <f>ROUND($B$6*$B$9*$B$14*$B$16*$B$22*$B$24*$B$25,0)</f>
        <v/>
      </c>
      <c r="S35" s="10">
        <f>ROUND($B$6*$B$9*$B$14*$B$16*$B$22*$B$24*$B$26,0)</f>
        <v/>
      </c>
    </row>
    <row r="36" ht="20.1" customHeight="1" s="62">
      <c r="A36" s="67" t="n"/>
      <c r="B36" s="58" t="n"/>
      <c r="C36" s="57" t="inlineStr">
        <is>
          <t>Implication modérée</t>
        </is>
      </c>
      <c r="D36" s="10">
        <f>ROUND($B$4*$B$9*$B$14*$B$17*$B$19*$B$23*$B$25,0)</f>
        <v/>
      </c>
      <c r="E36" s="10">
        <f>ROUND($B$4*$B$9*$B$14*$B$17*$B$19*$B$23*$B$26,0)</f>
        <v/>
      </c>
      <c r="F36" s="10">
        <f>ROUND($B$5*$B$9*$B$14*$B$17*$B$19*$B$24*$B$25,0)</f>
        <v/>
      </c>
      <c r="G36" s="10">
        <f>ROUND($B$5*$B$9*$B$14*$B$17*$B$19*$B$24*$B$26,0)</f>
        <v/>
      </c>
      <c r="H36" s="10">
        <f>ROUND($B$4*$B$9*$B$14*$B$17*$B$20*$B$23*$B$25,0)</f>
        <v/>
      </c>
      <c r="I36" s="10">
        <f>ROUND($B$4*$B$9*$B$14*$B$17*$B$20*$B$23*$B$26,0)</f>
        <v/>
      </c>
      <c r="J36" s="10">
        <f>ROUND($B$5*$B$9*$B$14*$B$17*$B$20*$B$24*$B$25,0)</f>
        <v/>
      </c>
      <c r="K36" s="10">
        <f>ROUND($B$5*$B$9*$B$14*$B$17*$B$20*$B$24*$B$26,0)</f>
        <v/>
      </c>
      <c r="L36" s="10">
        <f>ROUND($B$4*$B$9*$B$14*$B$17*$B$21*$B$23*$B$25,0)</f>
        <v/>
      </c>
      <c r="M36" s="10">
        <f>ROUND($B$4*$B$9*$B$14*$B$17*$B$21*$B$23*$B$26,0)</f>
        <v/>
      </c>
      <c r="N36" s="10">
        <f>ROUND($B$5*$B$9*$B$14*$B$17*$B$21*$B$24*$B$25,0)</f>
        <v/>
      </c>
      <c r="O36" s="10">
        <f>ROUND($B$5*$B$9*$B$14*$B$17*$B$21*$B$24*$B$26,0)</f>
        <v/>
      </c>
      <c r="P36" s="10">
        <f>ROUND($B$4*$B$9*$B$14*$B$17*$B$22*$B$23*$B$25,0)</f>
        <v/>
      </c>
      <c r="Q36" s="10">
        <f>ROUND($B$4*$B$9*$B$14*$B$17*$B$22*$B$23*$B$26,0)</f>
        <v/>
      </c>
      <c r="R36" s="10">
        <f>ROUND($B$6*$B$9*$B$14*$B$17*$B$22*$B$24*$B$25,0)</f>
        <v/>
      </c>
      <c r="S36" s="10">
        <f>ROUND($B$6*$B$9*$B$14*$B$17*$B$22*$B$24*$B$26,0)</f>
        <v/>
      </c>
    </row>
    <row r="37" ht="20.1" customHeight="1" s="62">
      <c r="A37" s="67" t="n"/>
      <c r="B37" s="59" t="n"/>
      <c r="C37" s="15" t="inlineStr">
        <is>
          <t>Implication forte</t>
        </is>
      </c>
      <c r="D37" s="10">
        <f>ROUND($B$4*$B$9*$B$14*$B$18*$B$19*$B$23*$B$25,0)</f>
        <v/>
      </c>
      <c r="E37" s="10">
        <f>ROUND($B$4*$B$9*$B$14*$B$18*$B$19*$B$23*$B$26,0)</f>
        <v/>
      </c>
      <c r="F37" s="10">
        <f>ROUND($B$5*$B$9*$B$14*$B$18*$B$19*$B$24*$B$25,0)</f>
        <v/>
      </c>
      <c r="G37" s="10">
        <f>ROUND($B$5*$B$9*$B$14*$B$18*$B$19*$B$24*$B$26,0)</f>
        <v/>
      </c>
      <c r="H37" s="10">
        <f>ROUND($B$4*$B$9*$B$14*$B$18*$B$20*$B$23*$B$25,0)</f>
        <v/>
      </c>
      <c r="I37" s="10">
        <f>ROUND($B$4*$B$9*$B$14*$B$18*$B$20*$B$23*$B$26,0)</f>
        <v/>
      </c>
      <c r="J37" s="10">
        <f>ROUND($B$5*$B$9*$B$14*$B$18*$B$20*$B$24*$B$25,0)</f>
        <v/>
      </c>
      <c r="K37" s="10">
        <f>ROUND($B$5*$B$9*$B$14*$B$18*$B$20*$B$24*$B$26,0)</f>
        <v/>
      </c>
      <c r="L37" s="10">
        <f>ROUND($B$4*$B$9*$B$14*$B$18*$B$21*$B$23*$B$25,0)</f>
        <v/>
      </c>
      <c r="M37" s="10">
        <f>ROUND($B$4*$B$9*$B$14*$B$18*$B$21*$B$23*$B$26,0)</f>
        <v/>
      </c>
      <c r="N37" s="10">
        <f>ROUND($B$5*$B$9*$B$14*$B$18*$B$21*$B$24*$B$25,0)</f>
        <v/>
      </c>
      <c r="O37" s="10">
        <f>ROUND($B$5*$B$9*$B$14*$B$18*$B$21*$B$24*$B$26,0)</f>
        <v/>
      </c>
      <c r="P37" s="10">
        <f>ROUND($B$4*$B$9*$B$14*$B$18*$B$22*$B$23*$B$25,0)</f>
        <v/>
      </c>
      <c r="Q37" s="10">
        <f>ROUND($B$4*$B$9*$B$14*$B$18*$B$22*$B$23*$B$26,0)</f>
        <v/>
      </c>
      <c r="R37" s="10">
        <f>ROUND($B$6*$B$9*$B$14*$B$18*$B$22*$B$24*$B$25,0)</f>
        <v/>
      </c>
      <c r="S37" s="10">
        <f>ROUND($B$6*$B$9*$B$14*$B$18*$B$22*$B$24*$B$26,0)</f>
        <v/>
      </c>
    </row>
    <row r="38" ht="20.1" customHeight="1" s="62">
      <c r="A38" s="67" t="n"/>
      <c r="B38" s="57" t="inlineStr">
        <is>
          <t>Dirigeant expert</t>
        </is>
      </c>
      <c r="C38" s="14" t="inlineStr">
        <is>
          <t>Implication faible</t>
        </is>
      </c>
      <c r="D38" s="10">
        <f>ROUND($B$4*$B$9*$B$15*$B$16*$B$19*$B$23*$B$25,0)</f>
        <v/>
      </c>
      <c r="E38" s="10">
        <f>ROUND($B$4*$B$9*$B$15*$B$16*$B$19*$B$23*$B$26,0)</f>
        <v/>
      </c>
      <c r="F38" s="10">
        <f>ROUND($B$5*$B$9*$B$15*$B$16*$B$19*$B$24*$B$25,0)</f>
        <v/>
      </c>
      <c r="G38" s="10">
        <f>ROUND($B$5*$B$9*$B$15*$B$16*$B$19*$B$24*$B$26,0)</f>
        <v/>
      </c>
      <c r="H38" s="10">
        <f>ROUND($B$4*$B$9*$B$15*$B$16*$B$20*$B$23*$B$25,0)</f>
        <v/>
      </c>
      <c r="I38" s="10">
        <f>ROUND($B$4*$B$9*$B$15*$B$16*$B$20*$B$23*$B$26,0)</f>
        <v/>
      </c>
      <c r="J38" s="10">
        <f>ROUND($B$5*$B$9*$B$15*$B$16*$B$20*$B$24*$B$25,0)</f>
        <v/>
      </c>
      <c r="K38" s="10">
        <f>ROUND($B$5*$B$9*$B$15*$B$16*$B$20*$B$24*$B$26,0)</f>
        <v/>
      </c>
      <c r="L38" s="10">
        <f>ROUND($B$4*$B$9*$B$15*$B$16*$B$21*$B$23*$B$25,0)</f>
        <v/>
      </c>
      <c r="M38" s="10">
        <f>ROUND($B$4*$B$9*$B$15*$B$16*$B$21*$B$23*$B$26,0)</f>
        <v/>
      </c>
      <c r="N38" s="10">
        <f>ROUND($B$5*$B$9*$B$15*$B$16*$B$21*$B$24*$B$25,0)</f>
        <v/>
      </c>
      <c r="O38" s="10">
        <f>ROUND($B$5*$B$9*$B$15*$B$16*$B$21*$B$24*$B$26,0)</f>
        <v/>
      </c>
      <c r="P38" s="10">
        <f>ROUND($B$4*$B$9*$B$15*$B$16*$B$22*$B$23*$B$25,0)</f>
        <v/>
      </c>
      <c r="Q38" s="10">
        <f>ROUND($B$4*$B$9*$B$15*$B$16*$B$22*$B$23*$B$26,0)</f>
        <v/>
      </c>
      <c r="R38" s="10">
        <f>ROUND($B$6*$B$9*$B$15*$B$16*$B$22*$B$24*$B$25,0)</f>
        <v/>
      </c>
      <c r="S38" s="10">
        <f>ROUND($B$6*$B$9*$B$15*$B$16*$B$22*$B$24*$B$26,0)</f>
        <v/>
      </c>
    </row>
    <row r="39" ht="20.1" customHeight="1" s="62">
      <c r="A39" s="67" t="n"/>
      <c r="B39" s="58" t="n"/>
      <c r="C39" s="57" t="inlineStr">
        <is>
          <t>Implication modérée</t>
        </is>
      </c>
      <c r="D39" s="10">
        <f>ROUND($B$4*$B$9*$B$15*$B$17*$B$19*$B$23*$B$25,0)</f>
        <v/>
      </c>
      <c r="E39" s="10">
        <f>ROUND($B$4*$B$9*$B$15*$B$17*$B$19*$B$23*$B$26,0)</f>
        <v/>
      </c>
      <c r="F39" s="10">
        <f>ROUND($B$5*$B$9*$B$15*$B$17*$B$19*$B$24*$B$25,0)</f>
        <v/>
      </c>
      <c r="G39" s="10">
        <f>ROUND($B$5*$B$9*$B$15*$B$17*$B$19*$B$24*$B$26,0)</f>
        <v/>
      </c>
      <c r="H39" s="10">
        <f>ROUND($B$4*$B$9*$B$15*$B$17*$B$20*$B$23*$B$25,0)</f>
        <v/>
      </c>
      <c r="I39" s="10">
        <f>ROUND($B$4*$B$9*$B$15*$B$17*$B$20*$B$23*$B$26,0)</f>
        <v/>
      </c>
      <c r="J39" s="10">
        <f>ROUND($B$5*$B$9*$B$15*$B$17*$B$20*$B$24*$B$25,0)</f>
        <v/>
      </c>
      <c r="K39" s="10">
        <f>ROUND($B$5*$B$9*$B$15*$B$17*$B$20*$B$24*$B$26,0)</f>
        <v/>
      </c>
      <c r="L39" s="10">
        <f>ROUND($B$4*$B$9*$B$15*$B$17*$B$21*$B$23*$B$25,0)</f>
        <v/>
      </c>
      <c r="M39" s="10">
        <f>ROUND($B$4*$B$9*$B$15*$B$17*$B$21*$B$23*$B$26,0)</f>
        <v/>
      </c>
      <c r="N39" s="10">
        <f>ROUND($B$5*$B$9*$B$15*$B$17*$B$21*$B$24*$B$25,0)</f>
        <v/>
      </c>
      <c r="O39" s="10">
        <f>ROUND($B$5*$B$9*$B$15*$B$17*$B$21*$B$24*$B$26,0)</f>
        <v/>
      </c>
      <c r="P39" s="10">
        <f>ROUND($B$4*$B$9*$B$15*$B$17*$B$22*$B$23*$B$25,0)</f>
        <v/>
      </c>
      <c r="Q39" s="10">
        <f>ROUND($B$4*$B$9*$B$15*$B$17*$B$22*$B$23*$B$26,0)</f>
        <v/>
      </c>
      <c r="R39" s="10">
        <f>ROUND($B$6*$B$9*$B$15*$B$17*$B$22*$B$24*$B$25,0)</f>
        <v/>
      </c>
      <c r="S39" s="10">
        <f>ROUND($B$6*$B$9*$B$15*$B$17*$B$22*$B$24*$B$26,0)</f>
        <v/>
      </c>
    </row>
    <row r="40" ht="20.1" customHeight="1" s="62">
      <c r="A40" s="68" t="n"/>
      <c r="B40" s="59" t="n"/>
      <c r="C40" s="15" t="inlineStr">
        <is>
          <t>Implication forte</t>
        </is>
      </c>
      <c r="D40" s="10">
        <f>ROUND($B$4*$B$9*$B$15*$B$18*$B$19*$B$23*$B$25,0)</f>
        <v/>
      </c>
      <c r="E40" s="10">
        <f>ROUND($B$4*$B$9*$B$15*$B$18*$B$19*$B$23*$B$26,0)</f>
        <v/>
      </c>
      <c r="F40" s="10">
        <f>ROUND($B$5*$B$9*$B$15*$B$18*$B$19*$B$24*$B$25,0)</f>
        <v/>
      </c>
      <c r="G40" s="10">
        <f>ROUND($B$5*$B$9*$B$15*$B$18*$B$19*$B$24*$B$26,0)</f>
        <v/>
      </c>
      <c r="H40" s="10">
        <f>ROUND($B$4*$B$9*$B$15*$B$18*$B$20*$B$23*$B$25,0)</f>
        <v/>
      </c>
      <c r="I40" s="10">
        <f>ROUND($B$4*$B$9*$B$15*$B$18*$B$20*$B$23*$B$26,0)</f>
        <v/>
      </c>
      <c r="J40" s="10">
        <f>ROUND($B$5*$B$9*$B$15*$B$18*$B$20*$B$24*$B$25,0)</f>
        <v/>
      </c>
      <c r="K40" s="10">
        <f>ROUND($B$5*$B$9*$B$15*$B$18*$B$20*$B$24*$B$26,0)</f>
        <v/>
      </c>
      <c r="L40" s="10">
        <f>ROUND($B$4*$B$9*$B$15*$B$18*$B$21*$B$23*$B$25,0)</f>
        <v/>
      </c>
      <c r="M40" s="10">
        <f>ROUND($B$4*$B$9*$B$15*$B$18*$B$21*$B$23*$B$26,0)</f>
        <v/>
      </c>
      <c r="N40" s="10">
        <f>ROUND($B$5*$B$9*$B$15*$B$18*$B$21*$B$24*$B$25,0)</f>
        <v/>
      </c>
      <c r="O40" s="10">
        <f>ROUND($B$5*$B$9*$B$15*$B$18*$B$21*$B$24*$B$26,0)</f>
        <v/>
      </c>
      <c r="P40" s="10">
        <f>ROUND($B$4*$B$9*$B$15*$B$18*$B$22*$B$23*$B$25,0)</f>
        <v/>
      </c>
      <c r="Q40" s="10">
        <f>ROUND($B$4*$B$9*$B$15*$B$18*$B$22*$B$23*$B$26,0)</f>
        <v/>
      </c>
      <c r="R40" s="10">
        <f>ROUND($B$6*$B$9*$B$15*$B$18*$B$22*$B$24*$B$25,0)</f>
        <v/>
      </c>
      <c r="S40" s="10">
        <f>ROUND($B$6*$B$9*$B$15*$B$18*$B$22*$B$24*$B$26,0)</f>
        <v/>
      </c>
    </row>
    <row r="41" ht="20.1" customHeight="1" s="62">
      <c r="A41" s="66" t="inlineStr">
        <is>
          <t>TPE (6-19 sal.)</t>
        </is>
      </c>
      <c r="B41" s="57" t="inlineStr">
        <is>
          <t>Dirigeant débutant</t>
        </is>
      </c>
      <c r="C41" s="14" t="inlineStr">
        <is>
          <t>Implication faible</t>
        </is>
      </c>
      <c r="D41" s="10">
        <f>ROUND($B$4*$B$10*$B$13*$B$16*$B$19*$B$23*$B$25,0)</f>
        <v/>
      </c>
      <c r="E41" s="10">
        <f>ROUND($B$4*$B$10*$B$13*$B$16*$B$19*$B$23*$B$26,0)</f>
        <v/>
      </c>
      <c r="F41" s="10">
        <f>ROUND($B$5*$B$10*$B$13*$B$16*$B$19*$B$24*$B$25,0)</f>
        <v/>
      </c>
      <c r="G41" s="10">
        <f>ROUND($B$5*$B$10*$B$13*$B$16*$B$19*$B$24*$B$26,0)</f>
        <v/>
      </c>
      <c r="H41" s="10">
        <f>ROUND($B$4*$B$10*$B$13*$B$16*$B$20*$B$23*$B$25,0)</f>
        <v/>
      </c>
      <c r="I41" s="10">
        <f>ROUND($B$4*$B$10*$B$13*$B$16*$B$20*$B$23*$B$26,0)</f>
        <v/>
      </c>
      <c r="J41" s="10">
        <f>ROUND($B$5*$B$10*$B$13*$B$16*$B$20*$B$24*$B$25,0)</f>
        <v/>
      </c>
      <c r="K41" s="10">
        <f>ROUND($B$5*$B$10*$B$13*$B$16*$B$20*$B$24*$B$26,0)</f>
        <v/>
      </c>
      <c r="L41" s="10">
        <f>ROUND($B$4*$B$10*$B$13*$B$16*$B$21*$B$23*$B$25,0)</f>
        <v/>
      </c>
      <c r="M41" s="10">
        <f>ROUND($B$4*$B$10*$B$13*$B$16*$B$21*$B$23*$B$26,0)</f>
        <v/>
      </c>
      <c r="N41" s="10">
        <f>ROUND($B$5*$B$10*$B$13*$B$16*$B$21*$B$24*$B$25,0)</f>
        <v/>
      </c>
      <c r="O41" s="10">
        <f>ROUND($B$5*$B$10*$B$13*$B$16*$B$21*$B$24*$B$26,0)</f>
        <v/>
      </c>
      <c r="P41" s="10">
        <f>ROUND($B$4*$B$10*$B$13*$B$16*$B$22*$B$23*$B$25,0)</f>
        <v/>
      </c>
      <c r="Q41" s="10">
        <f>ROUND($B$4*$B$10*$B$13*$B$16*$B$22*$B$23*$B$26,0)</f>
        <v/>
      </c>
      <c r="R41" s="10">
        <f>ROUND($B$6*$B$10*$B$13*$B$16*$B$22*$B$24*$B$25,0)</f>
        <v/>
      </c>
      <c r="S41" s="10">
        <f>ROUND($B$6*$B$10*$B$13*$B$16*$B$22*$B$24*$B$26,0)</f>
        <v/>
      </c>
    </row>
    <row r="42" ht="20.1" customHeight="1" s="62">
      <c r="A42" s="67" t="n"/>
      <c r="B42" s="58" t="n"/>
      <c r="C42" s="57" t="inlineStr">
        <is>
          <t>Implication modérée</t>
        </is>
      </c>
      <c r="D42" s="10">
        <f>ROUND($B$4*$B$10*$B$13*$B$17*$B$19*$B$23*$B$25,0)</f>
        <v/>
      </c>
      <c r="E42" s="10">
        <f>ROUND($B$4*$B$10*$B$13*$B$17*$B$19*$B$23*$B$26,0)</f>
        <v/>
      </c>
      <c r="F42" s="10">
        <f>ROUND($B$5*$B$10*$B$13*$B$17*$B$19*$B$24*$B$25,0)</f>
        <v/>
      </c>
      <c r="G42" s="10">
        <f>ROUND($B$5*$B$10*$B$13*$B$17*$B$19*$B$24*$B$26,0)</f>
        <v/>
      </c>
      <c r="H42" s="10">
        <f>ROUND($B$4*$B$10*$B$13*$B$17*$B$20*$B$23*$B$25,0)</f>
        <v/>
      </c>
      <c r="I42" s="10">
        <f>ROUND($B$4*$B$10*$B$13*$B$17*$B$20*$B$23*$B$26,0)</f>
        <v/>
      </c>
      <c r="J42" s="10">
        <f>ROUND($B$5*$B$10*$B$13*$B$17*$B$20*$B$24*$B$25,0)</f>
        <v/>
      </c>
      <c r="K42" s="10">
        <f>ROUND($B$5*$B$10*$B$13*$B$17*$B$20*$B$24*$B$26,0)</f>
        <v/>
      </c>
      <c r="L42" s="10">
        <f>ROUND($B$4*$B$10*$B$13*$B$17*$B$21*$B$23*$B$25,0)</f>
        <v/>
      </c>
      <c r="M42" s="10">
        <f>ROUND($B$4*$B$10*$B$13*$B$17*$B$21*$B$23*$B$26,0)</f>
        <v/>
      </c>
      <c r="N42" s="10">
        <f>ROUND($B$5*$B$10*$B$13*$B$17*$B$21*$B$24*$B$25,0)</f>
        <v/>
      </c>
      <c r="O42" s="10">
        <f>ROUND($B$5*$B$10*$B$13*$B$17*$B$21*$B$24*$B$26,0)</f>
        <v/>
      </c>
      <c r="P42" s="10">
        <f>ROUND($B$4*$B$10*$B$13*$B$17*$B$22*$B$23*$B$25,0)</f>
        <v/>
      </c>
      <c r="Q42" s="10">
        <f>ROUND($B$4*$B$10*$B$13*$B$17*$B$22*$B$23*$B$26,0)</f>
        <v/>
      </c>
      <c r="R42" s="10">
        <f>ROUND($B$6*$B$10*$B$13*$B$17*$B$22*$B$24*$B$25,0)</f>
        <v/>
      </c>
      <c r="S42" s="10">
        <f>ROUND($B$6*$B$10*$B$13*$B$17*$B$22*$B$24*$B$26,0)</f>
        <v/>
      </c>
    </row>
    <row r="43" ht="20.1" customHeight="1" s="62">
      <c r="A43" s="67" t="n"/>
      <c r="B43" s="59" t="n"/>
      <c r="C43" s="15" t="inlineStr">
        <is>
          <t>Implication forte</t>
        </is>
      </c>
      <c r="D43" s="10">
        <f>ROUND($B$4*$B$10*$B$13*$B$18*$B$19*$B$23*$B$25,0)</f>
        <v/>
      </c>
      <c r="E43" s="10">
        <f>ROUND($B$4*$B$10*$B$13*$B$18*$B$19*$B$23*$B$26,0)</f>
        <v/>
      </c>
      <c r="F43" s="10">
        <f>ROUND($B$5*$B$10*$B$13*$B$18*$B$19*$B$24*$B$25,0)</f>
        <v/>
      </c>
      <c r="G43" s="10">
        <f>ROUND($B$5*$B$10*$B$13*$B$18*$B$19*$B$24*$B$26,0)</f>
        <v/>
      </c>
      <c r="H43" s="10">
        <f>ROUND($B$4*$B$10*$B$13*$B$18*$B$20*$B$23*$B$25,0)</f>
        <v/>
      </c>
      <c r="I43" s="10">
        <f>ROUND($B$4*$B$10*$B$13*$B$18*$B$20*$B$23*$B$26,0)</f>
        <v/>
      </c>
      <c r="J43" s="10">
        <f>ROUND($B$5*$B$10*$B$13*$B$18*$B$20*$B$24*$B$25,0)</f>
        <v/>
      </c>
      <c r="K43" s="10">
        <f>ROUND($B$5*$B$10*$B$13*$B$18*$B$20*$B$24*$B$26,0)</f>
        <v/>
      </c>
      <c r="L43" s="10">
        <f>ROUND($B$4*$B$10*$B$13*$B$18*$B$21*$B$23*$B$25,0)</f>
        <v/>
      </c>
      <c r="M43" s="10">
        <f>ROUND($B$4*$B$10*$B$13*$B$18*$B$21*$B$23*$B$26,0)</f>
        <v/>
      </c>
      <c r="N43" s="10">
        <f>ROUND($B$5*$B$10*$B$13*$B$18*$B$21*$B$24*$B$25,0)</f>
        <v/>
      </c>
      <c r="O43" s="10">
        <f>ROUND($B$5*$B$10*$B$13*$B$18*$B$21*$B$24*$B$26,0)</f>
        <v/>
      </c>
      <c r="P43" s="10">
        <f>ROUND($B$4*$B$10*$B$13*$B$18*$B$22*$B$23*$B$25,0)</f>
        <v/>
      </c>
      <c r="Q43" s="10">
        <f>ROUND($B$4*$B$10*$B$13*$B$18*$B$22*$B$23*$B$26,0)</f>
        <v/>
      </c>
      <c r="R43" s="10">
        <f>ROUND($B$6*$B$10*$B$13*$B$18*$B$22*$B$24*$B$25,0)</f>
        <v/>
      </c>
      <c r="S43" s="10">
        <f>ROUND($B$6*$B$10*$B$13*$B$18*$B$22*$B$24*$B$26,0)</f>
        <v/>
      </c>
    </row>
    <row r="44" ht="20.1" customHeight="1" s="62">
      <c r="A44" s="67" t="n"/>
      <c r="B44" s="57" t="inlineStr">
        <is>
          <t>Dirigeant expérimenté</t>
        </is>
      </c>
      <c r="C44" s="14" t="inlineStr">
        <is>
          <t>Implication faible</t>
        </is>
      </c>
      <c r="D44" s="10">
        <f>ROUND($B$4*$B$10*$B$14*$B$16*$B$19*$B$23*$B$25,0)</f>
        <v/>
      </c>
      <c r="E44" s="10">
        <f>ROUND($B$4*$B$10*$B$14*$B$16*$B$19*$B$23*$B$26,0)</f>
        <v/>
      </c>
      <c r="F44" s="10">
        <f>ROUND($B$5*$B$10*$B$14*$B$16*$B$19*$B$24*$B$25,0)</f>
        <v/>
      </c>
      <c r="G44" s="10">
        <f>ROUND($B$5*$B$10*$B$14*$B$16*$B$19*$B$24*$B$26,0)</f>
        <v/>
      </c>
      <c r="H44" s="10">
        <f>ROUND($B$4*$B$10*$B$14*$B$16*$B$20*$B$23*$B$25,0)</f>
        <v/>
      </c>
      <c r="I44" s="10">
        <f>ROUND($B$4*$B$10*$B$14*$B$16*$B$20*$B$23*$B$26,0)</f>
        <v/>
      </c>
      <c r="J44" s="10">
        <f>ROUND($B$5*$B$10*$B$14*$B$16*$B$20*$B$24*$B$25,0)</f>
        <v/>
      </c>
      <c r="K44" s="10">
        <f>ROUND($B$5*$B$10*$B$14*$B$16*$B$20*$B$24*$B$26,0)</f>
        <v/>
      </c>
      <c r="L44" s="10">
        <f>ROUND($B$4*$B$10*$B$14*$B$16*$B$21*$B$23*$B$25,0)</f>
        <v/>
      </c>
      <c r="M44" s="10">
        <f>ROUND($B$4*$B$10*$B$14*$B$16*$B$21*$B$23*$B$26,0)</f>
        <v/>
      </c>
      <c r="N44" s="10">
        <f>ROUND($B$5*$B$10*$B$14*$B$16*$B$21*$B$24*$B$25,0)</f>
        <v/>
      </c>
      <c r="O44" s="10">
        <f>ROUND($B$5*$B$10*$B$14*$B$16*$B$21*$B$24*$B$26,0)</f>
        <v/>
      </c>
      <c r="P44" s="10">
        <f>ROUND($B$4*$B$10*$B$14*$B$16*$B$22*$B$23*$B$25,0)</f>
        <v/>
      </c>
      <c r="Q44" s="10">
        <f>ROUND($B$4*$B$10*$B$14*$B$16*$B$22*$B$23*$B$26,0)</f>
        <v/>
      </c>
      <c r="R44" s="10">
        <f>ROUND($B$6*$B$10*$B$14*$B$16*$B$22*$B$24*$B$25,0)</f>
        <v/>
      </c>
      <c r="S44" s="10">
        <f>ROUND($B$6*$B$10*$B$14*$B$16*$B$22*$B$24*$B$26,0)</f>
        <v/>
      </c>
    </row>
    <row r="45" ht="20.1" customHeight="1" s="62">
      <c r="A45" s="67" t="n"/>
      <c r="B45" s="58" t="n"/>
      <c r="C45" s="57" t="inlineStr">
        <is>
          <t>Implication modérée</t>
        </is>
      </c>
      <c r="D45" s="10">
        <f>ROUND($B$4*$B$10*$B$14*$B$17*$B$19*$B$23*$B$25,0)</f>
        <v/>
      </c>
      <c r="E45" s="10">
        <f>ROUND($B$4*$B$10*$B$14*$B$17*$B$19*$B$23*$B$26,0)</f>
        <v/>
      </c>
      <c r="F45" s="10">
        <f>ROUND($B$5*$B$10*$B$14*$B$17*$B$19*$B$24*$B$25,0)</f>
        <v/>
      </c>
      <c r="G45" s="10">
        <f>ROUND($B$5*$B$10*$B$14*$B$17*$B$19*$B$24*$B$26,0)</f>
        <v/>
      </c>
      <c r="H45" s="10">
        <f>ROUND($B$4*$B$10*$B$14*$B$17*$B$20*$B$23*$B$25,0)</f>
        <v/>
      </c>
      <c r="I45" s="10">
        <f>ROUND($B$4*$B$10*$B$14*$B$17*$B$20*$B$23*$B$26,0)</f>
        <v/>
      </c>
      <c r="J45" s="10">
        <f>ROUND($B$5*$B$10*$B$14*$B$17*$B$20*$B$24*$B$25,0)</f>
        <v/>
      </c>
      <c r="K45" s="10">
        <f>ROUND($B$5*$B$10*$B$14*$B$17*$B$20*$B$24*$B$26,0)</f>
        <v/>
      </c>
      <c r="L45" s="10">
        <f>ROUND($B$4*$B$10*$B$14*$B$17*$B$21*$B$23*$B$25,0)</f>
        <v/>
      </c>
      <c r="M45" s="10">
        <f>ROUND($B$4*$B$10*$B$14*$B$17*$B$21*$B$23*$B$26,0)</f>
        <v/>
      </c>
      <c r="N45" s="10">
        <f>ROUND($B$5*$B$10*$B$14*$B$17*$B$21*$B$24*$B$25,0)</f>
        <v/>
      </c>
      <c r="O45" s="10">
        <f>ROUND($B$5*$B$10*$B$14*$B$17*$B$21*$B$24*$B$26,0)</f>
        <v/>
      </c>
      <c r="P45" s="10">
        <f>ROUND($B$4*$B$10*$B$14*$B$17*$B$22*$B$23*$B$25,0)</f>
        <v/>
      </c>
      <c r="Q45" s="10">
        <f>ROUND($B$4*$B$10*$B$14*$B$17*$B$22*$B$23*$B$26,0)</f>
        <v/>
      </c>
      <c r="R45" s="10">
        <f>ROUND($B$6*$B$10*$B$14*$B$17*$B$22*$B$24*$B$25,0)</f>
        <v/>
      </c>
      <c r="S45" s="10">
        <f>ROUND($B$6*$B$10*$B$14*$B$17*$B$22*$B$24*$B$26,0)</f>
        <v/>
      </c>
    </row>
    <row r="46" ht="20.1" customHeight="1" s="62">
      <c r="A46" s="67" t="n"/>
      <c r="B46" s="59" t="n"/>
      <c r="C46" s="15" t="inlineStr">
        <is>
          <t>Implication forte</t>
        </is>
      </c>
      <c r="D46" s="10">
        <f>ROUND($B$4*$B$10*$B$14*$B$18*$B$19*$B$23*$B$25,0)</f>
        <v/>
      </c>
      <c r="E46" s="10">
        <f>ROUND($B$4*$B$10*$B$14*$B$18*$B$19*$B$23*$B$26,0)</f>
        <v/>
      </c>
      <c r="F46" s="10">
        <f>ROUND($B$5*$B$10*$B$14*$B$18*$B$19*$B$24*$B$25,0)</f>
        <v/>
      </c>
      <c r="G46" s="10">
        <f>ROUND($B$5*$B$10*$B$14*$B$18*$B$19*$B$24*$B$26,0)</f>
        <v/>
      </c>
      <c r="H46" s="10">
        <f>ROUND($B$4*$B$10*$B$14*$B$18*$B$20*$B$23*$B$25,0)</f>
        <v/>
      </c>
      <c r="I46" s="10">
        <f>ROUND($B$4*$B$10*$B$14*$B$18*$B$20*$B$23*$B$26,0)</f>
        <v/>
      </c>
      <c r="J46" s="10">
        <f>ROUND($B$5*$B$10*$B$14*$B$18*$B$20*$B$24*$B$25,0)</f>
        <v/>
      </c>
      <c r="K46" s="10">
        <f>ROUND($B$5*$B$10*$B$14*$B$18*$B$20*$B$24*$B$26,0)</f>
        <v/>
      </c>
      <c r="L46" s="10">
        <f>ROUND($B$4*$B$10*$B$14*$B$18*$B$21*$B$23*$B$25,0)</f>
        <v/>
      </c>
      <c r="M46" s="10">
        <f>ROUND($B$4*$B$10*$B$14*$B$18*$B$21*$B$23*$B$26,0)</f>
        <v/>
      </c>
      <c r="N46" s="10">
        <f>ROUND($B$5*$B$10*$B$14*$B$18*$B$21*$B$24*$B$25,0)</f>
        <v/>
      </c>
      <c r="O46" s="10">
        <f>ROUND($B$5*$B$10*$B$14*$B$18*$B$21*$B$24*$B$26,0)</f>
        <v/>
      </c>
      <c r="P46" s="10">
        <f>ROUND($B$4*$B$10*$B$14*$B$18*$B$22*$B$23*$B$25,0)</f>
        <v/>
      </c>
      <c r="Q46" s="10">
        <f>ROUND($B$4*$B$10*$B$14*$B$18*$B$22*$B$23*$B$26,0)</f>
        <v/>
      </c>
      <c r="R46" s="10">
        <f>ROUND($B$6*$B$10*$B$14*$B$18*$B$22*$B$24*$B$25,0)</f>
        <v/>
      </c>
      <c r="S46" s="10">
        <f>ROUND($B$6*$B$10*$B$14*$B$18*$B$22*$B$24*$B$26,0)</f>
        <v/>
      </c>
    </row>
    <row r="47" ht="20.1" customHeight="1" s="62">
      <c r="A47" s="67" t="n"/>
      <c r="B47" s="57" t="inlineStr">
        <is>
          <t>Dirigeant expert</t>
        </is>
      </c>
      <c r="C47" s="14" t="inlineStr">
        <is>
          <t>Implication faible</t>
        </is>
      </c>
      <c r="D47" s="10">
        <f>ROUND($B$4*$B$10*$B$15*$B$16*$B$19*$B$23*$B$25,0)</f>
        <v/>
      </c>
      <c r="E47" s="10">
        <f>ROUND($B$4*$B$10*$B$15*$B$16*$B$19*$B$23*$B$26,0)</f>
        <v/>
      </c>
      <c r="F47" s="10">
        <f>ROUND($B$5*$B$10*$B$15*$B$16*$B$19*$B$24*$B$25,0)</f>
        <v/>
      </c>
      <c r="G47" s="10">
        <f>ROUND($B$5*$B$10*$B$15*$B$16*$B$19*$B$24*$B$26,0)</f>
        <v/>
      </c>
      <c r="H47" s="10">
        <f>ROUND($B$4*$B$10*$B$15*$B$16*$B$20*$B$23*$B$25,0)</f>
        <v/>
      </c>
      <c r="I47" s="10">
        <f>ROUND($B$4*$B$10*$B$15*$B$16*$B$20*$B$23*$B$26,0)</f>
        <v/>
      </c>
      <c r="J47" s="10">
        <f>ROUND($B$5*$B$10*$B$15*$B$16*$B$20*$B$24*$B$25,0)</f>
        <v/>
      </c>
      <c r="K47" s="10">
        <f>ROUND($B$5*$B$10*$B$15*$B$16*$B$20*$B$24*$B$26,0)</f>
        <v/>
      </c>
      <c r="L47" s="10">
        <f>ROUND($B$4*$B$10*$B$15*$B$16*$B$21*$B$23*$B$25,0)</f>
        <v/>
      </c>
      <c r="M47" s="10">
        <f>ROUND($B$4*$B$10*$B$15*$B$16*$B$21*$B$23*$B$26,0)</f>
        <v/>
      </c>
      <c r="N47" s="10">
        <f>ROUND($B$5*$B$10*$B$15*$B$16*$B$21*$B$24*$B$25,0)</f>
        <v/>
      </c>
      <c r="O47" s="10">
        <f>ROUND($B$5*$B$10*$B$15*$B$16*$B$21*$B$24*$B$26,0)</f>
        <v/>
      </c>
      <c r="P47" s="10">
        <f>ROUND($B$4*$B$10*$B$15*$B$16*$B$22*$B$23*$B$25,0)</f>
        <v/>
      </c>
      <c r="Q47" s="10">
        <f>ROUND($B$4*$B$10*$B$15*$B$16*$B$22*$B$23*$B$26,0)</f>
        <v/>
      </c>
      <c r="R47" s="10">
        <f>ROUND($B$6*$B$10*$B$15*$B$16*$B$22*$B$24*$B$25,0)</f>
        <v/>
      </c>
      <c r="S47" s="10">
        <f>ROUND($B$6*$B$10*$B$15*$B$16*$B$22*$B$24*$B$26,0)</f>
        <v/>
      </c>
    </row>
    <row r="48" ht="20.1" customHeight="1" s="62">
      <c r="A48" s="67" t="n"/>
      <c r="B48" s="58" t="n"/>
      <c r="C48" s="57" t="inlineStr">
        <is>
          <t>Implication modérée</t>
        </is>
      </c>
      <c r="D48" s="10">
        <f>ROUND($B$4*$B$10*$B$15*$B$17*$B$19*$B$23*$B$25,0)</f>
        <v/>
      </c>
      <c r="E48" s="10">
        <f>ROUND($B$4*$B$10*$B$15*$B$17*$B$19*$B$23*$B$26,0)</f>
        <v/>
      </c>
      <c r="F48" s="10">
        <f>ROUND($B$5*$B$10*$B$15*$B$17*$B$19*$B$24*$B$25,0)</f>
        <v/>
      </c>
      <c r="G48" s="10">
        <f>ROUND($B$5*$B$10*$B$15*$B$17*$B$19*$B$24*$B$26,0)</f>
        <v/>
      </c>
      <c r="H48" s="10">
        <f>ROUND($B$4*$B$10*$B$15*$B$17*$B$20*$B$23*$B$25,0)</f>
        <v/>
      </c>
      <c r="I48" s="10">
        <f>ROUND($B$4*$B$10*$B$15*$B$17*$B$20*$B$23*$B$26,0)</f>
        <v/>
      </c>
      <c r="J48" s="10">
        <f>ROUND($B$5*$B$10*$B$15*$B$17*$B$20*$B$24*$B$25,0)</f>
        <v/>
      </c>
      <c r="K48" s="10">
        <f>ROUND($B$5*$B$10*$B$15*$B$17*$B$20*$B$24*$B$26,0)</f>
        <v/>
      </c>
      <c r="L48" s="10">
        <f>ROUND($B$4*$B$10*$B$15*$B$17*$B$21*$B$23*$B$25,0)</f>
        <v/>
      </c>
      <c r="M48" s="10">
        <f>ROUND($B$4*$B$10*$B$15*$B$17*$B$21*$B$23*$B$26,0)</f>
        <v/>
      </c>
      <c r="N48" s="10">
        <f>ROUND($B$5*$B$10*$B$15*$B$17*$B$21*$B$24*$B$25,0)</f>
        <v/>
      </c>
      <c r="O48" s="10">
        <f>ROUND($B$5*$B$10*$B$15*$B$17*$B$21*$B$24*$B$26,0)</f>
        <v/>
      </c>
      <c r="P48" s="10">
        <f>ROUND($B$4*$B$10*$B$15*$B$17*$B$22*$B$23*$B$25,0)</f>
        <v/>
      </c>
      <c r="Q48" s="10">
        <f>ROUND($B$4*$B$10*$B$15*$B$17*$B$22*$B$23*$B$26,0)</f>
        <v/>
      </c>
      <c r="R48" s="10">
        <f>ROUND($B$6*$B$10*$B$15*$B$17*$B$22*$B$24*$B$25,0)</f>
        <v/>
      </c>
      <c r="S48" s="10">
        <f>ROUND($B$6*$B$10*$B$15*$B$17*$B$22*$B$24*$B$26,0)</f>
        <v/>
      </c>
    </row>
    <row r="49" ht="20.1" customHeight="1" s="62">
      <c r="A49" s="68" t="n"/>
      <c r="B49" s="59" t="n"/>
      <c r="C49" s="15" t="inlineStr">
        <is>
          <t>Implication forte</t>
        </is>
      </c>
      <c r="D49" s="10">
        <f>ROUND($B$4*$B$10*$B$15*$B$18*$B$19*$B$23*$B$25,0)</f>
        <v/>
      </c>
      <c r="E49" s="10">
        <f>ROUND($B$4*$B$10*$B$15*$B$18*$B$19*$B$23*$B$26,0)</f>
        <v/>
      </c>
      <c r="F49" s="10">
        <f>ROUND($B$5*$B$10*$B$15*$B$18*$B$19*$B$24*$B$25,0)</f>
        <v/>
      </c>
      <c r="G49" s="10">
        <f>ROUND($B$5*$B$10*$B$15*$B$18*$B$19*$B$24*$B$26,0)</f>
        <v/>
      </c>
      <c r="H49" s="10">
        <f>ROUND($B$4*$B$10*$B$15*$B$18*$B$20*$B$23*$B$25,0)</f>
        <v/>
      </c>
      <c r="I49" s="10">
        <f>ROUND($B$4*$B$10*$B$15*$B$18*$B$20*$B$23*$B$26,0)</f>
        <v/>
      </c>
      <c r="J49" s="10">
        <f>ROUND($B$5*$B$10*$B$15*$B$18*$B$20*$B$24*$B$25,0)</f>
        <v/>
      </c>
      <c r="K49" s="10">
        <f>ROUND($B$5*$B$10*$B$15*$B$18*$B$20*$B$24*$B$26,0)</f>
        <v/>
      </c>
      <c r="L49" s="10">
        <f>ROUND($B$4*$B$10*$B$15*$B$18*$B$21*$B$23*$B$25,0)</f>
        <v/>
      </c>
      <c r="M49" s="10">
        <f>ROUND($B$4*$B$10*$B$15*$B$18*$B$21*$B$23*$B$26,0)</f>
        <v/>
      </c>
      <c r="N49" s="10">
        <f>ROUND($B$5*$B$10*$B$15*$B$18*$B$21*$B$24*$B$25,0)</f>
        <v/>
      </c>
      <c r="O49" s="10">
        <f>ROUND($B$5*$B$10*$B$15*$B$18*$B$21*$B$24*$B$26,0)</f>
        <v/>
      </c>
      <c r="P49" s="10">
        <f>ROUND($B$4*$B$10*$B$15*$B$18*$B$22*$B$23*$B$25,0)</f>
        <v/>
      </c>
      <c r="Q49" s="10">
        <f>ROUND($B$4*$B$10*$B$15*$B$18*$B$22*$B$23*$B$26,0)</f>
        <v/>
      </c>
      <c r="R49" s="10">
        <f>ROUND($B$6*$B$10*$B$15*$B$18*$B$22*$B$24*$B$25,0)</f>
        <v/>
      </c>
      <c r="S49" s="10">
        <f>ROUND($B$6*$B$10*$B$15*$B$18*$B$22*$B$24*$B$26,0)</f>
        <v/>
      </c>
    </row>
    <row r="50" ht="20.1" customHeight="1" s="62">
      <c r="A50" s="66" t="inlineStr">
        <is>
          <t>PME (20-99 sal.)</t>
        </is>
      </c>
      <c r="B50" s="57" t="inlineStr">
        <is>
          <t>Dirigeant débutant</t>
        </is>
      </c>
      <c r="C50" s="14" t="inlineStr">
        <is>
          <t>Implication faible</t>
        </is>
      </c>
      <c r="D50" s="10">
        <f>ROUND($B$4*$B$11*$B$13*$B$16*$B$19*$B$23*$B$25,0)</f>
        <v/>
      </c>
      <c r="E50" s="10">
        <f>ROUND($B$4*$B$11*$B$13*$B$16*$B$19*$B$23*$B$26,0)</f>
        <v/>
      </c>
      <c r="F50" s="10">
        <f>ROUND($B$5*$B$11*$B$13*$B$16*$B$19*$B$24*$B$25,0)</f>
        <v/>
      </c>
      <c r="G50" s="10">
        <f>ROUND($B$5*$B$11*$B$13*$B$16*$B$19*$B$24*$B$26,0)</f>
        <v/>
      </c>
      <c r="H50" s="10">
        <f>ROUND($B$4*$B$11*$B$13*$B$16*$B$20*$B$23*$B$25,0)</f>
        <v/>
      </c>
      <c r="I50" s="10">
        <f>ROUND($B$4*$B$11*$B$13*$B$16*$B$20*$B$23*$B$26,0)</f>
        <v/>
      </c>
      <c r="J50" s="10">
        <f>ROUND($B$5*$B$11*$B$13*$B$16*$B$20*$B$24*$B$25,0)</f>
        <v/>
      </c>
      <c r="K50" s="10">
        <f>ROUND($B$5*$B$11*$B$13*$B$16*$B$20*$B$24*$B$26,0)</f>
        <v/>
      </c>
      <c r="L50" s="10">
        <f>ROUND($B$4*$B$11*$B$13*$B$16*$B$21*$B$23*$B$25,0)</f>
        <v/>
      </c>
      <c r="M50" s="10">
        <f>ROUND($B$4*$B$11*$B$13*$B$16*$B$21*$B$23*$B$26,0)</f>
        <v/>
      </c>
      <c r="N50" s="10">
        <f>ROUND($B$5*$B$11*$B$13*$B$16*$B$21*$B$24*$B$25,0)</f>
        <v/>
      </c>
      <c r="O50" s="10">
        <f>ROUND($B$5*$B$11*$B$13*$B$16*$B$21*$B$24*$B$26,0)</f>
        <v/>
      </c>
      <c r="P50" s="10">
        <f>ROUND($B$4*$B$11*$B$13*$B$16*$B$22*$B$23*$B$25,0)</f>
        <v/>
      </c>
      <c r="Q50" s="10">
        <f>ROUND($B$4*$B$11*$B$13*$B$16*$B$22*$B$23*$B$26,0)</f>
        <v/>
      </c>
      <c r="R50" s="10">
        <f>ROUND($B$6*$B$11*$B$13*$B$16*$B$22*$B$24*$B$25,0)</f>
        <v/>
      </c>
      <c r="S50" s="10">
        <f>ROUND($B$6*$B$11*$B$13*$B$16*$B$22*$B$24*$B$26,0)</f>
        <v/>
      </c>
    </row>
    <row r="51" ht="20.1" customHeight="1" s="62">
      <c r="A51" s="67" t="n"/>
      <c r="B51" s="58" t="n"/>
      <c r="C51" s="57" t="inlineStr">
        <is>
          <t>Implication modérée</t>
        </is>
      </c>
      <c r="D51" s="10">
        <f>ROUND($B$4*$B$11*$B$13*$B$17*$B$19*$B$23*$B$25,0)</f>
        <v/>
      </c>
      <c r="E51" s="10">
        <f>ROUND($B$4*$B$11*$B$13*$B$17*$B$19*$B$23*$B$26,0)</f>
        <v/>
      </c>
      <c r="F51" s="10">
        <f>ROUND($B$5*$B$11*$B$13*$B$17*$B$19*$B$24*$B$25,0)</f>
        <v/>
      </c>
      <c r="G51" s="10">
        <f>ROUND($B$5*$B$11*$B$13*$B$17*$B$19*$B$24*$B$26,0)</f>
        <v/>
      </c>
      <c r="H51" s="10">
        <f>ROUND($B$4*$B$11*$B$13*$B$17*$B$20*$B$23*$B$25,0)</f>
        <v/>
      </c>
      <c r="I51" s="10">
        <f>ROUND($B$4*$B$11*$B$13*$B$17*$B$20*$B$23*$B$26,0)</f>
        <v/>
      </c>
      <c r="J51" s="10">
        <f>ROUND($B$5*$B$11*$B$13*$B$17*$B$20*$B$24*$B$25,0)</f>
        <v/>
      </c>
      <c r="K51" s="10">
        <f>ROUND($B$5*$B$11*$B$13*$B$17*$B$20*$B$24*$B$26,0)</f>
        <v/>
      </c>
      <c r="L51" s="10">
        <f>ROUND($B$4*$B$11*$B$13*$B$17*$B$21*$B$23*$B$25,0)</f>
        <v/>
      </c>
      <c r="M51" s="10">
        <f>ROUND($B$4*$B$11*$B$13*$B$17*$B$21*$B$23*$B$26,0)</f>
        <v/>
      </c>
      <c r="N51" s="10">
        <f>ROUND($B$5*$B$11*$B$13*$B$17*$B$21*$B$24*$B$25,0)</f>
        <v/>
      </c>
      <c r="O51" s="10">
        <f>ROUND($B$5*$B$11*$B$13*$B$17*$B$21*$B$24*$B$26,0)</f>
        <v/>
      </c>
      <c r="P51" s="10">
        <f>ROUND($B$4*$B$11*$B$13*$B$17*$B$22*$B$23*$B$25,0)</f>
        <v/>
      </c>
      <c r="Q51" s="10">
        <f>ROUND($B$4*$B$11*$B$13*$B$17*$B$22*$B$23*$B$26,0)</f>
        <v/>
      </c>
      <c r="R51" s="10">
        <f>ROUND($B$6*$B$11*$B$13*$B$17*$B$22*$B$24*$B$25,0)</f>
        <v/>
      </c>
      <c r="S51" s="10">
        <f>ROUND($B$6*$B$11*$B$13*$B$17*$B$22*$B$24*$B$26,0)</f>
        <v/>
      </c>
    </row>
    <row r="52" ht="20.1" customHeight="1" s="62">
      <c r="A52" s="67" t="n"/>
      <c r="B52" s="59" t="n"/>
      <c r="C52" s="15" t="inlineStr">
        <is>
          <t>Implication forte</t>
        </is>
      </c>
      <c r="D52" s="10">
        <f>ROUND($B$4*$B$11*$B$13*$B$18*$B$19*$B$23*$B$25,0)</f>
        <v/>
      </c>
      <c r="E52" s="10">
        <f>ROUND($B$4*$B$11*$B$13*$B$18*$B$19*$B$23*$B$26,0)</f>
        <v/>
      </c>
      <c r="F52" s="10">
        <f>ROUND($B$5*$B$11*$B$13*$B$18*$B$19*$B$24*$B$25,0)</f>
        <v/>
      </c>
      <c r="G52" s="10">
        <f>ROUND($B$5*$B$11*$B$13*$B$18*$B$19*$B$24*$B$26,0)</f>
        <v/>
      </c>
      <c r="H52" s="10">
        <f>ROUND($B$4*$B$11*$B$13*$B$18*$B$20*$B$23*$B$25,0)</f>
        <v/>
      </c>
      <c r="I52" s="10">
        <f>ROUND($B$4*$B$11*$B$13*$B$18*$B$20*$B$23*$B$26,0)</f>
        <v/>
      </c>
      <c r="J52" s="10">
        <f>ROUND($B$5*$B$11*$B$13*$B$18*$B$20*$B$24*$B$25,0)</f>
        <v/>
      </c>
      <c r="K52" s="10">
        <f>ROUND($B$5*$B$11*$B$13*$B$18*$B$20*$B$24*$B$26,0)</f>
        <v/>
      </c>
      <c r="L52" s="10">
        <f>ROUND($B$4*$B$11*$B$13*$B$18*$B$21*$B$23*$B$25,0)</f>
        <v/>
      </c>
      <c r="M52" s="10">
        <f>ROUND($B$4*$B$11*$B$13*$B$18*$B$21*$B$23*$B$26,0)</f>
        <v/>
      </c>
      <c r="N52" s="10">
        <f>ROUND($B$5*$B$11*$B$13*$B$18*$B$21*$B$24*$B$25,0)</f>
        <v/>
      </c>
      <c r="O52" s="10">
        <f>ROUND($B$5*$B$11*$B$13*$B$18*$B$21*$B$24*$B$26,0)</f>
        <v/>
      </c>
      <c r="P52" s="10">
        <f>ROUND($B$4*$B$11*$B$13*$B$18*$B$22*$B$23*$B$25,0)</f>
        <v/>
      </c>
      <c r="Q52" s="10">
        <f>ROUND($B$4*$B$11*$B$13*$B$18*$B$22*$B$23*$B$26,0)</f>
        <v/>
      </c>
      <c r="R52" s="10">
        <f>ROUND($B$6*$B$11*$B$13*$B$18*$B$22*$B$24*$B$25,0)</f>
        <v/>
      </c>
      <c r="S52" s="10">
        <f>ROUND($B$6*$B$11*$B$13*$B$18*$B$22*$B$24*$B$26,0)</f>
        <v/>
      </c>
    </row>
    <row r="53" ht="20.1" customHeight="1" s="62">
      <c r="A53" s="67" t="n"/>
      <c r="B53" s="57" t="inlineStr">
        <is>
          <t>Dirigeant expérimenté</t>
        </is>
      </c>
      <c r="C53" s="14" t="inlineStr">
        <is>
          <t>Implication faible</t>
        </is>
      </c>
      <c r="D53" s="10">
        <f>ROUND($B$4*$B$11*$B$14*$B$16*$B$19*$B$23*$B$25,0)</f>
        <v/>
      </c>
      <c r="E53" s="10">
        <f>ROUND($B$4*$B$11*$B$14*$B$16*$B$19*$B$23*$B$26,0)</f>
        <v/>
      </c>
      <c r="F53" s="10">
        <f>ROUND($B$5*$B$11*$B$14*$B$16*$B$19*$B$24*$B$25,0)</f>
        <v/>
      </c>
      <c r="G53" s="10">
        <f>ROUND($B$5*$B$11*$B$14*$B$16*$B$19*$B$24*$B$26,0)</f>
        <v/>
      </c>
      <c r="H53" s="10">
        <f>ROUND($B$4*$B$11*$B$14*$B$16*$B$20*$B$23*$B$25,0)</f>
        <v/>
      </c>
      <c r="I53" s="10">
        <f>ROUND($B$4*$B$11*$B$14*$B$16*$B$20*$B$23*$B$26,0)</f>
        <v/>
      </c>
      <c r="J53" s="10">
        <f>ROUND($B$5*$B$11*$B$14*$B$16*$B$20*$B$24*$B$25,0)</f>
        <v/>
      </c>
      <c r="K53" s="10">
        <f>ROUND($B$5*$B$11*$B$14*$B$16*$B$20*$B$24*$B$26,0)</f>
        <v/>
      </c>
      <c r="L53" s="10">
        <f>ROUND($B$4*$B$11*$B$14*$B$16*$B$21*$B$23*$B$25,0)</f>
        <v/>
      </c>
      <c r="M53" s="10">
        <f>ROUND($B$4*$B$11*$B$14*$B$16*$B$21*$B$23*$B$26,0)</f>
        <v/>
      </c>
      <c r="N53" s="10">
        <f>ROUND($B$5*$B$11*$B$14*$B$16*$B$21*$B$24*$B$25,0)</f>
        <v/>
      </c>
      <c r="O53" s="10">
        <f>ROUND($B$5*$B$11*$B$14*$B$16*$B$21*$B$24*$B$26,0)</f>
        <v/>
      </c>
      <c r="P53" s="10">
        <f>ROUND($B$4*$B$11*$B$14*$B$16*$B$22*$B$23*$B$25,0)</f>
        <v/>
      </c>
      <c r="Q53" s="10">
        <f>ROUND($B$4*$B$11*$B$14*$B$16*$B$22*$B$23*$B$26,0)</f>
        <v/>
      </c>
      <c r="R53" s="10">
        <f>ROUND($B$6*$B$11*$B$14*$B$16*$B$22*$B$24*$B$25,0)</f>
        <v/>
      </c>
      <c r="S53" s="10">
        <f>ROUND($B$6*$B$11*$B$14*$B$16*$B$22*$B$24*$B$26,0)</f>
        <v/>
      </c>
    </row>
    <row r="54" ht="20.1" customHeight="1" s="62">
      <c r="A54" s="67" t="n"/>
      <c r="B54" s="58" t="n"/>
      <c r="C54" s="57" t="inlineStr">
        <is>
          <t>Implication modérée</t>
        </is>
      </c>
      <c r="D54" s="10">
        <f>ROUND($B$4*$B$11*$B$14*$B$17*$B$19*$B$23*$B$25,0)</f>
        <v/>
      </c>
      <c r="E54" s="10">
        <f>ROUND($B$4*$B$11*$B$14*$B$17*$B$19*$B$23*$B$26,0)</f>
        <v/>
      </c>
      <c r="F54" s="10">
        <f>ROUND($B$5*$B$11*$B$14*$B$17*$B$19*$B$24*$B$25,0)</f>
        <v/>
      </c>
      <c r="G54" s="10">
        <f>ROUND($B$5*$B$11*$B$14*$B$17*$B$19*$B$24*$B$26,0)</f>
        <v/>
      </c>
      <c r="H54" s="10">
        <f>ROUND($B$4*$B$11*$B$14*$B$17*$B$20*$B$23*$B$25,0)</f>
        <v/>
      </c>
      <c r="I54" s="10">
        <f>ROUND($B$4*$B$11*$B$14*$B$17*$B$20*$B$23*$B$26,0)</f>
        <v/>
      </c>
      <c r="J54" s="10">
        <f>ROUND($B$5*$B$11*$B$14*$B$17*$B$20*$B$24*$B$25,0)</f>
        <v/>
      </c>
      <c r="K54" s="10">
        <f>ROUND($B$5*$B$11*$B$14*$B$17*$B$20*$B$24*$B$26,0)</f>
        <v/>
      </c>
      <c r="L54" s="10">
        <f>ROUND($B$4*$B$11*$B$14*$B$17*$B$21*$B$23*$B$25,0)</f>
        <v/>
      </c>
      <c r="M54" s="10">
        <f>ROUND($B$4*$B$11*$B$14*$B$17*$B$21*$B$23*$B$26,0)</f>
        <v/>
      </c>
      <c r="N54" s="10">
        <f>ROUND($B$5*$B$11*$B$14*$B$17*$B$21*$B$24*$B$25,0)</f>
        <v/>
      </c>
      <c r="O54" s="10">
        <f>ROUND($B$5*$B$11*$B$14*$B$17*$B$21*$B$24*$B$26,0)</f>
        <v/>
      </c>
      <c r="P54" s="10">
        <f>ROUND($B$4*$B$11*$B$14*$B$17*$B$22*$B$23*$B$25,0)</f>
        <v/>
      </c>
      <c r="Q54" s="10">
        <f>ROUND($B$4*$B$11*$B$14*$B$17*$B$22*$B$23*$B$26,0)</f>
        <v/>
      </c>
      <c r="R54" s="10">
        <f>ROUND($B$6*$B$11*$B$14*$B$17*$B$22*$B$24*$B$25,0)</f>
        <v/>
      </c>
      <c r="S54" s="10">
        <f>ROUND($B$6*$B$11*$B$14*$B$17*$B$22*$B$24*$B$26,0)</f>
        <v/>
      </c>
    </row>
    <row r="55" ht="20.1" customHeight="1" s="62">
      <c r="A55" s="67" t="n"/>
      <c r="B55" s="59" t="n"/>
      <c r="C55" s="15" t="inlineStr">
        <is>
          <t>Implication forte</t>
        </is>
      </c>
      <c r="D55" s="10">
        <f>ROUND($B$4*$B$11*$B$14*$B$18*$B$19*$B$23*$B$25,0)</f>
        <v/>
      </c>
      <c r="E55" s="10">
        <f>ROUND($B$4*$B$11*$B$14*$B$18*$B$19*$B$23*$B$26,0)</f>
        <v/>
      </c>
      <c r="F55" s="10">
        <f>ROUND($B$5*$B$11*$B$14*$B$18*$B$19*$B$24*$B$25,0)</f>
        <v/>
      </c>
      <c r="G55" s="10">
        <f>ROUND($B$5*$B$11*$B$14*$B$18*$B$19*$B$24*$B$26,0)</f>
        <v/>
      </c>
      <c r="H55" s="10">
        <f>ROUND($B$4*$B$11*$B$14*$B$18*$B$20*$B$23*$B$25,0)</f>
        <v/>
      </c>
      <c r="I55" s="10">
        <f>ROUND($B$4*$B$11*$B$14*$B$18*$B$20*$B$23*$B$26,0)</f>
        <v/>
      </c>
      <c r="J55" s="10">
        <f>ROUND($B$5*$B$11*$B$14*$B$18*$B$20*$B$24*$B$25,0)</f>
        <v/>
      </c>
      <c r="K55" s="10">
        <f>ROUND($B$5*$B$11*$B$14*$B$18*$B$20*$B$24*$B$26,0)</f>
        <v/>
      </c>
      <c r="L55" s="10">
        <f>ROUND($B$4*$B$11*$B$14*$B$18*$B$21*$B$23*$B$25,0)</f>
        <v/>
      </c>
      <c r="M55" s="10">
        <f>ROUND($B$4*$B$11*$B$14*$B$18*$B$21*$B$23*$B$26,0)</f>
        <v/>
      </c>
      <c r="N55" s="10">
        <f>ROUND($B$5*$B$11*$B$14*$B$18*$B$21*$B$24*$B$25,0)</f>
        <v/>
      </c>
      <c r="O55" s="10">
        <f>ROUND($B$5*$B$11*$B$14*$B$18*$B$21*$B$24*$B$26,0)</f>
        <v/>
      </c>
      <c r="P55" s="10">
        <f>ROUND($B$4*$B$11*$B$14*$B$18*$B$22*$B$23*$B$25,0)</f>
        <v/>
      </c>
      <c r="Q55" s="10">
        <f>ROUND($B$4*$B$11*$B$14*$B$18*$B$22*$B$23*$B$26,0)</f>
        <v/>
      </c>
      <c r="R55" s="10">
        <f>ROUND($B$6*$B$11*$B$14*$B$18*$B$22*$B$24*$B$25,0)</f>
        <v/>
      </c>
      <c r="S55" s="10">
        <f>ROUND($B$6*$B$11*$B$14*$B$18*$B$22*$B$24*$B$26,0)</f>
        <v/>
      </c>
    </row>
    <row r="56" ht="20.1" customHeight="1" s="62">
      <c r="A56" s="67" t="n"/>
      <c r="B56" s="57" t="inlineStr">
        <is>
          <t>Dirigeant expert</t>
        </is>
      </c>
      <c r="C56" s="14" t="inlineStr">
        <is>
          <t>Implication faible</t>
        </is>
      </c>
      <c r="D56" s="10">
        <f>ROUND($B$4*$B$11*$B$15*$B$16*$B$19*$B$23*$B$25,0)</f>
        <v/>
      </c>
      <c r="E56" s="10">
        <f>ROUND($B$4*$B$11*$B$15*$B$16*$B$19*$B$23*$B$26,0)</f>
        <v/>
      </c>
      <c r="F56" s="10">
        <f>ROUND($B$5*$B$11*$B$15*$B$16*$B$19*$B$24*$B$25,0)</f>
        <v/>
      </c>
      <c r="G56" s="10">
        <f>ROUND($B$5*$B$11*$B$15*$B$16*$B$19*$B$24*$B$26,0)</f>
        <v/>
      </c>
      <c r="H56" s="10">
        <f>ROUND($B$4*$B$11*$B$15*$B$16*$B$20*$B$23*$B$25,0)</f>
        <v/>
      </c>
      <c r="I56" s="10">
        <f>ROUND($B$4*$B$11*$B$15*$B$16*$B$20*$B$23*$B$26,0)</f>
        <v/>
      </c>
      <c r="J56" s="10">
        <f>ROUND($B$5*$B$11*$B$15*$B$16*$B$20*$B$24*$B$25,0)</f>
        <v/>
      </c>
      <c r="K56" s="10">
        <f>ROUND($B$5*$B$11*$B$15*$B$16*$B$20*$B$24*$B$26,0)</f>
        <v/>
      </c>
      <c r="L56" s="10">
        <f>ROUND($B$4*$B$11*$B$15*$B$16*$B$21*$B$23*$B$25,0)</f>
        <v/>
      </c>
      <c r="M56" s="10">
        <f>ROUND($B$4*$B$11*$B$15*$B$16*$B$21*$B$23*$B$26,0)</f>
        <v/>
      </c>
      <c r="N56" s="10">
        <f>ROUND($B$5*$B$11*$B$15*$B$16*$B$21*$B$24*$B$25,0)</f>
        <v/>
      </c>
      <c r="O56" s="10">
        <f>ROUND($B$5*$B$11*$B$15*$B$16*$B$21*$B$24*$B$26,0)</f>
        <v/>
      </c>
      <c r="P56" s="10">
        <f>ROUND($B$4*$B$11*$B$15*$B$16*$B$22*$B$23*$B$25,0)</f>
        <v/>
      </c>
      <c r="Q56" s="10">
        <f>ROUND($B$4*$B$11*$B$15*$B$16*$B$22*$B$23*$B$26,0)</f>
        <v/>
      </c>
      <c r="R56" s="10">
        <f>ROUND($B$6*$B$11*$B$15*$B$16*$B$22*$B$24*$B$25,0)</f>
        <v/>
      </c>
      <c r="S56" s="10">
        <f>ROUND($B$6*$B$11*$B$15*$B$16*$B$22*$B$24*$B$26,0)</f>
        <v/>
      </c>
    </row>
    <row r="57" ht="20.1" customHeight="1" s="62">
      <c r="A57" s="67" t="n"/>
      <c r="B57" s="58" t="n"/>
      <c r="C57" s="57" t="inlineStr">
        <is>
          <t>Implication modérée</t>
        </is>
      </c>
      <c r="D57" s="10">
        <f>ROUND($B$4*$B$11*$B$15*$B$17*$B$19*$B$23*$B$25,0)</f>
        <v/>
      </c>
      <c r="E57" s="10">
        <f>ROUND($B$4*$B$11*$B$15*$B$17*$B$19*$B$23*$B$26,0)</f>
        <v/>
      </c>
      <c r="F57" s="10">
        <f>ROUND($B$5*$B$11*$B$15*$B$17*$B$19*$B$24*$B$25,0)</f>
        <v/>
      </c>
      <c r="G57" s="10">
        <f>ROUND($B$5*$B$11*$B$15*$B$17*$B$19*$B$24*$B$26,0)</f>
        <v/>
      </c>
      <c r="H57" s="10">
        <f>ROUND($B$4*$B$11*$B$15*$B$17*$B$20*$B$23*$B$25,0)</f>
        <v/>
      </c>
      <c r="I57" s="10">
        <f>ROUND($B$4*$B$11*$B$15*$B$17*$B$20*$B$23*$B$26,0)</f>
        <v/>
      </c>
      <c r="J57" s="10">
        <f>ROUND($B$5*$B$11*$B$15*$B$17*$B$20*$B$24*$B$25,0)</f>
        <v/>
      </c>
      <c r="K57" s="10">
        <f>ROUND($B$5*$B$11*$B$15*$B$17*$B$20*$B$24*$B$26,0)</f>
        <v/>
      </c>
      <c r="L57" s="10">
        <f>ROUND($B$4*$B$11*$B$15*$B$17*$B$21*$B$23*$B$25,0)</f>
        <v/>
      </c>
      <c r="M57" s="10">
        <f>ROUND($B$4*$B$11*$B$15*$B$17*$B$21*$B$23*$B$26,0)</f>
        <v/>
      </c>
      <c r="N57" s="10">
        <f>ROUND($B$5*$B$11*$B$15*$B$17*$B$21*$B$24*$B$25,0)</f>
        <v/>
      </c>
      <c r="O57" s="10">
        <f>ROUND($B$5*$B$11*$B$15*$B$17*$B$21*$B$24*$B$26,0)</f>
        <v/>
      </c>
      <c r="P57" s="10">
        <f>ROUND($B$4*$B$11*$B$15*$B$17*$B$22*$B$23*$B$25,0)</f>
        <v/>
      </c>
      <c r="Q57" s="10">
        <f>ROUND($B$4*$B$11*$B$15*$B$17*$B$22*$B$23*$B$26,0)</f>
        <v/>
      </c>
      <c r="R57" s="10">
        <f>ROUND($B$6*$B$11*$B$15*$B$17*$B$22*$B$24*$B$25,0)</f>
        <v/>
      </c>
      <c r="S57" s="10">
        <f>ROUND($B$6*$B$11*$B$15*$B$17*$B$22*$B$24*$B$26,0)</f>
        <v/>
      </c>
    </row>
    <row r="58" ht="20.1" customHeight="1" s="62">
      <c r="A58" s="68" t="n"/>
      <c r="B58" s="59" t="n"/>
      <c r="C58" s="15" t="inlineStr">
        <is>
          <t>Implication forte</t>
        </is>
      </c>
      <c r="D58" s="10">
        <f>ROUND($B$4*$B$11*$B$15*$B$18*$B$19*$B$23*$B$25,0)</f>
        <v/>
      </c>
      <c r="E58" s="10">
        <f>ROUND($B$4*$B$11*$B$15*$B$18*$B$19*$B$23*$B$26,0)</f>
        <v/>
      </c>
      <c r="F58" s="10">
        <f>ROUND($B$5*$B$11*$B$15*$B$18*$B$19*$B$24*$B$25,0)</f>
        <v/>
      </c>
      <c r="G58" s="10">
        <f>ROUND($B$5*$B$11*$B$15*$B$18*$B$19*$B$24*$B$26,0)</f>
        <v/>
      </c>
      <c r="H58" s="10">
        <f>ROUND($B$4*$B$11*$B$15*$B$18*$B$20*$B$23*$B$25,0)</f>
        <v/>
      </c>
      <c r="I58" s="10">
        <f>ROUND($B$4*$B$11*$B$15*$B$18*$B$20*$B$23*$B$26,0)</f>
        <v/>
      </c>
      <c r="J58" s="10">
        <f>ROUND($B$5*$B$11*$B$15*$B$18*$B$20*$B$24*$B$25,0)</f>
        <v/>
      </c>
      <c r="K58" s="10">
        <f>ROUND($B$5*$B$11*$B$15*$B$18*$B$20*$B$24*$B$26,0)</f>
        <v/>
      </c>
      <c r="L58" s="10">
        <f>ROUND($B$4*$B$11*$B$15*$B$18*$B$21*$B$23*$B$25,0)</f>
        <v/>
      </c>
      <c r="M58" s="10">
        <f>ROUND($B$4*$B$11*$B$15*$B$18*$B$21*$B$23*$B$26,0)</f>
        <v/>
      </c>
      <c r="N58" s="10">
        <f>ROUND($B$5*$B$11*$B$15*$B$18*$B$21*$B$24*$B$25,0)</f>
        <v/>
      </c>
      <c r="O58" s="10">
        <f>ROUND($B$5*$B$11*$B$15*$B$18*$B$21*$B$24*$B$26,0)</f>
        <v/>
      </c>
      <c r="P58" s="10">
        <f>ROUND($B$4*$B$11*$B$15*$B$18*$B$22*$B$23*$B$25,0)</f>
        <v/>
      </c>
      <c r="Q58" s="10">
        <f>ROUND($B$4*$B$11*$B$15*$B$18*$B$22*$B$23*$B$26,0)</f>
        <v/>
      </c>
      <c r="R58" s="10">
        <f>ROUND($B$6*$B$11*$B$15*$B$18*$B$22*$B$24*$B$25,0)</f>
        <v/>
      </c>
      <c r="S58" s="10">
        <f>ROUND($B$6*$B$11*$B$15*$B$18*$B$22*$B$24*$B$26,0)</f>
        <v/>
      </c>
    </row>
    <row r="59" ht="20.1" customHeight="1" s="62">
      <c r="A59" s="66" t="inlineStr">
        <is>
          <t>ETI / Grand compte (100+)</t>
        </is>
      </c>
      <c r="B59" s="57" t="inlineStr">
        <is>
          <t>Dirigeant débutant</t>
        </is>
      </c>
      <c r="C59" s="14" t="inlineStr">
        <is>
          <t>Implication faible</t>
        </is>
      </c>
      <c r="D59" s="10">
        <f>ROUND($B$4*$B$12*$B$13*$B$16*$B$19*$B$23*$B$25,0)</f>
        <v/>
      </c>
      <c r="E59" s="10">
        <f>ROUND($B$4*$B$12*$B$13*$B$16*$B$19*$B$23*$B$26,0)</f>
        <v/>
      </c>
      <c r="F59" s="10">
        <f>ROUND($B$5*$B$12*$B$13*$B$16*$B$19*$B$24*$B$25,0)</f>
        <v/>
      </c>
      <c r="G59" s="10">
        <f>ROUND($B$5*$B$12*$B$13*$B$16*$B$19*$B$24*$B$26,0)</f>
        <v/>
      </c>
      <c r="H59" s="10">
        <f>ROUND($B$4*$B$12*$B$13*$B$16*$B$20*$B$23*$B$25,0)</f>
        <v/>
      </c>
      <c r="I59" s="10">
        <f>ROUND($B$4*$B$12*$B$13*$B$16*$B$20*$B$23*$B$26,0)</f>
        <v/>
      </c>
      <c r="J59" s="10">
        <f>ROUND($B$5*$B$12*$B$13*$B$16*$B$20*$B$24*$B$25,0)</f>
        <v/>
      </c>
      <c r="K59" s="10">
        <f>ROUND($B$5*$B$12*$B$13*$B$16*$B$20*$B$24*$B$26,0)</f>
        <v/>
      </c>
      <c r="L59" s="10">
        <f>ROUND($B$4*$B$12*$B$13*$B$16*$B$21*$B$23*$B$25,0)</f>
        <v/>
      </c>
      <c r="M59" s="10">
        <f>ROUND($B$4*$B$12*$B$13*$B$16*$B$21*$B$23*$B$26,0)</f>
        <v/>
      </c>
      <c r="N59" s="10">
        <f>ROUND($B$5*$B$12*$B$13*$B$16*$B$21*$B$24*$B$25,0)</f>
        <v/>
      </c>
      <c r="O59" s="10">
        <f>ROUND($B$5*$B$12*$B$13*$B$16*$B$21*$B$24*$B$26,0)</f>
        <v/>
      </c>
      <c r="P59" s="10">
        <f>ROUND($B$4*$B$12*$B$13*$B$16*$B$22*$B$23*$B$25,0)</f>
        <v/>
      </c>
      <c r="Q59" s="10">
        <f>ROUND($B$4*$B$12*$B$13*$B$16*$B$22*$B$23*$B$26,0)</f>
        <v/>
      </c>
      <c r="R59" s="10">
        <f>ROUND($B$6*$B$12*$B$13*$B$16*$B$22*$B$24*$B$25,0)</f>
        <v/>
      </c>
      <c r="S59" s="10">
        <f>ROUND($B$6*$B$12*$B$13*$B$16*$B$22*$B$24*$B$26,0)</f>
        <v/>
      </c>
    </row>
    <row r="60" ht="20.1" customHeight="1" s="62">
      <c r="A60" s="67" t="n"/>
      <c r="B60" s="58" t="n"/>
      <c r="C60" s="57" t="inlineStr">
        <is>
          <t>Implication modérée</t>
        </is>
      </c>
      <c r="D60" s="10">
        <f>ROUND($B$4*$B$12*$B$13*$B$17*$B$19*$B$23*$B$25,0)</f>
        <v/>
      </c>
      <c r="E60" s="10">
        <f>ROUND($B$4*$B$12*$B$13*$B$17*$B$19*$B$23*$B$26,0)</f>
        <v/>
      </c>
      <c r="F60" s="10">
        <f>ROUND($B$5*$B$12*$B$13*$B$17*$B$19*$B$24*$B$25,0)</f>
        <v/>
      </c>
      <c r="G60" s="10">
        <f>ROUND($B$5*$B$12*$B$13*$B$17*$B$19*$B$24*$B$26,0)</f>
        <v/>
      </c>
      <c r="H60" s="10">
        <f>ROUND($B$4*$B$12*$B$13*$B$17*$B$20*$B$23*$B$25,0)</f>
        <v/>
      </c>
      <c r="I60" s="10">
        <f>ROUND($B$4*$B$12*$B$13*$B$17*$B$20*$B$23*$B$26,0)</f>
        <v/>
      </c>
      <c r="J60" s="10">
        <f>ROUND($B$5*$B$12*$B$13*$B$17*$B$20*$B$24*$B$25,0)</f>
        <v/>
      </c>
      <c r="K60" s="10">
        <f>ROUND($B$5*$B$12*$B$13*$B$17*$B$20*$B$24*$B$26,0)</f>
        <v/>
      </c>
      <c r="L60" s="10">
        <f>ROUND($B$4*$B$12*$B$13*$B$17*$B$21*$B$23*$B$25,0)</f>
        <v/>
      </c>
      <c r="M60" s="10">
        <f>ROUND($B$4*$B$12*$B$13*$B$17*$B$21*$B$23*$B$26,0)</f>
        <v/>
      </c>
      <c r="N60" s="10">
        <f>ROUND($B$5*$B$12*$B$13*$B$17*$B$21*$B$24*$B$25,0)</f>
        <v/>
      </c>
      <c r="O60" s="10">
        <f>ROUND($B$5*$B$12*$B$13*$B$17*$B$21*$B$24*$B$26,0)</f>
        <v/>
      </c>
      <c r="P60" s="10">
        <f>ROUND($B$4*$B$12*$B$13*$B$17*$B$22*$B$23*$B$25,0)</f>
        <v/>
      </c>
      <c r="Q60" s="10">
        <f>ROUND($B$4*$B$12*$B$13*$B$17*$B$22*$B$23*$B$26,0)</f>
        <v/>
      </c>
      <c r="R60" s="10">
        <f>ROUND($B$6*$B$12*$B$13*$B$17*$B$22*$B$24*$B$25,0)</f>
        <v/>
      </c>
      <c r="S60" s="10">
        <f>ROUND($B$6*$B$12*$B$13*$B$17*$B$22*$B$24*$B$26,0)</f>
        <v/>
      </c>
    </row>
    <row r="61" ht="20.1" customHeight="1" s="62">
      <c r="A61" s="67" t="n"/>
      <c r="B61" s="59" t="n"/>
      <c r="C61" s="15" t="inlineStr">
        <is>
          <t>Implication forte</t>
        </is>
      </c>
      <c r="D61" s="10">
        <f>ROUND($B$4*$B$12*$B$13*$B$18*$B$19*$B$23*$B$25,0)</f>
        <v/>
      </c>
      <c r="E61" s="10">
        <f>ROUND($B$4*$B$12*$B$13*$B$18*$B$19*$B$23*$B$26,0)</f>
        <v/>
      </c>
      <c r="F61" s="10">
        <f>ROUND($B$5*$B$12*$B$13*$B$18*$B$19*$B$24*$B$25,0)</f>
        <v/>
      </c>
      <c r="G61" s="10">
        <f>ROUND($B$5*$B$12*$B$13*$B$18*$B$19*$B$24*$B$26,0)</f>
        <v/>
      </c>
      <c r="H61" s="10">
        <f>ROUND($B$4*$B$12*$B$13*$B$18*$B$20*$B$23*$B$25,0)</f>
        <v/>
      </c>
      <c r="I61" s="10">
        <f>ROUND($B$4*$B$12*$B$13*$B$18*$B$20*$B$23*$B$26,0)</f>
        <v/>
      </c>
      <c r="J61" s="10">
        <f>ROUND($B$5*$B$12*$B$13*$B$18*$B$20*$B$24*$B$25,0)</f>
        <v/>
      </c>
      <c r="K61" s="10">
        <f>ROUND($B$5*$B$12*$B$13*$B$18*$B$20*$B$24*$B$26,0)</f>
        <v/>
      </c>
      <c r="L61" s="10">
        <f>ROUND($B$4*$B$12*$B$13*$B$18*$B$21*$B$23*$B$25,0)</f>
        <v/>
      </c>
      <c r="M61" s="10">
        <f>ROUND($B$4*$B$12*$B$13*$B$18*$B$21*$B$23*$B$26,0)</f>
        <v/>
      </c>
      <c r="N61" s="10">
        <f>ROUND($B$5*$B$12*$B$13*$B$18*$B$21*$B$24*$B$25,0)</f>
        <v/>
      </c>
      <c r="O61" s="10">
        <f>ROUND($B$5*$B$12*$B$13*$B$18*$B$21*$B$24*$B$26,0)</f>
        <v/>
      </c>
      <c r="P61" s="10">
        <f>ROUND($B$4*$B$12*$B$13*$B$18*$B$22*$B$23*$B$25,0)</f>
        <v/>
      </c>
      <c r="Q61" s="10">
        <f>ROUND($B$4*$B$12*$B$13*$B$18*$B$22*$B$23*$B$26,0)</f>
        <v/>
      </c>
      <c r="R61" s="10">
        <f>ROUND($B$6*$B$12*$B$13*$B$18*$B$22*$B$24*$B$25,0)</f>
        <v/>
      </c>
      <c r="S61" s="10">
        <f>ROUND($B$6*$B$12*$B$13*$B$18*$B$22*$B$24*$B$26,0)</f>
        <v/>
      </c>
    </row>
    <row r="62" ht="20.1" customHeight="1" s="62">
      <c r="A62" s="67" t="n"/>
      <c r="B62" s="57" t="inlineStr">
        <is>
          <t>Dirigeant expérimenté</t>
        </is>
      </c>
      <c r="C62" s="14" t="inlineStr">
        <is>
          <t>Implication faible</t>
        </is>
      </c>
      <c r="D62" s="10">
        <f>ROUND($B$4*$B$12*$B$14*$B$16*$B$19*$B$23*$B$25,0)</f>
        <v/>
      </c>
      <c r="E62" s="10">
        <f>ROUND($B$4*$B$12*$B$14*$B$16*$B$19*$B$23*$B$26,0)</f>
        <v/>
      </c>
      <c r="F62" s="10">
        <f>ROUND($B$5*$B$12*$B$14*$B$16*$B$19*$B$24*$B$25,0)</f>
        <v/>
      </c>
      <c r="G62" s="10">
        <f>ROUND($B$5*$B$12*$B$14*$B$16*$B$19*$B$24*$B$26,0)</f>
        <v/>
      </c>
      <c r="H62" s="10">
        <f>ROUND($B$4*$B$12*$B$14*$B$16*$B$20*$B$23*$B$25,0)</f>
        <v/>
      </c>
      <c r="I62" s="10">
        <f>ROUND($B$4*$B$12*$B$14*$B$16*$B$20*$B$23*$B$26,0)</f>
        <v/>
      </c>
      <c r="J62" s="10">
        <f>ROUND($B$5*$B$12*$B$14*$B$16*$B$20*$B$24*$B$25,0)</f>
        <v/>
      </c>
      <c r="K62" s="10">
        <f>ROUND($B$5*$B$12*$B$14*$B$16*$B$20*$B$24*$B$26,0)</f>
        <v/>
      </c>
      <c r="L62" s="10">
        <f>ROUND($B$4*$B$12*$B$14*$B$16*$B$21*$B$23*$B$25,0)</f>
        <v/>
      </c>
      <c r="M62" s="10">
        <f>ROUND($B$4*$B$12*$B$14*$B$16*$B$21*$B$23*$B$26,0)</f>
        <v/>
      </c>
      <c r="N62" s="10">
        <f>ROUND($B$5*$B$12*$B$14*$B$16*$B$21*$B$24*$B$25,0)</f>
        <v/>
      </c>
      <c r="O62" s="10">
        <f>ROUND($B$5*$B$12*$B$14*$B$16*$B$21*$B$24*$B$26,0)</f>
        <v/>
      </c>
      <c r="P62" s="10">
        <f>ROUND($B$4*$B$12*$B$14*$B$16*$B$22*$B$23*$B$25,0)</f>
        <v/>
      </c>
      <c r="Q62" s="10">
        <f>ROUND($B$4*$B$12*$B$14*$B$16*$B$22*$B$23*$B$26,0)</f>
        <v/>
      </c>
      <c r="R62" s="10">
        <f>ROUND($B$6*$B$12*$B$14*$B$16*$B$22*$B$24*$B$25,0)</f>
        <v/>
      </c>
      <c r="S62" s="10">
        <f>ROUND($B$6*$B$12*$B$14*$B$16*$B$22*$B$24*$B$26,0)</f>
        <v/>
      </c>
    </row>
    <row r="63" ht="20.1" customHeight="1" s="62">
      <c r="A63" s="67" t="n"/>
      <c r="B63" s="58" t="n"/>
      <c r="C63" s="57" t="inlineStr">
        <is>
          <t>Implication modérée</t>
        </is>
      </c>
      <c r="D63" s="10">
        <f>ROUND($B$4*$B$12*$B$14*$B$17*$B$19*$B$23*$B$25,0)</f>
        <v/>
      </c>
      <c r="E63" s="10">
        <f>ROUND($B$4*$B$12*$B$14*$B$17*$B$19*$B$23*$B$26,0)</f>
        <v/>
      </c>
      <c r="F63" s="10">
        <f>ROUND($B$5*$B$12*$B$14*$B$17*$B$19*$B$24*$B$25,0)</f>
        <v/>
      </c>
      <c r="G63" s="10">
        <f>ROUND($B$5*$B$12*$B$14*$B$17*$B$19*$B$24*$B$26,0)</f>
        <v/>
      </c>
      <c r="H63" s="10">
        <f>ROUND($B$4*$B$12*$B$14*$B$17*$B$20*$B$23*$B$25,0)</f>
        <v/>
      </c>
      <c r="I63" s="10">
        <f>ROUND($B$4*$B$12*$B$14*$B$17*$B$20*$B$23*$B$26,0)</f>
        <v/>
      </c>
      <c r="J63" s="10">
        <f>ROUND($B$5*$B$12*$B$14*$B$17*$B$20*$B$24*$B$25,0)</f>
        <v/>
      </c>
      <c r="K63" s="10">
        <f>ROUND($B$5*$B$12*$B$14*$B$17*$B$20*$B$24*$B$26,0)</f>
        <v/>
      </c>
      <c r="L63" s="10">
        <f>ROUND($B$4*$B$12*$B$14*$B$17*$B$21*$B$23*$B$25,0)</f>
        <v/>
      </c>
      <c r="M63" s="10">
        <f>ROUND($B$4*$B$12*$B$14*$B$17*$B$21*$B$23*$B$26,0)</f>
        <v/>
      </c>
      <c r="N63" s="10">
        <f>ROUND($B$5*$B$12*$B$14*$B$17*$B$21*$B$24*$B$25,0)</f>
        <v/>
      </c>
      <c r="O63" s="10">
        <f>ROUND($B$5*$B$12*$B$14*$B$17*$B$21*$B$24*$B$26,0)</f>
        <v/>
      </c>
      <c r="P63" s="10">
        <f>ROUND($B$4*$B$12*$B$14*$B$17*$B$22*$B$23*$B$25,0)</f>
        <v/>
      </c>
      <c r="Q63" s="10">
        <f>ROUND($B$4*$B$12*$B$14*$B$17*$B$22*$B$23*$B$26,0)</f>
        <v/>
      </c>
      <c r="R63" s="10">
        <f>ROUND($B$6*$B$12*$B$14*$B$17*$B$22*$B$24*$B$25,0)</f>
        <v/>
      </c>
      <c r="S63" s="10">
        <f>ROUND($B$6*$B$12*$B$14*$B$17*$B$22*$B$24*$B$26,0)</f>
        <v/>
      </c>
    </row>
    <row r="64" ht="20.1" customHeight="1" s="62">
      <c r="A64" s="67" t="n"/>
      <c r="B64" s="59" t="n"/>
      <c r="C64" s="15" t="inlineStr">
        <is>
          <t>Implication forte</t>
        </is>
      </c>
      <c r="D64" s="10">
        <f>ROUND($B$4*$B$12*$B$14*$B$18*$B$19*$B$23*$B$25,0)</f>
        <v/>
      </c>
      <c r="E64" s="10">
        <f>ROUND($B$4*$B$12*$B$14*$B$18*$B$19*$B$23*$B$26,0)</f>
        <v/>
      </c>
      <c r="F64" s="10">
        <f>ROUND($B$5*$B$12*$B$14*$B$18*$B$19*$B$24*$B$25,0)</f>
        <v/>
      </c>
      <c r="G64" s="10">
        <f>ROUND($B$5*$B$12*$B$14*$B$18*$B$19*$B$24*$B$26,0)</f>
        <v/>
      </c>
      <c r="H64" s="10">
        <f>ROUND($B$4*$B$12*$B$14*$B$18*$B$20*$B$23*$B$25,0)</f>
        <v/>
      </c>
      <c r="I64" s="10">
        <f>ROUND($B$4*$B$12*$B$14*$B$18*$B$20*$B$23*$B$26,0)</f>
        <v/>
      </c>
      <c r="J64" s="10">
        <f>ROUND($B$5*$B$12*$B$14*$B$18*$B$20*$B$24*$B$25,0)</f>
        <v/>
      </c>
      <c r="K64" s="10">
        <f>ROUND($B$5*$B$12*$B$14*$B$18*$B$20*$B$24*$B$26,0)</f>
        <v/>
      </c>
      <c r="L64" s="10">
        <f>ROUND($B$4*$B$12*$B$14*$B$18*$B$21*$B$23*$B$25,0)</f>
        <v/>
      </c>
      <c r="M64" s="10">
        <f>ROUND($B$4*$B$12*$B$14*$B$18*$B$21*$B$23*$B$26,0)</f>
        <v/>
      </c>
      <c r="N64" s="10">
        <f>ROUND($B$5*$B$12*$B$14*$B$18*$B$21*$B$24*$B$25,0)</f>
        <v/>
      </c>
      <c r="O64" s="10">
        <f>ROUND($B$5*$B$12*$B$14*$B$18*$B$21*$B$24*$B$26,0)</f>
        <v/>
      </c>
      <c r="P64" s="10">
        <f>ROUND($B$4*$B$12*$B$14*$B$18*$B$22*$B$23*$B$25,0)</f>
        <v/>
      </c>
      <c r="Q64" s="10">
        <f>ROUND($B$4*$B$12*$B$14*$B$18*$B$22*$B$23*$B$26,0)</f>
        <v/>
      </c>
      <c r="R64" s="10">
        <f>ROUND($B$6*$B$12*$B$14*$B$18*$B$22*$B$24*$B$25,0)</f>
        <v/>
      </c>
      <c r="S64" s="10">
        <f>ROUND($B$6*$B$12*$B$14*$B$18*$B$22*$B$24*$B$26,0)</f>
        <v/>
      </c>
    </row>
    <row r="65" ht="20.1" customHeight="1" s="62">
      <c r="A65" s="67" t="n"/>
      <c r="B65" s="57" t="inlineStr">
        <is>
          <t>Dirigeant expert</t>
        </is>
      </c>
      <c r="C65" s="14" t="inlineStr">
        <is>
          <t>Implication faible</t>
        </is>
      </c>
      <c r="D65" s="10">
        <f>ROUND($B$4*$B$12*$B$15*$B$16*$B$19*$B$23*$B$25,0)</f>
        <v/>
      </c>
      <c r="E65" s="10">
        <f>ROUND($B$4*$B$12*$B$15*$B$16*$B$19*$B$23*$B$26,0)</f>
        <v/>
      </c>
      <c r="F65" s="10">
        <f>ROUND($B$5*$B$12*$B$15*$B$16*$B$19*$B$24*$B$25,0)</f>
        <v/>
      </c>
      <c r="G65" s="10">
        <f>ROUND($B$5*$B$12*$B$15*$B$16*$B$19*$B$24*$B$26,0)</f>
        <v/>
      </c>
      <c r="H65" s="10">
        <f>ROUND($B$4*$B$12*$B$15*$B$16*$B$20*$B$23*$B$25,0)</f>
        <v/>
      </c>
      <c r="I65" s="10">
        <f>ROUND($B$4*$B$12*$B$15*$B$16*$B$20*$B$23*$B$26,0)</f>
        <v/>
      </c>
      <c r="J65" s="10">
        <f>ROUND($B$5*$B$12*$B$15*$B$16*$B$20*$B$24*$B$25,0)</f>
        <v/>
      </c>
      <c r="K65" s="10">
        <f>ROUND($B$5*$B$12*$B$15*$B$16*$B$20*$B$24*$B$26,0)</f>
        <v/>
      </c>
      <c r="L65" s="10">
        <f>ROUND($B$4*$B$12*$B$15*$B$16*$B$21*$B$23*$B$25,0)</f>
        <v/>
      </c>
      <c r="M65" s="10">
        <f>ROUND($B$4*$B$12*$B$15*$B$16*$B$21*$B$23*$B$26,0)</f>
        <v/>
      </c>
      <c r="N65" s="10">
        <f>ROUND($B$5*$B$12*$B$15*$B$16*$B$21*$B$24*$B$25,0)</f>
        <v/>
      </c>
      <c r="O65" s="10">
        <f>ROUND($B$5*$B$12*$B$15*$B$16*$B$21*$B$24*$B$26,0)</f>
        <v/>
      </c>
      <c r="P65" s="10">
        <f>ROUND($B$4*$B$12*$B$15*$B$16*$B$22*$B$23*$B$25,0)</f>
        <v/>
      </c>
      <c r="Q65" s="10">
        <f>ROUND($B$4*$B$12*$B$15*$B$16*$B$22*$B$23*$B$26,0)</f>
        <v/>
      </c>
      <c r="R65" s="10">
        <f>ROUND($B$6*$B$12*$B$15*$B$16*$B$22*$B$24*$B$25,0)</f>
        <v/>
      </c>
      <c r="S65" s="10">
        <f>ROUND($B$6*$B$12*$B$15*$B$16*$B$22*$B$24*$B$26,0)</f>
        <v/>
      </c>
    </row>
    <row r="66" ht="20.1" customHeight="1" s="62">
      <c r="A66" s="67" t="n"/>
      <c r="B66" s="58" t="n"/>
      <c r="C66" s="57" t="inlineStr">
        <is>
          <t>Implication modérée</t>
        </is>
      </c>
      <c r="D66" s="10">
        <f>ROUND($B$4*$B$12*$B$15*$B$17*$B$19*$B$23*$B$25,0)</f>
        <v/>
      </c>
      <c r="E66" s="10">
        <f>ROUND($B$4*$B$12*$B$15*$B$17*$B$19*$B$23*$B$26,0)</f>
        <v/>
      </c>
      <c r="F66" s="10">
        <f>ROUND($B$5*$B$12*$B$15*$B$17*$B$19*$B$24*$B$25,0)</f>
        <v/>
      </c>
      <c r="G66" s="10">
        <f>ROUND($B$5*$B$12*$B$15*$B$17*$B$19*$B$24*$B$26,0)</f>
        <v/>
      </c>
      <c r="H66" s="10">
        <f>ROUND($B$4*$B$12*$B$15*$B$17*$B$20*$B$23*$B$25,0)</f>
        <v/>
      </c>
      <c r="I66" s="10">
        <f>ROUND($B$4*$B$12*$B$15*$B$17*$B$20*$B$23*$B$26,0)</f>
        <v/>
      </c>
      <c r="J66" s="10">
        <f>ROUND($B$5*$B$12*$B$15*$B$17*$B$20*$B$24*$B$25,0)</f>
        <v/>
      </c>
      <c r="K66" s="10">
        <f>ROUND($B$5*$B$12*$B$15*$B$17*$B$20*$B$24*$B$26,0)</f>
        <v/>
      </c>
      <c r="L66" s="10">
        <f>ROUND($B$4*$B$12*$B$15*$B$17*$B$21*$B$23*$B$25,0)</f>
        <v/>
      </c>
      <c r="M66" s="10">
        <f>ROUND($B$4*$B$12*$B$15*$B$17*$B$21*$B$23*$B$26,0)</f>
        <v/>
      </c>
      <c r="N66" s="10">
        <f>ROUND($B$5*$B$12*$B$15*$B$17*$B$21*$B$24*$B$25,0)</f>
        <v/>
      </c>
      <c r="O66" s="10">
        <f>ROUND($B$5*$B$12*$B$15*$B$17*$B$21*$B$24*$B$26,0)</f>
        <v/>
      </c>
      <c r="P66" s="10">
        <f>ROUND($B$4*$B$12*$B$15*$B$17*$B$22*$B$23*$B$25,0)</f>
        <v/>
      </c>
      <c r="Q66" s="10">
        <f>ROUND($B$4*$B$12*$B$15*$B$17*$B$22*$B$23*$B$26,0)</f>
        <v/>
      </c>
      <c r="R66" s="10">
        <f>ROUND($B$6*$B$12*$B$15*$B$17*$B$22*$B$24*$B$25,0)</f>
        <v/>
      </c>
      <c r="S66" s="10">
        <f>ROUND($B$6*$B$12*$B$15*$B$17*$B$22*$B$24*$B$26,0)</f>
        <v/>
      </c>
    </row>
    <row r="67" ht="20.1" customHeight="1" s="62">
      <c r="A67" s="68" t="n"/>
      <c r="B67" s="59" t="n"/>
      <c r="C67" s="15" t="inlineStr">
        <is>
          <t>Implication forte</t>
        </is>
      </c>
      <c r="D67" s="10">
        <f>ROUND($B$4*$B$12*$B$15*$B$18*$B$19*$B$23*$B$25,0)</f>
        <v/>
      </c>
      <c r="E67" s="10">
        <f>ROUND($B$4*$B$12*$B$15*$B$18*$B$19*$B$23*$B$26,0)</f>
        <v/>
      </c>
      <c r="F67" s="10">
        <f>ROUND($B$5*$B$12*$B$15*$B$18*$B$19*$B$24*$B$25,0)</f>
        <v/>
      </c>
      <c r="G67" s="10">
        <f>ROUND($B$5*$B$12*$B$15*$B$18*$B$19*$B$24*$B$26,0)</f>
        <v/>
      </c>
      <c r="H67" s="10">
        <f>ROUND($B$4*$B$12*$B$15*$B$18*$B$20*$B$23*$B$25,0)</f>
        <v/>
      </c>
      <c r="I67" s="10">
        <f>ROUND($B$4*$B$12*$B$15*$B$18*$B$20*$B$23*$B$26,0)</f>
        <v/>
      </c>
      <c r="J67" s="10">
        <f>ROUND($B$5*$B$12*$B$15*$B$18*$B$20*$B$24*$B$25,0)</f>
        <v/>
      </c>
      <c r="K67" s="10">
        <f>ROUND($B$5*$B$12*$B$15*$B$18*$B$20*$B$24*$B$26,0)</f>
        <v/>
      </c>
      <c r="L67" s="10">
        <f>ROUND($B$4*$B$12*$B$15*$B$18*$B$21*$B$23*$B$25,0)</f>
        <v/>
      </c>
      <c r="M67" s="10">
        <f>ROUND($B$4*$B$12*$B$15*$B$18*$B$21*$B$23*$B$26,0)</f>
        <v/>
      </c>
      <c r="N67" s="10">
        <f>ROUND($B$5*$B$12*$B$15*$B$18*$B$21*$B$24*$B$25,0)</f>
        <v/>
      </c>
      <c r="O67" s="10">
        <f>ROUND($B$5*$B$12*$B$15*$B$18*$B$21*$B$24*$B$26,0)</f>
        <v/>
      </c>
      <c r="P67" s="10">
        <f>ROUND($B$4*$B$12*$B$15*$B$18*$B$22*$B$23*$B$25,0)</f>
        <v/>
      </c>
      <c r="Q67" s="10">
        <f>ROUND($B$4*$B$12*$B$15*$B$18*$B$22*$B$23*$B$26,0)</f>
        <v/>
      </c>
      <c r="R67" s="10">
        <f>ROUND($B$6*$B$12*$B$15*$B$18*$B$22*$B$24*$B$25,0)</f>
        <v/>
      </c>
      <c r="S67" s="10">
        <f>ROUND($B$6*$B$12*$B$15*$B$18*$B$22*$B$24*$B$26,0)</f>
        <v/>
      </c>
    </row>
  </sheetData>
  <mergeCells count="36">
    <mergeCell ref="B53:B55"/>
    <mergeCell ref="B65:B67"/>
    <mergeCell ref="A8:S8"/>
    <mergeCell ref="A50:A58"/>
    <mergeCell ref="A41:A49"/>
    <mergeCell ref="A29:A31"/>
    <mergeCell ref="D29:G29"/>
    <mergeCell ref="A32:A40"/>
    <mergeCell ref="J30:K30"/>
    <mergeCell ref="F30:G30"/>
    <mergeCell ref="R30:S30"/>
    <mergeCell ref="B35:B37"/>
    <mergeCell ref="P29:S29"/>
    <mergeCell ref="B56:B58"/>
    <mergeCell ref="H29:K29"/>
    <mergeCell ref="B47:B49"/>
    <mergeCell ref="B41:B43"/>
    <mergeCell ref="B32:B34"/>
    <mergeCell ref="B50:B52"/>
    <mergeCell ref="B59:B61"/>
    <mergeCell ref="L30:M30"/>
    <mergeCell ref="B62:B64"/>
    <mergeCell ref="A1:S1"/>
    <mergeCell ref="C29:C31"/>
    <mergeCell ref="A59:A67"/>
    <mergeCell ref="N30:O30"/>
    <mergeCell ref="D30:E30"/>
    <mergeCell ref="P30:Q30"/>
    <mergeCell ref="B44:B46"/>
    <mergeCell ref="A27:S27"/>
    <mergeCell ref="B29:B31"/>
    <mergeCell ref="A3:S3"/>
    <mergeCell ref="B38:B40"/>
    <mergeCell ref="L29:O29"/>
    <mergeCell ref="A2:S2"/>
    <mergeCell ref="H30:I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F3864"/>
    <outlinePr summaryBelow="1" summaryRight="1"/>
    <pageSetUpPr/>
  </sheetPr>
  <dimension ref="A1:AM66"/>
  <sheetViews>
    <sheetView topLeftCell="A2" workbookViewId="0">
      <pane xSplit="3" topLeftCell="D1" activePane="topRight" state="frozen"/>
      <selection pane="topRight" activeCell="A25" sqref="A25:AM25"/>
    </sheetView>
  </sheetViews>
  <sheetFormatPr baseColWidth="10" defaultColWidth="9.140625" defaultRowHeight="15"/>
  <cols>
    <col width="26" customWidth="1" style="62" min="1" max="1"/>
    <col width="22" customWidth="1" style="62" min="2" max="2"/>
    <col width="26" customWidth="1" style="62" min="3" max="3"/>
    <col width="13" customWidth="1" style="62" min="4" max="39"/>
  </cols>
  <sheetData>
    <row r="1" ht="33.95" customHeight="1" s="62">
      <c r="A1" s="72" t="inlineStr">
        <is>
          <t>GRILLE TARIFAIRE — Audit &amp; sécurisation des systèmes informatiques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Par niveau d'audit sécurité</t>
        </is>
      </c>
    </row>
    <row r="4" ht="21.95" customHeight="1" s="62">
      <c r="A4" s="1" t="inlineStr">
        <is>
          <t>Tarif de base — Audit simple</t>
        </is>
      </c>
      <c r="B4" s="2" t="n">
        <v>2500</v>
      </c>
      <c r="C4" s="3" t="inlineStr">
        <is>
          <t>Fourchette indicative : 2 000 – 5 000 €</t>
        </is>
      </c>
    </row>
    <row r="5" ht="21.95" customHeight="1" s="62">
      <c r="A5" s="1" t="inlineStr">
        <is>
          <t>Tarif de base — Audit avancé</t>
        </is>
      </c>
      <c r="B5" s="2" t="n">
        <v>7500</v>
      </c>
      <c r="C5" s="3" t="inlineStr">
        <is>
          <t>Fourchette indicative : 5 000 – 15 000 €</t>
        </is>
      </c>
    </row>
    <row r="6" ht="21.95" customHeight="1" s="62">
      <c r="A6" s="1" t="inlineStr">
        <is>
          <t>Tarif de base — Audit complet</t>
        </is>
      </c>
      <c r="B6" s="2" t="n">
        <v>15000</v>
      </c>
      <c r="C6" s="3" t="inlineStr">
        <is>
          <t>Fourchette indicative : 15 000 – 40 000 €</t>
        </is>
      </c>
    </row>
    <row r="7" ht="21.95" customHeight="1" s="62">
      <c r="A7" s="61" t="inlineStr">
        <is>
          <t>COEFFICIENTS MULTIPLICATEURS  —  1,00 = neutre. Ex : 1,20 = +20 %</t>
        </is>
      </c>
    </row>
    <row r="8" ht="20.1" customHeight="1" s="62">
      <c r="A8" s="13" t="inlineStr">
        <is>
          <t>Coeff. taille SI — Petit (1-20 util.)</t>
        </is>
      </c>
      <c r="B8" s="5" t="n">
        <v>0.75</v>
      </c>
      <c r="C8" s="6" t="inlineStr">
        <is>
          <t>Périmètre réduit</t>
        </is>
      </c>
    </row>
    <row r="9" ht="20.1" customHeight="1" s="62">
      <c r="A9" s="13" t="inlineStr">
        <is>
          <t>Coeff. taille SI — Moyen (21-100 util.)</t>
        </is>
      </c>
      <c r="B9" s="5" t="n">
        <v>1</v>
      </c>
      <c r="C9" s="6" t="inlineStr">
        <is>
          <t>Référence</t>
        </is>
      </c>
    </row>
    <row r="10" ht="20.1" customHeight="1" s="62">
      <c r="A10" s="13" t="inlineStr">
        <is>
          <t>Coeff. taille SI — Grand (100+ util.)</t>
        </is>
      </c>
      <c r="B10" s="5" t="n">
        <v>1.5</v>
      </c>
      <c r="C10" s="6" t="inlineStr">
        <is>
          <t>Périmètre étendu</t>
        </is>
      </c>
    </row>
    <row r="11" ht="20.1" customHeight="1" s="62">
      <c r="A11" s="13" t="inlineStr">
        <is>
          <t>Coeff. criticité — Faible</t>
        </is>
      </c>
      <c r="B11" s="5" t="n">
        <v>0.8</v>
      </c>
      <c r="C11" s="6" t="inlineStr">
        <is>
          <t>Enjeux limités</t>
        </is>
      </c>
    </row>
    <row r="12" ht="20.1" customHeight="1" s="62">
      <c r="A12" s="13" t="inlineStr">
        <is>
          <t>Coeff. criticité — Modérée</t>
        </is>
      </c>
      <c r="B12" s="5" t="n">
        <v>1</v>
      </c>
      <c r="C12" s="6" t="inlineStr">
        <is>
          <t>Référence</t>
        </is>
      </c>
    </row>
    <row r="13" ht="20.1" customHeight="1" s="62">
      <c r="A13" s="13" t="inlineStr">
        <is>
          <t>Coeff. criticité — Élevée</t>
        </is>
      </c>
      <c r="B13" s="5" t="n">
        <v>1.35</v>
      </c>
      <c r="C13" s="6" t="inlineStr">
        <is>
          <t>Risques importants</t>
        </is>
      </c>
    </row>
    <row r="14" ht="20.1" customHeight="1" s="62">
      <c r="A14" s="13" t="inlineStr">
        <is>
          <t>Coeff. criticité — Critique</t>
        </is>
      </c>
      <c r="B14" s="5" t="n">
        <v>1.75</v>
      </c>
      <c r="C14" s="6" t="inlineStr">
        <is>
          <t>Systèmes vitaux</t>
        </is>
      </c>
    </row>
    <row r="15" ht="20.1" customHeight="1" s="62">
      <c r="A15" s="13" t="inlineStr">
        <is>
          <t>Coeff. données — Standard</t>
        </is>
      </c>
      <c r="B15" s="5" t="n">
        <v>1</v>
      </c>
      <c r="C15" s="6" t="inlineStr">
        <is>
          <t>Référence</t>
        </is>
      </c>
    </row>
    <row r="16" ht="20.1" customHeight="1" s="62">
      <c r="A16" s="13" t="inlineStr">
        <is>
          <t>Coeff. données — Sensibles</t>
        </is>
      </c>
      <c r="B16" s="5" t="n">
        <v>1.25</v>
      </c>
      <c r="C16" s="6" t="inlineStr">
        <is>
          <t>Protection renforcée requise</t>
        </is>
      </c>
    </row>
    <row r="17" ht="20.1" customHeight="1" s="62">
      <c r="A17" s="13" t="inlineStr">
        <is>
          <t>Coeff. données — Très sensibles (santé/finance)</t>
        </is>
      </c>
      <c r="B17" s="5" t="n">
        <v>1.8</v>
      </c>
      <c r="C17" s="6" t="inlineStr">
        <is>
          <t>Obligations légales strictes</t>
        </is>
      </c>
    </row>
    <row r="18" ht="20.1" customHeight="1" s="62">
      <c r="A18" s="13" t="inlineStr">
        <is>
          <t>Coeff. infra — Cloud</t>
        </is>
      </c>
      <c r="B18" s="5" t="n">
        <v>1</v>
      </c>
      <c r="C18" s="6" t="inlineStr">
        <is>
          <t>Référence</t>
        </is>
      </c>
    </row>
    <row r="19" ht="20.1" customHeight="1" s="62">
      <c r="A19" s="13" t="inlineStr">
        <is>
          <t>Coeff. infra — On-premise</t>
        </is>
      </c>
      <c r="B19" s="5" t="n">
        <v>1.15</v>
      </c>
      <c r="C19" s="6" t="inlineStr">
        <is>
          <t>Accès physique requis</t>
        </is>
      </c>
    </row>
    <row r="20" ht="20.1" customHeight="1" s="62">
      <c r="A20" s="13" t="inlineStr">
        <is>
          <t>Coeff. infra — Hybride</t>
        </is>
      </c>
      <c r="B20" s="5" t="n">
        <v>1.3</v>
      </c>
      <c r="C20" s="6" t="inlineStr">
        <is>
          <t>Double périmètre à auditer</t>
        </is>
      </c>
    </row>
    <row r="21" ht="20.1" customHeight="1" s="62">
      <c r="A21" s="13" t="inlineStr">
        <is>
          <t>Coeff. réglementation — Standard</t>
        </is>
      </c>
      <c r="B21" s="5" t="n">
        <v>1</v>
      </c>
      <c r="C21" s="6" t="inlineStr">
        <is>
          <t>Référence</t>
        </is>
      </c>
    </row>
    <row r="22" ht="20.1" customHeight="1" s="62">
      <c r="A22" s="13" t="inlineStr">
        <is>
          <t>Coeff. réglementation — Réglementé (RGPD, HDS…)</t>
        </is>
      </c>
      <c r="B22" s="5" t="n">
        <v>1.3</v>
      </c>
      <c r="C22" s="6" t="inlineStr">
        <is>
          <t>Exigences de conformité strictes</t>
        </is>
      </c>
    </row>
    <row r="23" ht="20.1" customHeight="1" s="62">
      <c r="A23" s="13" t="inlineStr">
        <is>
          <t>Coeff. mode — Distanciel</t>
        </is>
      </c>
      <c r="B23" s="5" t="n">
        <v>1</v>
      </c>
      <c r="C23" s="6" t="inlineStr">
        <is>
          <t>Référence</t>
        </is>
      </c>
    </row>
    <row r="24" ht="20.1" customHeight="1" s="62">
      <c r="A24" s="13" t="inlineStr">
        <is>
          <t>Coeff. mode — Présentiel</t>
        </is>
      </c>
      <c r="B24" s="5" t="n">
        <v>1.4</v>
      </c>
      <c r="C24" s="6" t="inlineStr">
        <is>
          <t>Intervention sur site</t>
        </is>
      </c>
    </row>
    <row r="25" ht="24" customHeight="1" s="62">
      <c r="A25" s="71" t="inlineStr">
        <is>
          <t>▼  GRILLE TARIFAIRE CALCULÉE AUTOMATIQUEMENT  — Les cellules bleues sont en lecture seule (formules).</t>
        </is>
      </c>
    </row>
    <row r="26" ht="6" customHeight="1" s="62"/>
    <row r="27" ht="38.1" customHeight="1" s="62">
      <c r="A27" s="54" t="inlineStr">
        <is>
          <t>Taille du système (utilisateurs)</t>
        </is>
      </c>
      <c r="B27" s="60" t="inlineStr">
        <is>
          <t>Niveau de criticité</t>
        </is>
      </c>
      <c r="C27" s="63" t="inlineStr">
        <is>
          <t>Sensibilité des données</t>
        </is>
      </c>
      <c r="D27" s="54" t="inlineStr">
        <is>
          <t>Cloud</t>
        </is>
      </c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6" t="n"/>
      <c r="P27" s="54" t="inlineStr">
        <is>
          <t>On-premise</t>
        </is>
      </c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6" t="n"/>
      <c r="AB27" s="54" t="inlineStr">
        <is>
          <t>Hybride</t>
        </is>
      </c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6" t="n"/>
    </row>
    <row r="28" ht="38.1" customHeight="1" s="62">
      <c r="A28" s="64" t="n"/>
      <c r="B28" s="64" t="n"/>
      <c r="C28" s="64" t="n"/>
      <c r="D28" s="60" t="inlineStr">
        <is>
          <t>Sans pentest</t>
        </is>
      </c>
      <c r="E28" s="55" t="n"/>
      <c r="F28" s="55" t="n"/>
      <c r="G28" s="56" t="n"/>
      <c r="H28" s="60" t="inlineStr">
        <is>
          <t>Pentest basique</t>
        </is>
      </c>
      <c r="I28" s="55" t="n"/>
      <c r="J28" s="55" t="n"/>
      <c r="K28" s="56" t="n"/>
      <c r="L28" s="60" t="inlineStr">
        <is>
          <t>Pentest avancé</t>
        </is>
      </c>
      <c r="M28" s="55" t="n"/>
      <c r="N28" s="55" t="n"/>
      <c r="O28" s="56" t="n"/>
      <c r="P28" s="60" t="inlineStr">
        <is>
          <t>Sans pentest</t>
        </is>
      </c>
      <c r="Q28" s="55" t="n"/>
      <c r="R28" s="55" t="n"/>
      <c r="S28" s="56" t="n"/>
      <c r="T28" s="60" t="inlineStr">
        <is>
          <t>Pentest basique</t>
        </is>
      </c>
      <c r="U28" s="55" t="n"/>
      <c r="V28" s="55" t="n"/>
      <c r="W28" s="56" t="n"/>
      <c r="X28" s="60" t="inlineStr">
        <is>
          <t>Pentest avancé</t>
        </is>
      </c>
      <c r="Y28" s="55" t="n"/>
      <c r="Z28" s="55" t="n"/>
      <c r="AA28" s="56" t="n"/>
      <c r="AB28" s="60" t="inlineStr">
        <is>
          <t>Sans pentest</t>
        </is>
      </c>
      <c r="AC28" s="55" t="n"/>
      <c r="AD28" s="55" t="n"/>
      <c r="AE28" s="56" t="n"/>
      <c r="AF28" s="60" t="inlineStr">
        <is>
          <t>Pentest basique</t>
        </is>
      </c>
      <c r="AG28" s="55" t="n"/>
      <c r="AH28" s="55" t="n"/>
      <c r="AI28" s="56" t="n"/>
      <c r="AJ28" s="60" t="inlineStr">
        <is>
          <t>Pentest avancé</t>
        </is>
      </c>
      <c r="AK28" s="55" t="n"/>
      <c r="AL28" s="55" t="n"/>
      <c r="AM28" s="56" t="n"/>
    </row>
    <row r="29" ht="38.1" customHeight="1" s="62">
      <c r="A29" s="64" t="n"/>
      <c r="B29" s="64" t="n"/>
      <c r="C29" s="64" t="n"/>
      <c r="D29" s="63" t="inlineStr">
        <is>
          <t>Standard</t>
        </is>
      </c>
      <c r="E29" s="56" t="n"/>
      <c r="F29" s="63" t="inlineStr">
        <is>
          <t>Réglementé (RGPD, HDS…)</t>
        </is>
      </c>
      <c r="G29" s="56" t="n"/>
      <c r="H29" s="63" t="inlineStr">
        <is>
          <t>Standard</t>
        </is>
      </c>
      <c r="I29" s="56" t="n"/>
      <c r="J29" s="63" t="inlineStr">
        <is>
          <t>Réglementé (RGPD, HDS…)</t>
        </is>
      </c>
      <c r="K29" s="56" t="n"/>
      <c r="L29" s="63" t="inlineStr">
        <is>
          <t>Standard</t>
        </is>
      </c>
      <c r="M29" s="56" t="n"/>
      <c r="N29" s="63" t="inlineStr">
        <is>
          <t>Réglementé (RGPD, HDS…)</t>
        </is>
      </c>
      <c r="O29" s="56" t="n"/>
      <c r="P29" s="63" t="inlineStr">
        <is>
          <t>Standard</t>
        </is>
      </c>
      <c r="Q29" s="56" t="n"/>
      <c r="R29" s="63" t="inlineStr">
        <is>
          <t>Réglementé (RGPD, HDS…)</t>
        </is>
      </c>
      <c r="S29" s="56" t="n"/>
      <c r="T29" s="63" t="inlineStr">
        <is>
          <t>Standard</t>
        </is>
      </c>
      <c r="U29" s="56" t="n"/>
      <c r="V29" s="63" t="inlineStr">
        <is>
          <t>Réglementé (RGPD, HDS…)</t>
        </is>
      </c>
      <c r="W29" s="56" t="n"/>
      <c r="X29" s="63" t="inlineStr">
        <is>
          <t>Standard</t>
        </is>
      </c>
      <c r="Y29" s="56" t="n"/>
      <c r="Z29" s="63" t="inlineStr">
        <is>
          <t>Réglementé (RGPD, HDS…)</t>
        </is>
      </c>
      <c r="AA29" s="56" t="n"/>
      <c r="AB29" s="63" t="inlineStr">
        <is>
          <t>Standard</t>
        </is>
      </c>
      <c r="AC29" s="56" t="n"/>
      <c r="AD29" s="63" t="inlineStr">
        <is>
          <t>Réglementé (RGPD, HDS…)</t>
        </is>
      </c>
      <c r="AE29" s="56" t="n"/>
      <c r="AF29" s="63" t="inlineStr">
        <is>
          <t>Standard</t>
        </is>
      </c>
      <c r="AG29" s="56" t="n"/>
      <c r="AH29" s="63" t="inlineStr">
        <is>
          <t>Réglementé (RGPD, HDS…)</t>
        </is>
      </c>
      <c r="AI29" s="56" t="n"/>
      <c r="AJ29" s="63" t="inlineStr">
        <is>
          <t>Standard</t>
        </is>
      </c>
      <c r="AK29" s="56" t="n"/>
      <c r="AL29" s="63" t="inlineStr">
        <is>
          <t>Réglementé (RGPD, HDS…)</t>
        </is>
      </c>
      <c r="AM29" s="56" t="n"/>
    </row>
    <row r="30" ht="38.1" customHeight="1" s="62">
      <c r="A30" s="65" t="n"/>
      <c r="B30" s="65" t="n"/>
      <c r="C30" s="65" t="n"/>
      <c r="D30" s="7" t="inlineStr">
        <is>
          <t>Distanciel</t>
        </is>
      </c>
      <c r="E30" s="7" t="inlineStr">
        <is>
          <t>Présentiel</t>
        </is>
      </c>
      <c r="F30" s="7" t="inlineStr">
        <is>
          <t>Distanciel</t>
        </is>
      </c>
      <c r="G30" s="7" t="inlineStr">
        <is>
          <t>Présentiel</t>
        </is>
      </c>
      <c r="H30" s="7" t="inlineStr">
        <is>
          <t>Distanciel</t>
        </is>
      </c>
      <c r="I30" s="7" t="inlineStr">
        <is>
          <t>Présentiel</t>
        </is>
      </c>
      <c r="J30" s="7" t="inlineStr">
        <is>
          <t>Distanciel</t>
        </is>
      </c>
      <c r="K30" s="7" t="inlineStr">
        <is>
          <t>Présentiel</t>
        </is>
      </c>
      <c r="L30" s="7" t="inlineStr">
        <is>
          <t>Distanciel</t>
        </is>
      </c>
      <c r="M30" s="7" t="inlineStr">
        <is>
          <t>Présentiel</t>
        </is>
      </c>
      <c r="N30" s="7" t="inlineStr">
        <is>
          <t>Distanciel</t>
        </is>
      </c>
      <c r="O30" s="7" t="inlineStr">
        <is>
          <t>Présentiel</t>
        </is>
      </c>
      <c r="P30" s="7" t="inlineStr">
        <is>
          <t>Distanciel</t>
        </is>
      </c>
      <c r="Q30" s="7" t="inlineStr">
        <is>
          <t>Présentiel</t>
        </is>
      </c>
      <c r="R30" s="7" t="inlineStr">
        <is>
          <t>Distanciel</t>
        </is>
      </c>
      <c r="S30" s="7" t="inlineStr">
        <is>
          <t>Présentiel</t>
        </is>
      </c>
      <c r="T30" s="7" t="inlineStr">
        <is>
          <t>Distanciel</t>
        </is>
      </c>
      <c r="U30" s="7" t="inlineStr">
        <is>
          <t>Présentiel</t>
        </is>
      </c>
      <c r="V30" s="7" t="inlineStr">
        <is>
          <t>Distanciel</t>
        </is>
      </c>
      <c r="W30" s="7" t="inlineStr">
        <is>
          <t>Présentiel</t>
        </is>
      </c>
      <c r="X30" s="7" t="inlineStr">
        <is>
          <t>Distanciel</t>
        </is>
      </c>
      <c r="Y30" s="7" t="inlineStr">
        <is>
          <t>Présentiel</t>
        </is>
      </c>
      <c r="Z30" s="7" t="inlineStr">
        <is>
          <t>Distanciel</t>
        </is>
      </c>
      <c r="AA30" s="7" t="inlineStr">
        <is>
          <t>Présentiel</t>
        </is>
      </c>
      <c r="AB30" s="7" t="inlineStr">
        <is>
          <t>Distanciel</t>
        </is>
      </c>
      <c r="AC30" s="7" t="inlineStr">
        <is>
          <t>Présentiel</t>
        </is>
      </c>
      <c r="AD30" s="7" t="inlineStr">
        <is>
          <t>Distanciel</t>
        </is>
      </c>
      <c r="AE30" s="7" t="inlineStr">
        <is>
          <t>Présentiel</t>
        </is>
      </c>
      <c r="AF30" s="7" t="inlineStr">
        <is>
          <t>Distanciel</t>
        </is>
      </c>
      <c r="AG30" s="7" t="inlineStr">
        <is>
          <t>Présentiel</t>
        </is>
      </c>
      <c r="AH30" s="7" t="inlineStr">
        <is>
          <t>Distanciel</t>
        </is>
      </c>
      <c r="AI30" s="7" t="inlineStr">
        <is>
          <t>Présentiel</t>
        </is>
      </c>
      <c r="AJ30" s="7" t="inlineStr">
        <is>
          <t>Distanciel</t>
        </is>
      </c>
      <c r="AK30" s="7" t="inlineStr">
        <is>
          <t>Présentiel</t>
        </is>
      </c>
      <c r="AL30" s="7" t="inlineStr">
        <is>
          <t>Distanciel</t>
        </is>
      </c>
      <c r="AM30" s="7" t="inlineStr">
        <is>
          <t>Présentiel</t>
        </is>
      </c>
    </row>
    <row r="31" ht="20.1" customHeight="1" s="62">
      <c r="A31" s="66" t="inlineStr">
        <is>
          <t>Petit (1-20 util.)</t>
        </is>
      </c>
      <c r="B31" s="57" t="inlineStr">
        <is>
          <t>Criticité faible</t>
        </is>
      </c>
      <c r="C31" s="14" t="inlineStr">
        <is>
          <t>Données standard</t>
        </is>
      </c>
      <c r="D31" s="10">
        <f>ROUND($B$4*$B$8*$B$11*$B$15*$B$18*$B$21*$B$23,0)</f>
        <v/>
      </c>
      <c r="E31" s="10">
        <f>ROUND($B$4*$B$8*$B$11*$B$15*$B$18*$B$21*$B$24,0)</f>
        <v/>
      </c>
      <c r="F31" s="10">
        <f>ROUND($B$4*$B$8*$B$11*$B$15*$B$18*$B$22*$B$23,0)</f>
        <v/>
      </c>
      <c r="G31" s="10">
        <f>ROUND($B$4*$B$8*$B$11*$B$15*$B$18*$B$22*$B$24,0)</f>
        <v/>
      </c>
      <c r="H31" s="10">
        <f>ROUND($B$5*$B$8*$B$11*$B$15*$B$18*$B$21*$B$23,0)</f>
        <v/>
      </c>
      <c r="I31" s="10">
        <f>ROUND($B$5*$B$8*$B$11*$B$15*$B$18*$B$21*$B$24,0)</f>
        <v/>
      </c>
      <c r="J31" s="10">
        <f>ROUND($B$5*$B$8*$B$11*$B$15*$B$18*$B$22*$B$23,0)</f>
        <v/>
      </c>
      <c r="K31" s="10">
        <f>ROUND($B$5*$B$8*$B$11*$B$15*$B$18*$B$22*$B$24,0)</f>
        <v/>
      </c>
      <c r="L31" s="10">
        <f>ROUND($B$6*$B$8*$B$11*$B$15*$B$18*$B$21*$B$23,0)</f>
        <v/>
      </c>
      <c r="M31" s="10">
        <f>ROUND($B$6*$B$8*$B$11*$B$15*$B$18*$B$21*$B$24,0)</f>
        <v/>
      </c>
      <c r="N31" s="10">
        <f>ROUND($B$6*$B$8*$B$11*$B$15*$B$18*$B$22*$B$23,0)</f>
        <v/>
      </c>
      <c r="O31" s="10">
        <f>ROUND($B$6*$B$8*$B$11*$B$15*$B$18*$B$22*$B$24,0)</f>
        <v/>
      </c>
      <c r="P31" s="10">
        <f>ROUND($B$4*$B$8*$B$11*$B$15*$B$19*$B$21*$B$23,0)</f>
        <v/>
      </c>
      <c r="Q31" s="10">
        <f>ROUND($B$4*$B$8*$B$11*$B$15*$B$19*$B$21*$B$24,0)</f>
        <v/>
      </c>
      <c r="R31" s="10">
        <f>ROUND($B$4*$B$8*$B$11*$B$15*$B$19*$B$22*$B$23,0)</f>
        <v/>
      </c>
      <c r="S31" s="10">
        <f>ROUND($B$4*$B$8*$B$11*$B$15*$B$19*$B$22*$B$24,0)</f>
        <v/>
      </c>
      <c r="T31" s="10">
        <f>ROUND($B$5*$B$8*$B$11*$B$15*$B$19*$B$21*$B$23,0)</f>
        <v/>
      </c>
      <c r="U31" s="10">
        <f>ROUND($B$5*$B$8*$B$11*$B$15*$B$19*$B$21*$B$24,0)</f>
        <v/>
      </c>
      <c r="V31" s="10">
        <f>ROUND($B$5*$B$8*$B$11*$B$15*$B$19*$B$22*$B$23,0)</f>
        <v/>
      </c>
      <c r="W31" s="10">
        <f>ROUND($B$5*$B$8*$B$11*$B$15*$B$19*$B$22*$B$24,0)</f>
        <v/>
      </c>
      <c r="X31" s="10">
        <f>ROUND($B$6*$B$8*$B$11*$B$15*$B$19*$B$21*$B$23,0)</f>
        <v/>
      </c>
      <c r="Y31" s="10">
        <f>ROUND($B$6*$B$8*$B$11*$B$15*$B$19*$B$21*$B$24,0)</f>
        <v/>
      </c>
      <c r="Z31" s="10">
        <f>ROUND($B$6*$B$8*$B$11*$B$15*$B$19*$B$22*$B$23,0)</f>
        <v/>
      </c>
      <c r="AA31" s="10">
        <f>ROUND($B$6*$B$8*$B$11*$B$15*$B$19*$B$22*$B$24,0)</f>
        <v/>
      </c>
      <c r="AB31" s="10">
        <f>ROUND($B$4*$B$8*$B$11*$B$15*$B$20*$B$21*$B$23,0)</f>
        <v/>
      </c>
      <c r="AC31" s="10">
        <f>ROUND($B$4*$B$8*$B$11*$B$15*$B$20*$B$21*$B$24,0)</f>
        <v/>
      </c>
      <c r="AD31" s="10">
        <f>ROUND($B$4*$B$8*$B$11*$B$15*$B$20*$B$22*$B$23,0)</f>
        <v/>
      </c>
      <c r="AE31" s="10">
        <f>ROUND($B$4*$B$8*$B$11*$B$15*$B$20*$B$22*$B$24,0)</f>
        <v/>
      </c>
      <c r="AF31" s="10">
        <f>ROUND($B$5*$B$8*$B$11*$B$15*$B$20*$B$21*$B$23,0)</f>
        <v/>
      </c>
      <c r="AG31" s="10">
        <f>ROUND($B$5*$B$8*$B$11*$B$15*$B$20*$B$21*$B$24,0)</f>
        <v/>
      </c>
      <c r="AH31" s="10">
        <f>ROUND($B$5*$B$8*$B$11*$B$15*$B$20*$B$22*$B$23,0)</f>
        <v/>
      </c>
      <c r="AI31" s="10">
        <f>ROUND($B$5*$B$8*$B$11*$B$15*$B$20*$B$22*$B$24,0)</f>
        <v/>
      </c>
      <c r="AJ31" s="10">
        <f>ROUND($B$6*$B$8*$B$11*$B$15*$B$20*$B$21*$B$23,0)</f>
        <v/>
      </c>
      <c r="AK31" s="10">
        <f>ROUND($B$6*$B$8*$B$11*$B$15*$B$20*$B$21*$B$24,0)</f>
        <v/>
      </c>
      <c r="AL31" s="10">
        <f>ROUND($B$6*$B$8*$B$11*$B$15*$B$20*$B$22*$B$23,0)</f>
        <v/>
      </c>
      <c r="AM31" s="10">
        <f>ROUND($B$6*$B$8*$B$11*$B$15*$B$20*$B$22*$B$24,0)</f>
        <v/>
      </c>
    </row>
    <row r="32" ht="20.1" customHeight="1" s="62">
      <c r="A32" s="67" t="n"/>
      <c r="B32" s="58" t="n"/>
      <c r="C32" s="57" t="inlineStr">
        <is>
          <t>Données sensibles</t>
        </is>
      </c>
      <c r="D32" s="10">
        <f>ROUND($B$4*$B$8*$B$11*$B$16*$B$18*$B$21*$B$23,0)</f>
        <v/>
      </c>
      <c r="E32" s="10">
        <f>ROUND($B$4*$B$8*$B$11*$B$16*$B$18*$B$21*$B$24,0)</f>
        <v/>
      </c>
      <c r="F32" s="10">
        <f>ROUND($B$4*$B$8*$B$11*$B$16*$B$18*$B$22*$B$23,0)</f>
        <v/>
      </c>
      <c r="G32" s="10">
        <f>ROUND($B$4*$B$8*$B$11*$B$16*$B$18*$B$22*$B$24,0)</f>
        <v/>
      </c>
      <c r="H32" s="10">
        <f>ROUND($B$5*$B$8*$B$11*$B$16*$B$18*$B$21*$B$23,0)</f>
        <v/>
      </c>
      <c r="I32" s="10">
        <f>ROUND($B$5*$B$8*$B$11*$B$16*$B$18*$B$21*$B$24,0)</f>
        <v/>
      </c>
      <c r="J32" s="10">
        <f>ROUND($B$5*$B$8*$B$11*$B$16*$B$18*$B$22*$B$23,0)</f>
        <v/>
      </c>
      <c r="K32" s="10">
        <f>ROUND($B$5*$B$8*$B$11*$B$16*$B$18*$B$22*$B$24,0)</f>
        <v/>
      </c>
      <c r="L32" s="10">
        <f>ROUND($B$6*$B$8*$B$11*$B$16*$B$18*$B$21*$B$23,0)</f>
        <v/>
      </c>
      <c r="M32" s="10">
        <f>ROUND($B$6*$B$8*$B$11*$B$16*$B$18*$B$21*$B$24,0)</f>
        <v/>
      </c>
      <c r="N32" s="10">
        <f>ROUND($B$6*$B$8*$B$11*$B$16*$B$18*$B$22*$B$23,0)</f>
        <v/>
      </c>
      <c r="O32" s="10">
        <f>ROUND($B$6*$B$8*$B$11*$B$16*$B$18*$B$22*$B$24,0)</f>
        <v/>
      </c>
      <c r="P32" s="10">
        <f>ROUND($B$4*$B$8*$B$11*$B$16*$B$19*$B$21*$B$23,0)</f>
        <v/>
      </c>
      <c r="Q32" s="10">
        <f>ROUND($B$4*$B$8*$B$11*$B$16*$B$19*$B$21*$B$24,0)</f>
        <v/>
      </c>
      <c r="R32" s="10">
        <f>ROUND($B$4*$B$8*$B$11*$B$16*$B$19*$B$22*$B$23,0)</f>
        <v/>
      </c>
      <c r="S32" s="10">
        <f>ROUND($B$4*$B$8*$B$11*$B$16*$B$19*$B$22*$B$24,0)</f>
        <v/>
      </c>
      <c r="T32" s="10">
        <f>ROUND($B$5*$B$8*$B$11*$B$16*$B$19*$B$21*$B$23,0)</f>
        <v/>
      </c>
      <c r="U32" s="10">
        <f>ROUND($B$5*$B$8*$B$11*$B$16*$B$19*$B$21*$B$24,0)</f>
        <v/>
      </c>
      <c r="V32" s="10">
        <f>ROUND($B$5*$B$8*$B$11*$B$16*$B$19*$B$22*$B$23,0)</f>
        <v/>
      </c>
      <c r="W32" s="10">
        <f>ROUND($B$5*$B$8*$B$11*$B$16*$B$19*$B$22*$B$24,0)</f>
        <v/>
      </c>
      <c r="X32" s="10">
        <f>ROUND($B$6*$B$8*$B$11*$B$16*$B$19*$B$21*$B$23,0)</f>
        <v/>
      </c>
      <c r="Y32" s="10">
        <f>ROUND($B$6*$B$8*$B$11*$B$16*$B$19*$B$21*$B$24,0)</f>
        <v/>
      </c>
      <c r="Z32" s="10">
        <f>ROUND($B$6*$B$8*$B$11*$B$16*$B$19*$B$22*$B$23,0)</f>
        <v/>
      </c>
      <c r="AA32" s="10">
        <f>ROUND($B$6*$B$8*$B$11*$B$16*$B$19*$B$22*$B$24,0)</f>
        <v/>
      </c>
      <c r="AB32" s="10">
        <f>ROUND($B$4*$B$8*$B$11*$B$16*$B$20*$B$21*$B$23,0)</f>
        <v/>
      </c>
      <c r="AC32" s="10">
        <f>ROUND($B$4*$B$8*$B$11*$B$16*$B$20*$B$21*$B$24,0)</f>
        <v/>
      </c>
      <c r="AD32" s="10">
        <f>ROUND($B$4*$B$8*$B$11*$B$16*$B$20*$B$22*$B$23,0)</f>
        <v/>
      </c>
      <c r="AE32" s="10">
        <f>ROUND($B$4*$B$8*$B$11*$B$16*$B$20*$B$22*$B$24,0)</f>
        <v/>
      </c>
      <c r="AF32" s="10">
        <f>ROUND($B$5*$B$8*$B$11*$B$16*$B$20*$B$21*$B$23,0)</f>
        <v/>
      </c>
      <c r="AG32" s="10">
        <f>ROUND($B$5*$B$8*$B$11*$B$16*$B$20*$B$21*$B$24,0)</f>
        <v/>
      </c>
      <c r="AH32" s="10">
        <f>ROUND($B$5*$B$8*$B$11*$B$16*$B$20*$B$22*$B$23,0)</f>
        <v/>
      </c>
      <c r="AI32" s="10">
        <f>ROUND($B$5*$B$8*$B$11*$B$16*$B$20*$B$22*$B$24,0)</f>
        <v/>
      </c>
      <c r="AJ32" s="10">
        <f>ROUND($B$6*$B$8*$B$11*$B$16*$B$20*$B$21*$B$23,0)</f>
        <v/>
      </c>
      <c r="AK32" s="10">
        <f>ROUND($B$6*$B$8*$B$11*$B$16*$B$20*$B$21*$B$24,0)</f>
        <v/>
      </c>
      <c r="AL32" s="10">
        <f>ROUND($B$6*$B$8*$B$11*$B$16*$B$20*$B$22*$B$23,0)</f>
        <v/>
      </c>
      <c r="AM32" s="10">
        <f>ROUND($B$6*$B$8*$B$11*$B$16*$B$20*$B$22*$B$24,0)</f>
        <v/>
      </c>
    </row>
    <row r="33" ht="20.1" customHeight="1" s="62">
      <c r="A33" s="67" t="n"/>
      <c r="B33" s="59" t="n"/>
      <c r="C33" s="15" t="inlineStr">
        <is>
          <t>Données très sensibles</t>
        </is>
      </c>
      <c r="D33" s="10">
        <f>ROUND($B$4*$B$8*$B$11*$B$17*$B$18*$B$21*$B$23,0)</f>
        <v/>
      </c>
      <c r="E33" s="10">
        <f>ROUND($B$4*$B$8*$B$11*$B$17*$B$18*$B$21*$B$24,0)</f>
        <v/>
      </c>
      <c r="F33" s="10">
        <f>ROUND($B$4*$B$8*$B$11*$B$17*$B$18*$B$22*$B$23,0)</f>
        <v/>
      </c>
      <c r="G33" s="10">
        <f>ROUND($B$4*$B$8*$B$11*$B$17*$B$18*$B$22*$B$24,0)</f>
        <v/>
      </c>
      <c r="H33" s="10">
        <f>ROUND($B$5*$B$8*$B$11*$B$17*$B$18*$B$21*$B$23,0)</f>
        <v/>
      </c>
      <c r="I33" s="10">
        <f>ROUND($B$5*$B$8*$B$11*$B$17*$B$18*$B$21*$B$24,0)</f>
        <v/>
      </c>
      <c r="J33" s="10">
        <f>ROUND($B$5*$B$8*$B$11*$B$17*$B$18*$B$22*$B$23,0)</f>
        <v/>
      </c>
      <c r="K33" s="10">
        <f>ROUND($B$5*$B$8*$B$11*$B$17*$B$18*$B$22*$B$24,0)</f>
        <v/>
      </c>
      <c r="L33" s="10">
        <f>ROUND($B$6*$B$8*$B$11*$B$17*$B$18*$B$21*$B$23,0)</f>
        <v/>
      </c>
      <c r="M33" s="10">
        <f>ROUND($B$6*$B$8*$B$11*$B$17*$B$18*$B$21*$B$24,0)</f>
        <v/>
      </c>
      <c r="N33" s="10">
        <f>ROUND($B$6*$B$8*$B$11*$B$17*$B$18*$B$22*$B$23,0)</f>
        <v/>
      </c>
      <c r="O33" s="10">
        <f>ROUND($B$6*$B$8*$B$11*$B$17*$B$18*$B$22*$B$24,0)</f>
        <v/>
      </c>
      <c r="P33" s="10">
        <f>ROUND($B$4*$B$8*$B$11*$B$17*$B$19*$B$21*$B$23,0)</f>
        <v/>
      </c>
      <c r="Q33" s="10">
        <f>ROUND($B$4*$B$8*$B$11*$B$17*$B$19*$B$21*$B$24,0)</f>
        <v/>
      </c>
      <c r="R33" s="10">
        <f>ROUND($B$4*$B$8*$B$11*$B$17*$B$19*$B$22*$B$23,0)</f>
        <v/>
      </c>
      <c r="S33" s="10">
        <f>ROUND($B$4*$B$8*$B$11*$B$17*$B$19*$B$22*$B$24,0)</f>
        <v/>
      </c>
      <c r="T33" s="10">
        <f>ROUND($B$5*$B$8*$B$11*$B$17*$B$19*$B$21*$B$23,0)</f>
        <v/>
      </c>
      <c r="U33" s="10">
        <f>ROUND($B$5*$B$8*$B$11*$B$17*$B$19*$B$21*$B$24,0)</f>
        <v/>
      </c>
      <c r="V33" s="10">
        <f>ROUND($B$5*$B$8*$B$11*$B$17*$B$19*$B$22*$B$23,0)</f>
        <v/>
      </c>
      <c r="W33" s="10">
        <f>ROUND($B$5*$B$8*$B$11*$B$17*$B$19*$B$22*$B$24,0)</f>
        <v/>
      </c>
      <c r="X33" s="10">
        <f>ROUND($B$6*$B$8*$B$11*$B$17*$B$19*$B$21*$B$23,0)</f>
        <v/>
      </c>
      <c r="Y33" s="10">
        <f>ROUND($B$6*$B$8*$B$11*$B$17*$B$19*$B$21*$B$24,0)</f>
        <v/>
      </c>
      <c r="Z33" s="10">
        <f>ROUND($B$6*$B$8*$B$11*$B$17*$B$19*$B$22*$B$23,0)</f>
        <v/>
      </c>
      <c r="AA33" s="10">
        <f>ROUND($B$6*$B$8*$B$11*$B$17*$B$19*$B$22*$B$24,0)</f>
        <v/>
      </c>
      <c r="AB33" s="10">
        <f>ROUND($B$4*$B$8*$B$11*$B$17*$B$20*$B$21*$B$23,0)</f>
        <v/>
      </c>
      <c r="AC33" s="10">
        <f>ROUND($B$4*$B$8*$B$11*$B$17*$B$20*$B$21*$B$24,0)</f>
        <v/>
      </c>
      <c r="AD33" s="10">
        <f>ROUND($B$4*$B$8*$B$11*$B$17*$B$20*$B$22*$B$23,0)</f>
        <v/>
      </c>
      <c r="AE33" s="10">
        <f>ROUND($B$4*$B$8*$B$11*$B$17*$B$20*$B$22*$B$24,0)</f>
        <v/>
      </c>
      <c r="AF33" s="10">
        <f>ROUND($B$5*$B$8*$B$11*$B$17*$B$20*$B$21*$B$23,0)</f>
        <v/>
      </c>
      <c r="AG33" s="10">
        <f>ROUND($B$5*$B$8*$B$11*$B$17*$B$20*$B$21*$B$24,0)</f>
        <v/>
      </c>
      <c r="AH33" s="10">
        <f>ROUND($B$5*$B$8*$B$11*$B$17*$B$20*$B$22*$B$23,0)</f>
        <v/>
      </c>
      <c r="AI33" s="10">
        <f>ROUND($B$5*$B$8*$B$11*$B$17*$B$20*$B$22*$B$24,0)</f>
        <v/>
      </c>
      <c r="AJ33" s="10">
        <f>ROUND($B$6*$B$8*$B$11*$B$17*$B$20*$B$21*$B$23,0)</f>
        <v/>
      </c>
      <c r="AK33" s="10">
        <f>ROUND($B$6*$B$8*$B$11*$B$17*$B$20*$B$21*$B$24,0)</f>
        <v/>
      </c>
      <c r="AL33" s="10">
        <f>ROUND($B$6*$B$8*$B$11*$B$17*$B$20*$B$22*$B$23,0)</f>
        <v/>
      </c>
      <c r="AM33" s="10">
        <f>ROUND($B$6*$B$8*$B$11*$B$17*$B$20*$B$22*$B$24,0)</f>
        <v/>
      </c>
    </row>
    <row r="34" ht="20.1" customHeight="1" s="62">
      <c r="A34" s="67" t="n"/>
      <c r="B34" s="57" t="inlineStr">
        <is>
          <t>Criticité modérée</t>
        </is>
      </c>
      <c r="C34" s="14" t="inlineStr">
        <is>
          <t>Données standard</t>
        </is>
      </c>
      <c r="D34" s="10">
        <f>ROUND($B$4*$B$8*$B$12*$B$15*$B$18*$B$21*$B$23,0)</f>
        <v/>
      </c>
      <c r="E34" s="10">
        <f>ROUND($B$4*$B$8*$B$12*$B$15*$B$18*$B$21*$B$24,0)</f>
        <v/>
      </c>
      <c r="F34" s="10">
        <f>ROUND($B$4*$B$8*$B$12*$B$15*$B$18*$B$22*$B$23,0)</f>
        <v/>
      </c>
      <c r="G34" s="10">
        <f>ROUND($B$4*$B$8*$B$12*$B$15*$B$18*$B$22*$B$24,0)</f>
        <v/>
      </c>
      <c r="H34" s="10">
        <f>ROUND($B$5*$B$8*$B$12*$B$15*$B$18*$B$21*$B$23,0)</f>
        <v/>
      </c>
      <c r="I34" s="10">
        <f>ROUND($B$5*$B$8*$B$12*$B$15*$B$18*$B$21*$B$24,0)</f>
        <v/>
      </c>
      <c r="J34" s="10">
        <f>ROUND($B$5*$B$8*$B$12*$B$15*$B$18*$B$22*$B$23,0)</f>
        <v/>
      </c>
      <c r="K34" s="10">
        <f>ROUND($B$5*$B$8*$B$12*$B$15*$B$18*$B$22*$B$24,0)</f>
        <v/>
      </c>
      <c r="L34" s="10">
        <f>ROUND($B$6*$B$8*$B$12*$B$15*$B$18*$B$21*$B$23,0)</f>
        <v/>
      </c>
      <c r="M34" s="10">
        <f>ROUND($B$6*$B$8*$B$12*$B$15*$B$18*$B$21*$B$24,0)</f>
        <v/>
      </c>
      <c r="N34" s="10">
        <f>ROUND($B$6*$B$8*$B$12*$B$15*$B$18*$B$22*$B$23,0)</f>
        <v/>
      </c>
      <c r="O34" s="10">
        <f>ROUND($B$6*$B$8*$B$12*$B$15*$B$18*$B$22*$B$24,0)</f>
        <v/>
      </c>
      <c r="P34" s="10">
        <f>ROUND($B$4*$B$8*$B$12*$B$15*$B$19*$B$21*$B$23,0)</f>
        <v/>
      </c>
      <c r="Q34" s="10">
        <f>ROUND($B$4*$B$8*$B$12*$B$15*$B$19*$B$21*$B$24,0)</f>
        <v/>
      </c>
      <c r="R34" s="10">
        <f>ROUND($B$4*$B$8*$B$12*$B$15*$B$19*$B$22*$B$23,0)</f>
        <v/>
      </c>
      <c r="S34" s="10">
        <f>ROUND($B$4*$B$8*$B$12*$B$15*$B$19*$B$22*$B$24,0)</f>
        <v/>
      </c>
      <c r="T34" s="10">
        <f>ROUND($B$5*$B$8*$B$12*$B$15*$B$19*$B$21*$B$23,0)</f>
        <v/>
      </c>
      <c r="U34" s="10">
        <f>ROUND($B$5*$B$8*$B$12*$B$15*$B$19*$B$21*$B$24,0)</f>
        <v/>
      </c>
      <c r="V34" s="10">
        <f>ROUND($B$5*$B$8*$B$12*$B$15*$B$19*$B$22*$B$23,0)</f>
        <v/>
      </c>
      <c r="W34" s="10">
        <f>ROUND($B$5*$B$8*$B$12*$B$15*$B$19*$B$22*$B$24,0)</f>
        <v/>
      </c>
      <c r="X34" s="10">
        <f>ROUND($B$6*$B$8*$B$12*$B$15*$B$19*$B$21*$B$23,0)</f>
        <v/>
      </c>
      <c r="Y34" s="10">
        <f>ROUND($B$6*$B$8*$B$12*$B$15*$B$19*$B$21*$B$24,0)</f>
        <v/>
      </c>
      <c r="Z34" s="10">
        <f>ROUND($B$6*$B$8*$B$12*$B$15*$B$19*$B$22*$B$23,0)</f>
        <v/>
      </c>
      <c r="AA34" s="10">
        <f>ROUND($B$6*$B$8*$B$12*$B$15*$B$19*$B$22*$B$24,0)</f>
        <v/>
      </c>
      <c r="AB34" s="10">
        <f>ROUND($B$4*$B$8*$B$12*$B$15*$B$20*$B$21*$B$23,0)</f>
        <v/>
      </c>
      <c r="AC34" s="10">
        <f>ROUND($B$4*$B$8*$B$12*$B$15*$B$20*$B$21*$B$24,0)</f>
        <v/>
      </c>
      <c r="AD34" s="10">
        <f>ROUND($B$4*$B$8*$B$12*$B$15*$B$20*$B$22*$B$23,0)</f>
        <v/>
      </c>
      <c r="AE34" s="10">
        <f>ROUND($B$4*$B$8*$B$12*$B$15*$B$20*$B$22*$B$24,0)</f>
        <v/>
      </c>
      <c r="AF34" s="10">
        <f>ROUND($B$5*$B$8*$B$12*$B$15*$B$20*$B$21*$B$23,0)</f>
        <v/>
      </c>
      <c r="AG34" s="10">
        <f>ROUND($B$5*$B$8*$B$12*$B$15*$B$20*$B$21*$B$24,0)</f>
        <v/>
      </c>
      <c r="AH34" s="10">
        <f>ROUND($B$5*$B$8*$B$12*$B$15*$B$20*$B$22*$B$23,0)</f>
        <v/>
      </c>
      <c r="AI34" s="10">
        <f>ROUND($B$5*$B$8*$B$12*$B$15*$B$20*$B$22*$B$24,0)</f>
        <v/>
      </c>
      <c r="AJ34" s="10">
        <f>ROUND($B$6*$B$8*$B$12*$B$15*$B$20*$B$21*$B$23,0)</f>
        <v/>
      </c>
      <c r="AK34" s="10">
        <f>ROUND($B$6*$B$8*$B$12*$B$15*$B$20*$B$21*$B$24,0)</f>
        <v/>
      </c>
      <c r="AL34" s="10">
        <f>ROUND($B$6*$B$8*$B$12*$B$15*$B$20*$B$22*$B$23,0)</f>
        <v/>
      </c>
      <c r="AM34" s="10">
        <f>ROUND($B$6*$B$8*$B$12*$B$15*$B$20*$B$22*$B$24,0)</f>
        <v/>
      </c>
    </row>
    <row r="35" ht="20.1" customHeight="1" s="62">
      <c r="A35" s="67" t="n"/>
      <c r="B35" s="58" t="n"/>
      <c r="C35" s="57" t="inlineStr">
        <is>
          <t>Données sensibles</t>
        </is>
      </c>
      <c r="D35" s="10">
        <f>ROUND($B$4*$B$8*$B$12*$B$16*$B$18*$B$21*$B$23,0)</f>
        <v/>
      </c>
      <c r="E35" s="10">
        <f>ROUND($B$4*$B$8*$B$12*$B$16*$B$18*$B$21*$B$24,0)</f>
        <v/>
      </c>
      <c r="F35" s="10">
        <f>ROUND($B$4*$B$8*$B$12*$B$16*$B$18*$B$22*$B$23,0)</f>
        <v/>
      </c>
      <c r="G35" s="10">
        <f>ROUND($B$4*$B$8*$B$12*$B$16*$B$18*$B$22*$B$24,0)</f>
        <v/>
      </c>
      <c r="H35" s="10">
        <f>ROUND($B$5*$B$8*$B$12*$B$16*$B$18*$B$21*$B$23,0)</f>
        <v/>
      </c>
      <c r="I35" s="10">
        <f>ROUND($B$5*$B$8*$B$12*$B$16*$B$18*$B$21*$B$24,0)</f>
        <v/>
      </c>
      <c r="J35" s="10">
        <f>ROUND($B$5*$B$8*$B$12*$B$16*$B$18*$B$22*$B$23,0)</f>
        <v/>
      </c>
      <c r="K35" s="10">
        <f>ROUND($B$5*$B$8*$B$12*$B$16*$B$18*$B$22*$B$24,0)</f>
        <v/>
      </c>
      <c r="L35" s="10">
        <f>ROUND($B$6*$B$8*$B$12*$B$16*$B$18*$B$21*$B$23,0)</f>
        <v/>
      </c>
      <c r="M35" s="10">
        <f>ROUND($B$6*$B$8*$B$12*$B$16*$B$18*$B$21*$B$24,0)</f>
        <v/>
      </c>
      <c r="N35" s="10">
        <f>ROUND($B$6*$B$8*$B$12*$B$16*$B$18*$B$22*$B$23,0)</f>
        <v/>
      </c>
      <c r="O35" s="10">
        <f>ROUND($B$6*$B$8*$B$12*$B$16*$B$18*$B$22*$B$24,0)</f>
        <v/>
      </c>
      <c r="P35" s="10">
        <f>ROUND($B$4*$B$8*$B$12*$B$16*$B$19*$B$21*$B$23,0)</f>
        <v/>
      </c>
      <c r="Q35" s="10">
        <f>ROUND($B$4*$B$8*$B$12*$B$16*$B$19*$B$21*$B$24,0)</f>
        <v/>
      </c>
      <c r="R35" s="10">
        <f>ROUND($B$4*$B$8*$B$12*$B$16*$B$19*$B$22*$B$23,0)</f>
        <v/>
      </c>
      <c r="S35" s="10">
        <f>ROUND($B$4*$B$8*$B$12*$B$16*$B$19*$B$22*$B$24,0)</f>
        <v/>
      </c>
      <c r="T35" s="10">
        <f>ROUND($B$5*$B$8*$B$12*$B$16*$B$19*$B$21*$B$23,0)</f>
        <v/>
      </c>
      <c r="U35" s="10">
        <f>ROUND($B$5*$B$8*$B$12*$B$16*$B$19*$B$21*$B$24,0)</f>
        <v/>
      </c>
      <c r="V35" s="10">
        <f>ROUND($B$5*$B$8*$B$12*$B$16*$B$19*$B$22*$B$23,0)</f>
        <v/>
      </c>
      <c r="W35" s="10">
        <f>ROUND($B$5*$B$8*$B$12*$B$16*$B$19*$B$22*$B$24,0)</f>
        <v/>
      </c>
      <c r="X35" s="10">
        <f>ROUND($B$6*$B$8*$B$12*$B$16*$B$19*$B$21*$B$23,0)</f>
        <v/>
      </c>
      <c r="Y35" s="10">
        <f>ROUND($B$6*$B$8*$B$12*$B$16*$B$19*$B$21*$B$24,0)</f>
        <v/>
      </c>
      <c r="Z35" s="10">
        <f>ROUND($B$6*$B$8*$B$12*$B$16*$B$19*$B$22*$B$23,0)</f>
        <v/>
      </c>
      <c r="AA35" s="10">
        <f>ROUND($B$6*$B$8*$B$12*$B$16*$B$19*$B$22*$B$24,0)</f>
        <v/>
      </c>
      <c r="AB35" s="10">
        <f>ROUND($B$4*$B$8*$B$12*$B$16*$B$20*$B$21*$B$23,0)</f>
        <v/>
      </c>
      <c r="AC35" s="10">
        <f>ROUND($B$4*$B$8*$B$12*$B$16*$B$20*$B$21*$B$24,0)</f>
        <v/>
      </c>
      <c r="AD35" s="10">
        <f>ROUND($B$4*$B$8*$B$12*$B$16*$B$20*$B$22*$B$23,0)</f>
        <v/>
      </c>
      <c r="AE35" s="10">
        <f>ROUND($B$4*$B$8*$B$12*$B$16*$B$20*$B$22*$B$24,0)</f>
        <v/>
      </c>
      <c r="AF35" s="10">
        <f>ROUND($B$5*$B$8*$B$12*$B$16*$B$20*$B$21*$B$23,0)</f>
        <v/>
      </c>
      <c r="AG35" s="10">
        <f>ROUND($B$5*$B$8*$B$12*$B$16*$B$20*$B$21*$B$24,0)</f>
        <v/>
      </c>
      <c r="AH35" s="10">
        <f>ROUND($B$5*$B$8*$B$12*$B$16*$B$20*$B$22*$B$23,0)</f>
        <v/>
      </c>
      <c r="AI35" s="10">
        <f>ROUND($B$5*$B$8*$B$12*$B$16*$B$20*$B$22*$B$24,0)</f>
        <v/>
      </c>
      <c r="AJ35" s="10">
        <f>ROUND($B$6*$B$8*$B$12*$B$16*$B$20*$B$21*$B$23,0)</f>
        <v/>
      </c>
      <c r="AK35" s="10">
        <f>ROUND($B$6*$B$8*$B$12*$B$16*$B$20*$B$21*$B$24,0)</f>
        <v/>
      </c>
      <c r="AL35" s="10">
        <f>ROUND($B$6*$B$8*$B$12*$B$16*$B$20*$B$22*$B$23,0)</f>
        <v/>
      </c>
      <c r="AM35" s="10">
        <f>ROUND($B$6*$B$8*$B$12*$B$16*$B$20*$B$22*$B$24,0)</f>
        <v/>
      </c>
    </row>
    <row r="36" ht="20.1" customHeight="1" s="62">
      <c r="A36" s="67" t="n"/>
      <c r="B36" s="59" t="n"/>
      <c r="C36" s="15" t="inlineStr">
        <is>
          <t>Données très sensibles</t>
        </is>
      </c>
      <c r="D36" s="10">
        <f>ROUND($B$4*$B$8*$B$12*$B$17*$B$18*$B$21*$B$23,0)</f>
        <v/>
      </c>
      <c r="E36" s="10">
        <f>ROUND($B$4*$B$8*$B$12*$B$17*$B$18*$B$21*$B$24,0)</f>
        <v/>
      </c>
      <c r="F36" s="10">
        <f>ROUND($B$4*$B$8*$B$12*$B$17*$B$18*$B$22*$B$23,0)</f>
        <v/>
      </c>
      <c r="G36" s="10">
        <f>ROUND($B$4*$B$8*$B$12*$B$17*$B$18*$B$22*$B$24,0)</f>
        <v/>
      </c>
      <c r="H36" s="10">
        <f>ROUND($B$5*$B$8*$B$12*$B$17*$B$18*$B$21*$B$23,0)</f>
        <v/>
      </c>
      <c r="I36" s="10">
        <f>ROUND($B$5*$B$8*$B$12*$B$17*$B$18*$B$21*$B$24,0)</f>
        <v/>
      </c>
      <c r="J36" s="10">
        <f>ROUND($B$5*$B$8*$B$12*$B$17*$B$18*$B$22*$B$23,0)</f>
        <v/>
      </c>
      <c r="K36" s="10">
        <f>ROUND($B$5*$B$8*$B$12*$B$17*$B$18*$B$22*$B$24,0)</f>
        <v/>
      </c>
      <c r="L36" s="10">
        <f>ROUND($B$6*$B$8*$B$12*$B$17*$B$18*$B$21*$B$23,0)</f>
        <v/>
      </c>
      <c r="M36" s="10">
        <f>ROUND($B$6*$B$8*$B$12*$B$17*$B$18*$B$21*$B$24,0)</f>
        <v/>
      </c>
      <c r="N36" s="10">
        <f>ROUND($B$6*$B$8*$B$12*$B$17*$B$18*$B$22*$B$23,0)</f>
        <v/>
      </c>
      <c r="O36" s="10">
        <f>ROUND($B$6*$B$8*$B$12*$B$17*$B$18*$B$22*$B$24,0)</f>
        <v/>
      </c>
      <c r="P36" s="10">
        <f>ROUND($B$4*$B$8*$B$12*$B$17*$B$19*$B$21*$B$23,0)</f>
        <v/>
      </c>
      <c r="Q36" s="10">
        <f>ROUND($B$4*$B$8*$B$12*$B$17*$B$19*$B$21*$B$24,0)</f>
        <v/>
      </c>
      <c r="R36" s="10">
        <f>ROUND($B$4*$B$8*$B$12*$B$17*$B$19*$B$22*$B$23,0)</f>
        <v/>
      </c>
      <c r="S36" s="10">
        <f>ROUND($B$4*$B$8*$B$12*$B$17*$B$19*$B$22*$B$24,0)</f>
        <v/>
      </c>
      <c r="T36" s="10">
        <f>ROUND($B$5*$B$8*$B$12*$B$17*$B$19*$B$21*$B$23,0)</f>
        <v/>
      </c>
      <c r="U36" s="10">
        <f>ROUND($B$5*$B$8*$B$12*$B$17*$B$19*$B$21*$B$24,0)</f>
        <v/>
      </c>
      <c r="V36" s="10">
        <f>ROUND($B$5*$B$8*$B$12*$B$17*$B$19*$B$22*$B$23,0)</f>
        <v/>
      </c>
      <c r="W36" s="10">
        <f>ROUND($B$5*$B$8*$B$12*$B$17*$B$19*$B$22*$B$24,0)</f>
        <v/>
      </c>
      <c r="X36" s="10">
        <f>ROUND($B$6*$B$8*$B$12*$B$17*$B$19*$B$21*$B$23,0)</f>
        <v/>
      </c>
      <c r="Y36" s="10">
        <f>ROUND($B$6*$B$8*$B$12*$B$17*$B$19*$B$21*$B$24,0)</f>
        <v/>
      </c>
      <c r="Z36" s="10">
        <f>ROUND($B$6*$B$8*$B$12*$B$17*$B$19*$B$22*$B$23,0)</f>
        <v/>
      </c>
      <c r="AA36" s="10">
        <f>ROUND($B$6*$B$8*$B$12*$B$17*$B$19*$B$22*$B$24,0)</f>
        <v/>
      </c>
      <c r="AB36" s="10">
        <f>ROUND($B$4*$B$8*$B$12*$B$17*$B$20*$B$21*$B$23,0)</f>
        <v/>
      </c>
      <c r="AC36" s="10">
        <f>ROUND($B$4*$B$8*$B$12*$B$17*$B$20*$B$21*$B$24,0)</f>
        <v/>
      </c>
      <c r="AD36" s="10">
        <f>ROUND($B$4*$B$8*$B$12*$B$17*$B$20*$B$22*$B$23,0)</f>
        <v/>
      </c>
      <c r="AE36" s="10">
        <f>ROUND($B$4*$B$8*$B$12*$B$17*$B$20*$B$22*$B$24,0)</f>
        <v/>
      </c>
      <c r="AF36" s="10">
        <f>ROUND($B$5*$B$8*$B$12*$B$17*$B$20*$B$21*$B$23,0)</f>
        <v/>
      </c>
      <c r="AG36" s="10">
        <f>ROUND($B$5*$B$8*$B$12*$B$17*$B$20*$B$21*$B$24,0)</f>
        <v/>
      </c>
      <c r="AH36" s="10">
        <f>ROUND($B$5*$B$8*$B$12*$B$17*$B$20*$B$22*$B$23,0)</f>
        <v/>
      </c>
      <c r="AI36" s="10">
        <f>ROUND($B$5*$B$8*$B$12*$B$17*$B$20*$B$22*$B$24,0)</f>
        <v/>
      </c>
      <c r="AJ36" s="10">
        <f>ROUND($B$6*$B$8*$B$12*$B$17*$B$20*$B$21*$B$23,0)</f>
        <v/>
      </c>
      <c r="AK36" s="10">
        <f>ROUND($B$6*$B$8*$B$12*$B$17*$B$20*$B$21*$B$24,0)</f>
        <v/>
      </c>
      <c r="AL36" s="10">
        <f>ROUND($B$6*$B$8*$B$12*$B$17*$B$20*$B$22*$B$23,0)</f>
        <v/>
      </c>
      <c r="AM36" s="10">
        <f>ROUND($B$6*$B$8*$B$12*$B$17*$B$20*$B$22*$B$24,0)</f>
        <v/>
      </c>
    </row>
    <row r="37" ht="20.1" customHeight="1" s="62">
      <c r="A37" s="67" t="n"/>
      <c r="B37" s="57" t="inlineStr">
        <is>
          <t>Criticité élevée</t>
        </is>
      </c>
      <c r="C37" s="14" t="inlineStr">
        <is>
          <t>Données standard</t>
        </is>
      </c>
      <c r="D37" s="10">
        <f>ROUND($B$4*$B$8*$B$13*$B$15*$B$18*$B$21*$B$23,0)</f>
        <v/>
      </c>
      <c r="E37" s="10">
        <f>ROUND($B$4*$B$8*$B$13*$B$15*$B$18*$B$21*$B$24,0)</f>
        <v/>
      </c>
      <c r="F37" s="10">
        <f>ROUND($B$4*$B$8*$B$13*$B$15*$B$18*$B$22*$B$23,0)</f>
        <v/>
      </c>
      <c r="G37" s="10">
        <f>ROUND($B$4*$B$8*$B$13*$B$15*$B$18*$B$22*$B$24,0)</f>
        <v/>
      </c>
      <c r="H37" s="10">
        <f>ROUND($B$5*$B$8*$B$13*$B$15*$B$18*$B$21*$B$23,0)</f>
        <v/>
      </c>
      <c r="I37" s="10">
        <f>ROUND($B$5*$B$8*$B$13*$B$15*$B$18*$B$21*$B$24,0)</f>
        <v/>
      </c>
      <c r="J37" s="10">
        <f>ROUND($B$5*$B$8*$B$13*$B$15*$B$18*$B$22*$B$23,0)</f>
        <v/>
      </c>
      <c r="K37" s="10">
        <f>ROUND($B$5*$B$8*$B$13*$B$15*$B$18*$B$22*$B$24,0)</f>
        <v/>
      </c>
      <c r="L37" s="10">
        <f>ROUND($B$6*$B$8*$B$13*$B$15*$B$18*$B$21*$B$23,0)</f>
        <v/>
      </c>
      <c r="M37" s="10">
        <f>ROUND($B$6*$B$8*$B$13*$B$15*$B$18*$B$21*$B$24,0)</f>
        <v/>
      </c>
      <c r="N37" s="10">
        <f>ROUND($B$6*$B$8*$B$13*$B$15*$B$18*$B$22*$B$23,0)</f>
        <v/>
      </c>
      <c r="O37" s="10">
        <f>ROUND($B$6*$B$8*$B$13*$B$15*$B$18*$B$22*$B$24,0)</f>
        <v/>
      </c>
      <c r="P37" s="10">
        <f>ROUND($B$4*$B$8*$B$13*$B$15*$B$19*$B$21*$B$23,0)</f>
        <v/>
      </c>
      <c r="Q37" s="10">
        <f>ROUND($B$4*$B$8*$B$13*$B$15*$B$19*$B$21*$B$24,0)</f>
        <v/>
      </c>
      <c r="R37" s="10">
        <f>ROUND($B$4*$B$8*$B$13*$B$15*$B$19*$B$22*$B$23,0)</f>
        <v/>
      </c>
      <c r="S37" s="10">
        <f>ROUND($B$4*$B$8*$B$13*$B$15*$B$19*$B$22*$B$24,0)</f>
        <v/>
      </c>
      <c r="T37" s="10">
        <f>ROUND($B$5*$B$8*$B$13*$B$15*$B$19*$B$21*$B$23,0)</f>
        <v/>
      </c>
      <c r="U37" s="10">
        <f>ROUND($B$5*$B$8*$B$13*$B$15*$B$19*$B$21*$B$24,0)</f>
        <v/>
      </c>
      <c r="V37" s="10">
        <f>ROUND($B$5*$B$8*$B$13*$B$15*$B$19*$B$22*$B$23,0)</f>
        <v/>
      </c>
      <c r="W37" s="10">
        <f>ROUND($B$5*$B$8*$B$13*$B$15*$B$19*$B$22*$B$24,0)</f>
        <v/>
      </c>
      <c r="X37" s="10">
        <f>ROUND($B$6*$B$8*$B$13*$B$15*$B$19*$B$21*$B$23,0)</f>
        <v/>
      </c>
      <c r="Y37" s="10">
        <f>ROUND($B$6*$B$8*$B$13*$B$15*$B$19*$B$21*$B$24,0)</f>
        <v/>
      </c>
      <c r="Z37" s="10">
        <f>ROUND($B$6*$B$8*$B$13*$B$15*$B$19*$B$22*$B$23,0)</f>
        <v/>
      </c>
      <c r="AA37" s="10">
        <f>ROUND($B$6*$B$8*$B$13*$B$15*$B$19*$B$22*$B$24,0)</f>
        <v/>
      </c>
      <c r="AB37" s="10">
        <f>ROUND($B$4*$B$8*$B$13*$B$15*$B$20*$B$21*$B$23,0)</f>
        <v/>
      </c>
      <c r="AC37" s="10">
        <f>ROUND($B$4*$B$8*$B$13*$B$15*$B$20*$B$21*$B$24,0)</f>
        <v/>
      </c>
      <c r="AD37" s="10">
        <f>ROUND($B$4*$B$8*$B$13*$B$15*$B$20*$B$22*$B$23,0)</f>
        <v/>
      </c>
      <c r="AE37" s="10">
        <f>ROUND($B$4*$B$8*$B$13*$B$15*$B$20*$B$22*$B$24,0)</f>
        <v/>
      </c>
      <c r="AF37" s="10">
        <f>ROUND($B$5*$B$8*$B$13*$B$15*$B$20*$B$21*$B$23,0)</f>
        <v/>
      </c>
      <c r="AG37" s="10">
        <f>ROUND($B$5*$B$8*$B$13*$B$15*$B$20*$B$21*$B$24,0)</f>
        <v/>
      </c>
      <c r="AH37" s="10">
        <f>ROUND($B$5*$B$8*$B$13*$B$15*$B$20*$B$22*$B$23,0)</f>
        <v/>
      </c>
      <c r="AI37" s="10">
        <f>ROUND($B$5*$B$8*$B$13*$B$15*$B$20*$B$22*$B$24,0)</f>
        <v/>
      </c>
      <c r="AJ37" s="10">
        <f>ROUND($B$6*$B$8*$B$13*$B$15*$B$20*$B$21*$B$23,0)</f>
        <v/>
      </c>
      <c r="AK37" s="10">
        <f>ROUND($B$6*$B$8*$B$13*$B$15*$B$20*$B$21*$B$24,0)</f>
        <v/>
      </c>
      <c r="AL37" s="10">
        <f>ROUND($B$6*$B$8*$B$13*$B$15*$B$20*$B$22*$B$23,0)</f>
        <v/>
      </c>
      <c r="AM37" s="10">
        <f>ROUND($B$6*$B$8*$B$13*$B$15*$B$20*$B$22*$B$24,0)</f>
        <v/>
      </c>
    </row>
    <row r="38" ht="20.1" customHeight="1" s="62">
      <c r="A38" s="67" t="n"/>
      <c r="B38" s="58" t="n"/>
      <c r="C38" s="57" t="inlineStr">
        <is>
          <t>Données sensibles</t>
        </is>
      </c>
      <c r="D38" s="10">
        <f>ROUND($B$4*$B$8*$B$13*$B$16*$B$18*$B$21*$B$23,0)</f>
        <v/>
      </c>
      <c r="E38" s="10">
        <f>ROUND($B$4*$B$8*$B$13*$B$16*$B$18*$B$21*$B$24,0)</f>
        <v/>
      </c>
      <c r="F38" s="10">
        <f>ROUND($B$4*$B$8*$B$13*$B$16*$B$18*$B$22*$B$23,0)</f>
        <v/>
      </c>
      <c r="G38" s="10">
        <f>ROUND($B$4*$B$8*$B$13*$B$16*$B$18*$B$22*$B$24,0)</f>
        <v/>
      </c>
      <c r="H38" s="10">
        <f>ROUND($B$5*$B$8*$B$13*$B$16*$B$18*$B$21*$B$23,0)</f>
        <v/>
      </c>
      <c r="I38" s="10">
        <f>ROUND($B$5*$B$8*$B$13*$B$16*$B$18*$B$21*$B$24,0)</f>
        <v/>
      </c>
      <c r="J38" s="10">
        <f>ROUND($B$5*$B$8*$B$13*$B$16*$B$18*$B$22*$B$23,0)</f>
        <v/>
      </c>
      <c r="K38" s="10">
        <f>ROUND($B$5*$B$8*$B$13*$B$16*$B$18*$B$22*$B$24,0)</f>
        <v/>
      </c>
      <c r="L38" s="10">
        <f>ROUND($B$6*$B$8*$B$13*$B$16*$B$18*$B$21*$B$23,0)</f>
        <v/>
      </c>
      <c r="M38" s="10">
        <f>ROUND($B$6*$B$8*$B$13*$B$16*$B$18*$B$21*$B$24,0)</f>
        <v/>
      </c>
      <c r="N38" s="10">
        <f>ROUND($B$6*$B$8*$B$13*$B$16*$B$18*$B$22*$B$23,0)</f>
        <v/>
      </c>
      <c r="O38" s="10">
        <f>ROUND($B$6*$B$8*$B$13*$B$16*$B$18*$B$22*$B$24,0)</f>
        <v/>
      </c>
      <c r="P38" s="10">
        <f>ROUND($B$4*$B$8*$B$13*$B$16*$B$19*$B$21*$B$23,0)</f>
        <v/>
      </c>
      <c r="Q38" s="10">
        <f>ROUND($B$4*$B$8*$B$13*$B$16*$B$19*$B$21*$B$24,0)</f>
        <v/>
      </c>
      <c r="R38" s="10">
        <f>ROUND($B$4*$B$8*$B$13*$B$16*$B$19*$B$22*$B$23,0)</f>
        <v/>
      </c>
      <c r="S38" s="10">
        <f>ROUND($B$4*$B$8*$B$13*$B$16*$B$19*$B$22*$B$24,0)</f>
        <v/>
      </c>
      <c r="T38" s="10">
        <f>ROUND($B$5*$B$8*$B$13*$B$16*$B$19*$B$21*$B$23,0)</f>
        <v/>
      </c>
      <c r="U38" s="10">
        <f>ROUND($B$5*$B$8*$B$13*$B$16*$B$19*$B$21*$B$24,0)</f>
        <v/>
      </c>
      <c r="V38" s="10">
        <f>ROUND($B$5*$B$8*$B$13*$B$16*$B$19*$B$22*$B$23,0)</f>
        <v/>
      </c>
      <c r="W38" s="10">
        <f>ROUND($B$5*$B$8*$B$13*$B$16*$B$19*$B$22*$B$24,0)</f>
        <v/>
      </c>
      <c r="X38" s="10">
        <f>ROUND($B$6*$B$8*$B$13*$B$16*$B$19*$B$21*$B$23,0)</f>
        <v/>
      </c>
      <c r="Y38" s="10">
        <f>ROUND($B$6*$B$8*$B$13*$B$16*$B$19*$B$21*$B$24,0)</f>
        <v/>
      </c>
      <c r="Z38" s="10">
        <f>ROUND($B$6*$B$8*$B$13*$B$16*$B$19*$B$22*$B$23,0)</f>
        <v/>
      </c>
      <c r="AA38" s="10">
        <f>ROUND($B$6*$B$8*$B$13*$B$16*$B$19*$B$22*$B$24,0)</f>
        <v/>
      </c>
      <c r="AB38" s="10">
        <f>ROUND($B$4*$B$8*$B$13*$B$16*$B$20*$B$21*$B$23,0)</f>
        <v/>
      </c>
      <c r="AC38" s="10">
        <f>ROUND($B$4*$B$8*$B$13*$B$16*$B$20*$B$21*$B$24,0)</f>
        <v/>
      </c>
      <c r="AD38" s="10">
        <f>ROUND($B$4*$B$8*$B$13*$B$16*$B$20*$B$22*$B$23,0)</f>
        <v/>
      </c>
      <c r="AE38" s="10">
        <f>ROUND($B$4*$B$8*$B$13*$B$16*$B$20*$B$22*$B$24,0)</f>
        <v/>
      </c>
      <c r="AF38" s="10">
        <f>ROUND($B$5*$B$8*$B$13*$B$16*$B$20*$B$21*$B$23,0)</f>
        <v/>
      </c>
      <c r="AG38" s="10">
        <f>ROUND($B$5*$B$8*$B$13*$B$16*$B$20*$B$21*$B$24,0)</f>
        <v/>
      </c>
      <c r="AH38" s="10">
        <f>ROUND($B$5*$B$8*$B$13*$B$16*$B$20*$B$22*$B$23,0)</f>
        <v/>
      </c>
      <c r="AI38" s="10">
        <f>ROUND($B$5*$B$8*$B$13*$B$16*$B$20*$B$22*$B$24,0)</f>
        <v/>
      </c>
      <c r="AJ38" s="10">
        <f>ROUND($B$6*$B$8*$B$13*$B$16*$B$20*$B$21*$B$23,0)</f>
        <v/>
      </c>
      <c r="AK38" s="10">
        <f>ROUND($B$6*$B$8*$B$13*$B$16*$B$20*$B$21*$B$24,0)</f>
        <v/>
      </c>
      <c r="AL38" s="10">
        <f>ROUND($B$6*$B$8*$B$13*$B$16*$B$20*$B$22*$B$23,0)</f>
        <v/>
      </c>
      <c r="AM38" s="10">
        <f>ROUND($B$6*$B$8*$B$13*$B$16*$B$20*$B$22*$B$24,0)</f>
        <v/>
      </c>
    </row>
    <row r="39" ht="20.1" customHeight="1" s="62">
      <c r="A39" s="67" t="n"/>
      <c r="B39" s="59" t="n"/>
      <c r="C39" s="15" t="inlineStr">
        <is>
          <t>Données très sensibles</t>
        </is>
      </c>
      <c r="D39" s="10">
        <f>ROUND($B$4*$B$8*$B$13*$B$17*$B$18*$B$21*$B$23,0)</f>
        <v/>
      </c>
      <c r="E39" s="10">
        <f>ROUND($B$4*$B$8*$B$13*$B$17*$B$18*$B$21*$B$24,0)</f>
        <v/>
      </c>
      <c r="F39" s="10">
        <f>ROUND($B$4*$B$8*$B$13*$B$17*$B$18*$B$22*$B$23,0)</f>
        <v/>
      </c>
      <c r="G39" s="10">
        <f>ROUND($B$4*$B$8*$B$13*$B$17*$B$18*$B$22*$B$24,0)</f>
        <v/>
      </c>
      <c r="H39" s="10">
        <f>ROUND($B$5*$B$8*$B$13*$B$17*$B$18*$B$21*$B$23,0)</f>
        <v/>
      </c>
      <c r="I39" s="10">
        <f>ROUND($B$5*$B$8*$B$13*$B$17*$B$18*$B$21*$B$24,0)</f>
        <v/>
      </c>
      <c r="J39" s="10">
        <f>ROUND($B$5*$B$8*$B$13*$B$17*$B$18*$B$22*$B$23,0)</f>
        <v/>
      </c>
      <c r="K39" s="10">
        <f>ROUND($B$5*$B$8*$B$13*$B$17*$B$18*$B$22*$B$24,0)</f>
        <v/>
      </c>
      <c r="L39" s="10">
        <f>ROUND($B$6*$B$8*$B$13*$B$17*$B$18*$B$21*$B$23,0)</f>
        <v/>
      </c>
      <c r="M39" s="10">
        <f>ROUND($B$6*$B$8*$B$13*$B$17*$B$18*$B$21*$B$24,0)</f>
        <v/>
      </c>
      <c r="N39" s="10">
        <f>ROUND($B$6*$B$8*$B$13*$B$17*$B$18*$B$22*$B$23,0)</f>
        <v/>
      </c>
      <c r="O39" s="10">
        <f>ROUND($B$6*$B$8*$B$13*$B$17*$B$18*$B$22*$B$24,0)</f>
        <v/>
      </c>
      <c r="P39" s="10">
        <f>ROUND($B$4*$B$8*$B$13*$B$17*$B$19*$B$21*$B$23,0)</f>
        <v/>
      </c>
      <c r="Q39" s="10">
        <f>ROUND($B$4*$B$8*$B$13*$B$17*$B$19*$B$21*$B$24,0)</f>
        <v/>
      </c>
      <c r="R39" s="10">
        <f>ROUND($B$4*$B$8*$B$13*$B$17*$B$19*$B$22*$B$23,0)</f>
        <v/>
      </c>
      <c r="S39" s="10">
        <f>ROUND($B$4*$B$8*$B$13*$B$17*$B$19*$B$22*$B$24,0)</f>
        <v/>
      </c>
      <c r="T39" s="10">
        <f>ROUND($B$5*$B$8*$B$13*$B$17*$B$19*$B$21*$B$23,0)</f>
        <v/>
      </c>
      <c r="U39" s="10">
        <f>ROUND($B$5*$B$8*$B$13*$B$17*$B$19*$B$21*$B$24,0)</f>
        <v/>
      </c>
      <c r="V39" s="10">
        <f>ROUND($B$5*$B$8*$B$13*$B$17*$B$19*$B$22*$B$23,0)</f>
        <v/>
      </c>
      <c r="W39" s="10">
        <f>ROUND($B$5*$B$8*$B$13*$B$17*$B$19*$B$22*$B$24,0)</f>
        <v/>
      </c>
      <c r="X39" s="10">
        <f>ROUND($B$6*$B$8*$B$13*$B$17*$B$19*$B$21*$B$23,0)</f>
        <v/>
      </c>
      <c r="Y39" s="10">
        <f>ROUND($B$6*$B$8*$B$13*$B$17*$B$19*$B$21*$B$24,0)</f>
        <v/>
      </c>
      <c r="Z39" s="10">
        <f>ROUND($B$6*$B$8*$B$13*$B$17*$B$19*$B$22*$B$23,0)</f>
        <v/>
      </c>
      <c r="AA39" s="10">
        <f>ROUND($B$6*$B$8*$B$13*$B$17*$B$19*$B$22*$B$24,0)</f>
        <v/>
      </c>
      <c r="AB39" s="10">
        <f>ROUND($B$4*$B$8*$B$13*$B$17*$B$20*$B$21*$B$23,0)</f>
        <v/>
      </c>
      <c r="AC39" s="10">
        <f>ROUND($B$4*$B$8*$B$13*$B$17*$B$20*$B$21*$B$24,0)</f>
        <v/>
      </c>
      <c r="AD39" s="10">
        <f>ROUND($B$4*$B$8*$B$13*$B$17*$B$20*$B$22*$B$23,0)</f>
        <v/>
      </c>
      <c r="AE39" s="10">
        <f>ROUND($B$4*$B$8*$B$13*$B$17*$B$20*$B$22*$B$24,0)</f>
        <v/>
      </c>
      <c r="AF39" s="10">
        <f>ROUND($B$5*$B$8*$B$13*$B$17*$B$20*$B$21*$B$23,0)</f>
        <v/>
      </c>
      <c r="AG39" s="10">
        <f>ROUND($B$5*$B$8*$B$13*$B$17*$B$20*$B$21*$B$24,0)</f>
        <v/>
      </c>
      <c r="AH39" s="10">
        <f>ROUND($B$5*$B$8*$B$13*$B$17*$B$20*$B$22*$B$23,0)</f>
        <v/>
      </c>
      <c r="AI39" s="10">
        <f>ROUND($B$5*$B$8*$B$13*$B$17*$B$20*$B$22*$B$24,0)</f>
        <v/>
      </c>
      <c r="AJ39" s="10">
        <f>ROUND($B$6*$B$8*$B$13*$B$17*$B$20*$B$21*$B$23,0)</f>
        <v/>
      </c>
      <c r="AK39" s="10">
        <f>ROUND($B$6*$B$8*$B$13*$B$17*$B$20*$B$21*$B$24,0)</f>
        <v/>
      </c>
      <c r="AL39" s="10">
        <f>ROUND($B$6*$B$8*$B$13*$B$17*$B$20*$B$22*$B$23,0)</f>
        <v/>
      </c>
      <c r="AM39" s="10">
        <f>ROUND($B$6*$B$8*$B$13*$B$17*$B$20*$B$22*$B$24,0)</f>
        <v/>
      </c>
    </row>
    <row r="40" ht="20.1" customHeight="1" s="62">
      <c r="A40" s="67" t="n"/>
      <c r="B40" s="57" t="inlineStr">
        <is>
          <t>Criticité critique</t>
        </is>
      </c>
      <c r="C40" s="14" t="inlineStr">
        <is>
          <t>Données standard</t>
        </is>
      </c>
      <c r="D40" s="10">
        <f>ROUND($B$4*$B$8*$B$14*$B$15*$B$18*$B$21*$B$23,0)</f>
        <v/>
      </c>
      <c r="E40" s="10">
        <f>ROUND($B$4*$B$8*$B$14*$B$15*$B$18*$B$21*$B$24,0)</f>
        <v/>
      </c>
      <c r="F40" s="10">
        <f>ROUND($B$4*$B$8*$B$14*$B$15*$B$18*$B$22*$B$23,0)</f>
        <v/>
      </c>
      <c r="G40" s="10">
        <f>ROUND($B$4*$B$8*$B$14*$B$15*$B$18*$B$22*$B$24,0)</f>
        <v/>
      </c>
      <c r="H40" s="10">
        <f>ROUND($B$5*$B$8*$B$14*$B$15*$B$18*$B$21*$B$23,0)</f>
        <v/>
      </c>
      <c r="I40" s="10">
        <f>ROUND($B$5*$B$8*$B$14*$B$15*$B$18*$B$21*$B$24,0)</f>
        <v/>
      </c>
      <c r="J40" s="10">
        <f>ROUND($B$5*$B$8*$B$14*$B$15*$B$18*$B$22*$B$23,0)</f>
        <v/>
      </c>
      <c r="K40" s="10">
        <f>ROUND($B$5*$B$8*$B$14*$B$15*$B$18*$B$22*$B$24,0)</f>
        <v/>
      </c>
      <c r="L40" s="10">
        <f>ROUND($B$6*$B$8*$B$14*$B$15*$B$18*$B$21*$B$23,0)</f>
        <v/>
      </c>
      <c r="M40" s="10">
        <f>ROUND($B$6*$B$8*$B$14*$B$15*$B$18*$B$21*$B$24,0)</f>
        <v/>
      </c>
      <c r="N40" s="10">
        <f>ROUND($B$6*$B$8*$B$14*$B$15*$B$18*$B$22*$B$23,0)</f>
        <v/>
      </c>
      <c r="O40" s="10">
        <f>ROUND($B$6*$B$8*$B$14*$B$15*$B$18*$B$22*$B$24,0)</f>
        <v/>
      </c>
      <c r="P40" s="10">
        <f>ROUND($B$4*$B$8*$B$14*$B$15*$B$19*$B$21*$B$23,0)</f>
        <v/>
      </c>
      <c r="Q40" s="10">
        <f>ROUND($B$4*$B$8*$B$14*$B$15*$B$19*$B$21*$B$24,0)</f>
        <v/>
      </c>
      <c r="R40" s="10">
        <f>ROUND($B$4*$B$8*$B$14*$B$15*$B$19*$B$22*$B$23,0)</f>
        <v/>
      </c>
      <c r="S40" s="10">
        <f>ROUND($B$4*$B$8*$B$14*$B$15*$B$19*$B$22*$B$24,0)</f>
        <v/>
      </c>
      <c r="T40" s="10">
        <f>ROUND($B$5*$B$8*$B$14*$B$15*$B$19*$B$21*$B$23,0)</f>
        <v/>
      </c>
      <c r="U40" s="10">
        <f>ROUND($B$5*$B$8*$B$14*$B$15*$B$19*$B$21*$B$24,0)</f>
        <v/>
      </c>
      <c r="V40" s="10">
        <f>ROUND($B$5*$B$8*$B$14*$B$15*$B$19*$B$22*$B$23,0)</f>
        <v/>
      </c>
      <c r="W40" s="10">
        <f>ROUND($B$5*$B$8*$B$14*$B$15*$B$19*$B$22*$B$24,0)</f>
        <v/>
      </c>
      <c r="X40" s="10">
        <f>ROUND($B$6*$B$8*$B$14*$B$15*$B$19*$B$21*$B$23,0)</f>
        <v/>
      </c>
      <c r="Y40" s="10">
        <f>ROUND($B$6*$B$8*$B$14*$B$15*$B$19*$B$21*$B$24,0)</f>
        <v/>
      </c>
      <c r="Z40" s="10">
        <f>ROUND($B$6*$B$8*$B$14*$B$15*$B$19*$B$22*$B$23,0)</f>
        <v/>
      </c>
      <c r="AA40" s="10">
        <f>ROUND($B$6*$B$8*$B$14*$B$15*$B$19*$B$22*$B$24,0)</f>
        <v/>
      </c>
      <c r="AB40" s="10">
        <f>ROUND($B$4*$B$8*$B$14*$B$15*$B$20*$B$21*$B$23,0)</f>
        <v/>
      </c>
      <c r="AC40" s="10">
        <f>ROUND($B$4*$B$8*$B$14*$B$15*$B$20*$B$21*$B$24,0)</f>
        <v/>
      </c>
      <c r="AD40" s="10">
        <f>ROUND($B$4*$B$8*$B$14*$B$15*$B$20*$B$22*$B$23,0)</f>
        <v/>
      </c>
      <c r="AE40" s="10">
        <f>ROUND($B$4*$B$8*$B$14*$B$15*$B$20*$B$22*$B$24,0)</f>
        <v/>
      </c>
      <c r="AF40" s="10">
        <f>ROUND($B$5*$B$8*$B$14*$B$15*$B$20*$B$21*$B$23,0)</f>
        <v/>
      </c>
      <c r="AG40" s="10">
        <f>ROUND($B$5*$B$8*$B$14*$B$15*$B$20*$B$21*$B$24,0)</f>
        <v/>
      </c>
      <c r="AH40" s="10">
        <f>ROUND($B$5*$B$8*$B$14*$B$15*$B$20*$B$22*$B$23,0)</f>
        <v/>
      </c>
      <c r="AI40" s="10">
        <f>ROUND($B$5*$B$8*$B$14*$B$15*$B$20*$B$22*$B$24,0)</f>
        <v/>
      </c>
      <c r="AJ40" s="10">
        <f>ROUND($B$6*$B$8*$B$14*$B$15*$B$20*$B$21*$B$23,0)</f>
        <v/>
      </c>
      <c r="AK40" s="10">
        <f>ROUND($B$6*$B$8*$B$14*$B$15*$B$20*$B$21*$B$24,0)</f>
        <v/>
      </c>
      <c r="AL40" s="10">
        <f>ROUND($B$6*$B$8*$B$14*$B$15*$B$20*$B$22*$B$23,0)</f>
        <v/>
      </c>
      <c r="AM40" s="10">
        <f>ROUND($B$6*$B$8*$B$14*$B$15*$B$20*$B$22*$B$24,0)</f>
        <v/>
      </c>
    </row>
    <row r="41" ht="20.1" customHeight="1" s="62">
      <c r="A41" s="67" t="n"/>
      <c r="B41" s="58" t="n"/>
      <c r="C41" s="57" t="inlineStr">
        <is>
          <t>Données sensibles</t>
        </is>
      </c>
      <c r="D41" s="10">
        <f>ROUND($B$4*$B$8*$B$14*$B$16*$B$18*$B$21*$B$23,0)</f>
        <v/>
      </c>
      <c r="E41" s="10">
        <f>ROUND($B$4*$B$8*$B$14*$B$16*$B$18*$B$21*$B$24,0)</f>
        <v/>
      </c>
      <c r="F41" s="10">
        <f>ROUND($B$4*$B$8*$B$14*$B$16*$B$18*$B$22*$B$23,0)</f>
        <v/>
      </c>
      <c r="G41" s="10">
        <f>ROUND($B$4*$B$8*$B$14*$B$16*$B$18*$B$22*$B$24,0)</f>
        <v/>
      </c>
      <c r="H41" s="10">
        <f>ROUND($B$5*$B$8*$B$14*$B$16*$B$18*$B$21*$B$23,0)</f>
        <v/>
      </c>
      <c r="I41" s="10">
        <f>ROUND($B$5*$B$8*$B$14*$B$16*$B$18*$B$21*$B$24,0)</f>
        <v/>
      </c>
      <c r="J41" s="10">
        <f>ROUND($B$5*$B$8*$B$14*$B$16*$B$18*$B$22*$B$23,0)</f>
        <v/>
      </c>
      <c r="K41" s="10">
        <f>ROUND($B$5*$B$8*$B$14*$B$16*$B$18*$B$22*$B$24,0)</f>
        <v/>
      </c>
      <c r="L41" s="10">
        <f>ROUND($B$6*$B$8*$B$14*$B$16*$B$18*$B$21*$B$23,0)</f>
        <v/>
      </c>
      <c r="M41" s="10">
        <f>ROUND($B$6*$B$8*$B$14*$B$16*$B$18*$B$21*$B$24,0)</f>
        <v/>
      </c>
      <c r="N41" s="10">
        <f>ROUND($B$6*$B$8*$B$14*$B$16*$B$18*$B$22*$B$23,0)</f>
        <v/>
      </c>
      <c r="O41" s="10">
        <f>ROUND($B$6*$B$8*$B$14*$B$16*$B$18*$B$22*$B$24,0)</f>
        <v/>
      </c>
      <c r="P41" s="10">
        <f>ROUND($B$4*$B$8*$B$14*$B$16*$B$19*$B$21*$B$23,0)</f>
        <v/>
      </c>
      <c r="Q41" s="10">
        <f>ROUND($B$4*$B$8*$B$14*$B$16*$B$19*$B$21*$B$24,0)</f>
        <v/>
      </c>
      <c r="R41" s="10">
        <f>ROUND($B$4*$B$8*$B$14*$B$16*$B$19*$B$22*$B$23,0)</f>
        <v/>
      </c>
      <c r="S41" s="10">
        <f>ROUND($B$4*$B$8*$B$14*$B$16*$B$19*$B$22*$B$24,0)</f>
        <v/>
      </c>
      <c r="T41" s="10">
        <f>ROUND($B$5*$B$8*$B$14*$B$16*$B$19*$B$21*$B$23,0)</f>
        <v/>
      </c>
      <c r="U41" s="10">
        <f>ROUND($B$5*$B$8*$B$14*$B$16*$B$19*$B$21*$B$24,0)</f>
        <v/>
      </c>
      <c r="V41" s="10">
        <f>ROUND($B$5*$B$8*$B$14*$B$16*$B$19*$B$22*$B$23,0)</f>
        <v/>
      </c>
      <c r="W41" s="10">
        <f>ROUND($B$5*$B$8*$B$14*$B$16*$B$19*$B$22*$B$24,0)</f>
        <v/>
      </c>
      <c r="X41" s="10">
        <f>ROUND($B$6*$B$8*$B$14*$B$16*$B$19*$B$21*$B$23,0)</f>
        <v/>
      </c>
      <c r="Y41" s="10">
        <f>ROUND($B$6*$B$8*$B$14*$B$16*$B$19*$B$21*$B$24,0)</f>
        <v/>
      </c>
      <c r="Z41" s="10">
        <f>ROUND($B$6*$B$8*$B$14*$B$16*$B$19*$B$22*$B$23,0)</f>
        <v/>
      </c>
      <c r="AA41" s="10">
        <f>ROUND($B$6*$B$8*$B$14*$B$16*$B$19*$B$22*$B$24,0)</f>
        <v/>
      </c>
      <c r="AB41" s="10">
        <f>ROUND($B$4*$B$8*$B$14*$B$16*$B$20*$B$21*$B$23,0)</f>
        <v/>
      </c>
      <c r="AC41" s="10">
        <f>ROUND($B$4*$B$8*$B$14*$B$16*$B$20*$B$21*$B$24,0)</f>
        <v/>
      </c>
      <c r="AD41" s="10">
        <f>ROUND($B$4*$B$8*$B$14*$B$16*$B$20*$B$22*$B$23,0)</f>
        <v/>
      </c>
      <c r="AE41" s="10">
        <f>ROUND($B$4*$B$8*$B$14*$B$16*$B$20*$B$22*$B$24,0)</f>
        <v/>
      </c>
      <c r="AF41" s="10">
        <f>ROUND($B$5*$B$8*$B$14*$B$16*$B$20*$B$21*$B$23,0)</f>
        <v/>
      </c>
      <c r="AG41" s="10">
        <f>ROUND($B$5*$B$8*$B$14*$B$16*$B$20*$B$21*$B$24,0)</f>
        <v/>
      </c>
      <c r="AH41" s="10">
        <f>ROUND($B$5*$B$8*$B$14*$B$16*$B$20*$B$22*$B$23,0)</f>
        <v/>
      </c>
      <c r="AI41" s="10">
        <f>ROUND($B$5*$B$8*$B$14*$B$16*$B$20*$B$22*$B$24,0)</f>
        <v/>
      </c>
      <c r="AJ41" s="10">
        <f>ROUND($B$6*$B$8*$B$14*$B$16*$B$20*$B$21*$B$23,0)</f>
        <v/>
      </c>
      <c r="AK41" s="10">
        <f>ROUND($B$6*$B$8*$B$14*$B$16*$B$20*$B$21*$B$24,0)</f>
        <v/>
      </c>
      <c r="AL41" s="10">
        <f>ROUND($B$6*$B$8*$B$14*$B$16*$B$20*$B$22*$B$23,0)</f>
        <v/>
      </c>
      <c r="AM41" s="10">
        <f>ROUND($B$6*$B$8*$B$14*$B$16*$B$20*$B$22*$B$24,0)</f>
        <v/>
      </c>
    </row>
    <row r="42" ht="20.1" customHeight="1" s="62">
      <c r="A42" s="68" t="n"/>
      <c r="B42" s="59" t="n"/>
      <c r="C42" s="15" t="inlineStr">
        <is>
          <t>Données très sensibles</t>
        </is>
      </c>
      <c r="D42" s="10">
        <f>ROUND($B$4*$B$8*$B$14*$B$17*$B$18*$B$21*$B$23,0)</f>
        <v/>
      </c>
      <c r="E42" s="10">
        <f>ROUND($B$4*$B$8*$B$14*$B$17*$B$18*$B$21*$B$24,0)</f>
        <v/>
      </c>
      <c r="F42" s="10">
        <f>ROUND($B$4*$B$8*$B$14*$B$17*$B$18*$B$22*$B$23,0)</f>
        <v/>
      </c>
      <c r="G42" s="10">
        <f>ROUND($B$4*$B$8*$B$14*$B$17*$B$18*$B$22*$B$24,0)</f>
        <v/>
      </c>
      <c r="H42" s="10">
        <f>ROUND($B$5*$B$8*$B$14*$B$17*$B$18*$B$21*$B$23,0)</f>
        <v/>
      </c>
      <c r="I42" s="10">
        <f>ROUND($B$5*$B$8*$B$14*$B$17*$B$18*$B$21*$B$24,0)</f>
        <v/>
      </c>
      <c r="J42" s="10">
        <f>ROUND($B$5*$B$8*$B$14*$B$17*$B$18*$B$22*$B$23,0)</f>
        <v/>
      </c>
      <c r="K42" s="10">
        <f>ROUND($B$5*$B$8*$B$14*$B$17*$B$18*$B$22*$B$24,0)</f>
        <v/>
      </c>
      <c r="L42" s="10">
        <f>ROUND($B$6*$B$8*$B$14*$B$17*$B$18*$B$21*$B$23,0)</f>
        <v/>
      </c>
      <c r="M42" s="10">
        <f>ROUND($B$6*$B$8*$B$14*$B$17*$B$18*$B$21*$B$24,0)</f>
        <v/>
      </c>
      <c r="N42" s="10">
        <f>ROUND($B$6*$B$8*$B$14*$B$17*$B$18*$B$22*$B$23,0)</f>
        <v/>
      </c>
      <c r="O42" s="10">
        <f>ROUND($B$6*$B$8*$B$14*$B$17*$B$18*$B$22*$B$24,0)</f>
        <v/>
      </c>
      <c r="P42" s="10">
        <f>ROUND($B$4*$B$8*$B$14*$B$17*$B$19*$B$21*$B$23,0)</f>
        <v/>
      </c>
      <c r="Q42" s="10">
        <f>ROUND($B$4*$B$8*$B$14*$B$17*$B$19*$B$21*$B$24,0)</f>
        <v/>
      </c>
      <c r="R42" s="10">
        <f>ROUND($B$4*$B$8*$B$14*$B$17*$B$19*$B$22*$B$23,0)</f>
        <v/>
      </c>
      <c r="S42" s="10">
        <f>ROUND($B$4*$B$8*$B$14*$B$17*$B$19*$B$22*$B$24,0)</f>
        <v/>
      </c>
      <c r="T42" s="10">
        <f>ROUND($B$5*$B$8*$B$14*$B$17*$B$19*$B$21*$B$23,0)</f>
        <v/>
      </c>
      <c r="U42" s="10">
        <f>ROUND($B$5*$B$8*$B$14*$B$17*$B$19*$B$21*$B$24,0)</f>
        <v/>
      </c>
      <c r="V42" s="10">
        <f>ROUND($B$5*$B$8*$B$14*$B$17*$B$19*$B$22*$B$23,0)</f>
        <v/>
      </c>
      <c r="W42" s="10">
        <f>ROUND($B$5*$B$8*$B$14*$B$17*$B$19*$B$22*$B$24,0)</f>
        <v/>
      </c>
      <c r="X42" s="10">
        <f>ROUND($B$6*$B$8*$B$14*$B$17*$B$19*$B$21*$B$23,0)</f>
        <v/>
      </c>
      <c r="Y42" s="10">
        <f>ROUND($B$6*$B$8*$B$14*$B$17*$B$19*$B$21*$B$24,0)</f>
        <v/>
      </c>
      <c r="Z42" s="10">
        <f>ROUND($B$6*$B$8*$B$14*$B$17*$B$19*$B$22*$B$23,0)</f>
        <v/>
      </c>
      <c r="AA42" s="10">
        <f>ROUND($B$6*$B$8*$B$14*$B$17*$B$19*$B$22*$B$24,0)</f>
        <v/>
      </c>
      <c r="AB42" s="10">
        <f>ROUND($B$4*$B$8*$B$14*$B$17*$B$20*$B$21*$B$23,0)</f>
        <v/>
      </c>
      <c r="AC42" s="10">
        <f>ROUND($B$4*$B$8*$B$14*$B$17*$B$20*$B$21*$B$24,0)</f>
        <v/>
      </c>
      <c r="AD42" s="10">
        <f>ROUND($B$4*$B$8*$B$14*$B$17*$B$20*$B$22*$B$23,0)</f>
        <v/>
      </c>
      <c r="AE42" s="10">
        <f>ROUND($B$4*$B$8*$B$14*$B$17*$B$20*$B$22*$B$24,0)</f>
        <v/>
      </c>
      <c r="AF42" s="10">
        <f>ROUND($B$5*$B$8*$B$14*$B$17*$B$20*$B$21*$B$23,0)</f>
        <v/>
      </c>
      <c r="AG42" s="10">
        <f>ROUND($B$5*$B$8*$B$14*$B$17*$B$20*$B$21*$B$24,0)</f>
        <v/>
      </c>
      <c r="AH42" s="10">
        <f>ROUND($B$5*$B$8*$B$14*$B$17*$B$20*$B$22*$B$23,0)</f>
        <v/>
      </c>
      <c r="AI42" s="10">
        <f>ROUND($B$5*$B$8*$B$14*$B$17*$B$20*$B$22*$B$24,0)</f>
        <v/>
      </c>
      <c r="AJ42" s="10">
        <f>ROUND($B$6*$B$8*$B$14*$B$17*$B$20*$B$21*$B$23,0)</f>
        <v/>
      </c>
      <c r="AK42" s="10">
        <f>ROUND($B$6*$B$8*$B$14*$B$17*$B$20*$B$21*$B$24,0)</f>
        <v/>
      </c>
      <c r="AL42" s="10">
        <f>ROUND($B$6*$B$8*$B$14*$B$17*$B$20*$B$22*$B$23,0)</f>
        <v/>
      </c>
      <c r="AM42" s="10">
        <f>ROUND($B$6*$B$8*$B$14*$B$17*$B$20*$B$22*$B$24,0)</f>
        <v/>
      </c>
    </row>
    <row r="43" ht="20.1" customHeight="1" s="62">
      <c r="A43" s="66" t="inlineStr">
        <is>
          <t>Moyen (21-100 util.)</t>
        </is>
      </c>
      <c r="B43" s="57" t="inlineStr">
        <is>
          <t>Criticité faible</t>
        </is>
      </c>
      <c r="C43" s="14" t="inlineStr">
        <is>
          <t>Données standard</t>
        </is>
      </c>
      <c r="D43" s="10">
        <f>ROUND($B$4*$B$9*$B$11*$B$15*$B$18*$B$21*$B$23,0)</f>
        <v/>
      </c>
      <c r="E43" s="10">
        <f>ROUND($B$4*$B$9*$B$11*$B$15*$B$18*$B$21*$B$24,0)</f>
        <v/>
      </c>
      <c r="F43" s="10">
        <f>ROUND($B$4*$B$9*$B$11*$B$15*$B$18*$B$22*$B$23,0)</f>
        <v/>
      </c>
      <c r="G43" s="10">
        <f>ROUND($B$4*$B$9*$B$11*$B$15*$B$18*$B$22*$B$24,0)</f>
        <v/>
      </c>
      <c r="H43" s="10">
        <f>ROUND($B$5*$B$9*$B$11*$B$15*$B$18*$B$21*$B$23,0)</f>
        <v/>
      </c>
      <c r="I43" s="10">
        <f>ROUND($B$5*$B$9*$B$11*$B$15*$B$18*$B$21*$B$24,0)</f>
        <v/>
      </c>
      <c r="J43" s="10">
        <f>ROUND($B$5*$B$9*$B$11*$B$15*$B$18*$B$22*$B$23,0)</f>
        <v/>
      </c>
      <c r="K43" s="10">
        <f>ROUND($B$5*$B$9*$B$11*$B$15*$B$18*$B$22*$B$24,0)</f>
        <v/>
      </c>
      <c r="L43" s="10">
        <f>ROUND($B$6*$B$9*$B$11*$B$15*$B$18*$B$21*$B$23,0)</f>
        <v/>
      </c>
      <c r="M43" s="10">
        <f>ROUND($B$6*$B$9*$B$11*$B$15*$B$18*$B$21*$B$24,0)</f>
        <v/>
      </c>
      <c r="N43" s="10">
        <f>ROUND($B$6*$B$9*$B$11*$B$15*$B$18*$B$22*$B$23,0)</f>
        <v/>
      </c>
      <c r="O43" s="10">
        <f>ROUND($B$6*$B$9*$B$11*$B$15*$B$18*$B$22*$B$24,0)</f>
        <v/>
      </c>
      <c r="P43" s="10">
        <f>ROUND($B$4*$B$9*$B$11*$B$15*$B$19*$B$21*$B$23,0)</f>
        <v/>
      </c>
      <c r="Q43" s="10">
        <f>ROUND($B$4*$B$9*$B$11*$B$15*$B$19*$B$21*$B$24,0)</f>
        <v/>
      </c>
      <c r="R43" s="10">
        <f>ROUND($B$4*$B$9*$B$11*$B$15*$B$19*$B$22*$B$23,0)</f>
        <v/>
      </c>
      <c r="S43" s="10">
        <f>ROUND($B$4*$B$9*$B$11*$B$15*$B$19*$B$22*$B$24,0)</f>
        <v/>
      </c>
      <c r="T43" s="10">
        <f>ROUND($B$5*$B$9*$B$11*$B$15*$B$19*$B$21*$B$23,0)</f>
        <v/>
      </c>
      <c r="U43" s="10">
        <f>ROUND($B$5*$B$9*$B$11*$B$15*$B$19*$B$21*$B$24,0)</f>
        <v/>
      </c>
      <c r="V43" s="10">
        <f>ROUND($B$5*$B$9*$B$11*$B$15*$B$19*$B$22*$B$23,0)</f>
        <v/>
      </c>
      <c r="W43" s="10">
        <f>ROUND($B$5*$B$9*$B$11*$B$15*$B$19*$B$22*$B$24,0)</f>
        <v/>
      </c>
      <c r="X43" s="10">
        <f>ROUND($B$6*$B$9*$B$11*$B$15*$B$19*$B$21*$B$23,0)</f>
        <v/>
      </c>
      <c r="Y43" s="10">
        <f>ROUND($B$6*$B$9*$B$11*$B$15*$B$19*$B$21*$B$24,0)</f>
        <v/>
      </c>
      <c r="Z43" s="10">
        <f>ROUND($B$6*$B$9*$B$11*$B$15*$B$19*$B$22*$B$23,0)</f>
        <v/>
      </c>
      <c r="AA43" s="10">
        <f>ROUND($B$6*$B$9*$B$11*$B$15*$B$19*$B$22*$B$24,0)</f>
        <v/>
      </c>
      <c r="AB43" s="10">
        <f>ROUND($B$4*$B$9*$B$11*$B$15*$B$20*$B$21*$B$23,0)</f>
        <v/>
      </c>
      <c r="AC43" s="10">
        <f>ROUND($B$4*$B$9*$B$11*$B$15*$B$20*$B$21*$B$24,0)</f>
        <v/>
      </c>
      <c r="AD43" s="10">
        <f>ROUND($B$4*$B$9*$B$11*$B$15*$B$20*$B$22*$B$23,0)</f>
        <v/>
      </c>
      <c r="AE43" s="10">
        <f>ROUND($B$4*$B$9*$B$11*$B$15*$B$20*$B$22*$B$24,0)</f>
        <v/>
      </c>
      <c r="AF43" s="10">
        <f>ROUND($B$5*$B$9*$B$11*$B$15*$B$20*$B$21*$B$23,0)</f>
        <v/>
      </c>
      <c r="AG43" s="10">
        <f>ROUND($B$5*$B$9*$B$11*$B$15*$B$20*$B$21*$B$24,0)</f>
        <v/>
      </c>
      <c r="AH43" s="10">
        <f>ROUND($B$5*$B$9*$B$11*$B$15*$B$20*$B$22*$B$23,0)</f>
        <v/>
      </c>
      <c r="AI43" s="10">
        <f>ROUND($B$5*$B$9*$B$11*$B$15*$B$20*$B$22*$B$24,0)</f>
        <v/>
      </c>
      <c r="AJ43" s="10">
        <f>ROUND($B$6*$B$9*$B$11*$B$15*$B$20*$B$21*$B$23,0)</f>
        <v/>
      </c>
      <c r="AK43" s="10">
        <f>ROUND($B$6*$B$9*$B$11*$B$15*$B$20*$B$21*$B$24,0)</f>
        <v/>
      </c>
      <c r="AL43" s="10">
        <f>ROUND($B$6*$B$9*$B$11*$B$15*$B$20*$B$22*$B$23,0)</f>
        <v/>
      </c>
      <c r="AM43" s="10">
        <f>ROUND($B$6*$B$9*$B$11*$B$15*$B$20*$B$22*$B$24,0)</f>
        <v/>
      </c>
    </row>
    <row r="44" ht="20.1" customHeight="1" s="62">
      <c r="A44" s="67" t="n"/>
      <c r="B44" s="58" t="n"/>
      <c r="C44" s="57" t="inlineStr">
        <is>
          <t>Données sensibles</t>
        </is>
      </c>
      <c r="D44" s="10">
        <f>ROUND($B$4*$B$9*$B$11*$B$16*$B$18*$B$21*$B$23,0)</f>
        <v/>
      </c>
      <c r="E44" s="10">
        <f>ROUND($B$4*$B$9*$B$11*$B$16*$B$18*$B$21*$B$24,0)</f>
        <v/>
      </c>
      <c r="F44" s="10">
        <f>ROUND($B$4*$B$9*$B$11*$B$16*$B$18*$B$22*$B$23,0)</f>
        <v/>
      </c>
      <c r="G44" s="10">
        <f>ROUND($B$4*$B$9*$B$11*$B$16*$B$18*$B$22*$B$24,0)</f>
        <v/>
      </c>
      <c r="H44" s="10">
        <f>ROUND($B$5*$B$9*$B$11*$B$16*$B$18*$B$21*$B$23,0)</f>
        <v/>
      </c>
      <c r="I44" s="10">
        <f>ROUND($B$5*$B$9*$B$11*$B$16*$B$18*$B$21*$B$24,0)</f>
        <v/>
      </c>
      <c r="J44" s="10">
        <f>ROUND($B$5*$B$9*$B$11*$B$16*$B$18*$B$22*$B$23,0)</f>
        <v/>
      </c>
      <c r="K44" s="10">
        <f>ROUND($B$5*$B$9*$B$11*$B$16*$B$18*$B$22*$B$24,0)</f>
        <v/>
      </c>
      <c r="L44" s="10">
        <f>ROUND($B$6*$B$9*$B$11*$B$16*$B$18*$B$21*$B$23,0)</f>
        <v/>
      </c>
      <c r="M44" s="10">
        <f>ROUND($B$6*$B$9*$B$11*$B$16*$B$18*$B$21*$B$24,0)</f>
        <v/>
      </c>
      <c r="N44" s="10">
        <f>ROUND($B$6*$B$9*$B$11*$B$16*$B$18*$B$22*$B$23,0)</f>
        <v/>
      </c>
      <c r="O44" s="10">
        <f>ROUND($B$6*$B$9*$B$11*$B$16*$B$18*$B$22*$B$24,0)</f>
        <v/>
      </c>
      <c r="P44" s="10">
        <f>ROUND($B$4*$B$9*$B$11*$B$16*$B$19*$B$21*$B$23,0)</f>
        <v/>
      </c>
      <c r="Q44" s="10">
        <f>ROUND($B$4*$B$9*$B$11*$B$16*$B$19*$B$21*$B$24,0)</f>
        <v/>
      </c>
      <c r="R44" s="10">
        <f>ROUND($B$4*$B$9*$B$11*$B$16*$B$19*$B$22*$B$23,0)</f>
        <v/>
      </c>
      <c r="S44" s="10">
        <f>ROUND($B$4*$B$9*$B$11*$B$16*$B$19*$B$22*$B$24,0)</f>
        <v/>
      </c>
      <c r="T44" s="10">
        <f>ROUND($B$5*$B$9*$B$11*$B$16*$B$19*$B$21*$B$23,0)</f>
        <v/>
      </c>
      <c r="U44" s="10">
        <f>ROUND($B$5*$B$9*$B$11*$B$16*$B$19*$B$21*$B$24,0)</f>
        <v/>
      </c>
      <c r="V44" s="10">
        <f>ROUND($B$5*$B$9*$B$11*$B$16*$B$19*$B$22*$B$23,0)</f>
        <v/>
      </c>
      <c r="W44" s="10">
        <f>ROUND($B$5*$B$9*$B$11*$B$16*$B$19*$B$22*$B$24,0)</f>
        <v/>
      </c>
      <c r="X44" s="10">
        <f>ROUND($B$6*$B$9*$B$11*$B$16*$B$19*$B$21*$B$23,0)</f>
        <v/>
      </c>
      <c r="Y44" s="10">
        <f>ROUND($B$6*$B$9*$B$11*$B$16*$B$19*$B$21*$B$24,0)</f>
        <v/>
      </c>
      <c r="Z44" s="10">
        <f>ROUND($B$6*$B$9*$B$11*$B$16*$B$19*$B$22*$B$23,0)</f>
        <v/>
      </c>
      <c r="AA44" s="10">
        <f>ROUND($B$6*$B$9*$B$11*$B$16*$B$19*$B$22*$B$24,0)</f>
        <v/>
      </c>
      <c r="AB44" s="10">
        <f>ROUND($B$4*$B$9*$B$11*$B$16*$B$20*$B$21*$B$23,0)</f>
        <v/>
      </c>
      <c r="AC44" s="10">
        <f>ROUND($B$4*$B$9*$B$11*$B$16*$B$20*$B$21*$B$24,0)</f>
        <v/>
      </c>
      <c r="AD44" s="10">
        <f>ROUND($B$4*$B$9*$B$11*$B$16*$B$20*$B$22*$B$23,0)</f>
        <v/>
      </c>
      <c r="AE44" s="10">
        <f>ROUND($B$4*$B$9*$B$11*$B$16*$B$20*$B$22*$B$24,0)</f>
        <v/>
      </c>
      <c r="AF44" s="10">
        <f>ROUND($B$5*$B$9*$B$11*$B$16*$B$20*$B$21*$B$23,0)</f>
        <v/>
      </c>
      <c r="AG44" s="10">
        <f>ROUND($B$5*$B$9*$B$11*$B$16*$B$20*$B$21*$B$24,0)</f>
        <v/>
      </c>
      <c r="AH44" s="10">
        <f>ROUND($B$5*$B$9*$B$11*$B$16*$B$20*$B$22*$B$23,0)</f>
        <v/>
      </c>
      <c r="AI44" s="10">
        <f>ROUND($B$5*$B$9*$B$11*$B$16*$B$20*$B$22*$B$24,0)</f>
        <v/>
      </c>
      <c r="AJ44" s="10">
        <f>ROUND($B$6*$B$9*$B$11*$B$16*$B$20*$B$21*$B$23,0)</f>
        <v/>
      </c>
      <c r="AK44" s="10">
        <f>ROUND($B$6*$B$9*$B$11*$B$16*$B$20*$B$21*$B$24,0)</f>
        <v/>
      </c>
      <c r="AL44" s="10">
        <f>ROUND($B$6*$B$9*$B$11*$B$16*$B$20*$B$22*$B$23,0)</f>
        <v/>
      </c>
      <c r="AM44" s="10">
        <f>ROUND($B$6*$B$9*$B$11*$B$16*$B$20*$B$22*$B$24,0)</f>
        <v/>
      </c>
    </row>
    <row r="45" ht="20.1" customHeight="1" s="62">
      <c r="A45" s="67" t="n"/>
      <c r="B45" s="59" t="n"/>
      <c r="C45" s="15" t="inlineStr">
        <is>
          <t>Données très sensibles</t>
        </is>
      </c>
      <c r="D45" s="10">
        <f>ROUND($B$4*$B$9*$B$11*$B$17*$B$18*$B$21*$B$23,0)</f>
        <v/>
      </c>
      <c r="E45" s="10">
        <f>ROUND($B$4*$B$9*$B$11*$B$17*$B$18*$B$21*$B$24,0)</f>
        <v/>
      </c>
      <c r="F45" s="10">
        <f>ROUND($B$4*$B$9*$B$11*$B$17*$B$18*$B$22*$B$23,0)</f>
        <v/>
      </c>
      <c r="G45" s="10">
        <f>ROUND($B$4*$B$9*$B$11*$B$17*$B$18*$B$22*$B$24,0)</f>
        <v/>
      </c>
      <c r="H45" s="10">
        <f>ROUND($B$5*$B$9*$B$11*$B$17*$B$18*$B$21*$B$23,0)</f>
        <v/>
      </c>
      <c r="I45" s="10">
        <f>ROUND($B$5*$B$9*$B$11*$B$17*$B$18*$B$21*$B$24,0)</f>
        <v/>
      </c>
      <c r="J45" s="10">
        <f>ROUND($B$5*$B$9*$B$11*$B$17*$B$18*$B$22*$B$23,0)</f>
        <v/>
      </c>
      <c r="K45" s="10">
        <f>ROUND($B$5*$B$9*$B$11*$B$17*$B$18*$B$22*$B$24,0)</f>
        <v/>
      </c>
      <c r="L45" s="10">
        <f>ROUND($B$6*$B$9*$B$11*$B$17*$B$18*$B$21*$B$23,0)</f>
        <v/>
      </c>
      <c r="M45" s="10">
        <f>ROUND($B$6*$B$9*$B$11*$B$17*$B$18*$B$21*$B$24,0)</f>
        <v/>
      </c>
      <c r="N45" s="10">
        <f>ROUND($B$6*$B$9*$B$11*$B$17*$B$18*$B$22*$B$23,0)</f>
        <v/>
      </c>
      <c r="O45" s="10">
        <f>ROUND($B$6*$B$9*$B$11*$B$17*$B$18*$B$22*$B$24,0)</f>
        <v/>
      </c>
      <c r="P45" s="10">
        <f>ROUND($B$4*$B$9*$B$11*$B$17*$B$19*$B$21*$B$23,0)</f>
        <v/>
      </c>
      <c r="Q45" s="10">
        <f>ROUND($B$4*$B$9*$B$11*$B$17*$B$19*$B$21*$B$24,0)</f>
        <v/>
      </c>
      <c r="R45" s="10">
        <f>ROUND($B$4*$B$9*$B$11*$B$17*$B$19*$B$22*$B$23,0)</f>
        <v/>
      </c>
      <c r="S45" s="10">
        <f>ROUND($B$4*$B$9*$B$11*$B$17*$B$19*$B$22*$B$24,0)</f>
        <v/>
      </c>
      <c r="T45" s="10">
        <f>ROUND($B$5*$B$9*$B$11*$B$17*$B$19*$B$21*$B$23,0)</f>
        <v/>
      </c>
      <c r="U45" s="10">
        <f>ROUND($B$5*$B$9*$B$11*$B$17*$B$19*$B$21*$B$24,0)</f>
        <v/>
      </c>
      <c r="V45" s="10">
        <f>ROUND($B$5*$B$9*$B$11*$B$17*$B$19*$B$22*$B$23,0)</f>
        <v/>
      </c>
      <c r="W45" s="10">
        <f>ROUND($B$5*$B$9*$B$11*$B$17*$B$19*$B$22*$B$24,0)</f>
        <v/>
      </c>
      <c r="X45" s="10">
        <f>ROUND($B$6*$B$9*$B$11*$B$17*$B$19*$B$21*$B$23,0)</f>
        <v/>
      </c>
      <c r="Y45" s="10">
        <f>ROUND($B$6*$B$9*$B$11*$B$17*$B$19*$B$21*$B$24,0)</f>
        <v/>
      </c>
      <c r="Z45" s="10">
        <f>ROUND($B$6*$B$9*$B$11*$B$17*$B$19*$B$22*$B$23,0)</f>
        <v/>
      </c>
      <c r="AA45" s="10">
        <f>ROUND($B$6*$B$9*$B$11*$B$17*$B$19*$B$22*$B$24,0)</f>
        <v/>
      </c>
      <c r="AB45" s="10">
        <f>ROUND($B$4*$B$9*$B$11*$B$17*$B$20*$B$21*$B$23,0)</f>
        <v/>
      </c>
      <c r="AC45" s="10">
        <f>ROUND($B$4*$B$9*$B$11*$B$17*$B$20*$B$21*$B$24,0)</f>
        <v/>
      </c>
      <c r="AD45" s="10">
        <f>ROUND($B$4*$B$9*$B$11*$B$17*$B$20*$B$22*$B$23,0)</f>
        <v/>
      </c>
      <c r="AE45" s="10">
        <f>ROUND($B$4*$B$9*$B$11*$B$17*$B$20*$B$22*$B$24,0)</f>
        <v/>
      </c>
      <c r="AF45" s="10">
        <f>ROUND($B$5*$B$9*$B$11*$B$17*$B$20*$B$21*$B$23,0)</f>
        <v/>
      </c>
      <c r="AG45" s="10">
        <f>ROUND($B$5*$B$9*$B$11*$B$17*$B$20*$B$21*$B$24,0)</f>
        <v/>
      </c>
      <c r="AH45" s="10">
        <f>ROUND($B$5*$B$9*$B$11*$B$17*$B$20*$B$22*$B$23,0)</f>
        <v/>
      </c>
      <c r="AI45" s="10">
        <f>ROUND($B$5*$B$9*$B$11*$B$17*$B$20*$B$22*$B$24,0)</f>
        <v/>
      </c>
      <c r="AJ45" s="10">
        <f>ROUND($B$6*$B$9*$B$11*$B$17*$B$20*$B$21*$B$23,0)</f>
        <v/>
      </c>
      <c r="AK45" s="10">
        <f>ROUND($B$6*$B$9*$B$11*$B$17*$B$20*$B$21*$B$24,0)</f>
        <v/>
      </c>
      <c r="AL45" s="10">
        <f>ROUND($B$6*$B$9*$B$11*$B$17*$B$20*$B$22*$B$23,0)</f>
        <v/>
      </c>
      <c r="AM45" s="10">
        <f>ROUND($B$6*$B$9*$B$11*$B$17*$B$20*$B$22*$B$24,0)</f>
        <v/>
      </c>
    </row>
    <row r="46" ht="20.1" customHeight="1" s="62">
      <c r="A46" s="67" t="n"/>
      <c r="B46" s="57" t="inlineStr">
        <is>
          <t>Criticité modérée</t>
        </is>
      </c>
      <c r="C46" s="14" t="inlineStr">
        <is>
          <t>Données standard</t>
        </is>
      </c>
      <c r="D46" s="10">
        <f>ROUND($B$4*$B$9*$B$12*$B$15*$B$18*$B$21*$B$23,0)</f>
        <v/>
      </c>
      <c r="E46" s="10">
        <f>ROUND($B$4*$B$9*$B$12*$B$15*$B$18*$B$21*$B$24,0)</f>
        <v/>
      </c>
      <c r="F46" s="10">
        <f>ROUND($B$4*$B$9*$B$12*$B$15*$B$18*$B$22*$B$23,0)</f>
        <v/>
      </c>
      <c r="G46" s="10">
        <f>ROUND($B$4*$B$9*$B$12*$B$15*$B$18*$B$22*$B$24,0)</f>
        <v/>
      </c>
      <c r="H46" s="10">
        <f>ROUND($B$5*$B$9*$B$12*$B$15*$B$18*$B$21*$B$23,0)</f>
        <v/>
      </c>
      <c r="I46" s="10">
        <f>ROUND($B$5*$B$9*$B$12*$B$15*$B$18*$B$21*$B$24,0)</f>
        <v/>
      </c>
      <c r="J46" s="10">
        <f>ROUND($B$5*$B$9*$B$12*$B$15*$B$18*$B$22*$B$23,0)</f>
        <v/>
      </c>
      <c r="K46" s="10">
        <f>ROUND($B$5*$B$9*$B$12*$B$15*$B$18*$B$22*$B$24,0)</f>
        <v/>
      </c>
      <c r="L46" s="10">
        <f>ROUND($B$6*$B$9*$B$12*$B$15*$B$18*$B$21*$B$23,0)</f>
        <v/>
      </c>
      <c r="M46" s="10">
        <f>ROUND($B$6*$B$9*$B$12*$B$15*$B$18*$B$21*$B$24,0)</f>
        <v/>
      </c>
      <c r="N46" s="10">
        <f>ROUND($B$6*$B$9*$B$12*$B$15*$B$18*$B$22*$B$23,0)</f>
        <v/>
      </c>
      <c r="O46" s="10">
        <f>ROUND($B$6*$B$9*$B$12*$B$15*$B$18*$B$22*$B$24,0)</f>
        <v/>
      </c>
      <c r="P46" s="10">
        <f>ROUND($B$4*$B$9*$B$12*$B$15*$B$19*$B$21*$B$23,0)</f>
        <v/>
      </c>
      <c r="Q46" s="10">
        <f>ROUND($B$4*$B$9*$B$12*$B$15*$B$19*$B$21*$B$24,0)</f>
        <v/>
      </c>
      <c r="R46" s="10">
        <f>ROUND($B$4*$B$9*$B$12*$B$15*$B$19*$B$22*$B$23,0)</f>
        <v/>
      </c>
      <c r="S46" s="10">
        <f>ROUND($B$4*$B$9*$B$12*$B$15*$B$19*$B$22*$B$24,0)</f>
        <v/>
      </c>
      <c r="T46" s="10">
        <f>ROUND($B$5*$B$9*$B$12*$B$15*$B$19*$B$21*$B$23,0)</f>
        <v/>
      </c>
      <c r="U46" s="10">
        <f>ROUND($B$5*$B$9*$B$12*$B$15*$B$19*$B$21*$B$24,0)</f>
        <v/>
      </c>
      <c r="V46" s="10">
        <f>ROUND($B$5*$B$9*$B$12*$B$15*$B$19*$B$22*$B$23,0)</f>
        <v/>
      </c>
      <c r="W46" s="10">
        <f>ROUND($B$5*$B$9*$B$12*$B$15*$B$19*$B$22*$B$24,0)</f>
        <v/>
      </c>
      <c r="X46" s="10">
        <f>ROUND($B$6*$B$9*$B$12*$B$15*$B$19*$B$21*$B$23,0)</f>
        <v/>
      </c>
      <c r="Y46" s="10">
        <f>ROUND($B$6*$B$9*$B$12*$B$15*$B$19*$B$21*$B$24,0)</f>
        <v/>
      </c>
      <c r="Z46" s="10">
        <f>ROUND($B$6*$B$9*$B$12*$B$15*$B$19*$B$22*$B$23,0)</f>
        <v/>
      </c>
      <c r="AA46" s="10">
        <f>ROUND($B$6*$B$9*$B$12*$B$15*$B$19*$B$22*$B$24,0)</f>
        <v/>
      </c>
      <c r="AB46" s="10">
        <f>ROUND($B$4*$B$9*$B$12*$B$15*$B$20*$B$21*$B$23,0)</f>
        <v/>
      </c>
      <c r="AC46" s="10">
        <f>ROUND($B$4*$B$9*$B$12*$B$15*$B$20*$B$21*$B$24,0)</f>
        <v/>
      </c>
      <c r="AD46" s="10">
        <f>ROUND($B$4*$B$9*$B$12*$B$15*$B$20*$B$22*$B$23,0)</f>
        <v/>
      </c>
      <c r="AE46" s="10">
        <f>ROUND($B$4*$B$9*$B$12*$B$15*$B$20*$B$22*$B$24,0)</f>
        <v/>
      </c>
      <c r="AF46" s="10">
        <f>ROUND($B$5*$B$9*$B$12*$B$15*$B$20*$B$21*$B$23,0)</f>
        <v/>
      </c>
      <c r="AG46" s="10">
        <f>ROUND($B$5*$B$9*$B$12*$B$15*$B$20*$B$21*$B$24,0)</f>
        <v/>
      </c>
      <c r="AH46" s="10">
        <f>ROUND($B$5*$B$9*$B$12*$B$15*$B$20*$B$22*$B$23,0)</f>
        <v/>
      </c>
      <c r="AI46" s="10">
        <f>ROUND($B$5*$B$9*$B$12*$B$15*$B$20*$B$22*$B$24,0)</f>
        <v/>
      </c>
      <c r="AJ46" s="10">
        <f>ROUND($B$6*$B$9*$B$12*$B$15*$B$20*$B$21*$B$23,0)</f>
        <v/>
      </c>
      <c r="AK46" s="10">
        <f>ROUND($B$6*$B$9*$B$12*$B$15*$B$20*$B$21*$B$24,0)</f>
        <v/>
      </c>
      <c r="AL46" s="10">
        <f>ROUND($B$6*$B$9*$B$12*$B$15*$B$20*$B$22*$B$23,0)</f>
        <v/>
      </c>
      <c r="AM46" s="10">
        <f>ROUND($B$6*$B$9*$B$12*$B$15*$B$20*$B$22*$B$24,0)</f>
        <v/>
      </c>
    </row>
    <row r="47" ht="20.1" customHeight="1" s="62">
      <c r="A47" s="67" t="n"/>
      <c r="B47" s="58" t="n"/>
      <c r="C47" s="57" t="inlineStr">
        <is>
          <t>Données sensibles</t>
        </is>
      </c>
      <c r="D47" s="10">
        <f>ROUND($B$4*$B$9*$B$12*$B$16*$B$18*$B$21*$B$23,0)</f>
        <v/>
      </c>
      <c r="E47" s="10">
        <f>ROUND($B$4*$B$9*$B$12*$B$16*$B$18*$B$21*$B$24,0)</f>
        <v/>
      </c>
      <c r="F47" s="10">
        <f>ROUND($B$4*$B$9*$B$12*$B$16*$B$18*$B$22*$B$23,0)</f>
        <v/>
      </c>
      <c r="G47" s="10">
        <f>ROUND($B$4*$B$9*$B$12*$B$16*$B$18*$B$22*$B$24,0)</f>
        <v/>
      </c>
      <c r="H47" s="10">
        <f>ROUND($B$5*$B$9*$B$12*$B$16*$B$18*$B$21*$B$23,0)</f>
        <v/>
      </c>
      <c r="I47" s="10">
        <f>ROUND($B$5*$B$9*$B$12*$B$16*$B$18*$B$21*$B$24,0)</f>
        <v/>
      </c>
      <c r="J47" s="10">
        <f>ROUND($B$5*$B$9*$B$12*$B$16*$B$18*$B$22*$B$23,0)</f>
        <v/>
      </c>
      <c r="K47" s="10">
        <f>ROUND($B$5*$B$9*$B$12*$B$16*$B$18*$B$22*$B$24,0)</f>
        <v/>
      </c>
      <c r="L47" s="10">
        <f>ROUND($B$6*$B$9*$B$12*$B$16*$B$18*$B$21*$B$23,0)</f>
        <v/>
      </c>
      <c r="M47" s="10">
        <f>ROUND($B$6*$B$9*$B$12*$B$16*$B$18*$B$21*$B$24,0)</f>
        <v/>
      </c>
      <c r="N47" s="10">
        <f>ROUND($B$6*$B$9*$B$12*$B$16*$B$18*$B$22*$B$23,0)</f>
        <v/>
      </c>
      <c r="O47" s="10">
        <f>ROUND($B$6*$B$9*$B$12*$B$16*$B$18*$B$22*$B$24,0)</f>
        <v/>
      </c>
      <c r="P47" s="10">
        <f>ROUND($B$4*$B$9*$B$12*$B$16*$B$19*$B$21*$B$23,0)</f>
        <v/>
      </c>
      <c r="Q47" s="10">
        <f>ROUND($B$4*$B$9*$B$12*$B$16*$B$19*$B$21*$B$24,0)</f>
        <v/>
      </c>
      <c r="R47" s="10">
        <f>ROUND($B$4*$B$9*$B$12*$B$16*$B$19*$B$22*$B$23,0)</f>
        <v/>
      </c>
      <c r="S47" s="10">
        <f>ROUND($B$4*$B$9*$B$12*$B$16*$B$19*$B$22*$B$24,0)</f>
        <v/>
      </c>
      <c r="T47" s="10">
        <f>ROUND($B$5*$B$9*$B$12*$B$16*$B$19*$B$21*$B$23,0)</f>
        <v/>
      </c>
      <c r="U47" s="10">
        <f>ROUND($B$5*$B$9*$B$12*$B$16*$B$19*$B$21*$B$24,0)</f>
        <v/>
      </c>
      <c r="V47" s="10">
        <f>ROUND($B$5*$B$9*$B$12*$B$16*$B$19*$B$22*$B$23,0)</f>
        <v/>
      </c>
      <c r="W47" s="10">
        <f>ROUND($B$5*$B$9*$B$12*$B$16*$B$19*$B$22*$B$24,0)</f>
        <v/>
      </c>
      <c r="X47" s="10">
        <f>ROUND($B$6*$B$9*$B$12*$B$16*$B$19*$B$21*$B$23,0)</f>
        <v/>
      </c>
      <c r="Y47" s="10">
        <f>ROUND($B$6*$B$9*$B$12*$B$16*$B$19*$B$21*$B$24,0)</f>
        <v/>
      </c>
      <c r="Z47" s="10">
        <f>ROUND($B$6*$B$9*$B$12*$B$16*$B$19*$B$22*$B$23,0)</f>
        <v/>
      </c>
      <c r="AA47" s="10">
        <f>ROUND($B$6*$B$9*$B$12*$B$16*$B$19*$B$22*$B$24,0)</f>
        <v/>
      </c>
      <c r="AB47" s="10">
        <f>ROUND($B$4*$B$9*$B$12*$B$16*$B$20*$B$21*$B$23,0)</f>
        <v/>
      </c>
      <c r="AC47" s="10">
        <f>ROUND($B$4*$B$9*$B$12*$B$16*$B$20*$B$21*$B$24,0)</f>
        <v/>
      </c>
      <c r="AD47" s="10">
        <f>ROUND($B$4*$B$9*$B$12*$B$16*$B$20*$B$22*$B$23,0)</f>
        <v/>
      </c>
      <c r="AE47" s="10">
        <f>ROUND($B$4*$B$9*$B$12*$B$16*$B$20*$B$22*$B$24,0)</f>
        <v/>
      </c>
      <c r="AF47" s="10">
        <f>ROUND($B$5*$B$9*$B$12*$B$16*$B$20*$B$21*$B$23,0)</f>
        <v/>
      </c>
      <c r="AG47" s="10">
        <f>ROUND($B$5*$B$9*$B$12*$B$16*$B$20*$B$21*$B$24,0)</f>
        <v/>
      </c>
      <c r="AH47" s="10">
        <f>ROUND($B$5*$B$9*$B$12*$B$16*$B$20*$B$22*$B$23,0)</f>
        <v/>
      </c>
      <c r="AI47" s="10">
        <f>ROUND($B$5*$B$9*$B$12*$B$16*$B$20*$B$22*$B$24,0)</f>
        <v/>
      </c>
      <c r="AJ47" s="10">
        <f>ROUND($B$6*$B$9*$B$12*$B$16*$B$20*$B$21*$B$23,0)</f>
        <v/>
      </c>
      <c r="AK47" s="10">
        <f>ROUND($B$6*$B$9*$B$12*$B$16*$B$20*$B$21*$B$24,0)</f>
        <v/>
      </c>
      <c r="AL47" s="10">
        <f>ROUND($B$6*$B$9*$B$12*$B$16*$B$20*$B$22*$B$23,0)</f>
        <v/>
      </c>
      <c r="AM47" s="10">
        <f>ROUND($B$6*$B$9*$B$12*$B$16*$B$20*$B$22*$B$24,0)</f>
        <v/>
      </c>
    </row>
    <row r="48" ht="20.1" customHeight="1" s="62">
      <c r="A48" s="67" t="n"/>
      <c r="B48" s="59" t="n"/>
      <c r="C48" s="15" t="inlineStr">
        <is>
          <t>Données très sensibles</t>
        </is>
      </c>
      <c r="D48" s="10">
        <f>ROUND($B$4*$B$9*$B$12*$B$17*$B$18*$B$21*$B$23,0)</f>
        <v/>
      </c>
      <c r="E48" s="10">
        <f>ROUND($B$4*$B$9*$B$12*$B$17*$B$18*$B$21*$B$24,0)</f>
        <v/>
      </c>
      <c r="F48" s="10">
        <f>ROUND($B$4*$B$9*$B$12*$B$17*$B$18*$B$22*$B$23,0)</f>
        <v/>
      </c>
      <c r="G48" s="10">
        <f>ROUND($B$4*$B$9*$B$12*$B$17*$B$18*$B$22*$B$24,0)</f>
        <v/>
      </c>
      <c r="H48" s="10">
        <f>ROUND($B$5*$B$9*$B$12*$B$17*$B$18*$B$21*$B$23,0)</f>
        <v/>
      </c>
      <c r="I48" s="10">
        <f>ROUND($B$5*$B$9*$B$12*$B$17*$B$18*$B$21*$B$24,0)</f>
        <v/>
      </c>
      <c r="J48" s="10">
        <f>ROUND($B$5*$B$9*$B$12*$B$17*$B$18*$B$22*$B$23,0)</f>
        <v/>
      </c>
      <c r="K48" s="10">
        <f>ROUND($B$5*$B$9*$B$12*$B$17*$B$18*$B$22*$B$24,0)</f>
        <v/>
      </c>
      <c r="L48" s="10">
        <f>ROUND($B$6*$B$9*$B$12*$B$17*$B$18*$B$21*$B$23,0)</f>
        <v/>
      </c>
      <c r="M48" s="10">
        <f>ROUND($B$6*$B$9*$B$12*$B$17*$B$18*$B$21*$B$24,0)</f>
        <v/>
      </c>
      <c r="N48" s="10">
        <f>ROUND($B$6*$B$9*$B$12*$B$17*$B$18*$B$22*$B$23,0)</f>
        <v/>
      </c>
      <c r="O48" s="10">
        <f>ROUND($B$6*$B$9*$B$12*$B$17*$B$18*$B$22*$B$24,0)</f>
        <v/>
      </c>
      <c r="P48" s="10">
        <f>ROUND($B$4*$B$9*$B$12*$B$17*$B$19*$B$21*$B$23,0)</f>
        <v/>
      </c>
      <c r="Q48" s="10">
        <f>ROUND($B$4*$B$9*$B$12*$B$17*$B$19*$B$21*$B$24,0)</f>
        <v/>
      </c>
      <c r="R48" s="10">
        <f>ROUND($B$4*$B$9*$B$12*$B$17*$B$19*$B$22*$B$23,0)</f>
        <v/>
      </c>
      <c r="S48" s="10">
        <f>ROUND($B$4*$B$9*$B$12*$B$17*$B$19*$B$22*$B$24,0)</f>
        <v/>
      </c>
      <c r="T48" s="10">
        <f>ROUND($B$5*$B$9*$B$12*$B$17*$B$19*$B$21*$B$23,0)</f>
        <v/>
      </c>
      <c r="U48" s="10">
        <f>ROUND($B$5*$B$9*$B$12*$B$17*$B$19*$B$21*$B$24,0)</f>
        <v/>
      </c>
      <c r="V48" s="10">
        <f>ROUND($B$5*$B$9*$B$12*$B$17*$B$19*$B$22*$B$23,0)</f>
        <v/>
      </c>
      <c r="W48" s="10">
        <f>ROUND($B$5*$B$9*$B$12*$B$17*$B$19*$B$22*$B$24,0)</f>
        <v/>
      </c>
      <c r="X48" s="10">
        <f>ROUND($B$6*$B$9*$B$12*$B$17*$B$19*$B$21*$B$23,0)</f>
        <v/>
      </c>
      <c r="Y48" s="10">
        <f>ROUND($B$6*$B$9*$B$12*$B$17*$B$19*$B$21*$B$24,0)</f>
        <v/>
      </c>
      <c r="Z48" s="10">
        <f>ROUND($B$6*$B$9*$B$12*$B$17*$B$19*$B$22*$B$23,0)</f>
        <v/>
      </c>
      <c r="AA48" s="10">
        <f>ROUND($B$6*$B$9*$B$12*$B$17*$B$19*$B$22*$B$24,0)</f>
        <v/>
      </c>
      <c r="AB48" s="10">
        <f>ROUND($B$4*$B$9*$B$12*$B$17*$B$20*$B$21*$B$23,0)</f>
        <v/>
      </c>
      <c r="AC48" s="10">
        <f>ROUND($B$4*$B$9*$B$12*$B$17*$B$20*$B$21*$B$24,0)</f>
        <v/>
      </c>
      <c r="AD48" s="10">
        <f>ROUND($B$4*$B$9*$B$12*$B$17*$B$20*$B$22*$B$23,0)</f>
        <v/>
      </c>
      <c r="AE48" s="10">
        <f>ROUND($B$4*$B$9*$B$12*$B$17*$B$20*$B$22*$B$24,0)</f>
        <v/>
      </c>
      <c r="AF48" s="10">
        <f>ROUND($B$5*$B$9*$B$12*$B$17*$B$20*$B$21*$B$23,0)</f>
        <v/>
      </c>
      <c r="AG48" s="10">
        <f>ROUND($B$5*$B$9*$B$12*$B$17*$B$20*$B$21*$B$24,0)</f>
        <v/>
      </c>
      <c r="AH48" s="10">
        <f>ROUND($B$5*$B$9*$B$12*$B$17*$B$20*$B$22*$B$23,0)</f>
        <v/>
      </c>
      <c r="AI48" s="10">
        <f>ROUND($B$5*$B$9*$B$12*$B$17*$B$20*$B$22*$B$24,0)</f>
        <v/>
      </c>
      <c r="AJ48" s="10">
        <f>ROUND($B$6*$B$9*$B$12*$B$17*$B$20*$B$21*$B$23,0)</f>
        <v/>
      </c>
      <c r="AK48" s="10">
        <f>ROUND($B$6*$B$9*$B$12*$B$17*$B$20*$B$21*$B$24,0)</f>
        <v/>
      </c>
      <c r="AL48" s="10">
        <f>ROUND($B$6*$B$9*$B$12*$B$17*$B$20*$B$22*$B$23,0)</f>
        <v/>
      </c>
      <c r="AM48" s="10">
        <f>ROUND($B$6*$B$9*$B$12*$B$17*$B$20*$B$22*$B$24,0)</f>
        <v/>
      </c>
    </row>
    <row r="49" ht="20.1" customHeight="1" s="62">
      <c r="A49" s="67" t="n"/>
      <c r="B49" s="57" t="inlineStr">
        <is>
          <t>Criticité élevée</t>
        </is>
      </c>
      <c r="C49" s="14" t="inlineStr">
        <is>
          <t>Données standard</t>
        </is>
      </c>
      <c r="D49" s="10">
        <f>ROUND($B$4*$B$9*$B$13*$B$15*$B$18*$B$21*$B$23,0)</f>
        <v/>
      </c>
      <c r="E49" s="10">
        <f>ROUND($B$4*$B$9*$B$13*$B$15*$B$18*$B$21*$B$24,0)</f>
        <v/>
      </c>
      <c r="F49" s="10">
        <f>ROUND($B$4*$B$9*$B$13*$B$15*$B$18*$B$22*$B$23,0)</f>
        <v/>
      </c>
      <c r="G49" s="10">
        <f>ROUND($B$4*$B$9*$B$13*$B$15*$B$18*$B$22*$B$24,0)</f>
        <v/>
      </c>
      <c r="H49" s="10">
        <f>ROUND($B$5*$B$9*$B$13*$B$15*$B$18*$B$21*$B$23,0)</f>
        <v/>
      </c>
      <c r="I49" s="10">
        <f>ROUND($B$5*$B$9*$B$13*$B$15*$B$18*$B$21*$B$24,0)</f>
        <v/>
      </c>
      <c r="J49" s="10">
        <f>ROUND($B$5*$B$9*$B$13*$B$15*$B$18*$B$22*$B$23,0)</f>
        <v/>
      </c>
      <c r="K49" s="10">
        <f>ROUND($B$5*$B$9*$B$13*$B$15*$B$18*$B$22*$B$24,0)</f>
        <v/>
      </c>
      <c r="L49" s="10">
        <f>ROUND($B$6*$B$9*$B$13*$B$15*$B$18*$B$21*$B$23,0)</f>
        <v/>
      </c>
      <c r="M49" s="10">
        <f>ROUND($B$6*$B$9*$B$13*$B$15*$B$18*$B$21*$B$24,0)</f>
        <v/>
      </c>
      <c r="N49" s="10">
        <f>ROUND($B$6*$B$9*$B$13*$B$15*$B$18*$B$22*$B$23,0)</f>
        <v/>
      </c>
      <c r="O49" s="10">
        <f>ROUND($B$6*$B$9*$B$13*$B$15*$B$18*$B$22*$B$24,0)</f>
        <v/>
      </c>
      <c r="P49" s="10">
        <f>ROUND($B$4*$B$9*$B$13*$B$15*$B$19*$B$21*$B$23,0)</f>
        <v/>
      </c>
      <c r="Q49" s="10">
        <f>ROUND($B$4*$B$9*$B$13*$B$15*$B$19*$B$21*$B$24,0)</f>
        <v/>
      </c>
      <c r="R49" s="10">
        <f>ROUND($B$4*$B$9*$B$13*$B$15*$B$19*$B$22*$B$23,0)</f>
        <v/>
      </c>
      <c r="S49" s="10">
        <f>ROUND($B$4*$B$9*$B$13*$B$15*$B$19*$B$22*$B$24,0)</f>
        <v/>
      </c>
      <c r="T49" s="10">
        <f>ROUND($B$5*$B$9*$B$13*$B$15*$B$19*$B$21*$B$23,0)</f>
        <v/>
      </c>
      <c r="U49" s="10">
        <f>ROUND($B$5*$B$9*$B$13*$B$15*$B$19*$B$21*$B$24,0)</f>
        <v/>
      </c>
      <c r="V49" s="10">
        <f>ROUND($B$5*$B$9*$B$13*$B$15*$B$19*$B$22*$B$23,0)</f>
        <v/>
      </c>
      <c r="W49" s="10">
        <f>ROUND($B$5*$B$9*$B$13*$B$15*$B$19*$B$22*$B$24,0)</f>
        <v/>
      </c>
      <c r="X49" s="10">
        <f>ROUND($B$6*$B$9*$B$13*$B$15*$B$19*$B$21*$B$23,0)</f>
        <v/>
      </c>
      <c r="Y49" s="10">
        <f>ROUND($B$6*$B$9*$B$13*$B$15*$B$19*$B$21*$B$24,0)</f>
        <v/>
      </c>
      <c r="Z49" s="10">
        <f>ROUND($B$6*$B$9*$B$13*$B$15*$B$19*$B$22*$B$23,0)</f>
        <v/>
      </c>
      <c r="AA49" s="10">
        <f>ROUND($B$6*$B$9*$B$13*$B$15*$B$19*$B$22*$B$24,0)</f>
        <v/>
      </c>
      <c r="AB49" s="10">
        <f>ROUND($B$4*$B$9*$B$13*$B$15*$B$20*$B$21*$B$23,0)</f>
        <v/>
      </c>
      <c r="AC49" s="10">
        <f>ROUND($B$4*$B$9*$B$13*$B$15*$B$20*$B$21*$B$24,0)</f>
        <v/>
      </c>
      <c r="AD49" s="10">
        <f>ROUND($B$4*$B$9*$B$13*$B$15*$B$20*$B$22*$B$23,0)</f>
        <v/>
      </c>
      <c r="AE49" s="10">
        <f>ROUND($B$4*$B$9*$B$13*$B$15*$B$20*$B$22*$B$24,0)</f>
        <v/>
      </c>
      <c r="AF49" s="10">
        <f>ROUND($B$5*$B$9*$B$13*$B$15*$B$20*$B$21*$B$23,0)</f>
        <v/>
      </c>
      <c r="AG49" s="10">
        <f>ROUND($B$5*$B$9*$B$13*$B$15*$B$20*$B$21*$B$24,0)</f>
        <v/>
      </c>
      <c r="AH49" s="10">
        <f>ROUND($B$5*$B$9*$B$13*$B$15*$B$20*$B$22*$B$23,0)</f>
        <v/>
      </c>
      <c r="AI49" s="10">
        <f>ROUND($B$5*$B$9*$B$13*$B$15*$B$20*$B$22*$B$24,0)</f>
        <v/>
      </c>
      <c r="AJ49" s="10">
        <f>ROUND($B$6*$B$9*$B$13*$B$15*$B$20*$B$21*$B$23,0)</f>
        <v/>
      </c>
      <c r="AK49" s="10">
        <f>ROUND($B$6*$B$9*$B$13*$B$15*$B$20*$B$21*$B$24,0)</f>
        <v/>
      </c>
      <c r="AL49" s="10">
        <f>ROUND($B$6*$B$9*$B$13*$B$15*$B$20*$B$22*$B$23,0)</f>
        <v/>
      </c>
      <c r="AM49" s="10">
        <f>ROUND($B$6*$B$9*$B$13*$B$15*$B$20*$B$22*$B$24,0)</f>
        <v/>
      </c>
    </row>
    <row r="50" ht="20.1" customHeight="1" s="62">
      <c r="A50" s="67" t="n"/>
      <c r="B50" s="58" t="n"/>
      <c r="C50" s="57" t="inlineStr">
        <is>
          <t>Données sensibles</t>
        </is>
      </c>
      <c r="D50" s="10">
        <f>ROUND($B$4*$B$9*$B$13*$B$16*$B$18*$B$21*$B$23,0)</f>
        <v/>
      </c>
      <c r="E50" s="10">
        <f>ROUND($B$4*$B$9*$B$13*$B$16*$B$18*$B$21*$B$24,0)</f>
        <v/>
      </c>
      <c r="F50" s="10">
        <f>ROUND($B$4*$B$9*$B$13*$B$16*$B$18*$B$22*$B$23,0)</f>
        <v/>
      </c>
      <c r="G50" s="10">
        <f>ROUND($B$4*$B$9*$B$13*$B$16*$B$18*$B$22*$B$24,0)</f>
        <v/>
      </c>
      <c r="H50" s="10">
        <f>ROUND($B$5*$B$9*$B$13*$B$16*$B$18*$B$21*$B$23,0)</f>
        <v/>
      </c>
      <c r="I50" s="10">
        <f>ROUND($B$5*$B$9*$B$13*$B$16*$B$18*$B$21*$B$24,0)</f>
        <v/>
      </c>
      <c r="J50" s="10">
        <f>ROUND($B$5*$B$9*$B$13*$B$16*$B$18*$B$22*$B$23,0)</f>
        <v/>
      </c>
      <c r="K50" s="10">
        <f>ROUND($B$5*$B$9*$B$13*$B$16*$B$18*$B$22*$B$24,0)</f>
        <v/>
      </c>
      <c r="L50" s="10">
        <f>ROUND($B$6*$B$9*$B$13*$B$16*$B$18*$B$21*$B$23,0)</f>
        <v/>
      </c>
      <c r="M50" s="10">
        <f>ROUND($B$6*$B$9*$B$13*$B$16*$B$18*$B$21*$B$24,0)</f>
        <v/>
      </c>
      <c r="N50" s="10">
        <f>ROUND($B$6*$B$9*$B$13*$B$16*$B$18*$B$22*$B$23,0)</f>
        <v/>
      </c>
      <c r="O50" s="10">
        <f>ROUND($B$6*$B$9*$B$13*$B$16*$B$18*$B$22*$B$24,0)</f>
        <v/>
      </c>
      <c r="P50" s="10">
        <f>ROUND($B$4*$B$9*$B$13*$B$16*$B$19*$B$21*$B$23,0)</f>
        <v/>
      </c>
      <c r="Q50" s="10">
        <f>ROUND($B$4*$B$9*$B$13*$B$16*$B$19*$B$21*$B$24,0)</f>
        <v/>
      </c>
      <c r="R50" s="10">
        <f>ROUND($B$4*$B$9*$B$13*$B$16*$B$19*$B$22*$B$23,0)</f>
        <v/>
      </c>
      <c r="S50" s="10">
        <f>ROUND($B$4*$B$9*$B$13*$B$16*$B$19*$B$22*$B$24,0)</f>
        <v/>
      </c>
      <c r="T50" s="10">
        <f>ROUND($B$5*$B$9*$B$13*$B$16*$B$19*$B$21*$B$23,0)</f>
        <v/>
      </c>
      <c r="U50" s="10">
        <f>ROUND($B$5*$B$9*$B$13*$B$16*$B$19*$B$21*$B$24,0)</f>
        <v/>
      </c>
      <c r="V50" s="10">
        <f>ROUND($B$5*$B$9*$B$13*$B$16*$B$19*$B$22*$B$23,0)</f>
        <v/>
      </c>
      <c r="W50" s="10">
        <f>ROUND($B$5*$B$9*$B$13*$B$16*$B$19*$B$22*$B$24,0)</f>
        <v/>
      </c>
      <c r="X50" s="10">
        <f>ROUND($B$6*$B$9*$B$13*$B$16*$B$19*$B$21*$B$23,0)</f>
        <v/>
      </c>
      <c r="Y50" s="10">
        <f>ROUND($B$6*$B$9*$B$13*$B$16*$B$19*$B$21*$B$24,0)</f>
        <v/>
      </c>
      <c r="Z50" s="10">
        <f>ROUND($B$6*$B$9*$B$13*$B$16*$B$19*$B$22*$B$23,0)</f>
        <v/>
      </c>
      <c r="AA50" s="10">
        <f>ROUND($B$6*$B$9*$B$13*$B$16*$B$19*$B$22*$B$24,0)</f>
        <v/>
      </c>
      <c r="AB50" s="10">
        <f>ROUND($B$4*$B$9*$B$13*$B$16*$B$20*$B$21*$B$23,0)</f>
        <v/>
      </c>
      <c r="AC50" s="10">
        <f>ROUND($B$4*$B$9*$B$13*$B$16*$B$20*$B$21*$B$24,0)</f>
        <v/>
      </c>
      <c r="AD50" s="10">
        <f>ROUND($B$4*$B$9*$B$13*$B$16*$B$20*$B$22*$B$23,0)</f>
        <v/>
      </c>
      <c r="AE50" s="10">
        <f>ROUND($B$4*$B$9*$B$13*$B$16*$B$20*$B$22*$B$24,0)</f>
        <v/>
      </c>
      <c r="AF50" s="10">
        <f>ROUND($B$5*$B$9*$B$13*$B$16*$B$20*$B$21*$B$23,0)</f>
        <v/>
      </c>
      <c r="AG50" s="10">
        <f>ROUND($B$5*$B$9*$B$13*$B$16*$B$20*$B$21*$B$24,0)</f>
        <v/>
      </c>
      <c r="AH50" s="10">
        <f>ROUND($B$5*$B$9*$B$13*$B$16*$B$20*$B$22*$B$23,0)</f>
        <v/>
      </c>
      <c r="AI50" s="10">
        <f>ROUND($B$5*$B$9*$B$13*$B$16*$B$20*$B$22*$B$24,0)</f>
        <v/>
      </c>
      <c r="AJ50" s="10">
        <f>ROUND($B$6*$B$9*$B$13*$B$16*$B$20*$B$21*$B$23,0)</f>
        <v/>
      </c>
      <c r="AK50" s="10">
        <f>ROUND($B$6*$B$9*$B$13*$B$16*$B$20*$B$21*$B$24,0)</f>
        <v/>
      </c>
      <c r="AL50" s="10">
        <f>ROUND($B$6*$B$9*$B$13*$B$16*$B$20*$B$22*$B$23,0)</f>
        <v/>
      </c>
      <c r="AM50" s="10">
        <f>ROUND($B$6*$B$9*$B$13*$B$16*$B$20*$B$22*$B$24,0)</f>
        <v/>
      </c>
    </row>
    <row r="51" ht="20.1" customHeight="1" s="62">
      <c r="A51" s="67" t="n"/>
      <c r="B51" s="59" t="n"/>
      <c r="C51" s="15" t="inlineStr">
        <is>
          <t>Données très sensibles</t>
        </is>
      </c>
      <c r="D51" s="10">
        <f>ROUND($B$4*$B$9*$B$13*$B$17*$B$18*$B$21*$B$23,0)</f>
        <v/>
      </c>
      <c r="E51" s="10">
        <f>ROUND($B$4*$B$9*$B$13*$B$17*$B$18*$B$21*$B$24,0)</f>
        <v/>
      </c>
      <c r="F51" s="10">
        <f>ROUND($B$4*$B$9*$B$13*$B$17*$B$18*$B$22*$B$23,0)</f>
        <v/>
      </c>
      <c r="G51" s="10">
        <f>ROUND($B$4*$B$9*$B$13*$B$17*$B$18*$B$22*$B$24,0)</f>
        <v/>
      </c>
      <c r="H51" s="10">
        <f>ROUND($B$5*$B$9*$B$13*$B$17*$B$18*$B$21*$B$23,0)</f>
        <v/>
      </c>
      <c r="I51" s="10">
        <f>ROUND($B$5*$B$9*$B$13*$B$17*$B$18*$B$21*$B$24,0)</f>
        <v/>
      </c>
      <c r="J51" s="10">
        <f>ROUND($B$5*$B$9*$B$13*$B$17*$B$18*$B$22*$B$23,0)</f>
        <v/>
      </c>
      <c r="K51" s="10">
        <f>ROUND($B$5*$B$9*$B$13*$B$17*$B$18*$B$22*$B$24,0)</f>
        <v/>
      </c>
      <c r="L51" s="10">
        <f>ROUND($B$6*$B$9*$B$13*$B$17*$B$18*$B$21*$B$23,0)</f>
        <v/>
      </c>
      <c r="M51" s="10">
        <f>ROUND($B$6*$B$9*$B$13*$B$17*$B$18*$B$21*$B$24,0)</f>
        <v/>
      </c>
      <c r="N51" s="10">
        <f>ROUND($B$6*$B$9*$B$13*$B$17*$B$18*$B$22*$B$23,0)</f>
        <v/>
      </c>
      <c r="O51" s="10">
        <f>ROUND($B$6*$B$9*$B$13*$B$17*$B$18*$B$22*$B$24,0)</f>
        <v/>
      </c>
      <c r="P51" s="10">
        <f>ROUND($B$4*$B$9*$B$13*$B$17*$B$19*$B$21*$B$23,0)</f>
        <v/>
      </c>
      <c r="Q51" s="10">
        <f>ROUND($B$4*$B$9*$B$13*$B$17*$B$19*$B$21*$B$24,0)</f>
        <v/>
      </c>
      <c r="R51" s="10">
        <f>ROUND($B$4*$B$9*$B$13*$B$17*$B$19*$B$22*$B$23,0)</f>
        <v/>
      </c>
      <c r="S51" s="10">
        <f>ROUND($B$4*$B$9*$B$13*$B$17*$B$19*$B$22*$B$24,0)</f>
        <v/>
      </c>
      <c r="T51" s="10">
        <f>ROUND($B$5*$B$9*$B$13*$B$17*$B$19*$B$21*$B$23,0)</f>
        <v/>
      </c>
      <c r="U51" s="10">
        <f>ROUND($B$5*$B$9*$B$13*$B$17*$B$19*$B$21*$B$24,0)</f>
        <v/>
      </c>
      <c r="V51" s="10">
        <f>ROUND($B$5*$B$9*$B$13*$B$17*$B$19*$B$22*$B$23,0)</f>
        <v/>
      </c>
      <c r="W51" s="10">
        <f>ROUND($B$5*$B$9*$B$13*$B$17*$B$19*$B$22*$B$24,0)</f>
        <v/>
      </c>
      <c r="X51" s="10">
        <f>ROUND($B$6*$B$9*$B$13*$B$17*$B$19*$B$21*$B$23,0)</f>
        <v/>
      </c>
      <c r="Y51" s="10">
        <f>ROUND($B$6*$B$9*$B$13*$B$17*$B$19*$B$21*$B$24,0)</f>
        <v/>
      </c>
      <c r="Z51" s="10">
        <f>ROUND($B$6*$B$9*$B$13*$B$17*$B$19*$B$22*$B$23,0)</f>
        <v/>
      </c>
      <c r="AA51" s="10">
        <f>ROUND($B$6*$B$9*$B$13*$B$17*$B$19*$B$22*$B$24,0)</f>
        <v/>
      </c>
      <c r="AB51" s="10">
        <f>ROUND($B$4*$B$9*$B$13*$B$17*$B$20*$B$21*$B$23,0)</f>
        <v/>
      </c>
      <c r="AC51" s="10">
        <f>ROUND($B$4*$B$9*$B$13*$B$17*$B$20*$B$21*$B$24,0)</f>
        <v/>
      </c>
      <c r="AD51" s="10">
        <f>ROUND($B$4*$B$9*$B$13*$B$17*$B$20*$B$22*$B$23,0)</f>
        <v/>
      </c>
      <c r="AE51" s="10">
        <f>ROUND($B$4*$B$9*$B$13*$B$17*$B$20*$B$22*$B$24,0)</f>
        <v/>
      </c>
      <c r="AF51" s="10">
        <f>ROUND($B$5*$B$9*$B$13*$B$17*$B$20*$B$21*$B$23,0)</f>
        <v/>
      </c>
      <c r="AG51" s="10">
        <f>ROUND($B$5*$B$9*$B$13*$B$17*$B$20*$B$21*$B$24,0)</f>
        <v/>
      </c>
      <c r="AH51" s="10">
        <f>ROUND($B$5*$B$9*$B$13*$B$17*$B$20*$B$22*$B$23,0)</f>
        <v/>
      </c>
      <c r="AI51" s="10">
        <f>ROUND($B$5*$B$9*$B$13*$B$17*$B$20*$B$22*$B$24,0)</f>
        <v/>
      </c>
      <c r="AJ51" s="10">
        <f>ROUND($B$6*$B$9*$B$13*$B$17*$B$20*$B$21*$B$23,0)</f>
        <v/>
      </c>
      <c r="AK51" s="10">
        <f>ROUND($B$6*$B$9*$B$13*$B$17*$B$20*$B$21*$B$24,0)</f>
        <v/>
      </c>
      <c r="AL51" s="10">
        <f>ROUND($B$6*$B$9*$B$13*$B$17*$B$20*$B$22*$B$23,0)</f>
        <v/>
      </c>
      <c r="AM51" s="10">
        <f>ROUND($B$6*$B$9*$B$13*$B$17*$B$20*$B$22*$B$24,0)</f>
        <v/>
      </c>
    </row>
    <row r="52" ht="20.1" customHeight="1" s="62">
      <c r="A52" s="67" t="n"/>
      <c r="B52" s="57" t="inlineStr">
        <is>
          <t>Criticité critique</t>
        </is>
      </c>
      <c r="C52" s="14" t="inlineStr">
        <is>
          <t>Données standard</t>
        </is>
      </c>
      <c r="D52" s="10">
        <f>ROUND($B$4*$B$9*$B$14*$B$15*$B$18*$B$21*$B$23,0)</f>
        <v/>
      </c>
      <c r="E52" s="10">
        <f>ROUND($B$4*$B$9*$B$14*$B$15*$B$18*$B$21*$B$24,0)</f>
        <v/>
      </c>
      <c r="F52" s="10">
        <f>ROUND($B$4*$B$9*$B$14*$B$15*$B$18*$B$22*$B$23,0)</f>
        <v/>
      </c>
      <c r="G52" s="10">
        <f>ROUND($B$4*$B$9*$B$14*$B$15*$B$18*$B$22*$B$24,0)</f>
        <v/>
      </c>
      <c r="H52" s="10">
        <f>ROUND($B$5*$B$9*$B$14*$B$15*$B$18*$B$21*$B$23,0)</f>
        <v/>
      </c>
      <c r="I52" s="10">
        <f>ROUND($B$5*$B$9*$B$14*$B$15*$B$18*$B$21*$B$24,0)</f>
        <v/>
      </c>
      <c r="J52" s="10">
        <f>ROUND($B$5*$B$9*$B$14*$B$15*$B$18*$B$22*$B$23,0)</f>
        <v/>
      </c>
      <c r="K52" s="10">
        <f>ROUND($B$5*$B$9*$B$14*$B$15*$B$18*$B$22*$B$24,0)</f>
        <v/>
      </c>
      <c r="L52" s="10">
        <f>ROUND($B$6*$B$9*$B$14*$B$15*$B$18*$B$21*$B$23,0)</f>
        <v/>
      </c>
      <c r="M52" s="10">
        <f>ROUND($B$6*$B$9*$B$14*$B$15*$B$18*$B$21*$B$24,0)</f>
        <v/>
      </c>
      <c r="N52" s="10">
        <f>ROUND($B$6*$B$9*$B$14*$B$15*$B$18*$B$22*$B$23,0)</f>
        <v/>
      </c>
      <c r="O52" s="10">
        <f>ROUND($B$6*$B$9*$B$14*$B$15*$B$18*$B$22*$B$24,0)</f>
        <v/>
      </c>
      <c r="P52" s="10">
        <f>ROUND($B$4*$B$9*$B$14*$B$15*$B$19*$B$21*$B$23,0)</f>
        <v/>
      </c>
      <c r="Q52" s="10">
        <f>ROUND($B$4*$B$9*$B$14*$B$15*$B$19*$B$21*$B$24,0)</f>
        <v/>
      </c>
      <c r="R52" s="10">
        <f>ROUND($B$4*$B$9*$B$14*$B$15*$B$19*$B$22*$B$23,0)</f>
        <v/>
      </c>
      <c r="S52" s="10">
        <f>ROUND($B$4*$B$9*$B$14*$B$15*$B$19*$B$22*$B$24,0)</f>
        <v/>
      </c>
      <c r="T52" s="10">
        <f>ROUND($B$5*$B$9*$B$14*$B$15*$B$19*$B$21*$B$23,0)</f>
        <v/>
      </c>
      <c r="U52" s="10">
        <f>ROUND($B$5*$B$9*$B$14*$B$15*$B$19*$B$21*$B$24,0)</f>
        <v/>
      </c>
      <c r="V52" s="10">
        <f>ROUND($B$5*$B$9*$B$14*$B$15*$B$19*$B$22*$B$23,0)</f>
        <v/>
      </c>
      <c r="W52" s="10">
        <f>ROUND($B$5*$B$9*$B$14*$B$15*$B$19*$B$22*$B$24,0)</f>
        <v/>
      </c>
      <c r="X52" s="10">
        <f>ROUND($B$6*$B$9*$B$14*$B$15*$B$19*$B$21*$B$23,0)</f>
        <v/>
      </c>
      <c r="Y52" s="10">
        <f>ROUND($B$6*$B$9*$B$14*$B$15*$B$19*$B$21*$B$24,0)</f>
        <v/>
      </c>
      <c r="Z52" s="10">
        <f>ROUND($B$6*$B$9*$B$14*$B$15*$B$19*$B$22*$B$23,0)</f>
        <v/>
      </c>
      <c r="AA52" s="10">
        <f>ROUND($B$6*$B$9*$B$14*$B$15*$B$19*$B$22*$B$24,0)</f>
        <v/>
      </c>
      <c r="AB52" s="10">
        <f>ROUND($B$4*$B$9*$B$14*$B$15*$B$20*$B$21*$B$23,0)</f>
        <v/>
      </c>
      <c r="AC52" s="10">
        <f>ROUND($B$4*$B$9*$B$14*$B$15*$B$20*$B$21*$B$24,0)</f>
        <v/>
      </c>
      <c r="AD52" s="10">
        <f>ROUND($B$4*$B$9*$B$14*$B$15*$B$20*$B$22*$B$23,0)</f>
        <v/>
      </c>
      <c r="AE52" s="10">
        <f>ROUND($B$4*$B$9*$B$14*$B$15*$B$20*$B$22*$B$24,0)</f>
        <v/>
      </c>
      <c r="AF52" s="10">
        <f>ROUND($B$5*$B$9*$B$14*$B$15*$B$20*$B$21*$B$23,0)</f>
        <v/>
      </c>
      <c r="AG52" s="10">
        <f>ROUND($B$5*$B$9*$B$14*$B$15*$B$20*$B$21*$B$24,0)</f>
        <v/>
      </c>
      <c r="AH52" s="10">
        <f>ROUND($B$5*$B$9*$B$14*$B$15*$B$20*$B$22*$B$23,0)</f>
        <v/>
      </c>
      <c r="AI52" s="10">
        <f>ROUND($B$5*$B$9*$B$14*$B$15*$B$20*$B$22*$B$24,0)</f>
        <v/>
      </c>
      <c r="AJ52" s="10">
        <f>ROUND($B$6*$B$9*$B$14*$B$15*$B$20*$B$21*$B$23,0)</f>
        <v/>
      </c>
      <c r="AK52" s="10">
        <f>ROUND($B$6*$B$9*$B$14*$B$15*$B$20*$B$21*$B$24,0)</f>
        <v/>
      </c>
      <c r="AL52" s="10">
        <f>ROUND($B$6*$B$9*$B$14*$B$15*$B$20*$B$22*$B$23,0)</f>
        <v/>
      </c>
      <c r="AM52" s="10">
        <f>ROUND($B$6*$B$9*$B$14*$B$15*$B$20*$B$22*$B$24,0)</f>
        <v/>
      </c>
    </row>
    <row r="53" ht="20.1" customHeight="1" s="62">
      <c r="A53" s="67" t="n"/>
      <c r="B53" s="58" t="n"/>
      <c r="C53" s="57" t="inlineStr">
        <is>
          <t>Données sensibles</t>
        </is>
      </c>
      <c r="D53" s="10">
        <f>ROUND($B$4*$B$9*$B$14*$B$16*$B$18*$B$21*$B$23,0)</f>
        <v/>
      </c>
      <c r="E53" s="10">
        <f>ROUND($B$4*$B$9*$B$14*$B$16*$B$18*$B$21*$B$24,0)</f>
        <v/>
      </c>
      <c r="F53" s="10">
        <f>ROUND($B$4*$B$9*$B$14*$B$16*$B$18*$B$22*$B$23,0)</f>
        <v/>
      </c>
      <c r="G53" s="10">
        <f>ROUND($B$4*$B$9*$B$14*$B$16*$B$18*$B$22*$B$24,0)</f>
        <v/>
      </c>
      <c r="H53" s="10">
        <f>ROUND($B$5*$B$9*$B$14*$B$16*$B$18*$B$21*$B$23,0)</f>
        <v/>
      </c>
      <c r="I53" s="10">
        <f>ROUND($B$5*$B$9*$B$14*$B$16*$B$18*$B$21*$B$24,0)</f>
        <v/>
      </c>
      <c r="J53" s="10">
        <f>ROUND($B$5*$B$9*$B$14*$B$16*$B$18*$B$22*$B$23,0)</f>
        <v/>
      </c>
      <c r="K53" s="10">
        <f>ROUND($B$5*$B$9*$B$14*$B$16*$B$18*$B$22*$B$24,0)</f>
        <v/>
      </c>
      <c r="L53" s="10">
        <f>ROUND($B$6*$B$9*$B$14*$B$16*$B$18*$B$21*$B$23,0)</f>
        <v/>
      </c>
      <c r="M53" s="10">
        <f>ROUND($B$6*$B$9*$B$14*$B$16*$B$18*$B$21*$B$24,0)</f>
        <v/>
      </c>
      <c r="N53" s="10">
        <f>ROUND($B$6*$B$9*$B$14*$B$16*$B$18*$B$22*$B$23,0)</f>
        <v/>
      </c>
      <c r="O53" s="10">
        <f>ROUND($B$6*$B$9*$B$14*$B$16*$B$18*$B$22*$B$24,0)</f>
        <v/>
      </c>
      <c r="P53" s="10">
        <f>ROUND($B$4*$B$9*$B$14*$B$16*$B$19*$B$21*$B$23,0)</f>
        <v/>
      </c>
      <c r="Q53" s="10">
        <f>ROUND($B$4*$B$9*$B$14*$B$16*$B$19*$B$21*$B$24,0)</f>
        <v/>
      </c>
      <c r="R53" s="10">
        <f>ROUND($B$4*$B$9*$B$14*$B$16*$B$19*$B$22*$B$23,0)</f>
        <v/>
      </c>
      <c r="S53" s="10">
        <f>ROUND($B$4*$B$9*$B$14*$B$16*$B$19*$B$22*$B$24,0)</f>
        <v/>
      </c>
      <c r="T53" s="10">
        <f>ROUND($B$5*$B$9*$B$14*$B$16*$B$19*$B$21*$B$23,0)</f>
        <v/>
      </c>
      <c r="U53" s="10">
        <f>ROUND($B$5*$B$9*$B$14*$B$16*$B$19*$B$21*$B$24,0)</f>
        <v/>
      </c>
      <c r="V53" s="10">
        <f>ROUND($B$5*$B$9*$B$14*$B$16*$B$19*$B$22*$B$23,0)</f>
        <v/>
      </c>
      <c r="W53" s="10">
        <f>ROUND($B$5*$B$9*$B$14*$B$16*$B$19*$B$22*$B$24,0)</f>
        <v/>
      </c>
      <c r="X53" s="10">
        <f>ROUND($B$6*$B$9*$B$14*$B$16*$B$19*$B$21*$B$23,0)</f>
        <v/>
      </c>
      <c r="Y53" s="10">
        <f>ROUND($B$6*$B$9*$B$14*$B$16*$B$19*$B$21*$B$24,0)</f>
        <v/>
      </c>
      <c r="Z53" s="10">
        <f>ROUND($B$6*$B$9*$B$14*$B$16*$B$19*$B$22*$B$23,0)</f>
        <v/>
      </c>
      <c r="AA53" s="10">
        <f>ROUND($B$6*$B$9*$B$14*$B$16*$B$19*$B$22*$B$24,0)</f>
        <v/>
      </c>
      <c r="AB53" s="10">
        <f>ROUND($B$4*$B$9*$B$14*$B$16*$B$20*$B$21*$B$23,0)</f>
        <v/>
      </c>
      <c r="AC53" s="10">
        <f>ROUND($B$4*$B$9*$B$14*$B$16*$B$20*$B$21*$B$24,0)</f>
        <v/>
      </c>
      <c r="AD53" s="10">
        <f>ROUND($B$4*$B$9*$B$14*$B$16*$B$20*$B$22*$B$23,0)</f>
        <v/>
      </c>
      <c r="AE53" s="10">
        <f>ROUND($B$4*$B$9*$B$14*$B$16*$B$20*$B$22*$B$24,0)</f>
        <v/>
      </c>
      <c r="AF53" s="10">
        <f>ROUND($B$5*$B$9*$B$14*$B$16*$B$20*$B$21*$B$23,0)</f>
        <v/>
      </c>
      <c r="AG53" s="10">
        <f>ROUND($B$5*$B$9*$B$14*$B$16*$B$20*$B$21*$B$24,0)</f>
        <v/>
      </c>
      <c r="AH53" s="10">
        <f>ROUND($B$5*$B$9*$B$14*$B$16*$B$20*$B$22*$B$23,0)</f>
        <v/>
      </c>
      <c r="AI53" s="10">
        <f>ROUND($B$5*$B$9*$B$14*$B$16*$B$20*$B$22*$B$24,0)</f>
        <v/>
      </c>
      <c r="AJ53" s="10">
        <f>ROUND($B$6*$B$9*$B$14*$B$16*$B$20*$B$21*$B$23,0)</f>
        <v/>
      </c>
      <c r="AK53" s="10">
        <f>ROUND($B$6*$B$9*$B$14*$B$16*$B$20*$B$21*$B$24,0)</f>
        <v/>
      </c>
      <c r="AL53" s="10">
        <f>ROUND($B$6*$B$9*$B$14*$B$16*$B$20*$B$22*$B$23,0)</f>
        <v/>
      </c>
      <c r="AM53" s="10">
        <f>ROUND($B$6*$B$9*$B$14*$B$16*$B$20*$B$22*$B$24,0)</f>
        <v/>
      </c>
    </row>
    <row r="54" ht="20.1" customHeight="1" s="62">
      <c r="A54" s="68" t="n"/>
      <c r="B54" s="59" t="n"/>
      <c r="C54" s="15" t="inlineStr">
        <is>
          <t>Données très sensibles</t>
        </is>
      </c>
      <c r="D54" s="10">
        <f>ROUND($B$4*$B$9*$B$14*$B$17*$B$18*$B$21*$B$23,0)</f>
        <v/>
      </c>
      <c r="E54" s="10">
        <f>ROUND($B$4*$B$9*$B$14*$B$17*$B$18*$B$21*$B$24,0)</f>
        <v/>
      </c>
      <c r="F54" s="10">
        <f>ROUND($B$4*$B$9*$B$14*$B$17*$B$18*$B$22*$B$23,0)</f>
        <v/>
      </c>
      <c r="G54" s="10">
        <f>ROUND($B$4*$B$9*$B$14*$B$17*$B$18*$B$22*$B$24,0)</f>
        <v/>
      </c>
      <c r="H54" s="10">
        <f>ROUND($B$5*$B$9*$B$14*$B$17*$B$18*$B$21*$B$23,0)</f>
        <v/>
      </c>
      <c r="I54" s="10">
        <f>ROUND($B$5*$B$9*$B$14*$B$17*$B$18*$B$21*$B$24,0)</f>
        <v/>
      </c>
      <c r="J54" s="10">
        <f>ROUND($B$5*$B$9*$B$14*$B$17*$B$18*$B$22*$B$23,0)</f>
        <v/>
      </c>
      <c r="K54" s="10">
        <f>ROUND($B$5*$B$9*$B$14*$B$17*$B$18*$B$22*$B$24,0)</f>
        <v/>
      </c>
      <c r="L54" s="10">
        <f>ROUND($B$6*$B$9*$B$14*$B$17*$B$18*$B$21*$B$23,0)</f>
        <v/>
      </c>
      <c r="M54" s="10">
        <f>ROUND($B$6*$B$9*$B$14*$B$17*$B$18*$B$21*$B$24,0)</f>
        <v/>
      </c>
      <c r="N54" s="10">
        <f>ROUND($B$6*$B$9*$B$14*$B$17*$B$18*$B$22*$B$23,0)</f>
        <v/>
      </c>
      <c r="O54" s="10">
        <f>ROUND($B$6*$B$9*$B$14*$B$17*$B$18*$B$22*$B$24,0)</f>
        <v/>
      </c>
      <c r="P54" s="10">
        <f>ROUND($B$4*$B$9*$B$14*$B$17*$B$19*$B$21*$B$23,0)</f>
        <v/>
      </c>
      <c r="Q54" s="10">
        <f>ROUND($B$4*$B$9*$B$14*$B$17*$B$19*$B$21*$B$24,0)</f>
        <v/>
      </c>
      <c r="R54" s="10">
        <f>ROUND($B$4*$B$9*$B$14*$B$17*$B$19*$B$22*$B$23,0)</f>
        <v/>
      </c>
      <c r="S54" s="10">
        <f>ROUND($B$4*$B$9*$B$14*$B$17*$B$19*$B$22*$B$24,0)</f>
        <v/>
      </c>
      <c r="T54" s="10">
        <f>ROUND($B$5*$B$9*$B$14*$B$17*$B$19*$B$21*$B$23,0)</f>
        <v/>
      </c>
      <c r="U54" s="10">
        <f>ROUND($B$5*$B$9*$B$14*$B$17*$B$19*$B$21*$B$24,0)</f>
        <v/>
      </c>
      <c r="V54" s="10">
        <f>ROUND($B$5*$B$9*$B$14*$B$17*$B$19*$B$22*$B$23,0)</f>
        <v/>
      </c>
      <c r="W54" s="10">
        <f>ROUND($B$5*$B$9*$B$14*$B$17*$B$19*$B$22*$B$24,0)</f>
        <v/>
      </c>
      <c r="X54" s="10">
        <f>ROUND($B$6*$B$9*$B$14*$B$17*$B$19*$B$21*$B$23,0)</f>
        <v/>
      </c>
      <c r="Y54" s="10">
        <f>ROUND($B$6*$B$9*$B$14*$B$17*$B$19*$B$21*$B$24,0)</f>
        <v/>
      </c>
      <c r="Z54" s="10">
        <f>ROUND($B$6*$B$9*$B$14*$B$17*$B$19*$B$22*$B$23,0)</f>
        <v/>
      </c>
      <c r="AA54" s="10">
        <f>ROUND($B$6*$B$9*$B$14*$B$17*$B$19*$B$22*$B$24,0)</f>
        <v/>
      </c>
      <c r="AB54" s="10">
        <f>ROUND($B$4*$B$9*$B$14*$B$17*$B$20*$B$21*$B$23,0)</f>
        <v/>
      </c>
      <c r="AC54" s="10">
        <f>ROUND($B$4*$B$9*$B$14*$B$17*$B$20*$B$21*$B$24,0)</f>
        <v/>
      </c>
      <c r="AD54" s="10">
        <f>ROUND($B$4*$B$9*$B$14*$B$17*$B$20*$B$22*$B$23,0)</f>
        <v/>
      </c>
      <c r="AE54" s="10">
        <f>ROUND($B$4*$B$9*$B$14*$B$17*$B$20*$B$22*$B$24,0)</f>
        <v/>
      </c>
      <c r="AF54" s="10">
        <f>ROUND($B$5*$B$9*$B$14*$B$17*$B$20*$B$21*$B$23,0)</f>
        <v/>
      </c>
      <c r="AG54" s="10">
        <f>ROUND($B$5*$B$9*$B$14*$B$17*$B$20*$B$21*$B$24,0)</f>
        <v/>
      </c>
      <c r="AH54" s="10">
        <f>ROUND($B$5*$B$9*$B$14*$B$17*$B$20*$B$22*$B$23,0)</f>
        <v/>
      </c>
      <c r="AI54" s="10">
        <f>ROUND($B$5*$B$9*$B$14*$B$17*$B$20*$B$22*$B$24,0)</f>
        <v/>
      </c>
      <c r="AJ54" s="10">
        <f>ROUND($B$6*$B$9*$B$14*$B$17*$B$20*$B$21*$B$23,0)</f>
        <v/>
      </c>
      <c r="AK54" s="10">
        <f>ROUND($B$6*$B$9*$B$14*$B$17*$B$20*$B$21*$B$24,0)</f>
        <v/>
      </c>
      <c r="AL54" s="10">
        <f>ROUND($B$6*$B$9*$B$14*$B$17*$B$20*$B$22*$B$23,0)</f>
        <v/>
      </c>
      <c r="AM54" s="10">
        <f>ROUND($B$6*$B$9*$B$14*$B$17*$B$20*$B$22*$B$24,0)</f>
        <v/>
      </c>
    </row>
    <row r="55" ht="20.1" customHeight="1" s="62">
      <c r="A55" s="66" t="inlineStr">
        <is>
          <t>Grand (100+ util.)</t>
        </is>
      </c>
      <c r="B55" s="57" t="inlineStr">
        <is>
          <t>Criticité faible</t>
        </is>
      </c>
      <c r="C55" s="14" t="inlineStr">
        <is>
          <t>Données standard</t>
        </is>
      </c>
      <c r="D55" s="10">
        <f>ROUND($B$4*$B$10*$B$11*$B$15*$B$18*$B$21*$B$23,0)</f>
        <v/>
      </c>
      <c r="E55" s="10">
        <f>ROUND($B$4*$B$10*$B$11*$B$15*$B$18*$B$21*$B$24,0)</f>
        <v/>
      </c>
      <c r="F55" s="10">
        <f>ROUND($B$4*$B$10*$B$11*$B$15*$B$18*$B$22*$B$23,0)</f>
        <v/>
      </c>
      <c r="G55" s="10">
        <f>ROUND($B$4*$B$10*$B$11*$B$15*$B$18*$B$22*$B$24,0)</f>
        <v/>
      </c>
      <c r="H55" s="10">
        <f>ROUND($B$5*$B$10*$B$11*$B$15*$B$18*$B$21*$B$23,0)</f>
        <v/>
      </c>
      <c r="I55" s="10">
        <f>ROUND($B$5*$B$10*$B$11*$B$15*$B$18*$B$21*$B$24,0)</f>
        <v/>
      </c>
      <c r="J55" s="10">
        <f>ROUND($B$5*$B$10*$B$11*$B$15*$B$18*$B$22*$B$23,0)</f>
        <v/>
      </c>
      <c r="K55" s="10">
        <f>ROUND($B$5*$B$10*$B$11*$B$15*$B$18*$B$22*$B$24,0)</f>
        <v/>
      </c>
      <c r="L55" s="10">
        <f>ROUND($B$6*$B$10*$B$11*$B$15*$B$18*$B$21*$B$23,0)</f>
        <v/>
      </c>
      <c r="M55" s="10">
        <f>ROUND($B$6*$B$10*$B$11*$B$15*$B$18*$B$21*$B$24,0)</f>
        <v/>
      </c>
      <c r="N55" s="10">
        <f>ROUND($B$6*$B$10*$B$11*$B$15*$B$18*$B$22*$B$23,0)</f>
        <v/>
      </c>
      <c r="O55" s="10">
        <f>ROUND($B$6*$B$10*$B$11*$B$15*$B$18*$B$22*$B$24,0)</f>
        <v/>
      </c>
      <c r="P55" s="10">
        <f>ROUND($B$4*$B$10*$B$11*$B$15*$B$19*$B$21*$B$23,0)</f>
        <v/>
      </c>
      <c r="Q55" s="10">
        <f>ROUND($B$4*$B$10*$B$11*$B$15*$B$19*$B$21*$B$24,0)</f>
        <v/>
      </c>
      <c r="R55" s="10">
        <f>ROUND($B$4*$B$10*$B$11*$B$15*$B$19*$B$22*$B$23,0)</f>
        <v/>
      </c>
      <c r="S55" s="10">
        <f>ROUND($B$4*$B$10*$B$11*$B$15*$B$19*$B$22*$B$24,0)</f>
        <v/>
      </c>
      <c r="T55" s="10">
        <f>ROUND($B$5*$B$10*$B$11*$B$15*$B$19*$B$21*$B$23,0)</f>
        <v/>
      </c>
      <c r="U55" s="10">
        <f>ROUND($B$5*$B$10*$B$11*$B$15*$B$19*$B$21*$B$24,0)</f>
        <v/>
      </c>
      <c r="V55" s="10">
        <f>ROUND($B$5*$B$10*$B$11*$B$15*$B$19*$B$22*$B$23,0)</f>
        <v/>
      </c>
      <c r="W55" s="10">
        <f>ROUND($B$5*$B$10*$B$11*$B$15*$B$19*$B$22*$B$24,0)</f>
        <v/>
      </c>
      <c r="X55" s="10">
        <f>ROUND($B$6*$B$10*$B$11*$B$15*$B$19*$B$21*$B$23,0)</f>
        <v/>
      </c>
      <c r="Y55" s="10">
        <f>ROUND($B$6*$B$10*$B$11*$B$15*$B$19*$B$21*$B$24,0)</f>
        <v/>
      </c>
      <c r="Z55" s="10">
        <f>ROUND($B$6*$B$10*$B$11*$B$15*$B$19*$B$22*$B$23,0)</f>
        <v/>
      </c>
      <c r="AA55" s="10">
        <f>ROUND($B$6*$B$10*$B$11*$B$15*$B$19*$B$22*$B$24,0)</f>
        <v/>
      </c>
      <c r="AB55" s="10">
        <f>ROUND($B$4*$B$10*$B$11*$B$15*$B$20*$B$21*$B$23,0)</f>
        <v/>
      </c>
      <c r="AC55" s="10">
        <f>ROUND($B$4*$B$10*$B$11*$B$15*$B$20*$B$21*$B$24,0)</f>
        <v/>
      </c>
      <c r="AD55" s="10">
        <f>ROUND($B$4*$B$10*$B$11*$B$15*$B$20*$B$22*$B$23,0)</f>
        <v/>
      </c>
      <c r="AE55" s="10">
        <f>ROUND($B$4*$B$10*$B$11*$B$15*$B$20*$B$22*$B$24,0)</f>
        <v/>
      </c>
      <c r="AF55" s="10">
        <f>ROUND($B$5*$B$10*$B$11*$B$15*$B$20*$B$21*$B$23,0)</f>
        <v/>
      </c>
      <c r="AG55" s="10">
        <f>ROUND($B$5*$B$10*$B$11*$B$15*$B$20*$B$21*$B$24,0)</f>
        <v/>
      </c>
      <c r="AH55" s="10">
        <f>ROUND($B$5*$B$10*$B$11*$B$15*$B$20*$B$22*$B$23,0)</f>
        <v/>
      </c>
      <c r="AI55" s="10">
        <f>ROUND($B$5*$B$10*$B$11*$B$15*$B$20*$B$22*$B$24,0)</f>
        <v/>
      </c>
      <c r="AJ55" s="10">
        <f>ROUND($B$6*$B$10*$B$11*$B$15*$B$20*$B$21*$B$23,0)</f>
        <v/>
      </c>
      <c r="AK55" s="10">
        <f>ROUND($B$6*$B$10*$B$11*$B$15*$B$20*$B$21*$B$24,0)</f>
        <v/>
      </c>
      <c r="AL55" s="10">
        <f>ROUND($B$6*$B$10*$B$11*$B$15*$B$20*$B$22*$B$23,0)</f>
        <v/>
      </c>
      <c r="AM55" s="10">
        <f>ROUND($B$6*$B$10*$B$11*$B$15*$B$20*$B$22*$B$24,0)</f>
        <v/>
      </c>
    </row>
    <row r="56" ht="20.1" customHeight="1" s="62">
      <c r="A56" s="67" t="n"/>
      <c r="B56" s="58" t="n"/>
      <c r="C56" s="57" t="inlineStr">
        <is>
          <t>Données sensibles</t>
        </is>
      </c>
      <c r="D56" s="10">
        <f>ROUND($B$4*$B$10*$B$11*$B$16*$B$18*$B$21*$B$23,0)</f>
        <v/>
      </c>
      <c r="E56" s="10">
        <f>ROUND($B$4*$B$10*$B$11*$B$16*$B$18*$B$21*$B$24,0)</f>
        <v/>
      </c>
      <c r="F56" s="10">
        <f>ROUND($B$4*$B$10*$B$11*$B$16*$B$18*$B$22*$B$23,0)</f>
        <v/>
      </c>
      <c r="G56" s="10">
        <f>ROUND($B$4*$B$10*$B$11*$B$16*$B$18*$B$22*$B$24,0)</f>
        <v/>
      </c>
      <c r="H56" s="10">
        <f>ROUND($B$5*$B$10*$B$11*$B$16*$B$18*$B$21*$B$23,0)</f>
        <v/>
      </c>
      <c r="I56" s="10">
        <f>ROUND($B$5*$B$10*$B$11*$B$16*$B$18*$B$21*$B$24,0)</f>
        <v/>
      </c>
      <c r="J56" s="10">
        <f>ROUND($B$5*$B$10*$B$11*$B$16*$B$18*$B$22*$B$23,0)</f>
        <v/>
      </c>
      <c r="K56" s="10">
        <f>ROUND($B$5*$B$10*$B$11*$B$16*$B$18*$B$22*$B$24,0)</f>
        <v/>
      </c>
      <c r="L56" s="10">
        <f>ROUND($B$6*$B$10*$B$11*$B$16*$B$18*$B$21*$B$23,0)</f>
        <v/>
      </c>
      <c r="M56" s="10">
        <f>ROUND($B$6*$B$10*$B$11*$B$16*$B$18*$B$21*$B$24,0)</f>
        <v/>
      </c>
      <c r="N56" s="10">
        <f>ROUND($B$6*$B$10*$B$11*$B$16*$B$18*$B$22*$B$23,0)</f>
        <v/>
      </c>
      <c r="O56" s="10">
        <f>ROUND($B$6*$B$10*$B$11*$B$16*$B$18*$B$22*$B$24,0)</f>
        <v/>
      </c>
      <c r="P56" s="10">
        <f>ROUND($B$4*$B$10*$B$11*$B$16*$B$19*$B$21*$B$23,0)</f>
        <v/>
      </c>
      <c r="Q56" s="10">
        <f>ROUND($B$4*$B$10*$B$11*$B$16*$B$19*$B$21*$B$24,0)</f>
        <v/>
      </c>
      <c r="R56" s="10">
        <f>ROUND($B$4*$B$10*$B$11*$B$16*$B$19*$B$22*$B$23,0)</f>
        <v/>
      </c>
      <c r="S56" s="10">
        <f>ROUND($B$4*$B$10*$B$11*$B$16*$B$19*$B$22*$B$24,0)</f>
        <v/>
      </c>
      <c r="T56" s="10">
        <f>ROUND($B$5*$B$10*$B$11*$B$16*$B$19*$B$21*$B$23,0)</f>
        <v/>
      </c>
      <c r="U56" s="10">
        <f>ROUND($B$5*$B$10*$B$11*$B$16*$B$19*$B$21*$B$24,0)</f>
        <v/>
      </c>
      <c r="V56" s="10">
        <f>ROUND($B$5*$B$10*$B$11*$B$16*$B$19*$B$22*$B$23,0)</f>
        <v/>
      </c>
      <c r="W56" s="10">
        <f>ROUND($B$5*$B$10*$B$11*$B$16*$B$19*$B$22*$B$24,0)</f>
        <v/>
      </c>
      <c r="X56" s="10">
        <f>ROUND($B$6*$B$10*$B$11*$B$16*$B$19*$B$21*$B$23,0)</f>
        <v/>
      </c>
      <c r="Y56" s="10">
        <f>ROUND($B$6*$B$10*$B$11*$B$16*$B$19*$B$21*$B$24,0)</f>
        <v/>
      </c>
      <c r="Z56" s="10">
        <f>ROUND($B$6*$B$10*$B$11*$B$16*$B$19*$B$22*$B$23,0)</f>
        <v/>
      </c>
      <c r="AA56" s="10">
        <f>ROUND($B$6*$B$10*$B$11*$B$16*$B$19*$B$22*$B$24,0)</f>
        <v/>
      </c>
      <c r="AB56" s="10">
        <f>ROUND($B$4*$B$10*$B$11*$B$16*$B$20*$B$21*$B$23,0)</f>
        <v/>
      </c>
      <c r="AC56" s="10">
        <f>ROUND($B$4*$B$10*$B$11*$B$16*$B$20*$B$21*$B$24,0)</f>
        <v/>
      </c>
      <c r="AD56" s="10">
        <f>ROUND($B$4*$B$10*$B$11*$B$16*$B$20*$B$22*$B$23,0)</f>
        <v/>
      </c>
      <c r="AE56" s="10">
        <f>ROUND($B$4*$B$10*$B$11*$B$16*$B$20*$B$22*$B$24,0)</f>
        <v/>
      </c>
      <c r="AF56" s="10">
        <f>ROUND($B$5*$B$10*$B$11*$B$16*$B$20*$B$21*$B$23,0)</f>
        <v/>
      </c>
      <c r="AG56" s="10">
        <f>ROUND($B$5*$B$10*$B$11*$B$16*$B$20*$B$21*$B$24,0)</f>
        <v/>
      </c>
      <c r="AH56" s="10">
        <f>ROUND($B$5*$B$10*$B$11*$B$16*$B$20*$B$22*$B$23,0)</f>
        <v/>
      </c>
      <c r="AI56" s="10">
        <f>ROUND($B$5*$B$10*$B$11*$B$16*$B$20*$B$22*$B$24,0)</f>
        <v/>
      </c>
      <c r="AJ56" s="10">
        <f>ROUND($B$6*$B$10*$B$11*$B$16*$B$20*$B$21*$B$23,0)</f>
        <v/>
      </c>
      <c r="AK56" s="10">
        <f>ROUND($B$6*$B$10*$B$11*$B$16*$B$20*$B$21*$B$24,0)</f>
        <v/>
      </c>
      <c r="AL56" s="10">
        <f>ROUND($B$6*$B$10*$B$11*$B$16*$B$20*$B$22*$B$23,0)</f>
        <v/>
      </c>
      <c r="AM56" s="10">
        <f>ROUND($B$6*$B$10*$B$11*$B$16*$B$20*$B$22*$B$24,0)</f>
        <v/>
      </c>
    </row>
    <row r="57" ht="20.1" customHeight="1" s="62">
      <c r="A57" s="67" t="n"/>
      <c r="B57" s="59" t="n"/>
      <c r="C57" s="15" t="inlineStr">
        <is>
          <t>Données très sensibles</t>
        </is>
      </c>
      <c r="D57" s="10">
        <f>ROUND($B$4*$B$10*$B$11*$B$17*$B$18*$B$21*$B$23,0)</f>
        <v/>
      </c>
      <c r="E57" s="10">
        <f>ROUND($B$4*$B$10*$B$11*$B$17*$B$18*$B$21*$B$24,0)</f>
        <v/>
      </c>
      <c r="F57" s="10">
        <f>ROUND($B$4*$B$10*$B$11*$B$17*$B$18*$B$22*$B$23,0)</f>
        <v/>
      </c>
      <c r="G57" s="10">
        <f>ROUND($B$4*$B$10*$B$11*$B$17*$B$18*$B$22*$B$24,0)</f>
        <v/>
      </c>
      <c r="H57" s="10">
        <f>ROUND($B$5*$B$10*$B$11*$B$17*$B$18*$B$21*$B$23,0)</f>
        <v/>
      </c>
      <c r="I57" s="10">
        <f>ROUND($B$5*$B$10*$B$11*$B$17*$B$18*$B$21*$B$24,0)</f>
        <v/>
      </c>
      <c r="J57" s="10">
        <f>ROUND($B$5*$B$10*$B$11*$B$17*$B$18*$B$22*$B$23,0)</f>
        <v/>
      </c>
      <c r="K57" s="10">
        <f>ROUND($B$5*$B$10*$B$11*$B$17*$B$18*$B$22*$B$24,0)</f>
        <v/>
      </c>
      <c r="L57" s="10">
        <f>ROUND($B$6*$B$10*$B$11*$B$17*$B$18*$B$21*$B$23,0)</f>
        <v/>
      </c>
      <c r="M57" s="10">
        <f>ROUND($B$6*$B$10*$B$11*$B$17*$B$18*$B$21*$B$24,0)</f>
        <v/>
      </c>
      <c r="N57" s="10">
        <f>ROUND($B$6*$B$10*$B$11*$B$17*$B$18*$B$22*$B$23,0)</f>
        <v/>
      </c>
      <c r="O57" s="10">
        <f>ROUND($B$6*$B$10*$B$11*$B$17*$B$18*$B$22*$B$24,0)</f>
        <v/>
      </c>
      <c r="P57" s="10">
        <f>ROUND($B$4*$B$10*$B$11*$B$17*$B$19*$B$21*$B$23,0)</f>
        <v/>
      </c>
      <c r="Q57" s="10">
        <f>ROUND($B$4*$B$10*$B$11*$B$17*$B$19*$B$21*$B$24,0)</f>
        <v/>
      </c>
      <c r="R57" s="10">
        <f>ROUND($B$4*$B$10*$B$11*$B$17*$B$19*$B$22*$B$23,0)</f>
        <v/>
      </c>
      <c r="S57" s="10">
        <f>ROUND($B$4*$B$10*$B$11*$B$17*$B$19*$B$22*$B$24,0)</f>
        <v/>
      </c>
      <c r="T57" s="10">
        <f>ROUND($B$5*$B$10*$B$11*$B$17*$B$19*$B$21*$B$23,0)</f>
        <v/>
      </c>
      <c r="U57" s="10">
        <f>ROUND($B$5*$B$10*$B$11*$B$17*$B$19*$B$21*$B$24,0)</f>
        <v/>
      </c>
      <c r="V57" s="10">
        <f>ROUND($B$5*$B$10*$B$11*$B$17*$B$19*$B$22*$B$23,0)</f>
        <v/>
      </c>
      <c r="W57" s="10">
        <f>ROUND($B$5*$B$10*$B$11*$B$17*$B$19*$B$22*$B$24,0)</f>
        <v/>
      </c>
      <c r="X57" s="10">
        <f>ROUND($B$6*$B$10*$B$11*$B$17*$B$19*$B$21*$B$23,0)</f>
        <v/>
      </c>
      <c r="Y57" s="10">
        <f>ROUND($B$6*$B$10*$B$11*$B$17*$B$19*$B$21*$B$24,0)</f>
        <v/>
      </c>
      <c r="Z57" s="10">
        <f>ROUND($B$6*$B$10*$B$11*$B$17*$B$19*$B$22*$B$23,0)</f>
        <v/>
      </c>
      <c r="AA57" s="10">
        <f>ROUND($B$6*$B$10*$B$11*$B$17*$B$19*$B$22*$B$24,0)</f>
        <v/>
      </c>
      <c r="AB57" s="10">
        <f>ROUND($B$4*$B$10*$B$11*$B$17*$B$20*$B$21*$B$23,0)</f>
        <v/>
      </c>
      <c r="AC57" s="10">
        <f>ROUND($B$4*$B$10*$B$11*$B$17*$B$20*$B$21*$B$24,0)</f>
        <v/>
      </c>
      <c r="AD57" s="10">
        <f>ROUND($B$4*$B$10*$B$11*$B$17*$B$20*$B$22*$B$23,0)</f>
        <v/>
      </c>
      <c r="AE57" s="10">
        <f>ROUND($B$4*$B$10*$B$11*$B$17*$B$20*$B$22*$B$24,0)</f>
        <v/>
      </c>
      <c r="AF57" s="10">
        <f>ROUND($B$5*$B$10*$B$11*$B$17*$B$20*$B$21*$B$23,0)</f>
        <v/>
      </c>
      <c r="AG57" s="10">
        <f>ROUND($B$5*$B$10*$B$11*$B$17*$B$20*$B$21*$B$24,0)</f>
        <v/>
      </c>
      <c r="AH57" s="10">
        <f>ROUND($B$5*$B$10*$B$11*$B$17*$B$20*$B$22*$B$23,0)</f>
        <v/>
      </c>
      <c r="AI57" s="10">
        <f>ROUND($B$5*$B$10*$B$11*$B$17*$B$20*$B$22*$B$24,0)</f>
        <v/>
      </c>
      <c r="AJ57" s="10">
        <f>ROUND($B$6*$B$10*$B$11*$B$17*$B$20*$B$21*$B$23,0)</f>
        <v/>
      </c>
      <c r="AK57" s="10">
        <f>ROUND($B$6*$B$10*$B$11*$B$17*$B$20*$B$21*$B$24,0)</f>
        <v/>
      </c>
      <c r="AL57" s="10">
        <f>ROUND($B$6*$B$10*$B$11*$B$17*$B$20*$B$22*$B$23,0)</f>
        <v/>
      </c>
      <c r="AM57" s="10">
        <f>ROUND($B$6*$B$10*$B$11*$B$17*$B$20*$B$22*$B$24,0)</f>
        <v/>
      </c>
    </row>
    <row r="58" ht="20.1" customHeight="1" s="62">
      <c r="A58" s="67" t="n"/>
      <c r="B58" s="57" t="inlineStr">
        <is>
          <t>Criticité modérée</t>
        </is>
      </c>
      <c r="C58" s="14" t="inlineStr">
        <is>
          <t>Données standard</t>
        </is>
      </c>
      <c r="D58" s="10">
        <f>ROUND($B$4*$B$10*$B$12*$B$15*$B$18*$B$21*$B$23,0)</f>
        <v/>
      </c>
      <c r="E58" s="10">
        <f>ROUND($B$4*$B$10*$B$12*$B$15*$B$18*$B$21*$B$24,0)</f>
        <v/>
      </c>
      <c r="F58" s="10">
        <f>ROUND($B$4*$B$10*$B$12*$B$15*$B$18*$B$22*$B$23,0)</f>
        <v/>
      </c>
      <c r="G58" s="10">
        <f>ROUND($B$4*$B$10*$B$12*$B$15*$B$18*$B$22*$B$24,0)</f>
        <v/>
      </c>
      <c r="H58" s="10">
        <f>ROUND($B$5*$B$10*$B$12*$B$15*$B$18*$B$21*$B$23,0)</f>
        <v/>
      </c>
      <c r="I58" s="10">
        <f>ROUND($B$5*$B$10*$B$12*$B$15*$B$18*$B$21*$B$24,0)</f>
        <v/>
      </c>
      <c r="J58" s="10">
        <f>ROUND($B$5*$B$10*$B$12*$B$15*$B$18*$B$22*$B$23,0)</f>
        <v/>
      </c>
      <c r="K58" s="10">
        <f>ROUND($B$5*$B$10*$B$12*$B$15*$B$18*$B$22*$B$24,0)</f>
        <v/>
      </c>
      <c r="L58" s="10">
        <f>ROUND($B$6*$B$10*$B$12*$B$15*$B$18*$B$21*$B$23,0)</f>
        <v/>
      </c>
      <c r="M58" s="10">
        <f>ROUND($B$6*$B$10*$B$12*$B$15*$B$18*$B$21*$B$24,0)</f>
        <v/>
      </c>
      <c r="N58" s="10">
        <f>ROUND($B$6*$B$10*$B$12*$B$15*$B$18*$B$22*$B$23,0)</f>
        <v/>
      </c>
      <c r="O58" s="10">
        <f>ROUND($B$6*$B$10*$B$12*$B$15*$B$18*$B$22*$B$24,0)</f>
        <v/>
      </c>
      <c r="P58" s="10">
        <f>ROUND($B$4*$B$10*$B$12*$B$15*$B$19*$B$21*$B$23,0)</f>
        <v/>
      </c>
      <c r="Q58" s="10">
        <f>ROUND($B$4*$B$10*$B$12*$B$15*$B$19*$B$21*$B$24,0)</f>
        <v/>
      </c>
      <c r="R58" s="10">
        <f>ROUND($B$4*$B$10*$B$12*$B$15*$B$19*$B$22*$B$23,0)</f>
        <v/>
      </c>
      <c r="S58" s="10">
        <f>ROUND($B$4*$B$10*$B$12*$B$15*$B$19*$B$22*$B$24,0)</f>
        <v/>
      </c>
      <c r="T58" s="10">
        <f>ROUND($B$5*$B$10*$B$12*$B$15*$B$19*$B$21*$B$23,0)</f>
        <v/>
      </c>
      <c r="U58" s="10">
        <f>ROUND($B$5*$B$10*$B$12*$B$15*$B$19*$B$21*$B$24,0)</f>
        <v/>
      </c>
      <c r="V58" s="10">
        <f>ROUND($B$5*$B$10*$B$12*$B$15*$B$19*$B$22*$B$23,0)</f>
        <v/>
      </c>
      <c r="W58" s="10">
        <f>ROUND($B$5*$B$10*$B$12*$B$15*$B$19*$B$22*$B$24,0)</f>
        <v/>
      </c>
      <c r="X58" s="10">
        <f>ROUND($B$6*$B$10*$B$12*$B$15*$B$19*$B$21*$B$23,0)</f>
        <v/>
      </c>
      <c r="Y58" s="10">
        <f>ROUND($B$6*$B$10*$B$12*$B$15*$B$19*$B$21*$B$24,0)</f>
        <v/>
      </c>
      <c r="Z58" s="10">
        <f>ROUND($B$6*$B$10*$B$12*$B$15*$B$19*$B$22*$B$23,0)</f>
        <v/>
      </c>
      <c r="AA58" s="10">
        <f>ROUND($B$6*$B$10*$B$12*$B$15*$B$19*$B$22*$B$24,0)</f>
        <v/>
      </c>
      <c r="AB58" s="10">
        <f>ROUND($B$4*$B$10*$B$12*$B$15*$B$20*$B$21*$B$23,0)</f>
        <v/>
      </c>
      <c r="AC58" s="10">
        <f>ROUND($B$4*$B$10*$B$12*$B$15*$B$20*$B$21*$B$24,0)</f>
        <v/>
      </c>
      <c r="AD58" s="10">
        <f>ROUND($B$4*$B$10*$B$12*$B$15*$B$20*$B$22*$B$23,0)</f>
        <v/>
      </c>
      <c r="AE58" s="10">
        <f>ROUND($B$4*$B$10*$B$12*$B$15*$B$20*$B$22*$B$24,0)</f>
        <v/>
      </c>
      <c r="AF58" s="10">
        <f>ROUND($B$5*$B$10*$B$12*$B$15*$B$20*$B$21*$B$23,0)</f>
        <v/>
      </c>
      <c r="AG58" s="10">
        <f>ROUND($B$5*$B$10*$B$12*$B$15*$B$20*$B$21*$B$24,0)</f>
        <v/>
      </c>
      <c r="AH58" s="10">
        <f>ROUND($B$5*$B$10*$B$12*$B$15*$B$20*$B$22*$B$23,0)</f>
        <v/>
      </c>
      <c r="AI58" s="10">
        <f>ROUND($B$5*$B$10*$B$12*$B$15*$B$20*$B$22*$B$24,0)</f>
        <v/>
      </c>
      <c r="AJ58" s="10">
        <f>ROUND($B$6*$B$10*$B$12*$B$15*$B$20*$B$21*$B$23,0)</f>
        <v/>
      </c>
      <c r="AK58" s="10">
        <f>ROUND($B$6*$B$10*$B$12*$B$15*$B$20*$B$21*$B$24,0)</f>
        <v/>
      </c>
      <c r="AL58" s="10">
        <f>ROUND($B$6*$B$10*$B$12*$B$15*$B$20*$B$22*$B$23,0)</f>
        <v/>
      </c>
      <c r="AM58" s="10">
        <f>ROUND($B$6*$B$10*$B$12*$B$15*$B$20*$B$22*$B$24,0)</f>
        <v/>
      </c>
    </row>
    <row r="59" ht="20.1" customHeight="1" s="62">
      <c r="A59" s="67" t="n"/>
      <c r="B59" s="58" t="n"/>
      <c r="C59" s="57" t="inlineStr">
        <is>
          <t>Données sensibles</t>
        </is>
      </c>
      <c r="D59" s="10">
        <f>ROUND($B$4*$B$10*$B$12*$B$16*$B$18*$B$21*$B$23,0)</f>
        <v/>
      </c>
      <c r="E59" s="10">
        <f>ROUND($B$4*$B$10*$B$12*$B$16*$B$18*$B$21*$B$24,0)</f>
        <v/>
      </c>
      <c r="F59" s="10">
        <f>ROUND($B$4*$B$10*$B$12*$B$16*$B$18*$B$22*$B$23,0)</f>
        <v/>
      </c>
      <c r="G59" s="10">
        <f>ROUND($B$4*$B$10*$B$12*$B$16*$B$18*$B$22*$B$24,0)</f>
        <v/>
      </c>
      <c r="H59" s="10">
        <f>ROUND($B$5*$B$10*$B$12*$B$16*$B$18*$B$21*$B$23,0)</f>
        <v/>
      </c>
      <c r="I59" s="10">
        <f>ROUND($B$5*$B$10*$B$12*$B$16*$B$18*$B$21*$B$24,0)</f>
        <v/>
      </c>
      <c r="J59" s="10">
        <f>ROUND($B$5*$B$10*$B$12*$B$16*$B$18*$B$22*$B$23,0)</f>
        <v/>
      </c>
      <c r="K59" s="10">
        <f>ROUND($B$5*$B$10*$B$12*$B$16*$B$18*$B$22*$B$24,0)</f>
        <v/>
      </c>
      <c r="L59" s="10">
        <f>ROUND($B$6*$B$10*$B$12*$B$16*$B$18*$B$21*$B$23,0)</f>
        <v/>
      </c>
      <c r="M59" s="10">
        <f>ROUND($B$6*$B$10*$B$12*$B$16*$B$18*$B$21*$B$24,0)</f>
        <v/>
      </c>
      <c r="N59" s="10">
        <f>ROUND($B$6*$B$10*$B$12*$B$16*$B$18*$B$22*$B$23,0)</f>
        <v/>
      </c>
      <c r="O59" s="10">
        <f>ROUND($B$6*$B$10*$B$12*$B$16*$B$18*$B$22*$B$24,0)</f>
        <v/>
      </c>
      <c r="P59" s="10">
        <f>ROUND($B$4*$B$10*$B$12*$B$16*$B$19*$B$21*$B$23,0)</f>
        <v/>
      </c>
      <c r="Q59" s="10">
        <f>ROUND($B$4*$B$10*$B$12*$B$16*$B$19*$B$21*$B$24,0)</f>
        <v/>
      </c>
      <c r="R59" s="10">
        <f>ROUND($B$4*$B$10*$B$12*$B$16*$B$19*$B$22*$B$23,0)</f>
        <v/>
      </c>
      <c r="S59" s="10">
        <f>ROUND($B$4*$B$10*$B$12*$B$16*$B$19*$B$22*$B$24,0)</f>
        <v/>
      </c>
      <c r="T59" s="10">
        <f>ROUND($B$5*$B$10*$B$12*$B$16*$B$19*$B$21*$B$23,0)</f>
        <v/>
      </c>
      <c r="U59" s="10">
        <f>ROUND($B$5*$B$10*$B$12*$B$16*$B$19*$B$21*$B$24,0)</f>
        <v/>
      </c>
      <c r="V59" s="10">
        <f>ROUND($B$5*$B$10*$B$12*$B$16*$B$19*$B$22*$B$23,0)</f>
        <v/>
      </c>
      <c r="W59" s="10">
        <f>ROUND($B$5*$B$10*$B$12*$B$16*$B$19*$B$22*$B$24,0)</f>
        <v/>
      </c>
      <c r="X59" s="10">
        <f>ROUND($B$6*$B$10*$B$12*$B$16*$B$19*$B$21*$B$23,0)</f>
        <v/>
      </c>
      <c r="Y59" s="10">
        <f>ROUND($B$6*$B$10*$B$12*$B$16*$B$19*$B$21*$B$24,0)</f>
        <v/>
      </c>
      <c r="Z59" s="10">
        <f>ROUND($B$6*$B$10*$B$12*$B$16*$B$19*$B$22*$B$23,0)</f>
        <v/>
      </c>
      <c r="AA59" s="10">
        <f>ROUND($B$6*$B$10*$B$12*$B$16*$B$19*$B$22*$B$24,0)</f>
        <v/>
      </c>
      <c r="AB59" s="10">
        <f>ROUND($B$4*$B$10*$B$12*$B$16*$B$20*$B$21*$B$23,0)</f>
        <v/>
      </c>
      <c r="AC59" s="10">
        <f>ROUND($B$4*$B$10*$B$12*$B$16*$B$20*$B$21*$B$24,0)</f>
        <v/>
      </c>
      <c r="AD59" s="10">
        <f>ROUND($B$4*$B$10*$B$12*$B$16*$B$20*$B$22*$B$23,0)</f>
        <v/>
      </c>
      <c r="AE59" s="10">
        <f>ROUND($B$4*$B$10*$B$12*$B$16*$B$20*$B$22*$B$24,0)</f>
        <v/>
      </c>
      <c r="AF59" s="10">
        <f>ROUND($B$5*$B$10*$B$12*$B$16*$B$20*$B$21*$B$23,0)</f>
        <v/>
      </c>
      <c r="AG59" s="10">
        <f>ROUND($B$5*$B$10*$B$12*$B$16*$B$20*$B$21*$B$24,0)</f>
        <v/>
      </c>
      <c r="AH59" s="10">
        <f>ROUND($B$5*$B$10*$B$12*$B$16*$B$20*$B$22*$B$23,0)</f>
        <v/>
      </c>
      <c r="AI59" s="10">
        <f>ROUND($B$5*$B$10*$B$12*$B$16*$B$20*$B$22*$B$24,0)</f>
        <v/>
      </c>
      <c r="AJ59" s="10">
        <f>ROUND($B$6*$B$10*$B$12*$B$16*$B$20*$B$21*$B$23,0)</f>
        <v/>
      </c>
      <c r="AK59" s="10">
        <f>ROUND($B$6*$B$10*$B$12*$B$16*$B$20*$B$21*$B$24,0)</f>
        <v/>
      </c>
      <c r="AL59" s="10">
        <f>ROUND($B$6*$B$10*$B$12*$B$16*$B$20*$B$22*$B$23,0)</f>
        <v/>
      </c>
      <c r="AM59" s="10">
        <f>ROUND($B$6*$B$10*$B$12*$B$16*$B$20*$B$22*$B$24,0)</f>
        <v/>
      </c>
    </row>
    <row r="60" ht="20.1" customHeight="1" s="62">
      <c r="A60" s="67" t="n"/>
      <c r="B60" s="59" t="n"/>
      <c r="C60" s="15" t="inlineStr">
        <is>
          <t>Données très sensibles</t>
        </is>
      </c>
      <c r="D60" s="10">
        <f>ROUND($B$4*$B$10*$B$12*$B$17*$B$18*$B$21*$B$23,0)</f>
        <v/>
      </c>
      <c r="E60" s="10">
        <f>ROUND($B$4*$B$10*$B$12*$B$17*$B$18*$B$21*$B$24,0)</f>
        <v/>
      </c>
      <c r="F60" s="10">
        <f>ROUND($B$4*$B$10*$B$12*$B$17*$B$18*$B$22*$B$23,0)</f>
        <v/>
      </c>
      <c r="G60" s="10">
        <f>ROUND($B$4*$B$10*$B$12*$B$17*$B$18*$B$22*$B$24,0)</f>
        <v/>
      </c>
      <c r="H60" s="10">
        <f>ROUND($B$5*$B$10*$B$12*$B$17*$B$18*$B$21*$B$23,0)</f>
        <v/>
      </c>
      <c r="I60" s="10">
        <f>ROUND($B$5*$B$10*$B$12*$B$17*$B$18*$B$21*$B$24,0)</f>
        <v/>
      </c>
      <c r="J60" s="10">
        <f>ROUND($B$5*$B$10*$B$12*$B$17*$B$18*$B$22*$B$23,0)</f>
        <v/>
      </c>
      <c r="K60" s="10">
        <f>ROUND($B$5*$B$10*$B$12*$B$17*$B$18*$B$22*$B$24,0)</f>
        <v/>
      </c>
      <c r="L60" s="10">
        <f>ROUND($B$6*$B$10*$B$12*$B$17*$B$18*$B$21*$B$23,0)</f>
        <v/>
      </c>
      <c r="M60" s="10">
        <f>ROUND($B$6*$B$10*$B$12*$B$17*$B$18*$B$21*$B$24,0)</f>
        <v/>
      </c>
      <c r="N60" s="10">
        <f>ROUND($B$6*$B$10*$B$12*$B$17*$B$18*$B$22*$B$23,0)</f>
        <v/>
      </c>
      <c r="O60" s="10">
        <f>ROUND($B$6*$B$10*$B$12*$B$17*$B$18*$B$22*$B$24,0)</f>
        <v/>
      </c>
      <c r="P60" s="10">
        <f>ROUND($B$4*$B$10*$B$12*$B$17*$B$19*$B$21*$B$23,0)</f>
        <v/>
      </c>
      <c r="Q60" s="10">
        <f>ROUND($B$4*$B$10*$B$12*$B$17*$B$19*$B$21*$B$24,0)</f>
        <v/>
      </c>
      <c r="R60" s="10">
        <f>ROUND($B$4*$B$10*$B$12*$B$17*$B$19*$B$22*$B$23,0)</f>
        <v/>
      </c>
      <c r="S60" s="10">
        <f>ROUND($B$4*$B$10*$B$12*$B$17*$B$19*$B$22*$B$24,0)</f>
        <v/>
      </c>
      <c r="T60" s="10">
        <f>ROUND($B$5*$B$10*$B$12*$B$17*$B$19*$B$21*$B$23,0)</f>
        <v/>
      </c>
      <c r="U60" s="10">
        <f>ROUND($B$5*$B$10*$B$12*$B$17*$B$19*$B$21*$B$24,0)</f>
        <v/>
      </c>
      <c r="V60" s="10">
        <f>ROUND($B$5*$B$10*$B$12*$B$17*$B$19*$B$22*$B$23,0)</f>
        <v/>
      </c>
      <c r="W60" s="10">
        <f>ROUND($B$5*$B$10*$B$12*$B$17*$B$19*$B$22*$B$24,0)</f>
        <v/>
      </c>
      <c r="X60" s="10">
        <f>ROUND($B$6*$B$10*$B$12*$B$17*$B$19*$B$21*$B$23,0)</f>
        <v/>
      </c>
      <c r="Y60" s="10">
        <f>ROUND($B$6*$B$10*$B$12*$B$17*$B$19*$B$21*$B$24,0)</f>
        <v/>
      </c>
      <c r="Z60" s="10">
        <f>ROUND($B$6*$B$10*$B$12*$B$17*$B$19*$B$22*$B$23,0)</f>
        <v/>
      </c>
      <c r="AA60" s="10">
        <f>ROUND($B$6*$B$10*$B$12*$B$17*$B$19*$B$22*$B$24,0)</f>
        <v/>
      </c>
      <c r="AB60" s="10">
        <f>ROUND($B$4*$B$10*$B$12*$B$17*$B$20*$B$21*$B$23,0)</f>
        <v/>
      </c>
      <c r="AC60" s="10">
        <f>ROUND($B$4*$B$10*$B$12*$B$17*$B$20*$B$21*$B$24,0)</f>
        <v/>
      </c>
      <c r="AD60" s="10">
        <f>ROUND($B$4*$B$10*$B$12*$B$17*$B$20*$B$22*$B$23,0)</f>
        <v/>
      </c>
      <c r="AE60" s="10">
        <f>ROUND($B$4*$B$10*$B$12*$B$17*$B$20*$B$22*$B$24,0)</f>
        <v/>
      </c>
      <c r="AF60" s="10">
        <f>ROUND($B$5*$B$10*$B$12*$B$17*$B$20*$B$21*$B$23,0)</f>
        <v/>
      </c>
      <c r="AG60" s="10">
        <f>ROUND($B$5*$B$10*$B$12*$B$17*$B$20*$B$21*$B$24,0)</f>
        <v/>
      </c>
      <c r="AH60" s="10">
        <f>ROUND($B$5*$B$10*$B$12*$B$17*$B$20*$B$22*$B$23,0)</f>
        <v/>
      </c>
      <c r="AI60" s="10">
        <f>ROUND($B$5*$B$10*$B$12*$B$17*$B$20*$B$22*$B$24,0)</f>
        <v/>
      </c>
      <c r="AJ60" s="10">
        <f>ROUND($B$6*$B$10*$B$12*$B$17*$B$20*$B$21*$B$23,0)</f>
        <v/>
      </c>
      <c r="AK60" s="10">
        <f>ROUND($B$6*$B$10*$B$12*$B$17*$B$20*$B$21*$B$24,0)</f>
        <v/>
      </c>
      <c r="AL60" s="10">
        <f>ROUND($B$6*$B$10*$B$12*$B$17*$B$20*$B$22*$B$23,0)</f>
        <v/>
      </c>
      <c r="AM60" s="10">
        <f>ROUND($B$6*$B$10*$B$12*$B$17*$B$20*$B$22*$B$24,0)</f>
        <v/>
      </c>
    </row>
    <row r="61" ht="20.1" customHeight="1" s="62">
      <c r="A61" s="67" t="n"/>
      <c r="B61" s="57" t="inlineStr">
        <is>
          <t>Criticité élevée</t>
        </is>
      </c>
      <c r="C61" s="14" t="inlineStr">
        <is>
          <t>Données standard</t>
        </is>
      </c>
      <c r="D61" s="10">
        <f>ROUND($B$4*$B$10*$B$13*$B$15*$B$18*$B$21*$B$23,0)</f>
        <v/>
      </c>
      <c r="E61" s="10">
        <f>ROUND($B$4*$B$10*$B$13*$B$15*$B$18*$B$21*$B$24,0)</f>
        <v/>
      </c>
      <c r="F61" s="10">
        <f>ROUND($B$4*$B$10*$B$13*$B$15*$B$18*$B$22*$B$23,0)</f>
        <v/>
      </c>
      <c r="G61" s="10">
        <f>ROUND($B$4*$B$10*$B$13*$B$15*$B$18*$B$22*$B$24,0)</f>
        <v/>
      </c>
      <c r="H61" s="10">
        <f>ROUND($B$5*$B$10*$B$13*$B$15*$B$18*$B$21*$B$23,0)</f>
        <v/>
      </c>
      <c r="I61" s="10">
        <f>ROUND($B$5*$B$10*$B$13*$B$15*$B$18*$B$21*$B$24,0)</f>
        <v/>
      </c>
      <c r="J61" s="10">
        <f>ROUND($B$5*$B$10*$B$13*$B$15*$B$18*$B$22*$B$23,0)</f>
        <v/>
      </c>
      <c r="K61" s="10">
        <f>ROUND($B$5*$B$10*$B$13*$B$15*$B$18*$B$22*$B$24,0)</f>
        <v/>
      </c>
      <c r="L61" s="10">
        <f>ROUND($B$6*$B$10*$B$13*$B$15*$B$18*$B$21*$B$23,0)</f>
        <v/>
      </c>
      <c r="M61" s="10">
        <f>ROUND($B$6*$B$10*$B$13*$B$15*$B$18*$B$21*$B$24,0)</f>
        <v/>
      </c>
      <c r="N61" s="10">
        <f>ROUND($B$6*$B$10*$B$13*$B$15*$B$18*$B$22*$B$23,0)</f>
        <v/>
      </c>
      <c r="O61" s="10">
        <f>ROUND($B$6*$B$10*$B$13*$B$15*$B$18*$B$22*$B$24,0)</f>
        <v/>
      </c>
      <c r="P61" s="10">
        <f>ROUND($B$4*$B$10*$B$13*$B$15*$B$19*$B$21*$B$23,0)</f>
        <v/>
      </c>
      <c r="Q61" s="10">
        <f>ROUND($B$4*$B$10*$B$13*$B$15*$B$19*$B$21*$B$24,0)</f>
        <v/>
      </c>
      <c r="R61" s="10">
        <f>ROUND($B$4*$B$10*$B$13*$B$15*$B$19*$B$22*$B$23,0)</f>
        <v/>
      </c>
      <c r="S61" s="10">
        <f>ROUND($B$4*$B$10*$B$13*$B$15*$B$19*$B$22*$B$24,0)</f>
        <v/>
      </c>
      <c r="T61" s="10">
        <f>ROUND($B$5*$B$10*$B$13*$B$15*$B$19*$B$21*$B$23,0)</f>
        <v/>
      </c>
      <c r="U61" s="10">
        <f>ROUND($B$5*$B$10*$B$13*$B$15*$B$19*$B$21*$B$24,0)</f>
        <v/>
      </c>
      <c r="V61" s="10">
        <f>ROUND($B$5*$B$10*$B$13*$B$15*$B$19*$B$22*$B$23,0)</f>
        <v/>
      </c>
      <c r="W61" s="10">
        <f>ROUND($B$5*$B$10*$B$13*$B$15*$B$19*$B$22*$B$24,0)</f>
        <v/>
      </c>
      <c r="X61" s="10">
        <f>ROUND($B$6*$B$10*$B$13*$B$15*$B$19*$B$21*$B$23,0)</f>
        <v/>
      </c>
      <c r="Y61" s="10">
        <f>ROUND($B$6*$B$10*$B$13*$B$15*$B$19*$B$21*$B$24,0)</f>
        <v/>
      </c>
      <c r="Z61" s="10">
        <f>ROUND($B$6*$B$10*$B$13*$B$15*$B$19*$B$22*$B$23,0)</f>
        <v/>
      </c>
      <c r="AA61" s="10">
        <f>ROUND($B$6*$B$10*$B$13*$B$15*$B$19*$B$22*$B$24,0)</f>
        <v/>
      </c>
      <c r="AB61" s="10">
        <f>ROUND($B$4*$B$10*$B$13*$B$15*$B$20*$B$21*$B$23,0)</f>
        <v/>
      </c>
      <c r="AC61" s="10">
        <f>ROUND($B$4*$B$10*$B$13*$B$15*$B$20*$B$21*$B$24,0)</f>
        <v/>
      </c>
      <c r="AD61" s="10">
        <f>ROUND($B$4*$B$10*$B$13*$B$15*$B$20*$B$22*$B$23,0)</f>
        <v/>
      </c>
      <c r="AE61" s="10">
        <f>ROUND($B$4*$B$10*$B$13*$B$15*$B$20*$B$22*$B$24,0)</f>
        <v/>
      </c>
      <c r="AF61" s="10">
        <f>ROUND($B$5*$B$10*$B$13*$B$15*$B$20*$B$21*$B$23,0)</f>
        <v/>
      </c>
      <c r="AG61" s="10">
        <f>ROUND($B$5*$B$10*$B$13*$B$15*$B$20*$B$21*$B$24,0)</f>
        <v/>
      </c>
      <c r="AH61" s="10">
        <f>ROUND($B$5*$B$10*$B$13*$B$15*$B$20*$B$22*$B$23,0)</f>
        <v/>
      </c>
      <c r="AI61" s="10">
        <f>ROUND($B$5*$B$10*$B$13*$B$15*$B$20*$B$22*$B$24,0)</f>
        <v/>
      </c>
      <c r="AJ61" s="10">
        <f>ROUND($B$6*$B$10*$B$13*$B$15*$B$20*$B$21*$B$23,0)</f>
        <v/>
      </c>
      <c r="AK61" s="10">
        <f>ROUND($B$6*$B$10*$B$13*$B$15*$B$20*$B$21*$B$24,0)</f>
        <v/>
      </c>
      <c r="AL61" s="10">
        <f>ROUND($B$6*$B$10*$B$13*$B$15*$B$20*$B$22*$B$23,0)</f>
        <v/>
      </c>
      <c r="AM61" s="10">
        <f>ROUND($B$6*$B$10*$B$13*$B$15*$B$20*$B$22*$B$24,0)</f>
        <v/>
      </c>
    </row>
    <row r="62" ht="20.1" customHeight="1" s="62">
      <c r="A62" s="67" t="n"/>
      <c r="B62" s="58" t="n"/>
      <c r="C62" s="57" t="inlineStr">
        <is>
          <t>Données sensibles</t>
        </is>
      </c>
      <c r="D62" s="10">
        <f>ROUND($B$4*$B$10*$B$13*$B$16*$B$18*$B$21*$B$23,0)</f>
        <v/>
      </c>
      <c r="E62" s="10">
        <f>ROUND($B$4*$B$10*$B$13*$B$16*$B$18*$B$21*$B$24,0)</f>
        <v/>
      </c>
      <c r="F62" s="10">
        <f>ROUND($B$4*$B$10*$B$13*$B$16*$B$18*$B$22*$B$23,0)</f>
        <v/>
      </c>
      <c r="G62" s="10">
        <f>ROUND($B$4*$B$10*$B$13*$B$16*$B$18*$B$22*$B$24,0)</f>
        <v/>
      </c>
      <c r="H62" s="10">
        <f>ROUND($B$5*$B$10*$B$13*$B$16*$B$18*$B$21*$B$23,0)</f>
        <v/>
      </c>
      <c r="I62" s="10">
        <f>ROUND($B$5*$B$10*$B$13*$B$16*$B$18*$B$21*$B$24,0)</f>
        <v/>
      </c>
      <c r="J62" s="10">
        <f>ROUND($B$5*$B$10*$B$13*$B$16*$B$18*$B$22*$B$23,0)</f>
        <v/>
      </c>
      <c r="K62" s="10">
        <f>ROUND($B$5*$B$10*$B$13*$B$16*$B$18*$B$22*$B$24,0)</f>
        <v/>
      </c>
      <c r="L62" s="10">
        <f>ROUND($B$6*$B$10*$B$13*$B$16*$B$18*$B$21*$B$23,0)</f>
        <v/>
      </c>
      <c r="M62" s="10">
        <f>ROUND($B$6*$B$10*$B$13*$B$16*$B$18*$B$21*$B$24,0)</f>
        <v/>
      </c>
      <c r="N62" s="10">
        <f>ROUND($B$6*$B$10*$B$13*$B$16*$B$18*$B$22*$B$23,0)</f>
        <v/>
      </c>
      <c r="O62" s="10">
        <f>ROUND($B$6*$B$10*$B$13*$B$16*$B$18*$B$22*$B$24,0)</f>
        <v/>
      </c>
      <c r="P62" s="10">
        <f>ROUND($B$4*$B$10*$B$13*$B$16*$B$19*$B$21*$B$23,0)</f>
        <v/>
      </c>
      <c r="Q62" s="10">
        <f>ROUND($B$4*$B$10*$B$13*$B$16*$B$19*$B$21*$B$24,0)</f>
        <v/>
      </c>
      <c r="R62" s="10">
        <f>ROUND($B$4*$B$10*$B$13*$B$16*$B$19*$B$22*$B$23,0)</f>
        <v/>
      </c>
      <c r="S62" s="10">
        <f>ROUND($B$4*$B$10*$B$13*$B$16*$B$19*$B$22*$B$24,0)</f>
        <v/>
      </c>
      <c r="T62" s="10">
        <f>ROUND($B$5*$B$10*$B$13*$B$16*$B$19*$B$21*$B$23,0)</f>
        <v/>
      </c>
      <c r="U62" s="10">
        <f>ROUND($B$5*$B$10*$B$13*$B$16*$B$19*$B$21*$B$24,0)</f>
        <v/>
      </c>
      <c r="V62" s="10">
        <f>ROUND($B$5*$B$10*$B$13*$B$16*$B$19*$B$22*$B$23,0)</f>
        <v/>
      </c>
      <c r="W62" s="10">
        <f>ROUND($B$5*$B$10*$B$13*$B$16*$B$19*$B$22*$B$24,0)</f>
        <v/>
      </c>
      <c r="X62" s="10">
        <f>ROUND($B$6*$B$10*$B$13*$B$16*$B$19*$B$21*$B$23,0)</f>
        <v/>
      </c>
      <c r="Y62" s="10">
        <f>ROUND($B$6*$B$10*$B$13*$B$16*$B$19*$B$21*$B$24,0)</f>
        <v/>
      </c>
      <c r="Z62" s="10">
        <f>ROUND($B$6*$B$10*$B$13*$B$16*$B$19*$B$22*$B$23,0)</f>
        <v/>
      </c>
      <c r="AA62" s="10">
        <f>ROUND($B$6*$B$10*$B$13*$B$16*$B$19*$B$22*$B$24,0)</f>
        <v/>
      </c>
      <c r="AB62" s="10">
        <f>ROUND($B$4*$B$10*$B$13*$B$16*$B$20*$B$21*$B$23,0)</f>
        <v/>
      </c>
      <c r="AC62" s="10">
        <f>ROUND($B$4*$B$10*$B$13*$B$16*$B$20*$B$21*$B$24,0)</f>
        <v/>
      </c>
      <c r="AD62" s="10">
        <f>ROUND($B$4*$B$10*$B$13*$B$16*$B$20*$B$22*$B$23,0)</f>
        <v/>
      </c>
      <c r="AE62" s="10">
        <f>ROUND($B$4*$B$10*$B$13*$B$16*$B$20*$B$22*$B$24,0)</f>
        <v/>
      </c>
      <c r="AF62" s="10">
        <f>ROUND($B$5*$B$10*$B$13*$B$16*$B$20*$B$21*$B$23,0)</f>
        <v/>
      </c>
      <c r="AG62" s="10">
        <f>ROUND($B$5*$B$10*$B$13*$B$16*$B$20*$B$21*$B$24,0)</f>
        <v/>
      </c>
      <c r="AH62" s="10">
        <f>ROUND($B$5*$B$10*$B$13*$B$16*$B$20*$B$22*$B$23,0)</f>
        <v/>
      </c>
      <c r="AI62" s="10">
        <f>ROUND($B$5*$B$10*$B$13*$B$16*$B$20*$B$22*$B$24,0)</f>
        <v/>
      </c>
      <c r="AJ62" s="10">
        <f>ROUND($B$6*$B$10*$B$13*$B$16*$B$20*$B$21*$B$23,0)</f>
        <v/>
      </c>
      <c r="AK62" s="10">
        <f>ROUND($B$6*$B$10*$B$13*$B$16*$B$20*$B$21*$B$24,0)</f>
        <v/>
      </c>
      <c r="AL62" s="10">
        <f>ROUND($B$6*$B$10*$B$13*$B$16*$B$20*$B$22*$B$23,0)</f>
        <v/>
      </c>
      <c r="AM62" s="10">
        <f>ROUND($B$6*$B$10*$B$13*$B$16*$B$20*$B$22*$B$24,0)</f>
        <v/>
      </c>
    </row>
    <row r="63" ht="20.1" customHeight="1" s="62">
      <c r="A63" s="67" t="n"/>
      <c r="B63" s="59" t="n"/>
      <c r="C63" s="15" t="inlineStr">
        <is>
          <t>Données très sensibles</t>
        </is>
      </c>
      <c r="D63" s="10">
        <f>ROUND($B$4*$B$10*$B$13*$B$17*$B$18*$B$21*$B$23,0)</f>
        <v/>
      </c>
      <c r="E63" s="10">
        <f>ROUND($B$4*$B$10*$B$13*$B$17*$B$18*$B$21*$B$24,0)</f>
        <v/>
      </c>
      <c r="F63" s="10">
        <f>ROUND($B$4*$B$10*$B$13*$B$17*$B$18*$B$22*$B$23,0)</f>
        <v/>
      </c>
      <c r="G63" s="10">
        <f>ROUND($B$4*$B$10*$B$13*$B$17*$B$18*$B$22*$B$24,0)</f>
        <v/>
      </c>
      <c r="H63" s="10">
        <f>ROUND($B$5*$B$10*$B$13*$B$17*$B$18*$B$21*$B$23,0)</f>
        <v/>
      </c>
      <c r="I63" s="10">
        <f>ROUND($B$5*$B$10*$B$13*$B$17*$B$18*$B$21*$B$24,0)</f>
        <v/>
      </c>
      <c r="J63" s="10">
        <f>ROUND($B$5*$B$10*$B$13*$B$17*$B$18*$B$22*$B$23,0)</f>
        <v/>
      </c>
      <c r="K63" s="10">
        <f>ROUND($B$5*$B$10*$B$13*$B$17*$B$18*$B$22*$B$24,0)</f>
        <v/>
      </c>
      <c r="L63" s="10">
        <f>ROUND($B$6*$B$10*$B$13*$B$17*$B$18*$B$21*$B$23,0)</f>
        <v/>
      </c>
      <c r="M63" s="10">
        <f>ROUND($B$6*$B$10*$B$13*$B$17*$B$18*$B$21*$B$24,0)</f>
        <v/>
      </c>
      <c r="N63" s="10">
        <f>ROUND($B$6*$B$10*$B$13*$B$17*$B$18*$B$22*$B$23,0)</f>
        <v/>
      </c>
      <c r="O63" s="10">
        <f>ROUND($B$6*$B$10*$B$13*$B$17*$B$18*$B$22*$B$24,0)</f>
        <v/>
      </c>
      <c r="P63" s="10">
        <f>ROUND($B$4*$B$10*$B$13*$B$17*$B$19*$B$21*$B$23,0)</f>
        <v/>
      </c>
      <c r="Q63" s="10">
        <f>ROUND($B$4*$B$10*$B$13*$B$17*$B$19*$B$21*$B$24,0)</f>
        <v/>
      </c>
      <c r="R63" s="10">
        <f>ROUND($B$4*$B$10*$B$13*$B$17*$B$19*$B$22*$B$23,0)</f>
        <v/>
      </c>
      <c r="S63" s="10">
        <f>ROUND($B$4*$B$10*$B$13*$B$17*$B$19*$B$22*$B$24,0)</f>
        <v/>
      </c>
      <c r="T63" s="10">
        <f>ROUND($B$5*$B$10*$B$13*$B$17*$B$19*$B$21*$B$23,0)</f>
        <v/>
      </c>
      <c r="U63" s="10">
        <f>ROUND($B$5*$B$10*$B$13*$B$17*$B$19*$B$21*$B$24,0)</f>
        <v/>
      </c>
      <c r="V63" s="10">
        <f>ROUND($B$5*$B$10*$B$13*$B$17*$B$19*$B$22*$B$23,0)</f>
        <v/>
      </c>
      <c r="W63" s="10">
        <f>ROUND($B$5*$B$10*$B$13*$B$17*$B$19*$B$22*$B$24,0)</f>
        <v/>
      </c>
      <c r="X63" s="10">
        <f>ROUND($B$6*$B$10*$B$13*$B$17*$B$19*$B$21*$B$23,0)</f>
        <v/>
      </c>
      <c r="Y63" s="10">
        <f>ROUND($B$6*$B$10*$B$13*$B$17*$B$19*$B$21*$B$24,0)</f>
        <v/>
      </c>
      <c r="Z63" s="10">
        <f>ROUND($B$6*$B$10*$B$13*$B$17*$B$19*$B$22*$B$23,0)</f>
        <v/>
      </c>
      <c r="AA63" s="10">
        <f>ROUND($B$6*$B$10*$B$13*$B$17*$B$19*$B$22*$B$24,0)</f>
        <v/>
      </c>
      <c r="AB63" s="10">
        <f>ROUND($B$4*$B$10*$B$13*$B$17*$B$20*$B$21*$B$23,0)</f>
        <v/>
      </c>
      <c r="AC63" s="10">
        <f>ROUND($B$4*$B$10*$B$13*$B$17*$B$20*$B$21*$B$24,0)</f>
        <v/>
      </c>
      <c r="AD63" s="10">
        <f>ROUND($B$4*$B$10*$B$13*$B$17*$B$20*$B$22*$B$23,0)</f>
        <v/>
      </c>
      <c r="AE63" s="10">
        <f>ROUND($B$4*$B$10*$B$13*$B$17*$B$20*$B$22*$B$24,0)</f>
        <v/>
      </c>
      <c r="AF63" s="10">
        <f>ROUND($B$5*$B$10*$B$13*$B$17*$B$20*$B$21*$B$23,0)</f>
        <v/>
      </c>
      <c r="AG63" s="10">
        <f>ROUND($B$5*$B$10*$B$13*$B$17*$B$20*$B$21*$B$24,0)</f>
        <v/>
      </c>
      <c r="AH63" s="10">
        <f>ROUND($B$5*$B$10*$B$13*$B$17*$B$20*$B$22*$B$23,0)</f>
        <v/>
      </c>
      <c r="AI63" s="10">
        <f>ROUND($B$5*$B$10*$B$13*$B$17*$B$20*$B$22*$B$24,0)</f>
        <v/>
      </c>
      <c r="AJ63" s="10">
        <f>ROUND($B$6*$B$10*$B$13*$B$17*$B$20*$B$21*$B$23,0)</f>
        <v/>
      </c>
      <c r="AK63" s="10">
        <f>ROUND($B$6*$B$10*$B$13*$B$17*$B$20*$B$21*$B$24,0)</f>
        <v/>
      </c>
      <c r="AL63" s="10">
        <f>ROUND($B$6*$B$10*$B$13*$B$17*$B$20*$B$22*$B$23,0)</f>
        <v/>
      </c>
      <c r="AM63" s="10">
        <f>ROUND($B$6*$B$10*$B$13*$B$17*$B$20*$B$22*$B$24,0)</f>
        <v/>
      </c>
    </row>
    <row r="64" ht="20.1" customHeight="1" s="62">
      <c r="A64" s="67" t="n"/>
      <c r="B64" s="57" t="inlineStr">
        <is>
          <t>Criticité critique</t>
        </is>
      </c>
      <c r="C64" s="14" t="inlineStr">
        <is>
          <t>Données standard</t>
        </is>
      </c>
      <c r="D64" s="10">
        <f>ROUND($B$4*$B$10*$B$14*$B$15*$B$18*$B$21*$B$23,0)</f>
        <v/>
      </c>
      <c r="E64" s="10">
        <f>ROUND($B$4*$B$10*$B$14*$B$15*$B$18*$B$21*$B$24,0)</f>
        <v/>
      </c>
      <c r="F64" s="10">
        <f>ROUND($B$4*$B$10*$B$14*$B$15*$B$18*$B$22*$B$23,0)</f>
        <v/>
      </c>
      <c r="G64" s="10">
        <f>ROUND($B$4*$B$10*$B$14*$B$15*$B$18*$B$22*$B$24,0)</f>
        <v/>
      </c>
      <c r="H64" s="10">
        <f>ROUND($B$5*$B$10*$B$14*$B$15*$B$18*$B$21*$B$23,0)</f>
        <v/>
      </c>
      <c r="I64" s="10">
        <f>ROUND($B$5*$B$10*$B$14*$B$15*$B$18*$B$21*$B$24,0)</f>
        <v/>
      </c>
      <c r="J64" s="10">
        <f>ROUND($B$5*$B$10*$B$14*$B$15*$B$18*$B$22*$B$23,0)</f>
        <v/>
      </c>
      <c r="K64" s="10">
        <f>ROUND($B$5*$B$10*$B$14*$B$15*$B$18*$B$22*$B$24,0)</f>
        <v/>
      </c>
      <c r="L64" s="10">
        <f>ROUND($B$6*$B$10*$B$14*$B$15*$B$18*$B$21*$B$23,0)</f>
        <v/>
      </c>
      <c r="M64" s="10">
        <f>ROUND($B$6*$B$10*$B$14*$B$15*$B$18*$B$21*$B$24,0)</f>
        <v/>
      </c>
      <c r="N64" s="10">
        <f>ROUND($B$6*$B$10*$B$14*$B$15*$B$18*$B$22*$B$23,0)</f>
        <v/>
      </c>
      <c r="O64" s="10">
        <f>ROUND($B$6*$B$10*$B$14*$B$15*$B$18*$B$22*$B$24,0)</f>
        <v/>
      </c>
      <c r="P64" s="10">
        <f>ROUND($B$4*$B$10*$B$14*$B$15*$B$19*$B$21*$B$23,0)</f>
        <v/>
      </c>
      <c r="Q64" s="10">
        <f>ROUND($B$4*$B$10*$B$14*$B$15*$B$19*$B$21*$B$24,0)</f>
        <v/>
      </c>
      <c r="R64" s="10">
        <f>ROUND($B$4*$B$10*$B$14*$B$15*$B$19*$B$22*$B$23,0)</f>
        <v/>
      </c>
      <c r="S64" s="10">
        <f>ROUND($B$4*$B$10*$B$14*$B$15*$B$19*$B$22*$B$24,0)</f>
        <v/>
      </c>
      <c r="T64" s="10">
        <f>ROUND($B$5*$B$10*$B$14*$B$15*$B$19*$B$21*$B$23,0)</f>
        <v/>
      </c>
      <c r="U64" s="10">
        <f>ROUND($B$5*$B$10*$B$14*$B$15*$B$19*$B$21*$B$24,0)</f>
        <v/>
      </c>
      <c r="V64" s="10">
        <f>ROUND($B$5*$B$10*$B$14*$B$15*$B$19*$B$22*$B$23,0)</f>
        <v/>
      </c>
      <c r="W64" s="10">
        <f>ROUND($B$5*$B$10*$B$14*$B$15*$B$19*$B$22*$B$24,0)</f>
        <v/>
      </c>
      <c r="X64" s="10">
        <f>ROUND($B$6*$B$10*$B$14*$B$15*$B$19*$B$21*$B$23,0)</f>
        <v/>
      </c>
      <c r="Y64" s="10">
        <f>ROUND($B$6*$B$10*$B$14*$B$15*$B$19*$B$21*$B$24,0)</f>
        <v/>
      </c>
      <c r="Z64" s="10">
        <f>ROUND($B$6*$B$10*$B$14*$B$15*$B$19*$B$22*$B$23,0)</f>
        <v/>
      </c>
      <c r="AA64" s="10">
        <f>ROUND($B$6*$B$10*$B$14*$B$15*$B$19*$B$22*$B$24,0)</f>
        <v/>
      </c>
      <c r="AB64" s="10">
        <f>ROUND($B$4*$B$10*$B$14*$B$15*$B$20*$B$21*$B$23,0)</f>
        <v/>
      </c>
      <c r="AC64" s="10">
        <f>ROUND($B$4*$B$10*$B$14*$B$15*$B$20*$B$21*$B$24,0)</f>
        <v/>
      </c>
      <c r="AD64" s="10">
        <f>ROUND($B$4*$B$10*$B$14*$B$15*$B$20*$B$22*$B$23,0)</f>
        <v/>
      </c>
      <c r="AE64" s="10">
        <f>ROUND($B$4*$B$10*$B$14*$B$15*$B$20*$B$22*$B$24,0)</f>
        <v/>
      </c>
      <c r="AF64" s="10">
        <f>ROUND($B$5*$B$10*$B$14*$B$15*$B$20*$B$21*$B$23,0)</f>
        <v/>
      </c>
      <c r="AG64" s="10">
        <f>ROUND($B$5*$B$10*$B$14*$B$15*$B$20*$B$21*$B$24,0)</f>
        <v/>
      </c>
      <c r="AH64" s="10">
        <f>ROUND($B$5*$B$10*$B$14*$B$15*$B$20*$B$22*$B$23,0)</f>
        <v/>
      </c>
      <c r="AI64" s="10">
        <f>ROUND($B$5*$B$10*$B$14*$B$15*$B$20*$B$22*$B$24,0)</f>
        <v/>
      </c>
      <c r="AJ64" s="10">
        <f>ROUND($B$6*$B$10*$B$14*$B$15*$B$20*$B$21*$B$23,0)</f>
        <v/>
      </c>
      <c r="AK64" s="10">
        <f>ROUND($B$6*$B$10*$B$14*$B$15*$B$20*$B$21*$B$24,0)</f>
        <v/>
      </c>
      <c r="AL64" s="10">
        <f>ROUND($B$6*$B$10*$B$14*$B$15*$B$20*$B$22*$B$23,0)</f>
        <v/>
      </c>
      <c r="AM64" s="10">
        <f>ROUND($B$6*$B$10*$B$14*$B$15*$B$20*$B$22*$B$24,0)</f>
        <v/>
      </c>
    </row>
    <row r="65" ht="20.1" customHeight="1" s="62">
      <c r="A65" s="67" t="n"/>
      <c r="B65" s="58" t="n"/>
      <c r="C65" s="57" t="inlineStr">
        <is>
          <t>Données sensibles</t>
        </is>
      </c>
      <c r="D65" s="10">
        <f>ROUND($B$4*$B$10*$B$14*$B$16*$B$18*$B$21*$B$23,0)</f>
        <v/>
      </c>
      <c r="E65" s="10">
        <f>ROUND($B$4*$B$10*$B$14*$B$16*$B$18*$B$21*$B$24,0)</f>
        <v/>
      </c>
      <c r="F65" s="10">
        <f>ROUND($B$4*$B$10*$B$14*$B$16*$B$18*$B$22*$B$23,0)</f>
        <v/>
      </c>
      <c r="G65" s="10">
        <f>ROUND($B$4*$B$10*$B$14*$B$16*$B$18*$B$22*$B$24,0)</f>
        <v/>
      </c>
      <c r="H65" s="10">
        <f>ROUND($B$5*$B$10*$B$14*$B$16*$B$18*$B$21*$B$23,0)</f>
        <v/>
      </c>
      <c r="I65" s="10">
        <f>ROUND($B$5*$B$10*$B$14*$B$16*$B$18*$B$21*$B$24,0)</f>
        <v/>
      </c>
      <c r="J65" s="10">
        <f>ROUND($B$5*$B$10*$B$14*$B$16*$B$18*$B$22*$B$23,0)</f>
        <v/>
      </c>
      <c r="K65" s="10">
        <f>ROUND($B$5*$B$10*$B$14*$B$16*$B$18*$B$22*$B$24,0)</f>
        <v/>
      </c>
      <c r="L65" s="10">
        <f>ROUND($B$6*$B$10*$B$14*$B$16*$B$18*$B$21*$B$23,0)</f>
        <v/>
      </c>
      <c r="M65" s="10">
        <f>ROUND($B$6*$B$10*$B$14*$B$16*$B$18*$B$21*$B$24,0)</f>
        <v/>
      </c>
      <c r="N65" s="10">
        <f>ROUND($B$6*$B$10*$B$14*$B$16*$B$18*$B$22*$B$23,0)</f>
        <v/>
      </c>
      <c r="O65" s="10">
        <f>ROUND($B$6*$B$10*$B$14*$B$16*$B$18*$B$22*$B$24,0)</f>
        <v/>
      </c>
      <c r="P65" s="10">
        <f>ROUND($B$4*$B$10*$B$14*$B$16*$B$19*$B$21*$B$23,0)</f>
        <v/>
      </c>
      <c r="Q65" s="10">
        <f>ROUND($B$4*$B$10*$B$14*$B$16*$B$19*$B$21*$B$24,0)</f>
        <v/>
      </c>
      <c r="R65" s="10">
        <f>ROUND($B$4*$B$10*$B$14*$B$16*$B$19*$B$22*$B$23,0)</f>
        <v/>
      </c>
      <c r="S65" s="10">
        <f>ROUND($B$4*$B$10*$B$14*$B$16*$B$19*$B$22*$B$24,0)</f>
        <v/>
      </c>
      <c r="T65" s="10">
        <f>ROUND($B$5*$B$10*$B$14*$B$16*$B$19*$B$21*$B$23,0)</f>
        <v/>
      </c>
      <c r="U65" s="10">
        <f>ROUND($B$5*$B$10*$B$14*$B$16*$B$19*$B$21*$B$24,0)</f>
        <v/>
      </c>
      <c r="V65" s="10">
        <f>ROUND($B$5*$B$10*$B$14*$B$16*$B$19*$B$22*$B$23,0)</f>
        <v/>
      </c>
      <c r="W65" s="10">
        <f>ROUND($B$5*$B$10*$B$14*$B$16*$B$19*$B$22*$B$24,0)</f>
        <v/>
      </c>
      <c r="X65" s="10">
        <f>ROUND($B$6*$B$10*$B$14*$B$16*$B$19*$B$21*$B$23,0)</f>
        <v/>
      </c>
      <c r="Y65" s="10">
        <f>ROUND($B$6*$B$10*$B$14*$B$16*$B$19*$B$21*$B$24,0)</f>
        <v/>
      </c>
      <c r="Z65" s="10">
        <f>ROUND($B$6*$B$10*$B$14*$B$16*$B$19*$B$22*$B$23,0)</f>
        <v/>
      </c>
      <c r="AA65" s="10">
        <f>ROUND($B$6*$B$10*$B$14*$B$16*$B$19*$B$22*$B$24,0)</f>
        <v/>
      </c>
      <c r="AB65" s="10">
        <f>ROUND($B$4*$B$10*$B$14*$B$16*$B$20*$B$21*$B$23,0)</f>
        <v/>
      </c>
      <c r="AC65" s="10">
        <f>ROUND($B$4*$B$10*$B$14*$B$16*$B$20*$B$21*$B$24,0)</f>
        <v/>
      </c>
      <c r="AD65" s="10">
        <f>ROUND($B$4*$B$10*$B$14*$B$16*$B$20*$B$22*$B$23,0)</f>
        <v/>
      </c>
      <c r="AE65" s="10">
        <f>ROUND($B$4*$B$10*$B$14*$B$16*$B$20*$B$22*$B$24,0)</f>
        <v/>
      </c>
      <c r="AF65" s="10">
        <f>ROUND($B$5*$B$10*$B$14*$B$16*$B$20*$B$21*$B$23,0)</f>
        <v/>
      </c>
      <c r="AG65" s="10">
        <f>ROUND($B$5*$B$10*$B$14*$B$16*$B$20*$B$21*$B$24,0)</f>
        <v/>
      </c>
      <c r="AH65" s="10">
        <f>ROUND($B$5*$B$10*$B$14*$B$16*$B$20*$B$22*$B$23,0)</f>
        <v/>
      </c>
      <c r="AI65" s="10">
        <f>ROUND($B$5*$B$10*$B$14*$B$16*$B$20*$B$22*$B$24,0)</f>
        <v/>
      </c>
      <c r="AJ65" s="10">
        <f>ROUND($B$6*$B$10*$B$14*$B$16*$B$20*$B$21*$B$23,0)</f>
        <v/>
      </c>
      <c r="AK65" s="10">
        <f>ROUND($B$6*$B$10*$B$14*$B$16*$B$20*$B$21*$B$24,0)</f>
        <v/>
      </c>
      <c r="AL65" s="10">
        <f>ROUND($B$6*$B$10*$B$14*$B$16*$B$20*$B$22*$B$23,0)</f>
        <v/>
      </c>
      <c r="AM65" s="10">
        <f>ROUND($B$6*$B$10*$B$14*$B$16*$B$20*$B$22*$B$24,0)</f>
        <v/>
      </c>
    </row>
    <row r="66" ht="20.1" customHeight="1" s="62">
      <c r="A66" s="68" t="n"/>
      <c r="B66" s="59" t="n"/>
      <c r="C66" s="15" t="inlineStr">
        <is>
          <t>Données très sensibles</t>
        </is>
      </c>
      <c r="D66" s="10">
        <f>ROUND($B$4*$B$10*$B$14*$B$17*$B$18*$B$21*$B$23,0)</f>
        <v/>
      </c>
      <c r="E66" s="10">
        <f>ROUND($B$4*$B$10*$B$14*$B$17*$B$18*$B$21*$B$24,0)</f>
        <v/>
      </c>
      <c r="F66" s="10">
        <f>ROUND($B$4*$B$10*$B$14*$B$17*$B$18*$B$22*$B$23,0)</f>
        <v/>
      </c>
      <c r="G66" s="10">
        <f>ROUND($B$4*$B$10*$B$14*$B$17*$B$18*$B$22*$B$24,0)</f>
        <v/>
      </c>
      <c r="H66" s="10">
        <f>ROUND($B$5*$B$10*$B$14*$B$17*$B$18*$B$21*$B$23,0)</f>
        <v/>
      </c>
      <c r="I66" s="10">
        <f>ROUND($B$5*$B$10*$B$14*$B$17*$B$18*$B$21*$B$24,0)</f>
        <v/>
      </c>
      <c r="J66" s="10">
        <f>ROUND($B$5*$B$10*$B$14*$B$17*$B$18*$B$22*$B$23,0)</f>
        <v/>
      </c>
      <c r="K66" s="10">
        <f>ROUND($B$5*$B$10*$B$14*$B$17*$B$18*$B$22*$B$24,0)</f>
        <v/>
      </c>
      <c r="L66" s="10">
        <f>ROUND($B$6*$B$10*$B$14*$B$17*$B$18*$B$21*$B$23,0)</f>
        <v/>
      </c>
      <c r="M66" s="10">
        <f>ROUND($B$6*$B$10*$B$14*$B$17*$B$18*$B$21*$B$24,0)</f>
        <v/>
      </c>
      <c r="N66" s="10">
        <f>ROUND($B$6*$B$10*$B$14*$B$17*$B$18*$B$22*$B$23,0)</f>
        <v/>
      </c>
      <c r="O66" s="10">
        <f>ROUND($B$6*$B$10*$B$14*$B$17*$B$18*$B$22*$B$24,0)</f>
        <v/>
      </c>
      <c r="P66" s="10">
        <f>ROUND($B$4*$B$10*$B$14*$B$17*$B$19*$B$21*$B$23,0)</f>
        <v/>
      </c>
      <c r="Q66" s="10">
        <f>ROUND($B$4*$B$10*$B$14*$B$17*$B$19*$B$21*$B$24,0)</f>
        <v/>
      </c>
      <c r="R66" s="10">
        <f>ROUND($B$4*$B$10*$B$14*$B$17*$B$19*$B$22*$B$23,0)</f>
        <v/>
      </c>
      <c r="S66" s="10">
        <f>ROUND($B$4*$B$10*$B$14*$B$17*$B$19*$B$22*$B$24,0)</f>
        <v/>
      </c>
      <c r="T66" s="10">
        <f>ROUND($B$5*$B$10*$B$14*$B$17*$B$19*$B$21*$B$23,0)</f>
        <v/>
      </c>
      <c r="U66" s="10">
        <f>ROUND($B$5*$B$10*$B$14*$B$17*$B$19*$B$21*$B$24,0)</f>
        <v/>
      </c>
      <c r="V66" s="10">
        <f>ROUND($B$5*$B$10*$B$14*$B$17*$B$19*$B$22*$B$23,0)</f>
        <v/>
      </c>
      <c r="W66" s="10">
        <f>ROUND($B$5*$B$10*$B$14*$B$17*$B$19*$B$22*$B$24,0)</f>
        <v/>
      </c>
      <c r="X66" s="10">
        <f>ROUND($B$6*$B$10*$B$14*$B$17*$B$19*$B$21*$B$23,0)</f>
        <v/>
      </c>
      <c r="Y66" s="10">
        <f>ROUND($B$6*$B$10*$B$14*$B$17*$B$19*$B$21*$B$24,0)</f>
        <v/>
      </c>
      <c r="Z66" s="10">
        <f>ROUND($B$6*$B$10*$B$14*$B$17*$B$19*$B$22*$B$23,0)</f>
        <v/>
      </c>
      <c r="AA66" s="10">
        <f>ROUND($B$6*$B$10*$B$14*$B$17*$B$19*$B$22*$B$24,0)</f>
        <v/>
      </c>
      <c r="AB66" s="10">
        <f>ROUND($B$4*$B$10*$B$14*$B$17*$B$20*$B$21*$B$23,0)</f>
        <v/>
      </c>
      <c r="AC66" s="10">
        <f>ROUND($B$4*$B$10*$B$14*$B$17*$B$20*$B$21*$B$24,0)</f>
        <v/>
      </c>
      <c r="AD66" s="10">
        <f>ROUND($B$4*$B$10*$B$14*$B$17*$B$20*$B$22*$B$23,0)</f>
        <v/>
      </c>
      <c r="AE66" s="10">
        <f>ROUND($B$4*$B$10*$B$14*$B$17*$B$20*$B$22*$B$24,0)</f>
        <v/>
      </c>
      <c r="AF66" s="10">
        <f>ROUND($B$5*$B$10*$B$14*$B$17*$B$20*$B$21*$B$23,0)</f>
        <v/>
      </c>
      <c r="AG66" s="10">
        <f>ROUND($B$5*$B$10*$B$14*$B$17*$B$20*$B$21*$B$24,0)</f>
        <v/>
      </c>
      <c r="AH66" s="10">
        <f>ROUND($B$5*$B$10*$B$14*$B$17*$B$20*$B$22*$B$23,0)</f>
        <v/>
      </c>
      <c r="AI66" s="10">
        <f>ROUND($B$5*$B$10*$B$14*$B$17*$B$20*$B$22*$B$24,0)</f>
        <v/>
      </c>
      <c r="AJ66" s="10">
        <f>ROUND($B$6*$B$10*$B$14*$B$17*$B$20*$B$21*$B$23,0)</f>
        <v/>
      </c>
      <c r="AK66" s="10">
        <f>ROUND($B$6*$B$10*$B$14*$B$17*$B$20*$B$21*$B$24,0)</f>
        <v/>
      </c>
      <c r="AL66" s="10">
        <f>ROUND($B$6*$B$10*$B$14*$B$17*$B$20*$B$22*$B$23,0)</f>
        <v/>
      </c>
      <c r="AM66" s="10">
        <f>ROUND($B$6*$B$10*$B$14*$B$17*$B$20*$B$22*$B$24,0)</f>
        <v/>
      </c>
    </row>
  </sheetData>
  <mergeCells count="53">
    <mergeCell ref="H28:K28"/>
    <mergeCell ref="A1:AM1"/>
    <mergeCell ref="J29:K29"/>
    <mergeCell ref="P28:S28"/>
    <mergeCell ref="B49:B51"/>
    <mergeCell ref="F29:G29"/>
    <mergeCell ref="B34:B36"/>
    <mergeCell ref="B40:B42"/>
    <mergeCell ref="P29:Q29"/>
    <mergeCell ref="H29:I29"/>
    <mergeCell ref="D27:O27"/>
    <mergeCell ref="R29:S29"/>
    <mergeCell ref="AB29:AC29"/>
    <mergeCell ref="T29:U29"/>
    <mergeCell ref="AD29:AE29"/>
    <mergeCell ref="A7:AM7"/>
    <mergeCell ref="B55:B57"/>
    <mergeCell ref="A25:AM25"/>
    <mergeCell ref="P27:AA27"/>
    <mergeCell ref="AB27:AM27"/>
    <mergeCell ref="B27:B30"/>
    <mergeCell ref="AB28:AE28"/>
    <mergeCell ref="T28:W28"/>
    <mergeCell ref="AF28:AI28"/>
    <mergeCell ref="V29:W29"/>
    <mergeCell ref="A43:A54"/>
    <mergeCell ref="A31:A42"/>
    <mergeCell ref="AF29:AG29"/>
    <mergeCell ref="AH29:AI29"/>
    <mergeCell ref="B64:B66"/>
    <mergeCell ref="A3:AM3"/>
    <mergeCell ref="A2:AM2"/>
    <mergeCell ref="C27:C30"/>
    <mergeCell ref="A27:A30"/>
    <mergeCell ref="B31:B33"/>
    <mergeCell ref="L28:O28"/>
    <mergeCell ref="L29:M29"/>
    <mergeCell ref="N29:O29"/>
    <mergeCell ref="B43:B45"/>
    <mergeCell ref="X29:Y29"/>
    <mergeCell ref="B52:B54"/>
    <mergeCell ref="Z29:AA29"/>
    <mergeCell ref="B46:B48"/>
    <mergeCell ref="A55:A66"/>
    <mergeCell ref="B58:B60"/>
    <mergeCell ref="X28:AA28"/>
    <mergeCell ref="AJ28:AM28"/>
    <mergeCell ref="B61:B63"/>
    <mergeCell ref="AJ29:AK29"/>
    <mergeCell ref="D29:E29"/>
    <mergeCell ref="AL29:AM29"/>
    <mergeCell ref="D28:G28"/>
    <mergeCell ref="B37:B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D3B4F"/>
    <outlinePr summaryBelow="1" summaryRight="1"/>
    <pageSetUpPr/>
  </sheetPr>
  <dimension ref="A1:AA55"/>
  <sheetViews>
    <sheetView topLeftCell="A4" workbookViewId="0">
      <pane xSplit="3" topLeftCell="D1" activePane="topRight" state="frozen"/>
      <selection pane="topRight" activeCell="A23" sqref="A23:AA23"/>
    </sheetView>
  </sheetViews>
  <sheetFormatPr baseColWidth="10" defaultColWidth="9.140625" defaultRowHeight="15"/>
  <cols>
    <col width="22" customWidth="1" style="62" min="1" max="1"/>
    <col width="18" customWidth="1" style="62" min="2" max="2"/>
    <col width="22" customWidth="1" style="62" min="3" max="3"/>
    <col width="14" customWidth="1" style="62" min="4" max="27"/>
  </cols>
  <sheetData>
    <row r="1" ht="33.95" customHeight="1" s="62">
      <c r="A1" s="84" t="inlineStr">
        <is>
          <t>GRILLE TARIFAIRE — Développement de logiciel sur mesure</t>
        </is>
      </c>
    </row>
    <row r="2" ht="26.1" customHeight="1" s="62">
      <c r="A2" s="79" t="inlineStr">
        <is>
          <t>⚙  ZONE DE PARAMÉTRAGE — Remplissez uniquement les cases jaunes. Le tableau se calcule automatiquement.</t>
        </is>
      </c>
    </row>
    <row r="3" ht="21.95" customHeight="1" s="62">
      <c r="A3" s="78" t="inlineStr">
        <is>
          <t>TARIFS DE BASE (€)  —  Par niveau de complexité du projet</t>
        </is>
      </c>
    </row>
    <row r="4" ht="21.95" customHeight="1" s="62">
      <c r="A4" s="16" t="inlineStr">
        <is>
          <t>Tarif de base — Projet simple</t>
        </is>
      </c>
      <c r="B4" s="17" t="n">
        <v>10000</v>
      </c>
      <c r="C4" s="18" t="inlineStr">
        <is>
          <t>Fourchette indicative : 8 000 – 20 000 €</t>
        </is>
      </c>
    </row>
    <row r="5" ht="21.95" customHeight="1" s="62">
      <c r="A5" s="16" t="inlineStr">
        <is>
          <t>Tarif de base — Projet structuré</t>
        </is>
      </c>
      <c r="B5" s="17" t="n">
        <v>35000</v>
      </c>
      <c r="C5" s="18" t="inlineStr">
        <is>
          <t>Fourchette indicative : 20 000 – 50 000 €</t>
        </is>
      </c>
    </row>
    <row r="6" ht="21.95" customHeight="1" s="62">
      <c r="A6" s="16" t="inlineStr">
        <is>
          <t>Tarif de base — Projet complexe</t>
        </is>
      </c>
      <c r="B6" s="17" t="n">
        <v>80000</v>
      </c>
      <c r="C6" s="18" t="inlineStr">
        <is>
          <t>Fourchette indicative : 50 000 – 150 000 €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modules — 1-3 modules</t>
        </is>
      </c>
      <c r="B8" s="20" t="n">
        <v>0.9</v>
      </c>
      <c r="C8" s="21" t="inlineStr">
        <is>
          <t>Périmètre réduit</t>
        </is>
      </c>
    </row>
    <row r="9" ht="20.1" customHeight="1" s="62">
      <c r="A9" s="19" t="inlineStr">
        <is>
          <t>Coeff. modules — 4-8 modules</t>
        </is>
      </c>
      <c r="B9" s="20" t="n">
        <v>1</v>
      </c>
      <c r="C9" s="21" t="inlineStr">
        <is>
          <t>Référence</t>
        </is>
      </c>
    </row>
    <row r="10" ht="20.1" customHeight="1" s="62">
      <c r="A10" s="19" t="inlineStr">
        <is>
          <t>Coeff. modules — 9+ modules</t>
        </is>
      </c>
      <c r="B10" s="20" t="n">
        <v>1.6</v>
      </c>
      <c r="C10" s="21" t="inlineStr">
        <is>
          <t>Périmètre étendu</t>
        </is>
      </c>
    </row>
    <row r="11" ht="20.1" customHeight="1" s="62">
      <c r="A11" s="19" t="inlineStr">
        <is>
          <t>Coeff. utilisateurs — &lt; 20</t>
        </is>
      </c>
      <c r="B11" s="20" t="n">
        <v>0.9</v>
      </c>
      <c r="C11" s="21" t="inlineStr">
        <is>
          <t>Faible volumétrie</t>
        </is>
      </c>
    </row>
    <row r="12" ht="20.1" customHeight="1" s="62">
      <c r="A12" s="19" t="inlineStr">
        <is>
          <t>Coeff. utilisateurs — 20-200</t>
        </is>
      </c>
      <c r="B12" s="20" t="n">
        <v>1</v>
      </c>
      <c r="C12" s="21" t="inlineStr">
        <is>
          <t>Référence</t>
        </is>
      </c>
    </row>
    <row r="13" ht="20.1" customHeight="1" s="62">
      <c r="A13" s="19" t="inlineStr">
        <is>
          <t>Coeff. utilisateurs — 200+</t>
        </is>
      </c>
      <c r="B13" s="20" t="n">
        <v>1.5</v>
      </c>
      <c r="C13" s="21" t="inlineStr">
        <is>
          <t>Scalabilité requise</t>
        </is>
      </c>
    </row>
    <row r="14" ht="20.1" customHeight="1" s="62">
      <c r="A14" s="19" t="inlineStr">
        <is>
          <t>Coeff. API — Sans API</t>
        </is>
      </c>
      <c r="B14" s="20" t="n">
        <v>1</v>
      </c>
      <c r="C14" s="21" t="inlineStr">
        <is>
          <t>Référence</t>
        </is>
      </c>
    </row>
    <row r="15" ht="20.1" customHeight="1" s="62">
      <c r="A15" s="19" t="inlineStr">
        <is>
          <t>Coeff. API — API simple</t>
        </is>
      </c>
      <c r="B15" s="20" t="n">
        <v>1.2</v>
      </c>
      <c r="C15" s="21" t="inlineStr">
        <is>
          <t>Développement d'intégrations</t>
        </is>
      </c>
    </row>
    <row r="16" ht="20.1" customHeight="1" s="62">
      <c r="A16" s="19" t="inlineStr">
        <is>
          <t>Coeff. API — API complexe multi-systèmes</t>
        </is>
      </c>
      <c r="B16" s="20" t="n">
        <v>1.5</v>
      </c>
      <c r="C16" s="21" t="inlineStr">
        <is>
          <t>Architecture d'interconnexion</t>
        </is>
      </c>
    </row>
    <row r="17" ht="20.1" customHeight="1" s="62">
      <c r="A17" s="19" t="inlineStr">
        <is>
          <t>Coeff. automatisation — Faible</t>
        </is>
      </c>
      <c r="B17" s="20" t="n">
        <v>1</v>
      </c>
      <c r="C17" s="21" t="inlineStr">
        <is>
          <t>Référence</t>
        </is>
      </c>
    </row>
    <row r="18" ht="20.1" customHeight="1" s="62">
      <c r="A18" s="19" t="inlineStr">
        <is>
          <t>Coeff. automatisation — Élevée</t>
        </is>
      </c>
      <c r="B18" s="20" t="n">
        <v>1.25</v>
      </c>
      <c r="C18" s="21" t="inlineStr">
        <is>
          <t>Logique métier complexe</t>
        </is>
      </c>
    </row>
    <row r="19" ht="20.1" customHeight="1" s="62">
      <c r="A19" s="19" t="inlineStr">
        <is>
          <t>Coeff. réglementation — Standard</t>
        </is>
      </c>
      <c r="B19" s="20" t="n">
        <v>1</v>
      </c>
      <c r="C19" s="21" t="inlineStr">
        <is>
          <t>Référence</t>
        </is>
      </c>
    </row>
    <row r="20" ht="20.1" customHeight="1" s="62">
      <c r="A20" s="19" t="inlineStr">
        <is>
          <t>Coeff. réglementation — Réglementé</t>
        </is>
      </c>
      <c r="B20" s="20" t="n">
        <v>1.3</v>
      </c>
      <c r="C20" s="21" t="inlineStr">
        <is>
          <t>Sécurité &amp; conformité renforcées</t>
        </is>
      </c>
    </row>
    <row r="21" ht="20.1" customHeight="1" s="62">
      <c r="A21" s="19" t="inlineStr">
        <is>
          <t>Coeff. mode — Distanciel</t>
        </is>
      </c>
      <c r="B21" s="20" t="n">
        <v>1</v>
      </c>
      <c r="C21" s="21" t="inlineStr">
        <is>
          <t>Référence</t>
        </is>
      </c>
    </row>
    <row r="22" ht="20.1" customHeight="1" s="62">
      <c r="A22" s="19" t="inlineStr">
        <is>
          <t>Coeff. mode — Présentiel</t>
        </is>
      </c>
      <c r="B22" s="20" t="n">
        <v>1.3</v>
      </c>
      <c r="C22" s="21" t="inlineStr">
        <is>
          <t>Ateliers et réunions sur site</t>
        </is>
      </c>
    </row>
    <row r="23" ht="24" customHeight="1" s="62">
      <c r="A23" s="83" t="inlineStr">
        <is>
          <t>▼  GRILLE TARIFAIRE CALCULÉE AUTOMATIQUEMENT  — Les cellules bleues sont en lecture seule (formules).</t>
        </is>
      </c>
    </row>
    <row r="24" ht="6" customHeight="1" s="62"/>
    <row r="25" ht="38.1" customHeight="1" s="62">
      <c r="A25" s="77" t="inlineStr">
        <is>
          <t>Complexité du logiciel</t>
        </is>
      </c>
      <c r="B25" s="74" t="inlineStr">
        <is>
          <t>Nombre de modules</t>
        </is>
      </c>
      <c r="C25" s="76" t="inlineStr">
        <is>
          <t>Nombre d'utilisateurs</t>
        </is>
      </c>
      <c r="D25" s="77" t="inlineStr">
        <is>
          <t>Sans API</t>
        </is>
      </c>
      <c r="E25" s="55" t="n"/>
      <c r="F25" s="55" t="n"/>
      <c r="G25" s="55" t="n"/>
      <c r="H25" s="55" t="n"/>
      <c r="I25" s="55" t="n"/>
      <c r="J25" s="55" t="n"/>
      <c r="K25" s="56" t="n"/>
      <c r="L25" s="77" t="inlineStr">
        <is>
          <t>API simple</t>
        </is>
      </c>
      <c r="M25" s="55" t="n"/>
      <c r="N25" s="55" t="n"/>
      <c r="O25" s="55" t="n"/>
      <c r="P25" s="55" t="n"/>
      <c r="Q25" s="55" t="n"/>
      <c r="R25" s="55" t="n"/>
      <c r="S25" s="56" t="n"/>
      <c r="T25" s="77" t="inlineStr">
        <is>
          <t>API complexe multi-systèmes</t>
        </is>
      </c>
      <c r="U25" s="55" t="n"/>
      <c r="V25" s="55" t="n"/>
      <c r="W25" s="55" t="n"/>
      <c r="X25" s="55" t="n"/>
      <c r="Y25" s="55" t="n"/>
      <c r="Z25" s="55" t="n"/>
      <c r="AA25" s="56" t="n"/>
    </row>
    <row r="26" ht="38.1" customHeight="1" s="62">
      <c r="A26" s="64" t="n"/>
      <c r="B26" s="64" t="n"/>
      <c r="C26" s="64" t="n"/>
      <c r="D26" s="74" t="inlineStr">
        <is>
          <t>Automatisation faible</t>
        </is>
      </c>
      <c r="E26" s="55" t="n"/>
      <c r="F26" s="55" t="n"/>
      <c r="G26" s="56" t="n"/>
      <c r="H26" s="74" t="inlineStr">
        <is>
          <t>Automatisation élevée</t>
        </is>
      </c>
      <c r="I26" s="55" t="n"/>
      <c r="J26" s="55" t="n"/>
      <c r="K26" s="56" t="n"/>
      <c r="L26" s="74" t="inlineStr">
        <is>
          <t>Automatisation faible</t>
        </is>
      </c>
      <c r="M26" s="55" t="n"/>
      <c r="N26" s="55" t="n"/>
      <c r="O26" s="56" t="n"/>
      <c r="P26" s="74" t="inlineStr">
        <is>
          <t>Automatisation élevée</t>
        </is>
      </c>
      <c r="Q26" s="55" t="n"/>
      <c r="R26" s="55" t="n"/>
      <c r="S26" s="56" t="n"/>
      <c r="T26" s="74" t="inlineStr">
        <is>
          <t>Automatisation faible</t>
        </is>
      </c>
      <c r="U26" s="55" t="n"/>
      <c r="V26" s="55" t="n"/>
      <c r="W26" s="56" t="n"/>
      <c r="X26" s="74" t="inlineStr">
        <is>
          <t>Automatisation élevée</t>
        </is>
      </c>
      <c r="Y26" s="55" t="n"/>
      <c r="Z26" s="55" t="n"/>
      <c r="AA26" s="56" t="n"/>
    </row>
    <row r="27" ht="38.1" customHeight="1" s="62">
      <c r="A27" s="64" t="n"/>
      <c r="B27" s="64" t="n"/>
      <c r="C27" s="64" t="n"/>
      <c r="D27" s="76" t="inlineStr">
        <is>
          <t>Standard</t>
        </is>
      </c>
      <c r="E27" s="56" t="n"/>
      <c r="F27" s="76" t="inlineStr">
        <is>
          <t>Réglementé</t>
        </is>
      </c>
      <c r="G27" s="56" t="n"/>
      <c r="H27" s="76" t="inlineStr">
        <is>
          <t>Standard</t>
        </is>
      </c>
      <c r="I27" s="56" t="n"/>
      <c r="J27" s="76" t="inlineStr">
        <is>
          <t>Réglementé</t>
        </is>
      </c>
      <c r="K27" s="56" t="n"/>
      <c r="L27" s="76" t="inlineStr">
        <is>
          <t>Standard</t>
        </is>
      </c>
      <c r="M27" s="56" t="n"/>
      <c r="N27" s="76" t="inlineStr">
        <is>
          <t>Réglementé</t>
        </is>
      </c>
      <c r="O27" s="56" t="n"/>
      <c r="P27" s="76" t="inlineStr">
        <is>
          <t>Standard</t>
        </is>
      </c>
      <c r="Q27" s="56" t="n"/>
      <c r="R27" s="76" t="inlineStr">
        <is>
          <t>Réglementé</t>
        </is>
      </c>
      <c r="S27" s="56" t="n"/>
      <c r="T27" s="76" t="inlineStr">
        <is>
          <t>Standard</t>
        </is>
      </c>
      <c r="U27" s="56" t="n"/>
      <c r="V27" s="76" t="inlineStr">
        <is>
          <t>Réglementé</t>
        </is>
      </c>
      <c r="W27" s="56" t="n"/>
      <c r="X27" s="76" t="inlineStr">
        <is>
          <t>Standard</t>
        </is>
      </c>
      <c r="Y27" s="56" t="n"/>
      <c r="Z27" s="76" t="inlineStr">
        <is>
          <t>Réglementé</t>
        </is>
      </c>
      <c r="AA27" s="56" t="n"/>
    </row>
    <row r="28" ht="38.1" customHeight="1" s="62">
      <c r="A28" s="65" t="n"/>
      <c r="B28" s="65" t="n"/>
      <c r="C28" s="65" t="n"/>
      <c r="D28" s="22" t="inlineStr">
        <is>
          <t>Distanciel</t>
        </is>
      </c>
      <c r="E28" s="22" t="inlineStr">
        <is>
          <t>Présentiel</t>
        </is>
      </c>
      <c r="F28" s="22" t="inlineStr">
        <is>
          <t>Distanciel</t>
        </is>
      </c>
      <c r="G28" s="22" t="inlineStr">
        <is>
          <t>Présentiel</t>
        </is>
      </c>
      <c r="H28" s="22" t="inlineStr">
        <is>
          <t>Distanciel</t>
        </is>
      </c>
      <c r="I28" s="22" t="inlineStr">
        <is>
          <t>Présentiel</t>
        </is>
      </c>
      <c r="J28" s="22" t="inlineStr">
        <is>
          <t>Distanciel</t>
        </is>
      </c>
      <c r="K28" s="22" t="inlineStr">
        <is>
          <t>Présentiel</t>
        </is>
      </c>
      <c r="L28" s="22" t="inlineStr">
        <is>
          <t>Distanciel</t>
        </is>
      </c>
      <c r="M28" s="22" t="inlineStr">
        <is>
          <t>Présentiel</t>
        </is>
      </c>
      <c r="N28" s="22" t="inlineStr">
        <is>
          <t>Distanciel</t>
        </is>
      </c>
      <c r="O28" s="22" t="inlineStr">
        <is>
          <t>Présentiel</t>
        </is>
      </c>
      <c r="P28" s="22" t="inlineStr">
        <is>
          <t>Distanciel</t>
        </is>
      </c>
      <c r="Q28" s="22" t="inlineStr">
        <is>
          <t>Présentiel</t>
        </is>
      </c>
      <c r="R28" s="22" t="inlineStr">
        <is>
          <t>Distanciel</t>
        </is>
      </c>
      <c r="S28" s="22" t="inlineStr">
        <is>
          <t>Présentiel</t>
        </is>
      </c>
      <c r="T28" s="22" t="inlineStr">
        <is>
          <t>Distanciel</t>
        </is>
      </c>
      <c r="U28" s="22" t="inlineStr">
        <is>
          <t>Présentiel</t>
        </is>
      </c>
      <c r="V28" s="22" t="inlineStr">
        <is>
          <t>Distanciel</t>
        </is>
      </c>
      <c r="W28" s="22" t="inlineStr">
        <is>
          <t>Présentiel</t>
        </is>
      </c>
      <c r="X28" s="22" t="inlineStr">
        <is>
          <t>Distanciel</t>
        </is>
      </c>
      <c r="Y28" s="22" t="inlineStr">
        <is>
          <t>Présentiel</t>
        </is>
      </c>
      <c r="Z28" s="22" t="inlineStr">
        <is>
          <t>Distanciel</t>
        </is>
      </c>
      <c r="AA28" s="22" t="inlineStr">
        <is>
          <t>Présentiel</t>
        </is>
      </c>
    </row>
    <row r="29" ht="20.1" customHeight="1" s="62">
      <c r="A29" s="80" t="inlineStr">
        <is>
          <t>Projet simple</t>
        </is>
      </c>
      <c r="B29" s="73" t="inlineStr">
        <is>
          <t>1-3 modules</t>
        </is>
      </c>
      <c r="C29" s="24" t="inlineStr">
        <is>
          <t>&lt; 20 utilisateurs</t>
        </is>
      </c>
      <c r="D29" s="25">
        <f>ROUND($B$4*$B$8*$B$11*$B$14*$B$17*$B$19*$B$21,0)</f>
        <v/>
      </c>
      <c r="E29" s="25">
        <f>ROUND($B$4*$B$8*$B$11*$B$14*$B$17*$B$19*$B$22,0)</f>
        <v/>
      </c>
      <c r="F29" s="25">
        <f>ROUND($B$4*$B$8*$B$11*$B$14*$B$17*$B$20*$B$21,0)</f>
        <v/>
      </c>
      <c r="G29" s="25">
        <f>ROUND($B$4*$B$8*$B$11*$B$14*$B$17*$B$20*$B$22,0)</f>
        <v/>
      </c>
      <c r="H29" s="25">
        <f>ROUND($B$4*$B$8*$B$11*$B$14*$B$18*$B$19*$B$21,0)</f>
        <v/>
      </c>
      <c r="I29" s="25">
        <f>ROUND($B$4*$B$8*$B$11*$B$14*$B$18*$B$19*$B$22,0)</f>
        <v/>
      </c>
      <c r="J29" s="25">
        <f>ROUND($B$4*$B$8*$B$11*$B$14*$B$18*$B$20*$B$21,0)</f>
        <v/>
      </c>
      <c r="K29" s="25">
        <f>ROUND($B$4*$B$8*$B$11*$B$14*$B$18*$B$20*$B$22,0)</f>
        <v/>
      </c>
      <c r="L29" s="25">
        <f>ROUND($B$4*$B$8*$B$11*$B$15*$B$17*$B$19*$B$21,0)</f>
        <v/>
      </c>
      <c r="M29" s="25">
        <f>ROUND($B$4*$B$8*$B$11*$B$15*$B$17*$B$19*$B$22,0)</f>
        <v/>
      </c>
      <c r="N29" s="25">
        <f>ROUND($B$4*$B$8*$B$11*$B$15*$B$17*$B$20*$B$21,0)</f>
        <v/>
      </c>
      <c r="O29" s="25">
        <f>ROUND($B$4*$B$8*$B$11*$B$15*$B$17*$B$20*$B$22,0)</f>
        <v/>
      </c>
      <c r="P29" s="25">
        <f>ROUND($B$4*$B$8*$B$11*$B$15*$B$18*$B$19*$B$21,0)</f>
        <v/>
      </c>
      <c r="Q29" s="25">
        <f>ROUND($B$4*$B$8*$B$11*$B$15*$B$18*$B$19*$B$22,0)</f>
        <v/>
      </c>
      <c r="R29" s="25">
        <f>ROUND($B$4*$B$8*$B$11*$B$15*$B$18*$B$20*$B$21,0)</f>
        <v/>
      </c>
      <c r="S29" s="25">
        <f>ROUND($B$4*$B$8*$B$11*$B$15*$B$18*$B$20*$B$22,0)</f>
        <v/>
      </c>
      <c r="T29" s="25">
        <f>ROUND($B$4*$B$8*$B$11*$B$16*$B$17*$B$19*$B$21,0)</f>
        <v/>
      </c>
      <c r="U29" s="25">
        <f>ROUND($B$4*$B$8*$B$11*$B$16*$B$17*$B$19*$B$22,0)</f>
        <v/>
      </c>
      <c r="V29" s="25">
        <f>ROUND($B$4*$B$8*$B$11*$B$16*$B$17*$B$20*$B$21,0)</f>
        <v/>
      </c>
      <c r="W29" s="25">
        <f>ROUND($B$4*$B$8*$B$11*$B$16*$B$17*$B$20*$B$22,0)</f>
        <v/>
      </c>
      <c r="X29" s="25">
        <f>ROUND($B$4*$B$8*$B$11*$B$16*$B$18*$B$19*$B$21,0)</f>
        <v/>
      </c>
      <c r="Y29" s="25">
        <f>ROUND($B$4*$B$8*$B$11*$B$16*$B$18*$B$19*$B$22,0)</f>
        <v/>
      </c>
      <c r="Z29" s="25">
        <f>ROUND($B$4*$B$8*$B$11*$B$16*$B$18*$B$20*$B$21,0)</f>
        <v/>
      </c>
      <c r="AA29" s="25">
        <f>ROUND($B$4*$B$8*$B$11*$B$16*$B$18*$B$20*$B$22,0)</f>
        <v/>
      </c>
    </row>
    <row r="30" ht="20.1" customHeight="1" s="62">
      <c r="A30" s="81" t="n"/>
      <c r="B30" s="58" t="n"/>
      <c r="C30" s="73" t="inlineStr">
        <is>
          <t>20-200 utilisateurs</t>
        </is>
      </c>
      <c r="D30" s="25">
        <f>ROUND($B$4*$B$8*$B$12*$B$14*$B$17*$B$19*$B$21,0)</f>
        <v/>
      </c>
      <c r="E30" s="25">
        <f>ROUND($B$4*$B$8*$B$12*$B$14*$B$17*$B$19*$B$22,0)</f>
        <v/>
      </c>
      <c r="F30" s="25">
        <f>ROUND($B$4*$B$8*$B$12*$B$14*$B$17*$B$20*$B$21,0)</f>
        <v/>
      </c>
      <c r="G30" s="25">
        <f>ROUND($B$4*$B$8*$B$12*$B$14*$B$17*$B$20*$B$22,0)</f>
        <v/>
      </c>
      <c r="H30" s="25">
        <f>ROUND($B$4*$B$8*$B$12*$B$14*$B$18*$B$19*$B$21,0)</f>
        <v/>
      </c>
      <c r="I30" s="25">
        <f>ROUND($B$4*$B$8*$B$12*$B$14*$B$18*$B$19*$B$22,0)</f>
        <v/>
      </c>
      <c r="J30" s="25">
        <f>ROUND($B$4*$B$8*$B$12*$B$14*$B$18*$B$20*$B$21,0)</f>
        <v/>
      </c>
      <c r="K30" s="25">
        <f>ROUND($B$4*$B$8*$B$12*$B$14*$B$18*$B$20*$B$22,0)</f>
        <v/>
      </c>
      <c r="L30" s="25">
        <f>ROUND($B$4*$B$8*$B$12*$B$15*$B$17*$B$19*$B$21,0)</f>
        <v/>
      </c>
      <c r="M30" s="25">
        <f>ROUND($B$4*$B$8*$B$12*$B$15*$B$17*$B$19*$B$22,0)</f>
        <v/>
      </c>
      <c r="N30" s="25">
        <f>ROUND($B$4*$B$8*$B$12*$B$15*$B$17*$B$20*$B$21,0)</f>
        <v/>
      </c>
      <c r="O30" s="25">
        <f>ROUND($B$4*$B$8*$B$12*$B$15*$B$17*$B$20*$B$22,0)</f>
        <v/>
      </c>
      <c r="P30" s="25">
        <f>ROUND($B$4*$B$8*$B$12*$B$15*$B$18*$B$19*$B$21,0)</f>
        <v/>
      </c>
      <c r="Q30" s="25">
        <f>ROUND($B$4*$B$8*$B$12*$B$15*$B$18*$B$19*$B$22,0)</f>
        <v/>
      </c>
      <c r="R30" s="25">
        <f>ROUND($B$4*$B$8*$B$12*$B$15*$B$18*$B$20*$B$21,0)</f>
        <v/>
      </c>
      <c r="S30" s="25">
        <f>ROUND($B$4*$B$8*$B$12*$B$15*$B$18*$B$20*$B$22,0)</f>
        <v/>
      </c>
      <c r="T30" s="25">
        <f>ROUND($B$4*$B$8*$B$12*$B$16*$B$17*$B$19*$B$21,0)</f>
        <v/>
      </c>
      <c r="U30" s="25">
        <f>ROUND($B$4*$B$8*$B$12*$B$16*$B$17*$B$19*$B$22,0)</f>
        <v/>
      </c>
      <c r="V30" s="25">
        <f>ROUND($B$4*$B$8*$B$12*$B$16*$B$17*$B$20*$B$21,0)</f>
        <v/>
      </c>
      <c r="W30" s="25">
        <f>ROUND($B$4*$B$8*$B$12*$B$16*$B$17*$B$20*$B$22,0)</f>
        <v/>
      </c>
      <c r="X30" s="25">
        <f>ROUND($B$4*$B$8*$B$12*$B$16*$B$18*$B$19*$B$21,0)</f>
        <v/>
      </c>
      <c r="Y30" s="25">
        <f>ROUND($B$4*$B$8*$B$12*$B$16*$B$18*$B$19*$B$22,0)</f>
        <v/>
      </c>
      <c r="Z30" s="25">
        <f>ROUND($B$4*$B$8*$B$12*$B$16*$B$18*$B$20*$B$21,0)</f>
        <v/>
      </c>
      <c r="AA30" s="25">
        <f>ROUND($B$4*$B$8*$B$12*$B$16*$B$18*$B$20*$B$22,0)</f>
        <v/>
      </c>
    </row>
    <row r="31" ht="20.1" customHeight="1" s="62">
      <c r="A31" s="81" t="n"/>
      <c r="B31" s="59" t="n"/>
      <c r="C31" s="26" t="inlineStr">
        <is>
          <t>200+ utilisateurs</t>
        </is>
      </c>
      <c r="D31" s="25">
        <f>ROUND($B$4*$B$8*$B$13*$B$14*$B$17*$B$19*$B$21,0)</f>
        <v/>
      </c>
      <c r="E31" s="25">
        <f>ROUND($B$4*$B$8*$B$13*$B$14*$B$17*$B$19*$B$22,0)</f>
        <v/>
      </c>
      <c r="F31" s="25">
        <f>ROUND($B$4*$B$8*$B$13*$B$14*$B$17*$B$20*$B$21,0)</f>
        <v/>
      </c>
      <c r="G31" s="25">
        <f>ROUND($B$4*$B$8*$B$13*$B$14*$B$17*$B$20*$B$22,0)</f>
        <v/>
      </c>
      <c r="H31" s="25">
        <f>ROUND($B$4*$B$8*$B$13*$B$14*$B$18*$B$19*$B$21,0)</f>
        <v/>
      </c>
      <c r="I31" s="25">
        <f>ROUND($B$4*$B$8*$B$13*$B$14*$B$18*$B$19*$B$22,0)</f>
        <v/>
      </c>
      <c r="J31" s="25">
        <f>ROUND($B$4*$B$8*$B$13*$B$14*$B$18*$B$20*$B$21,0)</f>
        <v/>
      </c>
      <c r="K31" s="25">
        <f>ROUND($B$4*$B$8*$B$13*$B$14*$B$18*$B$20*$B$22,0)</f>
        <v/>
      </c>
      <c r="L31" s="25">
        <f>ROUND($B$4*$B$8*$B$13*$B$15*$B$17*$B$19*$B$21,0)</f>
        <v/>
      </c>
      <c r="M31" s="25">
        <f>ROUND($B$4*$B$8*$B$13*$B$15*$B$17*$B$19*$B$22,0)</f>
        <v/>
      </c>
      <c r="N31" s="25">
        <f>ROUND($B$4*$B$8*$B$13*$B$15*$B$17*$B$20*$B$21,0)</f>
        <v/>
      </c>
      <c r="O31" s="25">
        <f>ROUND($B$4*$B$8*$B$13*$B$15*$B$17*$B$20*$B$22,0)</f>
        <v/>
      </c>
      <c r="P31" s="25">
        <f>ROUND($B$4*$B$8*$B$13*$B$15*$B$18*$B$19*$B$21,0)</f>
        <v/>
      </c>
      <c r="Q31" s="25">
        <f>ROUND($B$4*$B$8*$B$13*$B$15*$B$18*$B$19*$B$22,0)</f>
        <v/>
      </c>
      <c r="R31" s="25">
        <f>ROUND($B$4*$B$8*$B$13*$B$15*$B$18*$B$20*$B$21,0)</f>
        <v/>
      </c>
      <c r="S31" s="25">
        <f>ROUND($B$4*$B$8*$B$13*$B$15*$B$18*$B$20*$B$22,0)</f>
        <v/>
      </c>
      <c r="T31" s="25">
        <f>ROUND($B$4*$B$8*$B$13*$B$16*$B$17*$B$19*$B$21,0)</f>
        <v/>
      </c>
      <c r="U31" s="25">
        <f>ROUND($B$4*$B$8*$B$13*$B$16*$B$17*$B$19*$B$22,0)</f>
        <v/>
      </c>
      <c r="V31" s="25">
        <f>ROUND($B$4*$B$8*$B$13*$B$16*$B$17*$B$20*$B$21,0)</f>
        <v/>
      </c>
      <c r="W31" s="25">
        <f>ROUND($B$4*$B$8*$B$13*$B$16*$B$17*$B$20*$B$22,0)</f>
        <v/>
      </c>
      <c r="X31" s="25">
        <f>ROUND($B$4*$B$8*$B$13*$B$16*$B$18*$B$19*$B$21,0)</f>
        <v/>
      </c>
      <c r="Y31" s="25">
        <f>ROUND($B$4*$B$8*$B$13*$B$16*$B$18*$B$19*$B$22,0)</f>
        <v/>
      </c>
      <c r="Z31" s="25">
        <f>ROUND($B$4*$B$8*$B$13*$B$16*$B$18*$B$20*$B$21,0)</f>
        <v/>
      </c>
      <c r="AA31" s="25">
        <f>ROUND($B$4*$B$8*$B$13*$B$16*$B$18*$B$20*$B$22,0)</f>
        <v/>
      </c>
    </row>
    <row r="32" ht="20.1" customHeight="1" s="62">
      <c r="A32" s="81" t="n"/>
      <c r="B32" s="73" t="inlineStr">
        <is>
          <t>4-8 modules</t>
        </is>
      </c>
      <c r="C32" s="24" t="inlineStr">
        <is>
          <t>&lt; 20 utilisateurs</t>
        </is>
      </c>
      <c r="D32" s="25">
        <f>ROUND($B$4*$B$9*$B$11*$B$14*$B$17*$B$19*$B$21,0)</f>
        <v/>
      </c>
      <c r="E32" s="25">
        <f>ROUND($B$4*$B$9*$B$11*$B$14*$B$17*$B$19*$B$22,0)</f>
        <v/>
      </c>
      <c r="F32" s="25">
        <f>ROUND($B$4*$B$9*$B$11*$B$14*$B$17*$B$20*$B$21,0)</f>
        <v/>
      </c>
      <c r="G32" s="25">
        <f>ROUND($B$4*$B$9*$B$11*$B$14*$B$17*$B$20*$B$22,0)</f>
        <v/>
      </c>
      <c r="H32" s="25">
        <f>ROUND($B$4*$B$9*$B$11*$B$14*$B$18*$B$19*$B$21,0)</f>
        <v/>
      </c>
      <c r="I32" s="25">
        <f>ROUND($B$4*$B$9*$B$11*$B$14*$B$18*$B$19*$B$22,0)</f>
        <v/>
      </c>
      <c r="J32" s="25">
        <f>ROUND($B$4*$B$9*$B$11*$B$14*$B$18*$B$20*$B$21,0)</f>
        <v/>
      </c>
      <c r="K32" s="25">
        <f>ROUND($B$4*$B$9*$B$11*$B$14*$B$18*$B$20*$B$22,0)</f>
        <v/>
      </c>
      <c r="L32" s="25">
        <f>ROUND($B$4*$B$9*$B$11*$B$15*$B$17*$B$19*$B$21,0)</f>
        <v/>
      </c>
      <c r="M32" s="25">
        <f>ROUND($B$4*$B$9*$B$11*$B$15*$B$17*$B$19*$B$22,0)</f>
        <v/>
      </c>
      <c r="N32" s="25">
        <f>ROUND($B$4*$B$9*$B$11*$B$15*$B$17*$B$20*$B$21,0)</f>
        <v/>
      </c>
      <c r="O32" s="25">
        <f>ROUND($B$4*$B$9*$B$11*$B$15*$B$17*$B$20*$B$22,0)</f>
        <v/>
      </c>
      <c r="P32" s="25">
        <f>ROUND($B$4*$B$9*$B$11*$B$15*$B$18*$B$19*$B$21,0)</f>
        <v/>
      </c>
      <c r="Q32" s="25">
        <f>ROUND($B$4*$B$9*$B$11*$B$15*$B$18*$B$19*$B$22,0)</f>
        <v/>
      </c>
      <c r="R32" s="25">
        <f>ROUND($B$4*$B$9*$B$11*$B$15*$B$18*$B$20*$B$21,0)</f>
        <v/>
      </c>
      <c r="S32" s="25">
        <f>ROUND($B$4*$B$9*$B$11*$B$15*$B$18*$B$20*$B$22,0)</f>
        <v/>
      </c>
      <c r="T32" s="25">
        <f>ROUND($B$4*$B$9*$B$11*$B$16*$B$17*$B$19*$B$21,0)</f>
        <v/>
      </c>
      <c r="U32" s="25">
        <f>ROUND($B$4*$B$9*$B$11*$B$16*$B$17*$B$19*$B$22,0)</f>
        <v/>
      </c>
      <c r="V32" s="25">
        <f>ROUND($B$4*$B$9*$B$11*$B$16*$B$17*$B$20*$B$21,0)</f>
        <v/>
      </c>
      <c r="W32" s="25">
        <f>ROUND($B$4*$B$9*$B$11*$B$16*$B$17*$B$20*$B$22,0)</f>
        <v/>
      </c>
      <c r="X32" s="25">
        <f>ROUND($B$4*$B$9*$B$11*$B$16*$B$18*$B$19*$B$21,0)</f>
        <v/>
      </c>
      <c r="Y32" s="25">
        <f>ROUND($B$4*$B$9*$B$11*$B$16*$B$18*$B$19*$B$22,0)</f>
        <v/>
      </c>
      <c r="Z32" s="25">
        <f>ROUND($B$4*$B$9*$B$11*$B$16*$B$18*$B$20*$B$21,0)</f>
        <v/>
      </c>
      <c r="AA32" s="25">
        <f>ROUND($B$4*$B$9*$B$11*$B$16*$B$18*$B$20*$B$22,0)</f>
        <v/>
      </c>
    </row>
    <row r="33" ht="20.1" customHeight="1" s="62">
      <c r="A33" s="81" t="n"/>
      <c r="B33" s="58" t="n"/>
      <c r="C33" s="73" t="inlineStr">
        <is>
          <t>20-200 utilisateurs</t>
        </is>
      </c>
      <c r="D33" s="25">
        <f>ROUND($B$4*$B$9*$B$12*$B$14*$B$17*$B$19*$B$21,0)</f>
        <v/>
      </c>
      <c r="E33" s="25">
        <f>ROUND($B$4*$B$9*$B$12*$B$14*$B$17*$B$19*$B$22,0)</f>
        <v/>
      </c>
      <c r="F33" s="25">
        <f>ROUND($B$4*$B$9*$B$12*$B$14*$B$17*$B$20*$B$21,0)</f>
        <v/>
      </c>
      <c r="G33" s="25">
        <f>ROUND($B$4*$B$9*$B$12*$B$14*$B$17*$B$20*$B$22,0)</f>
        <v/>
      </c>
      <c r="H33" s="25">
        <f>ROUND($B$4*$B$9*$B$12*$B$14*$B$18*$B$19*$B$21,0)</f>
        <v/>
      </c>
      <c r="I33" s="25">
        <f>ROUND($B$4*$B$9*$B$12*$B$14*$B$18*$B$19*$B$22,0)</f>
        <v/>
      </c>
      <c r="J33" s="25">
        <f>ROUND($B$4*$B$9*$B$12*$B$14*$B$18*$B$20*$B$21,0)</f>
        <v/>
      </c>
      <c r="K33" s="25">
        <f>ROUND($B$4*$B$9*$B$12*$B$14*$B$18*$B$20*$B$22,0)</f>
        <v/>
      </c>
      <c r="L33" s="25">
        <f>ROUND($B$4*$B$9*$B$12*$B$15*$B$17*$B$19*$B$21,0)</f>
        <v/>
      </c>
      <c r="M33" s="25">
        <f>ROUND($B$4*$B$9*$B$12*$B$15*$B$17*$B$19*$B$22,0)</f>
        <v/>
      </c>
      <c r="N33" s="25">
        <f>ROUND($B$4*$B$9*$B$12*$B$15*$B$17*$B$20*$B$21,0)</f>
        <v/>
      </c>
      <c r="O33" s="25">
        <f>ROUND($B$4*$B$9*$B$12*$B$15*$B$17*$B$20*$B$22,0)</f>
        <v/>
      </c>
      <c r="P33" s="25">
        <f>ROUND($B$4*$B$9*$B$12*$B$15*$B$18*$B$19*$B$21,0)</f>
        <v/>
      </c>
      <c r="Q33" s="25">
        <f>ROUND($B$4*$B$9*$B$12*$B$15*$B$18*$B$19*$B$22,0)</f>
        <v/>
      </c>
      <c r="R33" s="25">
        <f>ROUND($B$4*$B$9*$B$12*$B$15*$B$18*$B$20*$B$21,0)</f>
        <v/>
      </c>
      <c r="S33" s="25">
        <f>ROUND($B$4*$B$9*$B$12*$B$15*$B$18*$B$20*$B$22,0)</f>
        <v/>
      </c>
      <c r="T33" s="25">
        <f>ROUND($B$4*$B$9*$B$12*$B$16*$B$17*$B$19*$B$21,0)</f>
        <v/>
      </c>
      <c r="U33" s="25">
        <f>ROUND($B$4*$B$9*$B$12*$B$16*$B$17*$B$19*$B$22,0)</f>
        <v/>
      </c>
      <c r="V33" s="25">
        <f>ROUND($B$4*$B$9*$B$12*$B$16*$B$17*$B$20*$B$21,0)</f>
        <v/>
      </c>
      <c r="W33" s="25">
        <f>ROUND($B$4*$B$9*$B$12*$B$16*$B$17*$B$20*$B$22,0)</f>
        <v/>
      </c>
      <c r="X33" s="25">
        <f>ROUND($B$4*$B$9*$B$12*$B$16*$B$18*$B$19*$B$21,0)</f>
        <v/>
      </c>
      <c r="Y33" s="25">
        <f>ROUND($B$4*$B$9*$B$12*$B$16*$B$18*$B$19*$B$22,0)</f>
        <v/>
      </c>
      <c r="Z33" s="25">
        <f>ROUND($B$4*$B$9*$B$12*$B$16*$B$18*$B$20*$B$21,0)</f>
        <v/>
      </c>
      <c r="AA33" s="25">
        <f>ROUND($B$4*$B$9*$B$12*$B$16*$B$18*$B$20*$B$22,0)</f>
        <v/>
      </c>
    </row>
    <row r="34" ht="20.1" customHeight="1" s="62">
      <c r="A34" s="81" t="n"/>
      <c r="B34" s="59" t="n"/>
      <c r="C34" s="26" t="inlineStr">
        <is>
          <t>200+ utilisateurs</t>
        </is>
      </c>
      <c r="D34" s="25">
        <f>ROUND($B$4*$B$9*$B$13*$B$14*$B$17*$B$19*$B$21,0)</f>
        <v/>
      </c>
      <c r="E34" s="25">
        <f>ROUND($B$4*$B$9*$B$13*$B$14*$B$17*$B$19*$B$22,0)</f>
        <v/>
      </c>
      <c r="F34" s="25">
        <f>ROUND($B$4*$B$9*$B$13*$B$14*$B$17*$B$20*$B$21,0)</f>
        <v/>
      </c>
      <c r="G34" s="25">
        <f>ROUND($B$4*$B$9*$B$13*$B$14*$B$17*$B$20*$B$22,0)</f>
        <v/>
      </c>
      <c r="H34" s="25">
        <f>ROUND($B$4*$B$9*$B$13*$B$14*$B$18*$B$19*$B$21,0)</f>
        <v/>
      </c>
      <c r="I34" s="25">
        <f>ROUND($B$4*$B$9*$B$13*$B$14*$B$18*$B$19*$B$22,0)</f>
        <v/>
      </c>
      <c r="J34" s="25">
        <f>ROUND($B$4*$B$9*$B$13*$B$14*$B$18*$B$20*$B$21,0)</f>
        <v/>
      </c>
      <c r="K34" s="25">
        <f>ROUND($B$4*$B$9*$B$13*$B$14*$B$18*$B$20*$B$22,0)</f>
        <v/>
      </c>
      <c r="L34" s="25">
        <f>ROUND($B$4*$B$9*$B$13*$B$15*$B$17*$B$19*$B$21,0)</f>
        <v/>
      </c>
      <c r="M34" s="25">
        <f>ROUND($B$4*$B$9*$B$13*$B$15*$B$17*$B$19*$B$22,0)</f>
        <v/>
      </c>
      <c r="N34" s="25">
        <f>ROUND($B$4*$B$9*$B$13*$B$15*$B$17*$B$20*$B$21,0)</f>
        <v/>
      </c>
      <c r="O34" s="25">
        <f>ROUND($B$4*$B$9*$B$13*$B$15*$B$17*$B$20*$B$22,0)</f>
        <v/>
      </c>
      <c r="P34" s="25">
        <f>ROUND($B$4*$B$9*$B$13*$B$15*$B$18*$B$19*$B$21,0)</f>
        <v/>
      </c>
      <c r="Q34" s="25">
        <f>ROUND($B$4*$B$9*$B$13*$B$15*$B$18*$B$19*$B$22,0)</f>
        <v/>
      </c>
      <c r="R34" s="25">
        <f>ROUND($B$4*$B$9*$B$13*$B$15*$B$18*$B$20*$B$21,0)</f>
        <v/>
      </c>
      <c r="S34" s="25">
        <f>ROUND($B$4*$B$9*$B$13*$B$15*$B$18*$B$20*$B$22,0)</f>
        <v/>
      </c>
      <c r="T34" s="25">
        <f>ROUND($B$4*$B$9*$B$13*$B$16*$B$17*$B$19*$B$21,0)</f>
        <v/>
      </c>
      <c r="U34" s="25">
        <f>ROUND($B$4*$B$9*$B$13*$B$16*$B$17*$B$19*$B$22,0)</f>
        <v/>
      </c>
      <c r="V34" s="25">
        <f>ROUND($B$4*$B$9*$B$13*$B$16*$B$17*$B$20*$B$21,0)</f>
        <v/>
      </c>
      <c r="W34" s="25">
        <f>ROUND($B$4*$B$9*$B$13*$B$16*$B$17*$B$20*$B$22,0)</f>
        <v/>
      </c>
      <c r="X34" s="25">
        <f>ROUND($B$4*$B$9*$B$13*$B$16*$B$18*$B$19*$B$21,0)</f>
        <v/>
      </c>
      <c r="Y34" s="25">
        <f>ROUND($B$4*$B$9*$B$13*$B$16*$B$18*$B$19*$B$22,0)</f>
        <v/>
      </c>
      <c r="Z34" s="25">
        <f>ROUND($B$4*$B$9*$B$13*$B$16*$B$18*$B$20*$B$21,0)</f>
        <v/>
      </c>
      <c r="AA34" s="25">
        <f>ROUND($B$4*$B$9*$B$13*$B$16*$B$18*$B$20*$B$22,0)</f>
        <v/>
      </c>
    </row>
    <row r="35" ht="20.1" customHeight="1" s="62">
      <c r="A35" s="81" t="n"/>
      <c r="B35" s="73" t="inlineStr">
        <is>
          <t>9+ modules</t>
        </is>
      </c>
      <c r="C35" s="24" t="inlineStr">
        <is>
          <t>&lt; 20 utilisateurs</t>
        </is>
      </c>
      <c r="D35" s="25">
        <f>ROUND($B$4*$B$10*$B$11*$B$14*$B$17*$B$19*$B$21,0)</f>
        <v/>
      </c>
      <c r="E35" s="25">
        <f>ROUND($B$4*$B$10*$B$11*$B$14*$B$17*$B$19*$B$22,0)</f>
        <v/>
      </c>
      <c r="F35" s="25">
        <f>ROUND($B$4*$B$10*$B$11*$B$14*$B$17*$B$20*$B$21,0)</f>
        <v/>
      </c>
      <c r="G35" s="25">
        <f>ROUND($B$4*$B$10*$B$11*$B$14*$B$17*$B$20*$B$22,0)</f>
        <v/>
      </c>
      <c r="H35" s="25">
        <f>ROUND($B$4*$B$10*$B$11*$B$14*$B$18*$B$19*$B$21,0)</f>
        <v/>
      </c>
      <c r="I35" s="25">
        <f>ROUND($B$4*$B$10*$B$11*$B$14*$B$18*$B$19*$B$22,0)</f>
        <v/>
      </c>
      <c r="J35" s="25">
        <f>ROUND($B$4*$B$10*$B$11*$B$14*$B$18*$B$20*$B$21,0)</f>
        <v/>
      </c>
      <c r="K35" s="25">
        <f>ROUND($B$4*$B$10*$B$11*$B$14*$B$18*$B$20*$B$22,0)</f>
        <v/>
      </c>
      <c r="L35" s="25">
        <f>ROUND($B$4*$B$10*$B$11*$B$15*$B$17*$B$19*$B$21,0)</f>
        <v/>
      </c>
      <c r="M35" s="25">
        <f>ROUND($B$4*$B$10*$B$11*$B$15*$B$17*$B$19*$B$22,0)</f>
        <v/>
      </c>
      <c r="N35" s="25">
        <f>ROUND($B$4*$B$10*$B$11*$B$15*$B$17*$B$20*$B$21,0)</f>
        <v/>
      </c>
      <c r="O35" s="25">
        <f>ROUND($B$4*$B$10*$B$11*$B$15*$B$17*$B$20*$B$22,0)</f>
        <v/>
      </c>
      <c r="P35" s="25">
        <f>ROUND($B$4*$B$10*$B$11*$B$15*$B$18*$B$19*$B$21,0)</f>
        <v/>
      </c>
      <c r="Q35" s="25">
        <f>ROUND($B$4*$B$10*$B$11*$B$15*$B$18*$B$19*$B$22,0)</f>
        <v/>
      </c>
      <c r="R35" s="25">
        <f>ROUND($B$4*$B$10*$B$11*$B$15*$B$18*$B$20*$B$21,0)</f>
        <v/>
      </c>
      <c r="S35" s="25">
        <f>ROUND($B$4*$B$10*$B$11*$B$15*$B$18*$B$20*$B$22,0)</f>
        <v/>
      </c>
      <c r="T35" s="25">
        <f>ROUND($B$4*$B$10*$B$11*$B$16*$B$17*$B$19*$B$21,0)</f>
        <v/>
      </c>
      <c r="U35" s="25">
        <f>ROUND($B$4*$B$10*$B$11*$B$16*$B$17*$B$19*$B$22,0)</f>
        <v/>
      </c>
      <c r="V35" s="25">
        <f>ROUND($B$4*$B$10*$B$11*$B$16*$B$17*$B$20*$B$21,0)</f>
        <v/>
      </c>
      <c r="W35" s="25">
        <f>ROUND($B$4*$B$10*$B$11*$B$16*$B$17*$B$20*$B$22,0)</f>
        <v/>
      </c>
      <c r="X35" s="25">
        <f>ROUND($B$4*$B$10*$B$11*$B$16*$B$18*$B$19*$B$21,0)</f>
        <v/>
      </c>
      <c r="Y35" s="25">
        <f>ROUND($B$4*$B$10*$B$11*$B$16*$B$18*$B$19*$B$22,0)</f>
        <v/>
      </c>
      <c r="Z35" s="25">
        <f>ROUND($B$4*$B$10*$B$11*$B$16*$B$18*$B$20*$B$21,0)</f>
        <v/>
      </c>
      <c r="AA35" s="25">
        <f>ROUND($B$4*$B$10*$B$11*$B$16*$B$18*$B$20*$B$22,0)</f>
        <v/>
      </c>
    </row>
    <row r="36" ht="20.1" customHeight="1" s="62">
      <c r="A36" s="81" t="n"/>
      <c r="B36" s="58" t="n"/>
      <c r="C36" s="73" t="inlineStr">
        <is>
          <t>20-200 utilisateurs</t>
        </is>
      </c>
      <c r="D36" s="25">
        <f>ROUND($B$4*$B$10*$B$12*$B$14*$B$17*$B$19*$B$21,0)</f>
        <v/>
      </c>
      <c r="E36" s="25">
        <f>ROUND($B$4*$B$10*$B$12*$B$14*$B$17*$B$19*$B$22,0)</f>
        <v/>
      </c>
      <c r="F36" s="25">
        <f>ROUND($B$4*$B$10*$B$12*$B$14*$B$17*$B$20*$B$21,0)</f>
        <v/>
      </c>
      <c r="G36" s="25">
        <f>ROUND($B$4*$B$10*$B$12*$B$14*$B$17*$B$20*$B$22,0)</f>
        <v/>
      </c>
      <c r="H36" s="25">
        <f>ROUND($B$4*$B$10*$B$12*$B$14*$B$18*$B$19*$B$21,0)</f>
        <v/>
      </c>
      <c r="I36" s="25">
        <f>ROUND($B$4*$B$10*$B$12*$B$14*$B$18*$B$19*$B$22,0)</f>
        <v/>
      </c>
      <c r="J36" s="25">
        <f>ROUND($B$4*$B$10*$B$12*$B$14*$B$18*$B$20*$B$21,0)</f>
        <v/>
      </c>
      <c r="K36" s="25">
        <f>ROUND($B$4*$B$10*$B$12*$B$14*$B$18*$B$20*$B$22,0)</f>
        <v/>
      </c>
      <c r="L36" s="25">
        <f>ROUND($B$4*$B$10*$B$12*$B$15*$B$17*$B$19*$B$21,0)</f>
        <v/>
      </c>
      <c r="M36" s="25">
        <f>ROUND($B$4*$B$10*$B$12*$B$15*$B$17*$B$19*$B$22,0)</f>
        <v/>
      </c>
      <c r="N36" s="25">
        <f>ROUND($B$4*$B$10*$B$12*$B$15*$B$17*$B$20*$B$21,0)</f>
        <v/>
      </c>
      <c r="O36" s="25">
        <f>ROUND($B$4*$B$10*$B$12*$B$15*$B$17*$B$20*$B$22,0)</f>
        <v/>
      </c>
      <c r="P36" s="25">
        <f>ROUND($B$4*$B$10*$B$12*$B$15*$B$18*$B$19*$B$21,0)</f>
        <v/>
      </c>
      <c r="Q36" s="25">
        <f>ROUND($B$4*$B$10*$B$12*$B$15*$B$18*$B$19*$B$22,0)</f>
        <v/>
      </c>
      <c r="R36" s="25">
        <f>ROUND($B$4*$B$10*$B$12*$B$15*$B$18*$B$20*$B$21,0)</f>
        <v/>
      </c>
      <c r="S36" s="25">
        <f>ROUND($B$4*$B$10*$B$12*$B$15*$B$18*$B$20*$B$22,0)</f>
        <v/>
      </c>
      <c r="T36" s="25">
        <f>ROUND($B$4*$B$10*$B$12*$B$16*$B$17*$B$19*$B$21,0)</f>
        <v/>
      </c>
      <c r="U36" s="25">
        <f>ROUND($B$4*$B$10*$B$12*$B$16*$B$17*$B$19*$B$22,0)</f>
        <v/>
      </c>
      <c r="V36" s="25">
        <f>ROUND($B$4*$B$10*$B$12*$B$16*$B$17*$B$20*$B$21,0)</f>
        <v/>
      </c>
      <c r="W36" s="25">
        <f>ROUND($B$4*$B$10*$B$12*$B$16*$B$17*$B$20*$B$22,0)</f>
        <v/>
      </c>
      <c r="X36" s="25">
        <f>ROUND($B$4*$B$10*$B$12*$B$16*$B$18*$B$19*$B$21,0)</f>
        <v/>
      </c>
      <c r="Y36" s="25">
        <f>ROUND($B$4*$B$10*$B$12*$B$16*$B$18*$B$19*$B$22,0)</f>
        <v/>
      </c>
      <c r="Z36" s="25">
        <f>ROUND($B$4*$B$10*$B$12*$B$16*$B$18*$B$20*$B$21,0)</f>
        <v/>
      </c>
      <c r="AA36" s="25">
        <f>ROUND($B$4*$B$10*$B$12*$B$16*$B$18*$B$20*$B$22,0)</f>
        <v/>
      </c>
    </row>
    <row r="37" ht="20.1" customHeight="1" s="62">
      <c r="A37" s="82" t="n"/>
      <c r="B37" s="59" t="n"/>
      <c r="C37" s="26" t="inlineStr">
        <is>
          <t>200+ utilisateurs</t>
        </is>
      </c>
      <c r="D37" s="25">
        <f>ROUND($B$4*$B$10*$B$13*$B$14*$B$17*$B$19*$B$21,0)</f>
        <v/>
      </c>
      <c r="E37" s="25">
        <f>ROUND($B$4*$B$10*$B$13*$B$14*$B$17*$B$19*$B$22,0)</f>
        <v/>
      </c>
      <c r="F37" s="25">
        <f>ROUND($B$4*$B$10*$B$13*$B$14*$B$17*$B$20*$B$21,0)</f>
        <v/>
      </c>
      <c r="G37" s="25">
        <f>ROUND($B$4*$B$10*$B$13*$B$14*$B$17*$B$20*$B$22,0)</f>
        <v/>
      </c>
      <c r="H37" s="25">
        <f>ROUND($B$4*$B$10*$B$13*$B$14*$B$18*$B$19*$B$21,0)</f>
        <v/>
      </c>
      <c r="I37" s="25">
        <f>ROUND($B$4*$B$10*$B$13*$B$14*$B$18*$B$19*$B$22,0)</f>
        <v/>
      </c>
      <c r="J37" s="25">
        <f>ROUND($B$4*$B$10*$B$13*$B$14*$B$18*$B$20*$B$21,0)</f>
        <v/>
      </c>
      <c r="K37" s="25">
        <f>ROUND($B$4*$B$10*$B$13*$B$14*$B$18*$B$20*$B$22,0)</f>
        <v/>
      </c>
      <c r="L37" s="25">
        <f>ROUND($B$4*$B$10*$B$13*$B$15*$B$17*$B$19*$B$21,0)</f>
        <v/>
      </c>
      <c r="M37" s="25">
        <f>ROUND($B$4*$B$10*$B$13*$B$15*$B$17*$B$19*$B$22,0)</f>
        <v/>
      </c>
      <c r="N37" s="25">
        <f>ROUND($B$4*$B$10*$B$13*$B$15*$B$17*$B$20*$B$21,0)</f>
        <v/>
      </c>
      <c r="O37" s="25">
        <f>ROUND($B$4*$B$10*$B$13*$B$15*$B$17*$B$20*$B$22,0)</f>
        <v/>
      </c>
      <c r="P37" s="25">
        <f>ROUND($B$4*$B$10*$B$13*$B$15*$B$18*$B$19*$B$21,0)</f>
        <v/>
      </c>
      <c r="Q37" s="25">
        <f>ROUND($B$4*$B$10*$B$13*$B$15*$B$18*$B$19*$B$22,0)</f>
        <v/>
      </c>
      <c r="R37" s="25">
        <f>ROUND($B$4*$B$10*$B$13*$B$15*$B$18*$B$20*$B$21,0)</f>
        <v/>
      </c>
      <c r="S37" s="25">
        <f>ROUND($B$4*$B$10*$B$13*$B$15*$B$18*$B$20*$B$22,0)</f>
        <v/>
      </c>
      <c r="T37" s="25">
        <f>ROUND($B$4*$B$10*$B$13*$B$16*$B$17*$B$19*$B$21,0)</f>
        <v/>
      </c>
      <c r="U37" s="25">
        <f>ROUND($B$4*$B$10*$B$13*$B$16*$B$17*$B$19*$B$22,0)</f>
        <v/>
      </c>
      <c r="V37" s="25">
        <f>ROUND($B$4*$B$10*$B$13*$B$16*$B$17*$B$20*$B$21,0)</f>
        <v/>
      </c>
      <c r="W37" s="25">
        <f>ROUND($B$4*$B$10*$B$13*$B$16*$B$17*$B$20*$B$22,0)</f>
        <v/>
      </c>
      <c r="X37" s="25">
        <f>ROUND($B$4*$B$10*$B$13*$B$16*$B$18*$B$19*$B$21,0)</f>
        <v/>
      </c>
      <c r="Y37" s="25">
        <f>ROUND($B$4*$B$10*$B$13*$B$16*$B$18*$B$19*$B$22,0)</f>
        <v/>
      </c>
      <c r="Z37" s="25">
        <f>ROUND($B$4*$B$10*$B$13*$B$16*$B$18*$B$20*$B$21,0)</f>
        <v/>
      </c>
      <c r="AA37" s="25">
        <f>ROUND($B$4*$B$10*$B$13*$B$16*$B$18*$B$20*$B$22,0)</f>
        <v/>
      </c>
    </row>
    <row r="38" ht="20.1" customHeight="1" s="62">
      <c r="A38" s="80" t="inlineStr">
        <is>
          <t>Projet structuré</t>
        </is>
      </c>
      <c r="B38" s="73" t="inlineStr">
        <is>
          <t>1-3 modules</t>
        </is>
      </c>
      <c r="C38" s="24" t="inlineStr">
        <is>
          <t>&lt; 20 utilisateurs</t>
        </is>
      </c>
      <c r="D38" s="25">
        <f>ROUND($B$5*$B$8*$B$11*$B$14*$B$17*$B$19*$B$21,0)</f>
        <v/>
      </c>
      <c r="E38" s="25">
        <f>ROUND($B$5*$B$8*$B$11*$B$14*$B$17*$B$19*$B$22,0)</f>
        <v/>
      </c>
      <c r="F38" s="25">
        <f>ROUND($B$5*$B$8*$B$11*$B$14*$B$17*$B$20*$B$21,0)</f>
        <v/>
      </c>
      <c r="G38" s="25">
        <f>ROUND($B$5*$B$8*$B$11*$B$14*$B$17*$B$20*$B$22,0)</f>
        <v/>
      </c>
      <c r="H38" s="25">
        <f>ROUND($B$5*$B$8*$B$11*$B$14*$B$18*$B$19*$B$21,0)</f>
        <v/>
      </c>
      <c r="I38" s="25">
        <f>ROUND($B$5*$B$8*$B$11*$B$14*$B$18*$B$19*$B$22,0)</f>
        <v/>
      </c>
      <c r="J38" s="25">
        <f>ROUND($B$5*$B$8*$B$11*$B$14*$B$18*$B$20*$B$21,0)</f>
        <v/>
      </c>
      <c r="K38" s="25">
        <f>ROUND($B$5*$B$8*$B$11*$B$14*$B$18*$B$20*$B$22,0)</f>
        <v/>
      </c>
      <c r="L38" s="25">
        <f>ROUND($B$5*$B$8*$B$11*$B$15*$B$17*$B$19*$B$21,0)</f>
        <v/>
      </c>
      <c r="M38" s="25">
        <f>ROUND($B$5*$B$8*$B$11*$B$15*$B$17*$B$19*$B$22,0)</f>
        <v/>
      </c>
      <c r="N38" s="25">
        <f>ROUND($B$5*$B$8*$B$11*$B$15*$B$17*$B$20*$B$21,0)</f>
        <v/>
      </c>
      <c r="O38" s="25">
        <f>ROUND($B$5*$B$8*$B$11*$B$15*$B$17*$B$20*$B$22,0)</f>
        <v/>
      </c>
      <c r="P38" s="25">
        <f>ROUND($B$5*$B$8*$B$11*$B$15*$B$18*$B$19*$B$21,0)</f>
        <v/>
      </c>
      <c r="Q38" s="25">
        <f>ROUND($B$5*$B$8*$B$11*$B$15*$B$18*$B$19*$B$22,0)</f>
        <v/>
      </c>
      <c r="R38" s="25">
        <f>ROUND($B$5*$B$8*$B$11*$B$15*$B$18*$B$20*$B$21,0)</f>
        <v/>
      </c>
      <c r="S38" s="25">
        <f>ROUND($B$5*$B$8*$B$11*$B$15*$B$18*$B$20*$B$22,0)</f>
        <v/>
      </c>
      <c r="T38" s="25">
        <f>ROUND($B$5*$B$8*$B$11*$B$16*$B$17*$B$19*$B$21,0)</f>
        <v/>
      </c>
      <c r="U38" s="25">
        <f>ROUND($B$5*$B$8*$B$11*$B$16*$B$17*$B$19*$B$22,0)</f>
        <v/>
      </c>
      <c r="V38" s="25">
        <f>ROUND($B$5*$B$8*$B$11*$B$16*$B$17*$B$20*$B$21,0)</f>
        <v/>
      </c>
      <c r="W38" s="25">
        <f>ROUND($B$5*$B$8*$B$11*$B$16*$B$17*$B$20*$B$22,0)</f>
        <v/>
      </c>
      <c r="X38" s="25">
        <f>ROUND($B$5*$B$8*$B$11*$B$16*$B$18*$B$19*$B$21,0)</f>
        <v/>
      </c>
      <c r="Y38" s="25">
        <f>ROUND($B$5*$B$8*$B$11*$B$16*$B$18*$B$19*$B$22,0)</f>
        <v/>
      </c>
      <c r="Z38" s="25">
        <f>ROUND($B$5*$B$8*$B$11*$B$16*$B$18*$B$20*$B$21,0)</f>
        <v/>
      </c>
      <c r="AA38" s="25">
        <f>ROUND($B$5*$B$8*$B$11*$B$16*$B$18*$B$20*$B$22,0)</f>
        <v/>
      </c>
    </row>
    <row r="39" ht="20.1" customHeight="1" s="62">
      <c r="A39" s="81" t="n"/>
      <c r="B39" s="58" t="n"/>
      <c r="C39" s="73" t="inlineStr">
        <is>
          <t>20-200 utilisateurs</t>
        </is>
      </c>
      <c r="D39" s="25">
        <f>ROUND($B$5*$B$8*$B$12*$B$14*$B$17*$B$19*$B$21,0)</f>
        <v/>
      </c>
      <c r="E39" s="25">
        <f>ROUND($B$5*$B$8*$B$12*$B$14*$B$17*$B$19*$B$22,0)</f>
        <v/>
      </c>
      <c r="F39" s="25">
        <f>ROUND($B$5*$B$8*$B$12*$B$14*$B$17*$B$20*$B$21,0)</f>
        <v/>
      </c>
      <c r="G39" s="25">
        <f>ROUND($B$5*$B$8*$B$12*$B$14*$B$17*$B$20*$B$22,0)</f>
        <v/>
      </c>
      <c r="H39" s="25">
        <f>ROUND($B$5*$B$8*$B$12*$B$14*$B$18*$B$19*$B$21,0)</f>
        <v/>
      </c>
      <c r="I39" s="25">
        <f>ROUND($B$5*$B$8*$B$12*$B$14*$B$18*$B$19*$B$22,0)</f>
        <v/>
      </c>
      <c r="J39" s="25">
        <f>ROUND($B$5*$B$8*$B$12*$B$14*$B$18*$B$20*$B$21,0)</f>
        <v/>
      </c>
      <c r="K39" s="25">
        <f>ROUND($B$5*$B$8*$B$12*$B$14*$B$18*$B$20*$B$22,0)</f>
        <v/>
      </c>
      <c r="L39" s="25">
        <f>ROUND($B$5*$B$8*$B$12*$B$15*$B$17*$B$19*$B$21,0)</f>
        <v/>
      </c>
      <c r="M39" s="25">
        <f>ROUND($B$5*$B$8*$B$12*$B$15*$B$17*$B$19*$B$22,0)</f>
        <v/>
      </c>
      <c r="N39" s="25">
        <f>ROUND($B$5*$B$8*$B$12*$B$15*$B$17*$B$20*$B$21,0)</f>
        <v/>
      </c>
      <c r="O39" s="25">
        <f>ROUND($B$5*$B$8*$B$12*$B$15*$B$17*$B$20*$B$22,0)</f>
        <v/>
      </c>
      <c r="P39" s="25">
        <f>ROUND($B$5*$B$8*$B$12*$B$15*$B$18*$B$19*$B$21,0)</f>
        <v/>
      </c>
      <c r="Q39" s="25">
        <f>ROUND($B$5*$B$8*$B$12*$B$15*$B$18*$B$19*$B$22,0)</f>
        <v/>
      </c>
      <c r="R39" s="25">
        <f>ROUND($B$5*$B$8*$B$12*$B$15*$B$18*$B$20*$B$21,0)</f>
        <v/>
      </c>
      <c r="S39" s="25">
        <f>ROUND($B$5*$B$8*$B$12*$B$15*$B$18*$B$20*$B$22,0)</f>
        <v/>
      </c>
      <c r="T39" s="25">
        <f>ROUND($B$5*$B$8*$B$12*$B$16*$B$17*$B$19*$B$21,0)</f>
        <v/>
      </c>
      <c r="U39" s="25">
        <f>ROUND($B$5*$B$8*$B$12*$B$16*$B$17*$B$19*$B$22,0)</f>
        <v/>
      </c>
      <c r="V39" s="25">
        <f>ROUND($B$5*$B$8*$B$12*$B$16*$B$17*$B$20*$B$21,0)</f>
        <v/>
      </c>
      <c r="W39" s="25">
        <f>ROUND($B$5*$B$8*$B$12*$B$16*$B$17*$B$20*$B$22,0)</f>
        <v/>
      </c>
      <c r="X39" s="25">
        <f>ROUND($B$5*$B$8*$B$12*$B$16*$B$18*$B$19*$B$21,0)</f>
        <v/>
      </c>
      <c r="Y39" s="25">
        <f>ROUND($B$5*$B$8*$B$12*$B$16*$B$18*$B$19*$B$22,0)</f>
        <v/>
      </c>
      <c r="Z39" s="25">
        <f>ROUND($B$5*$B$8*$B$12*$B$16*$B$18*$B$20*$B$21,0)</f>
        <v/>
      </c>
      <c r="AA39" s="25">
        <f>ROUND($B$5*$B$8*$B$12*$B$16*$B$18*$B$20*$B$22,0)</f>
        <v/>
      </c>
    </row>
    <row r="40" ht="20.1" customHeight="1" s="62">
      <c r="A40" s="81" t="n"/>
      <c r="B40" s="59" t="n"/>
      <c r="C40" s="26" t="inlineStr">
        <is>
          <t>200+ utilisateurs</t>
        </is>
      </c>
      <c r="D40" s="25">
        <f>ROUND($B$5*$B$8*$B$13*$B$14*$B$17*$B$19*$B$21,0)</f>
        <v/>
      </c>
      <c r="E40" s="25">
        <f>ROUND($B$5*$B$8*$B$13*$B$14*$B$17*$B$19*$B$22,0)</f>
        <v/>
      </c>
      <c r="F40" s="25">
        <f>ROUND($B$5*$B$8*$B$13*$B$14*$B$17*$B$20*$B$21,0)</f>
        <v/>
      </c>
      <c r="G40" s="25">
        <f>ROUND($B$5*$B$8*$B$13*$B$14*$B$17*$B$20*$B$22,0)</f>
        <v/>
      </c>
      <c r="H40" s="25">
        <f>ROUND($B$5*$B$8*$B$13*$B$14*$B$18*$B$19*$B$21,0)</f>
        <v/>
      </c>
      <c r="I40" s="25">
        <f>ROUND($B$5*$B$8*$B$13*$B$14*$B$18*$B$19*$B$22,0)</f>
        <v/>
      </c>
      <c r="J40" s="25">
        <f>ROUND($B$5*$B$8*$B$13*$B$14*$B$18*$B$20*$B$21,0)</f>
        <v/>
      </c>
      <c r="K40" s="25">
        <f>ROUND($B$5*$B$8*$B$13*$B$14*$B$18*$B$20*$B$22,0)</f>
        <v/>
      </c>
      <c r="L40" s="25">
        <f>ROUND($B$5*$B$8*$B$13*$B$15*$B$17*$B$19*$B$21,0)</f>
        <v/>
      </c>
      <c r="M40" s="25">
        <f>ROUND($B$5*$B$8*$B$13*$B$15*$B$17*$B$19*$B$22,0)</f>
        <v/>
      </c>
      <c r="N40" s="25">
        <f>ROUND($B$5*$B$8*$B$13*$B$15*$B$17*$B$20*$B$21,0)</f>
        <v/>
      </c>
      <c r="O40" s="25">
        <f>ROUND($B$5*$B$8*$B$13*$B$15*$B$17*$B$20*$B$22,0)</f>
        <v/>
      </c>
      <c r="P40" s="25">
        <f>ROUND($B$5*$B$8*$B$13*$B$15*$B$18*$B$19*$B$21,0)</f>
        <v/>
      </c>
      <c r="Q40" s="25">
        <f>ROUND($B$5*$B$8*$B$13*$B$15*$B$18*$B$19*$B$22,0)</f>
        <v/>
      </c>
      <c r="R40" s="25">
        <f>ROUND($B$5*$B$8*$B$13*$B$15*$B$18*$B$20*$B$21,0)</f>
        <v/>
      </c>
      <c r="S40" s="25">
        <f>ROUND($B$5*$B$8*$B$13*$B$15*$B$18*$B$20*$B$22,0)</f>
        <v/>
      </c>
      <c r="T40" s="25">
        <f>ROUND($B$5*$B$8*$B$13*$B$16*$B$17*$B$19*$B$21,0)</f>
        <v/>
      </c>
      <c r="U40" s="25">
        <f>ROUND($B$5*$B$8*$B$13*$B$16*$B$17*$B$19*$B$22,0)</f>
        <v/>
      </c>
      <c r="V40" s="25">
        <f>ROUND($B$5*$B$8*$B$13*$B$16*$B$17*$B$20*$B$21,0)</f>
        <v/>
      </c>
      <c r="W40" s="25">
        <f>ROUND($B$5*$B$8*$B$13*$B$16*$B$17*$B$20*$B$22,0)</f>
        <v/>
      </c>
      <c r="X40" s="25">
        <f>ROUND($B$5*$B$8*$B$13*$B$16*$B$18*$B$19*$B$21,0)</f>
        <v/>
      </c>
      <c r="Y40" s="25">
        <f>ROUND($B$5*$B$8*$B$13*$B$16*$B$18*$B$19*$B$22,0)</f>
        <v/>
      </c>
      <c r="Z40" s="25">
        <f>ROUND($B$5*$B$8*$B$13*$B$16*$B$18*$B$20*$B$21,0)</f>
        <v/>
      </c>
      <c r="AA40" s="25">
        <f>ROUND($B$5*$B$8*$B$13*$B$16*$B$18*$B$20*$B$22,0)</f>
        <v/>
      </c>
    </row>
    <row r="41" ht="20.1" customHeight="1" s="62">
      <c r="A41" s="81" t="n"/>
      <c r="B41" s="73" t="inlineStr">
        <is>
          <t>4-8 modules</t>
        </is>
      </c>
      <c r="C41" s="24" t="inlineStr">
        <is>
          <t>&lt; 20 utilisateurs</t>
        </is>
      </c>
      <c r="D41" s="25">
        <f>ROUND($B$5*$B$9*$B$11*$B$14*$B$17*$B$19*$B$21,0)</f>
        <v/>
      </c>
      <c r="E41" s="25">
        <f>ROUND($B$5*$B$9*$B$11*$B$14*$B$17*$B$19*$B$22,0)</f>
        <v/>
      </c>
      <c r="F41" s="25">
        <f>ROUND($B$5*$B$9*$B$11*$B$14*$B$17*$B$20*$B$21,0)</f>
        <v/>
      </c>
      <c r="G41" s="25">
        <f>ROUND($B$5*$B$9*$B$11*$B$14*$B$17*$B$20*$B$22,0)</f>
        <v/>
      </c>
      <c r="H41" s="25">
        <f>ROUND($B$5*$B$9*$B$11*$B$14*$B$18*$B$19*$B$21,0)</f>
        <v/>
      </c>
      <c r="I41" s="25">
        <f>ROUND($B$5*$B$9*$B$11*$B$14*$B$18*$B$19*$B$22,0)</f>
        <v/>
      </c>
      <c r="J41" s="25">
        <f>ROUND($B$5*$B$9*$B$11*$B$14*$B$18*$B$20*$B$21,0)</f>
        <v/>
      </c>
      <c r="K41" s="25">
        <f>ROUND($B$5*$B$9*$B$11*$B$14*$B$18*$B$20*$B$22,0)</f>
        <v/>
      </c>
      <c r="L41" s="25">
        <f>ROUND($B$5*$B$9*$B$11*$B$15*$B$17*$B$19*$B$21,0)</f>
        <v/>
      </c>
      <c r="M41" s="25">
        <f>ROUND($B$5*$B$9*$B$11*$B$15*$B$17*$B$19*$B$22,0)</f>
        <v/>
      </c>
      <c r="N41" s="25">
        <f>ROUND($B$5*$B$9*$B$11*$B$15*$B$17*$B$20*$B$21,0)</f>
        <v/>
      </c>
      <c r="O41" s="25">
        <f>ROUND($B$5*$B$9*$B$11*$B$15*$B$17*$B$20*$B$22,0)</f>
        <v/>
      </c>
      <c r="P41" s="25">
        <f>ROUND($B$5*$B$9*$B$11*$B$15*$B$18*$B$19*$B$21,0)</f>
        <v/>
      </c>
      <c r="Q41" s="25">
        <f>ROUND($B$5*$B$9*$B$11*$B$15*$B$18*$B$19*$B$22,0)</f>
        <v/>
      </c>
      <c r="R41" s="25">
        <f>ROUND($B$5*$B$9*$B$11*$B$15*$B$18*$B$20*$B$21,0)</f>
        <v/>
      </c>
      <c r="S41" s="25">
        <f>ROUND($B$5*$B$9*$B$11*$B$15*$B$18*$B$20*$B$22,0)</f>
        <v/>
      </c>
      <c r="T41" s="25">
        <f>ROUND($B$5*$B$9*$B$11*$B$16*$B$17*$B$19*$B$21,0)</f>
        <v/>
      </c>
      <c r="U41" s="25">
        <f>ROUND($B$5*$B$9*$B$11*$B$16*$B$17*$B$19*$B$22,0)</f>
        <v/>
      </c>
      <c r="V41" s="25">
        <f>ROUND($B$5*$B$9*$B$11*$B$16*$B$17*$B$20*$B$21,0)</f>
        <v/>
      </c>
      <c r="W41" s="25">
        <f>ROUND($B$5*$B$9*$B$11*$B$16*$B$17*$B$20*$B$22,0)</f>
        <v/>
      </c>
      <c r="X41" s="25">
        <f>ROUND($B$5*$B$9*$B$11*$B$16*$B$18*$B$19*$B$21,0)</f>
        <v/>
      </c>
      <c r="Y41" s="25">
        <f>ROUND($B$5*$B$9*$B$11*$B$16*$B$18*$B$19*$B$22,0)</f>
        <v/>
      </c>
      <c r="Z41" s="25">
        <f>ROUND($B$5*$B$9*$B$11*$B$16*$B$18*$B$20*$B$21,0)</f>
        <v/>
      </c>
      <c r="AA41" s="25">
        <f>ROUND($B$5*$B$9*$B$11*$B$16*$B$18*$B$20*$B$22,0)</f>
        <v/>
      </c>
    </row>
    <row r="42" ht="20.1" customHeight="1" s="62">
      <c r="A42" s="81" t="n"/>
      <c r="B42" s="58" t="n"/>
      <c r="C42" s="73" t="inlineStr">
        <is>
          <t>20-200 utilisateurs</t>
        </is>
      </c>
      <c r="D42" s="25">
        <f>ROUND($B$5*$B$9*$B$12*$B$14*$B$17*$B$19*$B$21,0)</f>
        <v/>
      </c>
      <c r="E42" s="25">
        <f>ROUND($B$5*$B$9*$B$12*$B$14*$B$17*$B$19*$B$22,0)</f>
        <v/>
      </c>
      <c r="F42" s="25">
        <f>ROUND($B$5*$B$9*$B$12*$B$14*$B$17*$B$20*$B$21,0)</f>
        <v/>
      </c>
      <c r="G42" s="25">
        <f>ROUND($B$5*$B$9*$B$12*$B$14*$B$17*$B$20*$B$22,0)</f>
        <v/>
      </c>
      <c r="H42" s="25">
        <f>ROUND($B$5*$B$9*$B$12*$B$14*$B$18*$B$19*$B$21,0)</f>
        <v/>
      </c>
      <c r="I42" s="25">
        <f>ROUND($B$5*$B$9*$B$12*$B$14*$B$18*$B$19*$B$22,0)</f>
        <v/>
      </c>
      <c r="J42" s="25">
        <f>ROUND($B$5*$B$9*$B$12*$B$14*$B$18*$B$20*$B$21,0)</f>
        <v/>
      </c>
      <c r="K42" s="25">
        <f>ROUND($B$5*$B$9*$B$12*$B$14*$B$18*$B$20*$B$22,0)</f>
        <v/>
      </c>
      <c r="L42" s="25">
        <f>ROUND($B$5*$B$9*$B$12*$B$15*$B$17*$B$19*$B$21,0)</f>
        <v/>
      </c>
      <c r="M42" s="25">
        <f>ROUND($B$5*$B$9*$B$12*$B$15*$B$17*$B$19*$B$22,0)</f>
        <v/>
      </c>
      <c r="N42" s="25">
        <f>ROUND($B$5*$B$9*$B$12*$B$15*$B$17*$B$20*$B$21,0)</f>
        <v/>
      </c>
      <c r="O42" s="25">
        <f>ROUND($B$5*$B$9*$B$12*$B$15*$B$17*$B$20*$B$22,0)</f>
        <v/>
      </c>
      <c r="P42" s="25">
        <f>ROUND($B$5*$B$9*$B$12*$B$15*$B$18*$B$19*$B$21,0)</f>
        <v/>
      </c>
      <c r="Q42" s="25">
        <f>ROUND($B$5*$B$9*$B$12*$B$15*$B$18*$B$19*$B$22,0)</f>
        <v/>
      </c>
      <c r="R42" s="25">
        <f>ROUND($B$5*$B$9*$B$12*$B$15*$B$18*$B$20*$B$21,0)</f>
        <v/>
      </c>
      <c r="S42" s="25">
        <f>ROUND($B$5*$B$9*$B$12*$B$15*$B$18*$B$20*$B$22,0)</f>
        <v/>
      </c>
      <c r="T42" s="25">
        <f>ROUND($B$5*$B$9*$B$12*$B$16*$B$17*$B$19*$B$21,0)</f>
        <v/>
      </c>
      <c r="U42" s="25">
        <f>ROUND($B$5*$B$9*$B$12*$B$16*$B$17*$B$19*$B$22,0)</f>
        <v/>
      </c>
      <c r="V42" s="25">
        <f>ROUND($B$5*$B$9*$B$12*$B$16*$B$17*$B$20*$B$21,0)</f>
        <v/>
      </c>
      <c r="W42" s="25">
        <f>ROUND($B$5*$B$9*$B$12*$B$16*$B$17*$B$20*$B$22,0)</f>
        <v/>
      </c>
      <c r="X42" s="25">
        <f>ROUND($B$5*$B$9*$B$12*$B$16*$B$18*$B$19*$B$21,0)</f>
        <v/>
      </c>
      <c r="Y42" s="25">
        <f>ROUND($B$5*$B$9*$B$12*$B$16*$B$18*$B$19*$B$22,0)</f>
        <v/>
      </c>
      <c r="Z42" s="25">
        <f>ROUND($B$5*$B$9*$B$12*$B$16*$B$18*$B$20*$B$21,0)</f>
        <v/>
      </c>
      <c r="AA42" s="25">
        <f>ROUND($B$5*$B$9*$B$12*$B$16*$B$18*$B$20*$B$22,0)</f>
        <v/>
      </c>
    </row>
    <row r="43" ht="20.1" customHeight="1" s="62">
      <c r="A43" s="81" t="n"/>
      <c r="B43" s="59" t="n"/>
      <c r="C43" s="26" t="inlineStr">
        <is>
          <t>200+ utilisateurs</t>
        </is>
      </c>
      <c r="D43" s="25">
        <f>ROUND($B$5*$B$9*$B$13*$B$14*$B$17*$B$19*$B$21,0)</f>
        <v/>
      </c>
      <c r="E43" s="25">
        <f>ROUND($B$5*$B$9*$B$13*$B$14*$B$17*$B$19*$B$22,0)</f>
        <v/>
      </c>
      <c r="F43" s="25">
        <f>ROUND($B$5*$B$9*$B$13*$B$14*$B$17*$B$20*$B$21,0)</f>
        <v/>
      </c>
      <c r="G43" s="25">
        <f>ROUND($B$5*$B$9*$B$13*$B$14*$B$17*$B$20*$B$22,0)</f>
        <v/>
      </c>
      <c r="H43" s="25">
        <f>ROUND($B$5*$B$9*$B$13*$B$14*$B$18*$B$19*$B$21,0)</f>
        <v/>
      </c>
      <c r="I43" s="25">
        <f>ROUND($B$5*$B$9*$B$13*$B$14*$B$18*$B$19*$B$22,0)</f>
        <v/>
      </c>
      <c r="J43" s="25">
        <f>ROUND($B$5*$B$9*$B$13*$B$14*$B$18*$B$20*$B$21,0)</f>
        <v/>
      </c>
      <c r="K43" s="25">
        <f>ROUND($B$5*$B$9*$B$13*$B$14*$B$18*$B$20*$B$22,0)</f>
        <v/>
      </c>
      <c r="L43" s="25">
        <f>ROUND($B$5*$B$9*$B$13*$B$15*$B$17*$B$19*$B$21,0)</f>
        <v/>
      </c>
      <c r="M43" s="25">
        <f>ROUND($B$5*$B$9*$B$13*$B$15*$B$17*$B$19*$B$22,0)</f>
        <v/>
      </c>
      <c r="N43" s="25">
        <f>ROUND($B$5*$B$9*$B$13*$B$15*$B$17*$B$20*$B$21,0)</f>
        <v/>
      </c>
      <c r="O43" s="25">
        <f>ROUND($B$5*$B$9*$B$13*$B$15*$B$17*$B$20*$B$22,0)</f>
        <v/>
      </c>
      <c r="P43" s="25">
        <f>ROUND($B$5*$B$9*$B$13*$B$15*$B$18*$B$19*$B$21,0)</f>
        <v/>
      </c>
      <c r="Q43" s="25">
        <f>ROUND($B$5*$B$9*$B$13*$B$15*$B$18*$B$19*$B$22,0)</f>
        <v/>
      </c>
      <c r="R43" s="25">
        <f>ROUND($B$5*$B$9*$B$13*$B$15*$B$18*$B$20*$B$21,0)</f>
        <v/>
      </c>
      <c r="S43" s="25">
        <f>ROUND($B$5*$B$9*$B$13*$B$15*$B$18*$B$20*$B$22,0)</f>
        <v/>
      </c>
      <c r="T43" s="25">
        <f>ROUND($B$5*$B$9*$B$13*$B$16*$B$17*$B$19*$B$21,0)</f>
        <v/>
      </c>
      <c r="U43" s="25">
        <f>ROUND($B$5*$B$9*$B$13*$B$16*$B$17*$B$19*$B$22,0)</f>
        <v/>
      </c>
      <c r="V43" s="25">
        <f>ROUND($B$5*$B$9*$B$13*$B$16*$B$17*$B$20*$B$21,0)</f>
        <v/>
      </c>
      <c r="W43" s="25">
        <f>ROUND($B$5*$B$9*$B$13*$B$16*$B$17*$B$20*$B$22,0)</f>
        <v/>
      </c>
      <c r="X43" s="25">
        <f>ROUND($B$5*$B$9*$B$13*$B$16*$B$18*$B$19*$B$21,0)</f>
        <v/>
      </c>
      <c r="Y43" s="25">
        <f>ROUND($B$5*$B$9*$B$13*$B$16*$B$18*$B$19*$B$22,0)</f>
        <v/>
      </c>
      <c r="Z43" s="25">
        <f>ROUND($B$5*$B$9*$B$13*$B$16*$B$18*$B$20*$B$21,0)</f>
        <v/>
      </c>
      <c r="AA43" s="25">
        <f>ROUND($B$5*$B$9*$B$13*$B$16*$B$18*$B$20*$B$22,0)</f>
        <v/>
      </c>
    </row>
    <row r="44" ht="20.1" customHeight="1" s="62">
      <c r="A44" s="81" t="n"/>
      <c r="B44" s="73" t="inlineStr">
        <is>
          <t>9+ modules</t>
        </is>
      </c>
      <c r="C44" s="24" t="inlineStr">
        <is>
          <t>&lt; 20 utilisateurs</t>
        </is>
      </c>
      <c r="D44" s="25">
        <f>ROUND($B$5*$B$10*$B$11*$B$14*$B$17*$B$19*$B$21,0)</f>
        <v/>
      </c>
      <c r="E44" s="25">
        <f>ROUND($B$5*$B$10*$B$11*$B$14*$B$17*$B$19*$B$22,0)</f>
        <v/>
      </c>
      <c r="F44" s="25">
        <f>ROUND($B$5*$B$10*$B$11*$B$14*$B$17*$B$20*$B$21,0)</f>
        <v/>
      </c>
      <c r="G44" s="25">
        <f>ROUND($B$5*$B$10*$B$11*$B$14*$B$17*$B$20*$B$22,0)</f>
        <v/>
      </c>
      <c r="H44" s="25">
        <f>ROUND($B$5*$B$10*$B$11*$B$14*$B$18*$B$19*$B$21,0)</f>
        <v/>
      </c>
      <c r="I44" s="25">
        <f>ROUND($B$5*$B$10*$B$11*$B$14*$B$18*$B$19*$B$22,0)</f>
        <v/>
      </c>
      <c r="J44" s="25">
        <f>ROUND($B$5*$B$10*$B$11*$B$14*$B$18*$B$20*$B$21,0)</f>
        <v/>
      </c>
      <c r="K44" s="25">
        <f>ROUND($B$5*$B$10*$B$11*$B$14*$B$18*$B$20*$B$22,0)</f>
        <v/>
      </c>
      <c r="L44" s="25">
        <f>ROUND($B$5*$B$10*$B$11*$B$15*$B$17*$B$19*$B$21,0)</f>
        <v/>
      </c>
      <c r="M44" s="25">
        <f>ROUND($B$5*$B$10*$B$11*$B$15*$B$17*$B$19*$B$22,0)</f>
        <v/>
      </c>
      <c r="N44" s="25">
        <f>ROUND($B$5*$B$10*$B$11*$B$15*$B$17*$B$20*$B$21,0)</f>
        <v/>
      </c>
      <c r="O44" s="25">
        <f>ROUND($B$5*$B$10*$B$11*$B$15*$B$17*$B$20*$B$22,0)</f>
        <v/>
      </c>
      <c r="P44" s="25">
        <f>ROUND($B$5*$B$10*$B$11*$B$15*$B$18*$B$19*$B$21,0)</f>
        <v/>
      </c>
      <c r="Q44" s="25">
        <f>ROUND($B$5*$B$10*$B$11*$B$15*$B$18*$B$19*$B$22,0)</f>
        <v/>
      </c>
      <c r="R44" s="25">
        <f>ROUND($B$5*$B$10*$B$11*$B$15*$B$18*$B$20*$B$21,0)</f>
        <v/>
      </c>
      <c r="S44" s="25">
        <f>ROUND($B$5*$B$10*$B$11*$B$15*$B$18*$B$20*$B$22,0)</f>
        <v/>
      </c>
      <c r="T44" s="25">
        <f>ROUND($B$5*$B$10*$B$11*$B$16*$B$17*$B$19*$B$21,0)</f>
        <v/>
      </c>
      <c r="U44" s="25">
        <f>ROUND($B$5*$B$10*$B$11*$B$16*$B$17*$B$19*$B$22,0)</f>
        <v/>
      </c>
      <c r="V44" s="25">
        <f>ROUND($B$5*$B$10*$B$11*$B$16*$B$17*$B$20*$B$21,0)</f>
        <v/>
      </c>
      <c r="W44" s="25">
        <f>ROUND($B$5*$B$10*$B$11*$B$16*$B$17*$B$20*$B$22,0)</f>
        <v/>
      </c>
      <c r="X44" s="25">
        <f>ROUND($B$5*$B$10*$B$11*$B$16*$B$18*$B$19*$B$21,0)</f>
        <v/>
      </c>
      <c r="Y44" s="25">
        <f>ROUND($B$5*$B$10*$B$11*$B$16*$B$18*$B$19*$B$22,0)</f>
        <v/>
      </c>
      <c r="Z44" s="25">
        <f>ROUND($B$5*$B$10*$B$11*$B$16*$B$18*$B$20*$B$21,0)</f>
        <v/>
      </c>
      <c r="AA44" s="25">
        <f>ROUND($B$5*$B$10*$B$11*$B$16*$B$18*$B$20*$B$22,0)</f>
        <v/>
      </c>
    </row>
    <row r="45" ht="20.1" customHeight="1" s="62">
      <c r="A45" s="81" t="n"/>
      <c r="B45" s="58" t="n"/>
      <c r="C45" s="73" t="inlineStr">
        <is>
          <t>20-200 utilisateurs</t>
        </is>
      </c>
      <c r="D45" s="25">
        <f>ROUND($B$5*$B$10*$B$12*$B$14*$B$17*$B$19*$B$21,0)</f>
        <v/>
      </c>
      <c r="E45" s="25">
        <f>ROUND($B$5*$B$10*$B$12*$B$14*$B$17*$B$19*$B$22,0)</f>
        <v/>
      </c>
      <c r="F45" s="25">
        <f>ROUND($B$5*$B$10*$B$12*$B$14*$B$17*$B$20*$B$21,0)</f>
        <v/>
      </c>
      <c r="G45" s="25">
        <f>ROUND($B$5*$B$10*$B$12*$B$14*$B$17*$B$20*$B$22,0)</f>
        <v/>
      </c>
      <c r="H45" s="25">
        <f>ROUND($B$5*$B$10*$B$12*$B$14*$B$18*$B$19*$B$21,0)</f>
        <v/>
      </c>
      <c r="I45" s="25">
        <f>ROUND($B$5*$B$10*$B$12*$B$14*$B$18*$B$19*$B$22,0)</f>
        <v/>
      </c>
      <c r="J45" s="25">
        <f>ROUND($B$5*$B$10*$B$12*$B$14*$B$18*$B$20*$B$21,0)</f>
        <v/>
      </c>
      <c r="K45" s="25">
        <f>ROUND($B$5*$B$10*$B$12*$B$14*$B$18*$B$20*$B$22,0)</f>
        <v/>
      </c>
      <c r="L45" s="25">
        <f>ROUND($B$5*$B$10*$B$12*$B$15*$B$17*$B$19*$B$21,0)</f>
        <v/>
      </c>
      <c r="M45" s="25">
        <f>ROUND($B$5*$B$10*$B$12*$B$15*$B$17*$B$19*$B$22,0)</f>
        <v/>
      </c>
      <c r="N45" s="25">
        <f>ROUND($B$5*$B$10*$B$12*$B$15*$B$17*$B$20*$B$21,0)</f>
        <v/>
      </c>
      <c r="O45" s="25">
        <f>ROUND($B$5*$B$10*$B$12*$B$15*$B$17*$B$20*$B$22,0)</f>
        <v/>
      </c>
      <c r="P45" s="25">
        <f>ROUND($B$5*$B$10*$B$12*$B$15*$B$18*$B$19*$B$21,0)</f>
        <v/>
      </c>
      <c r="Q45" s="25">
        <f>ROUND($B$5*$B$10*$B$12*$B$15*$B$18*$B$19*$B$22,0)</f>
        <v/>
      </c>
      <c r="R45" s="25">
        <f>ROUND($B$5*$B$10*$B$12*$B$15*$B$18*$B$20*$B$21,0)</f>
        <v/>
      </c>
      <c r="S45" s="25">
        <f>ROUND($B$5*$B$10*$B$12*$B$15*$B$18*$B$20*$B$22,0)</f>
        <v/>
      </c>
      <c r="T45" s="25">
        <f>ROUND($B$5*$B$10*$B$12*$B$16*$B$17*$B$19*$B$21,0)</f>
        <v/>
      </c>
      <c r="U45" s="25">
        <f>ROUND($B$5*$B$10*$B$12*$B$16*$B$17*$B$19*$B$22,0)</f>
        <v/>
      </c>
      <c r="V45" s="25">
        <f>ROUND($B$5*$B$10*$B$12*$B$16*$B$17*$B$20*$B$21,0)</f>
        <v/>
      </c>
      <c r="W45" s="25">
        <f>ROUND($B$5*$B$10*$B$12*$B$16*$B$17*$B$20*$B$22,0)</f>
        <v/>
      </c>
      <c r="X45" s="25">
        <f>ROUND($B$5*$B$10*$B$12*$B$16*$B$18*$B$19*$B$21,0)</f>
        <v/>
      </c>
      <c r="Y45" s="25">
        <f>ROUND($B$5*$B$10*$B$12*$B$16*$B$18*$B$19*$B$22,0)</f>
        <v/>
      </c>
      <c r="Z45" s="25">
        <f>ROUND($B$5*$B$10*$B$12*$B$16*$B$18*$B$20*$B$21,0)</f>
        <v/>
      </c>
      <c r="AA45" s="25">
        <f>ROUND($B$5*$B$10*$B$12*$B$16*$B$18*$B$20*$B$22,0)</f>
        <v/>
      </c>
    </row>
    <row r="46" ht="20.1" customHeight="1" s="62">
      <c r="A46" s="82" t="n"/>
      <c r="B46" s="59" t="n"/>
      <c r="C46" s="26" t="inlineStr">
        <is>
          <t>200+ utilisateurs</t>
        </is>
      </c>
      <c r="D46" s="25">
        <f>ROUND($B$5*$B$10*$B$13*$B$14*$B$17*$B$19*$B$21,0)</f>
        <v/>
      </c>
      <c r="E46" s="25">
        <f>ROUND($B$5*$B$10*$B$13*$B$14*$B$17*$B$19*$B$22,0)</f>
        <v/>
      </c>
      <c r="F46" s="25">
        <f>ROUND($B$5*$B$10*$B$13*$B$14*$B$17*$B$20*$B$21,0)</f>
        <v/>
      </c>
      <c r="G46" s="25">
        <f>ROUND($B$5*$B$10*$B$13*$B$14*$B$17*$B$20*$B$22,0)</f>
        <v/>
      </c>
      <c r="H46" s="25">
        <f>ROUND($B$5*$B$10*$B$13*$B$14*$B$18*$B$19*$B$21,0)</f>
        <v/>
      </c>
      <c r="I46" s="25">
        <f>ROUND($B$5*$B$10*$B$13*$B$14*$B$18*$B$19*$B$22,0)</f>
        <v/>
      </c>
      <c r="J46" s="25">
        <f>ROUND($B$5*$B$10*$B$13*$B$14*$B$18*$B$20*$B$21,0)</f>
        <v/>
      </c>
      <c r="K46" s="25">
        <f>ROUND($B$5*$B$10*$B$13*$B$14*$B$18*$B$20*$B$22,0)</f>
        <v/>
      </c>
      <c r="L46" s="25">
        <f>ROUND($B$5*$B$10*$B$13*$B$15*$B$17*$B$19*$B$21,0)</f>
        <v/>
      </c>
      <c r="M46" s="25">
        <f>ROUND($B$5*$B$10*$B$13*$B$15*$B$17*$B$19*$B$22,0)</f>
        <v/>
      </c>
      <c r="N46" s="25">
        <f>ROUND($B$5*$B$10*$B$13*$B$15*$B$17*$B$20*$B$21,0)</f>
        <v/>
      </c>
      <c r="O46" s="25">
        <f>ROUND($B$5*$B$10*$B$13*$B$15*$B$17*$B$20*$B$22,0)</f>
        <v/>
      </c>
      <c r="P46" s="25">
        <f>ROUND($B$5*$B$10*$B$13*$B$15*$B$18*$B$19*$B$21,0)</f>
        <v/>
      </c>
      <c r="Q46" s="25">
        <f>ROUND($B$5*$B$10*$B$13*$B$15*$B$18*$B$19*$B$22,0)</f>
        <v/>
      </c>
      <c r="R46" s="25">
        <f>ROUND($B$5*$B$10*$B$13*$B$15*$B$18*$B$20*$B$21,0)</f>
        <v/>
      </c>
      <c r="S46" s="25">
        <f>ROUND($B$5*$B$10*$B$13*$B$15*$B$18*$B$20*$B$22,0)</f>
        <v/>
      </c>
      <c r="T46" s="25">
        <f>ROUND($B$5*$B$10*$B$13*$B$16*$B$17*$B$19*$B$21,0)</f>
        <v/>
      </c>
      <c r="U46" s="25">
        <f>ROUND($B$5*$B$10*$B$13*$B$16*$B$17*$B$19*$B$22,0)</f>
        <v/>
      </c>
      <c r="V46" s="25">
        <f>ROUND($B$5*$B$10*$B$13*$B$16*$B$17*$B$20*$B$21,0)</f>
        <v/>
      </c>
      <c r="W46" s="25">
        <f>ROUND($B$5*$B$10*$B$13*$B$16*$B$17*$B$20*$B$22,0)</f>
        <v/>
      </c>
      <c r="X46" s="25">
        <f>ROUND($B$5*$B$10*$B$13*$B$16*$B$18*$B$19*$B$21,0)</f>
        <v/>
      </c>
      <c r="Y46" s="25">
        <f>ROUND($B$5*$B$10*$B$13*$B$16*$B$18*$B$19*$B$22,0)</f>
        <v/>
      </c>
      <c r="Z46" s="25">
        <f>ROUND($B$5*$B$10*$B$13*$B$16*$B$18*$B$20*$B$21,0)</f>
        <v/>
      </c>
      <c r="AA46" s="25">
        <f>ROUND($B$5*$B$10*$B$13*$B$16*$B$18*$B$20*$B$22,0)</f>
        <v/>
      </c>
    </row>
    <row r="47" ht="20.1" customHeight="1" s="62">
      <c r="A47" s="80" t="inlineStr">
        <is>
          <t>Projet complexe</t>
        </is>
      </c>
      <c r="B47" s="73" t="inlineStr">
        <is>
          <t>1-3 modules</t>
        </is>
      </c>
      <c r="C47" s="24" t="inlineStr">
        <is>
          <t>&lt; 20 utilisateurs</t>
        </is>
      </c>
      <c r="D47" s="25">
        <f>ROUND($B$6*$B$8*$B$11*$B$14*$B$17*$B$19*$B$21,0)</f>
        <v/>
      </c>
      <c r="E47" s="25">
        <f>ROUND($B$6*$B$8*$B$11*$B$14*$B$17*$B$19*$B$22,0)</f>
        <v/>
      </c>
      <c r="F47" s="25">
        <f>ROUND($B$6*$B$8*$B$11*$B$14*$B$17*$B$20*$B$21,0)</f>
        <v/>
      </c>
      <c r="G47" s="25">
        <f>ROUND($B$6*$B$8*$B$11*$B$14*$B$17*$B$20*$B$22,0)</f>
        <v/>
      </c>
      <c r="H47" s="25">
        <f>ROUND($B$6*$B$8*$B$11*$B$14*$B$18*$B$19*$B$21,0)</f>
        <v/>
      </c>
      <c r="I47" s="25">
        <f>ROUND($B$6*$B$8*$B$11*$B$14*$B$18*$B$19*$B$22,0)</f>
        <v/>
      </c>
      <c r="J47" s="25">
        <f>ROUND($B$6*$B$8*$B$11*$B$14*$B$18*$B$20*$B$21,0)</f>
        <v/>
      </c>
      <c r="K47" s="25">
        <f>ROUND($B$6*$B$8*$B$11*$B$14*$B$18*$B$20*$B$22,0)</f>
        <v/>
      </c>
      <c r="L47" s="25">
        <f>ROUND($B$6*$B$8*$B$11*$B$15*$B$17*$B$19*$B$21,0)</f>
        <v/>
      </c>
      <c r="M47" s="25">
        <f>ROUND($B$6*$B$8*$B$11*$B$15*$B$17*$B$19*$B$22,0)</f>
        <v/>
      </c>
      <c r="N47" s="25">
        <f>ROUND($B$6*$B$8*$B$11*$B$15*$B$17*$B$20*$B$21,0)</f>
        <v/>
      </c>
      <c r="O47" s="25">
        <f>ROUND($B$6*$B$8*$B$11*$B$15*$B$17*$B$20*$B$22,0)</f>
        <v/>
      </c>
      <c r="P47" s="25">
        <f>ROUND($B$6*$B$8*$B$11*$B$15*$B$18*$B$19*$B$21,0)</f>
        <v/>
      </c>
      <c r="Q47" s="25">
        <f>ROUND($B$6*$B$8*$B$11*$B$15*$B$18*$B$19*$B$22,0)</f>
        <v/>
      </c>
      <c r="R47" s="25">
        <f>ROUND($B$6*$B$8*$B$11*$B$15*$B$18*$B$20*$B$21,0)</f>
        <v/>
      </c>
      <c r="S47" s="25">
        <f>ROUND($B$6*$B$8*$B$11*$B$15*$B$18*$B$20*$B$22,0)</f>
        <v/>
      </c>
      <c r="T47" s="25">
        <f>ROUND($B$6*$B$8*$B$11*$B$16*$B$17*$B$19*$B$21,0)</f>
        <v/>
      </c>
      <c r="U47" s="25">
        <f>ROUND($B$6*$B$8*$B$11*$B$16*$B$17*$B$19*$B$22,0)</f>
        <v/>
      </c>
      <c r="V47" s="25">
        <f>ROUND($B$6*$B$8*$B$11*$B$16*$B$17*$B$20*$B$21,0)</f>
        <v/>
      </c>
      <c r="W47" s="25">
        <f>ROUND($B$6*$B$8*$B$11*$B$16*$B$17*$B$20*$B$22,0)</f>
        <v/>
      </c>
      <c r="X47" s="25">
        <f>ROUND($B$6*$B$8*$B$11*$B$16*$B$18*$B$19*$B$21,0)</f>
        <v/>
      </c>
      <c r="Y47" s="25">
        <f>ROUND($B$6*$B$8*$B$11*$B$16*$B$18*$B$19*$B$22,0)</f>
        <v/>
      </c>
      <c r="Z47" s="25">
        <f>ROUND($B$6*$B$8*$B$11*$B$16*$B$18*$B$20*$B$21,0)</f>
        <v/>
      </c>
      <c r="AA47" s="25">
        <f>ROUND($B$6*$B$8*$B$11*$B$16*$B$18*$B$20*$B$22,0)</f>
        <v/>
      </c>
    </row>
    <row r="48" ht="20.1" customHeight="1" s="62">
      <c r="A48" s="81" t="n"/>
      <c r="B48" s="58" t="n"/>
      <c r="C48" s="73" t="inlineStr">
        <is>
          <t>20-200 utilisateurs</t>
        </is>
      </c>
      <c r="D48" s="25">
        <f>ROUND($B$6*$B$8*$B$12*$B$14*$B$17*$B$19*$B$21,0)</f>
        <v/>
      </c>
      <c r="E48" s="25">
        <f>ROUND($B$6*$B$8*$B$12*$B$14*$B$17*$B$19*$B$22,0)</f>
        <v/>
      </c>
      <c r="F48" s="25">
        <f>ROUND($B$6*$B$8*$B$12*$B$14*$B$17*$B$20*$B$21,0)</f>
        <v/>
      </c>
      <c r="G48" s="25">
        <f>ROUND($B$6*$B$8*$B$12*$B$14*$B$17*$B$20*$B$22,0)</f>
        <v/>
      </c>
      <c r="H48" s="25">
        <f>ROUND($B$6*$B$8*$B$12*$B$14*$B$18*$B$19*$B$21,0)</f>
        <v/>
      </c>
      <c r="I48" s="25">
        <f>ROUND($B$6*$B$8*$B$12*$B$14*$B$18*$B$19*$B$22,0)</f>
        <v/>
      </c>
      <c r="J48" s="25">
        <f>ROUND($B$6*$B$8*$B$12*$B$14*$B$18*$B$20*$B$21,0)</f>
        <v/>
      </c>
      <c r="K48" s="25">
        <f>ROUND($B$6*$B$8*$B$12*$B$14*$B$18*$B$20*$B$22,0)</f>
        <v/>
      </c>
      <c r="L48" s="25">
        <f>ROUND($B$6*$B$8*$B$12*$B$15*$B$17*$B$19*$B$21,0)</f>
        <v/>
      </c>
      <c r="M48" s="25">
        <f>ROUND($B$6*$B$8*$B$12*$B$15*$B$17*$B$19*$B$22,0)</f>
        <v/>
      </c>
      <c r="N48" s="25">
        <f>ROUND($B$6*$B$8*$B$12*$B$15*$B$17*$B$20*$B$21,0)</f>
        <v/>
      </c>
      <c r="O48" s="25">
        <f>ROUND($B$6*$B$8*$B$12*$B$15*$B$17*$B$20*$B$22,0)</f>
        <v/>
      </c>
      <c r="P48" s="25">
        <f>ROUND($B$6*$B$8*$B$12*$B$15*$B$18*$B$19*$B$21,0)</f>
        <v/>
      </c>
      <c r="Q48" s="25">
        <f>ROUND($B$6*$B$8*$B$12*$B$15*$B$18*$B$19*$B$22,0)</f>
        <v/>
      </c>
      <c r="R48" s="25">
        <f>ROUND($B$6*$B$8*$B$12*$B$15*$B$18*$B$20*$B$21,0)</f>
        <v/>
      </c>
      <c r="S48" s="25">
        <f>ROUND($B$6*$B$8*$B$12*$B$15*$B$18*$B$20*$B$22,0)</f>
        <v/>
      </c>
      <c r="T48" s="25">
        <f>ROUND($B$6*$B$8*$B$12*$B$16*$B$17*$B$19*$B$21,0)</f>
        <v/>
      </c>
      <c r="U48" s="25">
        <f>ROUND($B$6*$B$8*$B$12*$B$16*$B$17*$B$19*$B$22,0)</f>
        <v/>
      </c>
      <c r="V48" s="25">
        <f>ROUND($B$6*$B$8*$B$12*$B$16*$B$17*$B$20*$B$21,0)</f>
        <v/>
      </c>
      <c r="W48" s="25">
        <f>ROUND($B$6*$B$8*$B$12*$B$16*$B$17*$B$20*$B$22,0)</f>
        <v/>
      </c>
      <c r="X48" s="25">
        <f>ROUND($B$6*$B$8*$B$12*$B$16*$B$18*$B$19*$B$21,0)</f>
        <v/>
      </c>
      <c r="Y48" s="25">
        <f>ROUND($B$6*$B$8*$B$12*$B$16*$B$18*$B$19*$B$22,0)</f>
        <v/>
      </c>
      <c r="Z48" s="25">
        <f>ROUND($B$6*$B$8*$B$12*$B$16*$B$18*$B$20*$B$21,0)</f>
        <v/>
      </c>
      <c r="AA48" s="25">
        <f>ROUND($B$6*$B$8*$B$12*$B$16*$B$18*$B$20*$B$22,0)</f>
        <v/>
      </c>
    </row>
    <row r="49" ht="20.1" customHeight="1" s="62">
      <c r="A49" s="81" t="n"/>
      <c r="B49" s="59" t="n"/>
      <c r="C49" s="26" t="inlineStr">
        <is>
          <t>200+ utilisateurs</t>
        </is>
      </c>
      <c r="D49" s="25">
        <f>ROUND($B$6*$B$8*$B$13*$B$14*$B$17*$B$19*$B$21,0)</f>
        <v/>
      </c>
      <c r="E49" s="25">
        <f>ROUND($B$6*$B$8*$B$13*$B$14*$B$17*$B$19*$B$22,0)</f>
        <v/>
      </c>
      <c r="F49" s="25">
        <f>ROUND($B$6*$B$8*$B$13*$B$14*$B$17*$B$20*$B$21,0)</f>
        <v/>
      </c>
      <c r="G49" s="25">
        <f>ROUND($B$6*$B$8*$B$13*$B$14*$B$17*$B$20*$B$22,0)</f>
        <v/>
      </c>
      <c r="H49" s="25">
        <f>ROUND($B$6*$B$8*$B$13*$B$14*$B$18*$B$19*$B$21,0)</f>
        <v/>
      </c>
      <c r="I49" s="25">
        <f>ROUND($B$6*$B$8*$B$13*$B$14*$B$18*$B$19*$B$22,0)</f>
        <v/>
      </c>
      <c r="J49" s="25">
        <f>ROUND($B$6*$B$8*$B$13*$B$14*$B$18*$B$20*$B$21,0)</f>
        <v/>
      </c>
      <c r="K49" s="25">
        <f>ROUND($B$6*$B$8*$B$13*$B$14*$B$18*$B$20*$B$22,0)</f>
        <v/>
      </c>
      <c r="L49" s="25">
        <f>ROUND($B$6*$B$8*$B$13*$B$15*$B$17*$B$19*$B$21,0)</f>
        <v/>
      </c>
      <c r="M49" s="25">
        <f>ROUND($B$6*$B$8*$B$13*$B$15*$B$17*$B$19*$B$22,0)</f>
        <v/>
      </c>
      <c r="N49" s="25">
        <f>ROUND($B$6*$B$8*$B$13*$B$15*$B$17*$B$20*$B$21,0)</f>
        <v/>
      </c>
      <c r="O49" s="25">
        <f>ROUND($B$6*$B$8*$B$13*$B$15*$B$17*$B$20*$B$22,0)</f>
        <v/>
      </c>
      <c r="P49" s="25">
        <f>ROUND($B$6*$B$8*$B$13*$B$15*$B$18*$B$19*$B$21,0)</f>
        <v/>
      </c>
      <c r="Q49" s="25">
        <f>ROUND($B$6*$B$8*$B$13*$B$15*$B$18*$B$19*$B$22,0)</f>
        <v/>
      </c>
      <c r="R49" s="25">
        <f>ROUND($B$6*$B$8*$B$13*$B$15*$B$18*$B$20*$B$21,0)</f>
        <v/>
      </c>
      <c r="S49" s="25">
        <f>ROUND($B$6*$B$8*$B$13*$B$15*$B$18*$B$20*$B$22,0)</f>
        <v/>
      </c>
      <c r="T49" s="25">
        <f>ROUND($B$6*$B$8*$B$13*$B$16*$B$17*$B$19*$B$21,0)</f>
        <v/>
      </c>
      <c r="U49" s="25">
        <f>ROUND($B$6*$B$8*$B$13*$B$16*$B$17*$B$19*$B$22,0)</f>
        <v/>
      </c>
      <c r="V49" s="25">
        <f>ROUND($B$6*$B$8*$B$13*$B$16*$B$17*$B$20*$B$21,0)</f>
        <v/>
      </c>
      <c r="W49" s="25">
        <f>ROUND($B$6*$B$8*$B$13*$B$16*$B$17*$B$20*$B$22,0)</f>
        <v/>
      </c>
      <c r="X49" s="25">
        <f>ROUND($B$6*$B$8*$B$13*$B$16*$B$18*$B$19*$B$21,0)</f>
        <v/>
      </c>
      <c r="Y49" s="25">
        <f>ROUND($B$6*$B$8*$B$13*$B$16*$B$18*$B$19*$B$22,0)</f>
        <v/>
      </c>
      <c r="Z49" s="25">
        <f>ROUND($B$6*$B$8*$B$13*$B$16*$B$18*$B$20*$B$21,0)</f>
        <v/>
      </c>
      <c r="AA49" s="25">
        <f>ROUND($B$6*$B$8*$B$13*$B$16*$B$18*$B$20*$B$22,0)</f>
        <v/>
      </c>
    </row>
    <row r="50" ht="20.1" customHeight="1" s="62">
      <c r="A50" s="81" t="n"/>
      <c r="B50" s="73" t="inlineStr">
        <is>
          <t>4-8 modules</t>
        </is>
      </c>
      <c r="C50" s="24" t="inlineStr">
        <is>
          <t>&lt; 20 utilisateurs</t>
        </is>
      </c>
      <c r="D50" s="25">
        <f>ROUND($B$6*$B$9*$B$11*$B$14*$B$17*$B$19*$B$21,0)</f>
        <v/>
      </c>
      <c r="E50" s="25">
        <f>ROUND($B$6*$B$9*$B$11*$B$14*$B$17*$B$19*$B$22,0)</f>
        <v/>
      </c>
      <c r="F50" s="25">
        <f>ROUND($B$6*$B$9*$B$11*$B$14*$B$17*$B$20*$B$21,0)</f>
        <v/>
      </c>
      <c r="G50" s="25">
        <f>ROUND($B$6*$B$9*$B$11*$B$14*$B$17*$B$20*$B$22,0)</f>
        <v/>
      </c>
      <c r="H50" s="25">
        <f>ROUND($B$6*$B$9*$B$11*$B$14*$B$18*$B$19*$B$21,0)</f>
        <v/>
      </c>
      <c r="I50" s="25">
        <f>ROUND($B$6*$B$9*$B$11*$B$14*$B$18*$B$19*$B$22,0)</f>
        <v/>
      </c>
      <c r="J50" s="25">
        <f>ROUND($B$6*$B$9*$B$11*$B$14*$B$18*$B$20*$B$21,0)</f>
        <v/>
      </c>
      <c r="K50" s="25">
        <f>ROUND($B$6*$B$9*$B$11*$B$14*$B$18*$B$20*$B$22,0)</f>
        <v/>
      </c>
      <c r="L50" s="25">
        <f>ROUND($B$6*$B$9*$B$11*$B$15*$B$17*$B$19*$B$21,0)</f>
        <v/>
      </c>
      <c r="M50" s="25">
        <f>ROUND($B$6*$B$9*$B$11*$B$15*$B$17*$B$19*$B$22,0)</f>
        <v/>
      </c>
      <c r="N50" s="25">
        <f>ROUND($B$6*$B$9*$B$11*$B$15*$B$17*$B$20*$B$21,0)</f>
        <v/>
      </c>
      <c r="O50" s="25">
        <f>ROUND($B$6*$B$9*$B$11*$B$15*$B$17*$B$20*$B$22,0)</f>
        <v/>
      </c>
      <c r="P50" s="25">
        <f>ROUND($B$6*$B$9*$B$11*$B$15*$B$18*$B$19*$B$21,0)</f>
        <v/>
      </c>
      <c r="Q50" s="25">
        <f>ROUND($B$6*$B$9*$B$11*$B$15*$B$18*$B$19*$B$22,0)</f>
        <v/>
      </c>
      <c r="R50" s="25">
        <f>ROUND($B$6*$B$9*$B$11*$B$15*$B$18*$B$20*$B$21,0)</f>
        <v/>
      </c>
      <c r="S50" s="25">
        <f>ROUND($B$6*$B$9*$B$11*$B$15*$B$18*$B$20*$B$22,0)</f>
        <v/>
      </c>
      <c r="T50" s="25">
        <f>ROUND($B$6*$B$9*$B$11*$B$16*$B$17*$B$19*$B$21,0)</f>
        <v/>
      </c>
      <c r="U50" s="25">
        <f>ROUND($B$6*$B$9*$B$11*$B$16*$B$17*$B$19*$B$22,0)</f>
        <v/>
      </c>
      <c r="V50" s="25">
        <f>ROUND($B$6*$B$9*$B$11*$B$16*$B$17*$B$20*$B$21,0)</f>
        <v/>
      </c>
      <c r="W50" s="25">
        <f>ROUND($B$6*$B$9*$B$11*$B$16*$B$17*$B$20*$B$22,0)</f>
        <v/>
      </c>
      <c r="X50" s="25">
        <f>ROUND($B$6*$B$9*$B$11*$B$16*$B$18*$B$19*$B$21,0)</f>
        <v/>
      </c>
      <c r="Y50" s="25">
        <f>ROUND($B$6*$B$9*$B$11*$B$16*$B$18*$B$19*$B$22,0)</f>
        <v/>
      </c>
      <c r="Z50" s="25">
        <f>ROUND($B$6*$B$9*$B$11*$B$16*$B$18*$B$20*$B$21,0)</f>
        <v/>
      </c>
      <c r="AA50" s="25">
        <f>ROUND($B$6*$B$9*$B$11*$B$16*$B$18*$B$20*$B$22,0)</f>
        <v/>
      </c>
    </row>
    <row r="51" ht="20.1" customHeight="1" s="62">
      <c r="A51" s="81" t="n"/>
      <c r="B51" s="58" t="n"/>
      <c r="C51" s="73" t="inlineStr">
        <is>
          <t>20-200 utilisateurs</t>
        </is>
      </c>
      <c r="D51" s="25">
        <f>ROUND($B$6*$B$9*$B$12*$B$14*$B$17*$B$19*$B$21,0)</f>
        <v/>
      </c>
      <c r="E51" s="25">
        <f>ROUND($B$6*$B$9*$B$12*$B$14*$B$17*$B$19*$B$22,0)</f>
        <v/>
      </c>
      <c r="F51" s="25">
        <f>ROUND($B$6*$B$9*$B$12*$B$14*$B$17*$B$20*$B$21,0)</f>
        <v/>
      </c>
      <c r="G51" s="25">
        <f>ROUND($B$6*$B$9*$B$12*$B$14*$B$17*$B$20*$B$22,0)</f>
        <v/>
      </c>
      <c r="H51" s="25">
        <f>ROUND($B$6*$B$9*$B$12*$B$14*$B$18*$B$19*$B$21,0)</f>
        <v/>
      </c>
      <c r="I51" s="25">
        <f>ROUND($B$6*$B$9*$B$12*$B$14*$B$18*$B$19*$B$22,0)</f>
        <v/>
      </c>
      <c r="J51" s="25">
        <f>ROUND($B$6*$B$9*$B$12*$B$14*$B$18*$B$20*$B$21,0)</f>
        <v/>
      </c>
      <c r="K51" s="25">
        <f>ROUND($B$6*$B$9*$B$12*$B$14*$B$18*$B$20*$B$22,0)</f>
        <v/>
      </c>
      <c r="L51" s="25">
        <f>ROUND($B$6*$B$9*$B$12*$B$15*$B$17*$B$19*$B$21,0)</f>
        <v/>
      </c>
      <c r="M51" s="25">
        <f>ROUND($B$6*$B$9*$B$12*$B$15*$B$17*$B$19*$B$22,0)</f>
        <v/>
      </c>
      <c r="N51" s="25">
        <f>ROUND($B$6*$B$9*$B$12*$B$15*$B$17*$B$20*$B$21,0)</f>
        <v/>
      </c>
      <c r="O51" s="25">
        <f>ROUND($B$6*$B$9*$B$12*$B$15*$B$17*$B$20*$B$22,0)</f>
        <v/>
      </c>
      <c r="P51" s="25">
        <f>ROUND($B$6*$B$9*$B$12*$B$15*$B$18*$B$19*$B$21,0)</f>
        <v/>
      </c>
      <c r="Q51" s="25">
        <f>ROUND($B$6*$B$9*$B$12*$B$15*$B$18*$B$19*$B$22,0)</f>
        <v/>
      </c>
      <c r="R51" s="25">
        <f>ROUND($B$6*$B$9*$B$12*$B$15*$B$18*$B$20*$B$21,0)</f>
        <v/>
      </c>
      <c r="S51" s="25">
        <f>ROUND($B$6*$B$9*$B$12*$B$15*$B$18*$B$20*$B$22,0)</f>
        <v/>
      </c>
      <c r="T51" s="25">
        <f>ROUND($B$6*$B$9*$B$12*$B$16*$B$17*$B$19*$B$21,0)</f>
        <v/>
      </c>
      <c r="U51" s="25">
        <f>ROUND($B$6*$B$9*$B$12*$B$16*$B$17*$B$19*$B$22,0)</f>
        <v/>
      </c>
      <c r="V51" s="25">
        <f>ROUND($B$6*$B$9*$B$12*$B$16*$B$17*$B$20*$B$21,0)</f>
        <v/>
      </c>
      <c r="W51" s="25">
        <f>ROUND($B$6*$B$9*$B$12*$B$16*$B$17*$B$20*$B$22,0)</f>
        <v/>
      </c>
      <c r="X51" s="25">
        <f>ROUND($B$6*$B$9*$B$12*$B$16*$B$18*$B$19*$B$21,0)</f>
        <v/>
      </c>
      <c r="Y51" s="25">
        <f>ROUND($B$6*$B$9*$B$12*$B$16*$B$18*$B$19*$B$22,0)</f>
        <v/>
      </c>
      <c r="Z51" s="25">
        <f>ROUND($B$6*$B$9*$B$12*$B$16*$B$18*$B$20*$B$21,0)</f>
        <v/>
      </c>
      <c r="AA51" s="25">
        <f>ROUND($B$6*$B$9*$B$12*$B$16*$B$18*$B$20*$B$22,0)</f>
        <v/>
      </c>
    </row>
    <row r="52" ht="20.1" customHeight="1" s="62">
      <c r="A52" s="81" t="n"/>
      <c r="B52" s="59" t="n"/>
      <c r="C52" s="26" t="inlineStr">
        <is>
          <t>200+ utilisateurs</t>
        </is>
      </c>
      <c r="D52" s="25">
        <f>ROUND($B$6*$B$9*$B$13*$B$14*$B$17*$B$19*$B$21,0)</f>
        <v/>
      </c>
      <c r="E52" s="25">
        <f>ROUND($B$6*$B$9*$B$13*$B$14*$B$17*$B$19*$B$22,0)</f>
        <v/>
      </c>
      <c r="F52" s="25">
        <f>ROUND($B$6*$B$9*$B$13*$B$14*$B$17*$B$20*$B$21,0)</f>
        <v/>
      </c>
      <c r="G52" s="25">
        <f>ROUND($B$6*$B$9*$B$13*$B$14*$B$17*$B$20*$B$22,0)</f>
        <v/>
      </c>
      <c r="H52" s="25">
        <f>ROUND($B$6*$B$9*$B$13*$B$14*$B$18*$B$19*$B$21,0)</f>
        <v/>
      </c>
      <c r="I52" s="25">
        <f>ROUND($B$6*$B$9*$B$13*$B$14*$B$18*$B$19*$B$22,0)</f>
        <v/>
      </c>
      <c r="J52" s="25">
        <f>ROUND($B$6*$B$9*$B$13*$B$14*$B$18*$B$20*$B$21,0)</f>
        <v/>
      </c>
      <c r="K52" s="25">
        <f>ROUND($B$6*$B$9*$B$13*$B$14*$B$18*$B$20*$B$22,0)</f>
        <v/>
      </c>
      <c r="L52" s="25">
        <f>ROUND($B$6*$B$9*$B$13*$B$15*$B$17*$B$19*$B$21,0)</f>
        <v/>
      </c>
      <c r="M52" s="25">
        <f>ROUND($B$6*$B$9*$B$13*$B$15*$B$17*$B$19*$B$22,0)</f>
        <v/>
      </c>
      <c r="N52" s="25">
        <f>ROUND($B$6*$B$9*$B$13*$B$15*$B$17*$B$20*$B$21,0)</f>
        <v/>
      </c>
      <c r="O52" s="25">
        <f>ROUND($B$6*$B$9*$B$13*$B$15*$B$17*$B$20*$B$22,0)</f>
        <v/>
      </c>
      <c r="P52" s="25">
        <f>ROUND($B$6*$B$9*$B$13*$B$15*$B$18*$B$19*$B$21,0)</f>
        <v/>
      </c>
      <c r="Q52" s="25">
        <f>ROUND($B$6*$B$9*$B$13*$B$15*$B$18*$B$19*$B$22,0)</f>
        <v/>
      </c>
      <c r="R52" s="25">
        <f>ROUND($B$6*$B$9*$B$13*$B$15*$B$18*$B$20*$B$21,0)</f>
        <v/>
      </c>
      <c r="S52" s="25">
        <f>ROUND($B$6*$B$9*$B$13*$B$15*$B$18*$B$20*$B$22,0)</f>
        <v/>
      </c>
      <c r="T52" s="25">
        <f>ROUND($B$6*$B$9*$B$13*$B$16*$B$17*$B$19*$B$21,0)</f>
        <v/>
      </c>
      <c r="U52" s="25">
        <f>ROUND($B$6*$B$9*$B$13*$B$16*$B$17*$B$19*$B$22,0)</f>
        <v/>
      </c>
      <c r="V52" s="25">
        <f>ROUND($B$6*$B$9*$B$13*$B$16*$B$17*$B$20*$B$21,0)</f>
        <v/>
      </c>
      <c r="W52" s="25">
        <f>ROUND($B$6*$B$9*$B$13*$B$16*$B$17*$B$20*$B$22,0)</f>
        <v/>
      </c>
      <c r="X52" s="25">
        <f>ROUND($B$6*$B$9*$B$13*$B$16*$B$18*$B$19*$B$21,0)</f>
        <v/>
      </c>
      <c r="Y52" s="25">
        <f>ROUND($B$6*$B$9*$B$13*$B$16*$B$18*$B$19*$B$22,0)</f>
        <v/>
      </c>
      <c r="Z52" s="25">
        <f>ROUND($B$6*$B$9*$B$13*$B$16*$B$18*$B$20*$B$21,0)</f>
        <v/>
      </c>
      <c r="AA52" s="25">
        <f>ROUND($B$6*$B$9*$B$13*$B$16*$B$18*$B$20*$B$22,0)</f>
        <v/>
      </c>
    </row>
    <row r="53" ht="20.1" customHeight="1" s="62">
      <c r="A53" s="81" t="n"/>
      <c r="B53" s="73" t="inlineStr">
        <is>
          <t>9+ modules</t>
        </is>
      </c>
      <c r="C53" s="24" t="inlineStr">
        <is>
          <t>&lt; 20 utilisateurs</t>
        </is>
      </c>
      <c r="D53" s="25">
        <f>ROUND($B$6*$B$10*$B$11*$B$14*$B$17*$B$19*$B$21,0)</f>
        <v/>
      </c>
      <c r="E53" s="25">
        <f>ROUND($B$6*$B$10*$B$11*$B$14*$B$17*$B$19*$B$22,0)</f>
        <v/>
      </c>
      <c r="F53" s="25">
        <f>ROUND($B$6*$B$10*$B$11*$B$14*$B$17*$B$20*$B$21,0)</f>
        <v/>
      </c>
      <c r="G53" s="25">
        <f>ROUND($B$6*$B$10*$B$11*$B$14*$B$17*$B$20*$B$22,0)</f>
        <v/>
      </c>
      <c r="H53" s="25">
        <f>ROUND($B$6*$B$10*$B$11*$B$14*$B$18*$B$19*$B$21,0)</f>
        <v/>
      </c>
      <c r="I53" s="25">
        <f>ROUND($B$6*$B$10*$B$11*$B$14*$B$18*$B$19*$B$22,0)</f>
        <v/>
      </c>
      <c r="J53" s="25">
        <f>ROUND($B$6*$B$10*$B$11*$B$14*$B$18*$B$20*$B$21,0)</f>
        <v/>
      </c>
      <c r="K53" s="25">
        <f>ROUND($B$6*$B$10*$B$11*$B$14*$B$18*$B$20*$B$22,0)</f>
        <v/>
      </c>
      <c r="L53" s="25">
        <f>ROUND($B$6*$B$10*$B$11*$B$15*$B$17*$B$19*$B$21,0)</f>
        <v/>
      </c>
      <c r="M53" s="25">
        <f>ROUND($B$6*$B$10*$B$11*$B$15*$B$17*$B$19*$B$22,0)</f>
        <v/>
      </c>
      <c r="N53" s="25">
        <f>ROUND($B$6*$B$10*$B$11*$B$15*$B$17*$B$20*$B$21,0)</f>
        <v/>
      </c>
      <c r="O53" s="25">
        <f>ROUND($B$6*$B$10*$B$11*$B$15*$B$17*$B$20*$B$22,0)</f>
        <v/>
      </c>
      <c r="P53" s="25">
        <f>ROUND($B$6*$B$10*$B$11*$B$15*$B$18*$B$19*$B$21,0)</f>
        <v/>
      </c>
      <c r="Q53" s="25">
        <f>ROUND($B$6*$B$10*$B$11*$B$15*$B$18*$B$19*$B$22,0)</f>
        <v/>
      </c>
      <c r="R53" s="25">
        <f>ROUND($B$6*$B$10*$B$11*$B$15*$B$18*$B$20*$B$21,0)</f>
        <v/>
      </c>
      <c r="S53" s="25">
        <f>ROUND($B$6*$B$10*$B$11*$B$15*$B$18*$B$20*$B$22,0)</f>
        <v/>
      </c>
      <c r="T53" s="25">
        <f>ROUND($B$6*$B$10*$B$11*$B$16*$B$17*$B$19*$B$21,0)</f>
        <v/>
      </c>
      <c r="U53" s="25">
        <f>ROUND($B$6*$B$10*$B$11*$B$16*$B$17*$B$19*$B$22,0)</f>
        <v/>
      </c>
      <c r="V53" s="25">
        <f>ROUND($B$6*$B$10*$B$11*$B$16*$B$17*$B$20*$B$21,0)</f>
        <v/>
      </c>
      <c r="W53" s="25">
        <f>ROUND($B$6*$B$10*$B$11*$B$16*$B$17*$B$20*$B$22,0)</f>
        <v/>
      </c>
      <c r="X53" s="25">
        <f>ROUND($B$6*$B$10*$B$11*$B$16*$B$18*$B$19*$B$21,0)</f>
        <v/>
      </c>
      <c r="Y53" s="25">
        <f>ROUND($B$6*$B$10*$B$11*$B$16*$B$18*$B$19*$B$22,0)</f>
        <v/>
      </c>
      <c r="Z53" s="25">
        <f>ROUND($B$6*$B$10*$B$11*$B$16*$B$18*$B$20*$B$21,0)</f>
        <v/>
      </c>
      <c r="AA53" s="25">
        <f>ROUND($B$6*$B$10*$B$11*$B$16*$B$18*$B$20*$B$22,0)</f>
        <v/>
      </c>
    </row>
    <row r="54" ht="20.1" customHeight="1" s="62">
      <c r="A54" s="81" t="n"/>
      <c r="B54" s="58" t="n"/>
      <c r="C54" s="73" t="inlineStr">
        <is>
          <t>20-200 utilisateurs</t>
        </is>
      </c>
      <c r="D54" s="25">
        <f>ROUND($B$6*$B$10*$B$12*$B$14*$B$17*$B$19*$B$21,0)</f>
        <v/>
      </c>
      <c r="E54" s="25">
        <f>ROUND($B$6*$B$10*$B$12*$B$14*$B$17*$B$19*$B$22,0)</f>
        <v/>
      </c>
      <c r="F54" s="25">
        <f>ROUND($B$6*$B$10*$B$12*$B$14*$B$17*$B$20*$B$21,0)</f>
        <v/>
      </c>
      <c r="G54" s="25">
        <f>ROUND($B$6*$B$10*$B$12*$B$14*$B$17*$B$20*$B$22,0)</f>
        <v/>
      </c>
      <c r="H54" s="25">
        <f>ROUND($B$6*$B$10*$B$12*$B$14*$B$18*$B$19*$B$21,0)</f>
        <v/>
      </c>
      <c r="I54" s="25">
        <f>ROUND($B$6*$B$10*$B$12*$B$14*$B$18*$B$19*$B$22,0)</f>
        <v/>
      </c>
      <c r="J54" s="25">
        <f>ROUND($B$6*$B$10*$B$12*$B$14*$B$18*$B$20*$B$21,0)</f>
        <v/>
      </c>
      <c r="K54" s="25">
        <f>ROUND($B$6*$B$10*$B$12*$B$14*$B$18*$B$20*$B$22,0)</f>
        <v/>
      </c>
      <c r="L54" s="25">
        <f>ROUND($B$6*$B$10*$B$12*$B$15*$B$17*$B$19*$B$21,0)</f>
        <v/>
      </c>
      <c r="M54" s="25">
        <f>ROUND($B$6*$B$10*$B$12*$B$15*$B$17*$B$19*$B$22,0)</f>
        <v/>
      </c>
      <c r="N54" s="25">
        <f>ROUND($B$6*$B$10*$B$12*$B$15*$B$17*$B$20*$B$21,0)</f>
        <v/>
      </c>
      <c r="O54" s="25">
        <f>ROUND($B$6*$B$10*$B$12*$B$15*$B$17*$B$20*$B$22,0)</f>
        <v/>
      </c>
      <c r="P54" s="25">
        <f>ROUND($B$6*$B$10*$B$12*$B$15*$B$18*$B$19*$B$21,0)</f>
        <v/>
      </c>
      <c r="Q54" s="25">
        <f>ROUND($B$6*$B$10*$B$12*$B$15*$B$18*$B$19*$B$22,0)</f>
        <v/>
      </c>
      <c r="R54" s="25">
        <f>ROUND($B$6*$B$10*$B$12*$B$15*$B$18*$B$20*$B$21,0)</f>
        <v/>
      </c>
      <c r="S54" s="25">
        <f>ROUND($B$6*$B$10*$B$12*$B$15*$B$18*$B$20*$B$22,0)</f>
        <v/>
      </c>
      <c r="T54" s="25">
        <f>ROUND($B$6*$B$10*$B$12*$B$16*$B$17*$B$19*$B$21,0)</f>
        <v/>
      </c>
      <c r="U54" s="25">
        <f>ROUND($B$6*$B$10*$B$12*$B$16*$B$17*$B$19*$B$22,0)</f>
        <v/>
      </c>
      <c r="V54" s="25">
        <f>ROUND($B$6*$B$10*$B$12*$B$16*$B$17*$B$20*$B$21,0)</f>
        <v/>
      </c>
      <c r="W54" s="25">
        <f>ROUND($B$6*$B$10*$B$12*$B$16*$B$17*$B$20*$B$22,0)</f>
        <v/>
      </c>
      <c r="X54" s="25">
        <f>ROUND($B$6*$B$10*$B$12*$B$16*$B$18*$B$19*$B$21,0)</f>
        <v/>
      </c>
      <c r="Y54" s="25">
        <f>ROUND($B$6*$B$10*$B$12*$B$16*$B$18*$B$19*$B$22,0)</f>
        <v/>
      </c>
      <c r="Z54" s="25">
        <f>ROUND($B$6*$B$10*$B$12*$B$16*$B$18*$B$20*$B$21,0)</f>
        <v/>
      </c>
      <c r="AA54" s="25">
        <f>ROUND($B$6*$B$10*$B$12*$B$16*$B$18*$B$20*$B$22,0)</f>
        <v/>
      </c>
    </row>
    <row r="55" ht="20.1" customHeight="1" s="62">
      <c r="A55" s="82" t="n"/>
      <c r="B55" s="59" t="n"/>
      <c r="C55" s="26" t="inlineStr">
        <is>
          <t>200+ utilisateurs</t>
        </is>
      </c>
      <c r="D55" s="25">
        <f>ROUND($B$6*$B$10*$B$13*$B$14*$B$17*$B$19*$B$21,0)</f>
        <v/>
      </c>
      <c r="E55" s="25">
        <f>ROUND($B$6*$B$10*$B$13*$B$14*$B$17*$B$19*$B$22,0)</f>
        <v/>
      </c>
      <c r="F55" s="25">
        <f>ROUND($B$6*$B$10*$B$13*$B$14*$B$17*$B$20*$B$21,0)</f>
        <v/>
      </c>
      <c r="G55" s="25">
        <f>ROUND($B$6*$B$10*$B$13*$B$14*$B$17*$B$20*$B$22,0)</f>
        <v/>
      </c>
      <c r="H55" s="25">
        <f>ROUND($B$6*$B$10*$B$13*$B$14*$B$18*$B$19*$B$21,0)</f>
        <v/>
      </c>
      <c r="I55" s="25">
        <f>ROUND($B$6*$B$10*$B$13*$B$14*$B$18*$B$19*$B$22,0)</f>
        <v/>
      </c>
      <c r="J55" s="25">
        <f>ROUND($B$6*$B$10*$B$13*$B$14*$B$18*$B$20*$B$21,0)</f>
        <v/>
      </c>
      <c r="K55" s="25">
        <f>ROUND($B$6*$B$10*$B$13*$B$14*$B$18*$B$20*$B$22,0)</f>
        <v/>
      </c>
      <c r="L55" s="25">
        <f>ROUND($B$6*$B$10*$B$13*$B$15*$B$17*$B$19*$B$21,0)</f>
        <v/>
      </c>
      <c r="M55" s="25">
        <f>ROUND($B$6*$B$10*$B$13*$B$15*$B$17*$B$19*$B$22,0)</f>
        <v/>
      </c>
      <c r="N55" s="25">
        <f>ROUND($B$6*$B$10*$B$13*$B$15*$B$17*$B$20*$B$21,0)</f>
        <v/>
      </c>
      <c r="O55" s="25">
        <f>ROUND($B$6*$B$10*$B$13*$B$15*$B$17*$B$20*$B$22,0)</f>
        <v/>
      </c>
      <c r="P55" s="25">
        <f>ROUND($B$6*$B$10*$B$13*$B$15*$B$18*$B$19*$B$21,0)</f>
        <v/>
      </c>
      <c r="Q55" s="25">
        <f>ROUND($B$6*$B$10*$B$13*$B$15*$B$18*$B$19*$B$22,0)</f>
        <v/>
      </c>
      <c r="R55" s="25">
        <f>ROUND($B$6*$B$10*$B$13*$B$15*$B$18*$B$20*$B$21,0)</f>
        <v/>
      </c>
      <c r="S55" s="25">
        <f>ROUND($B$6*$B$10*$B$13*$B$15*$B$18*$B$20*$B$22,0)</f>
        <v/>
      </c>
      <c r="T55" s="25">
        <f>ROUND($B$6*$B$10*$B$13*$B$16*$B$17*$B$19*$B$21,0)</f>
        <v/>
      </c>
      <c r="U55" s="25">
        <f>ROUND($B$6*$B$10*$B$13*$B$16*$B$17*$B$19*$B$22,0)</f>
        <v/>
      </c>
      <c r="V55" s="25">
        <f>ROUND($B$6*$B$10*$B$13*$B$16*$B$17*$B$20*$B$21,0)</f>
        <v/>
      </c>
      <c r="W55" s="25">
        <f>ROUND($B$6*$B$10*$B$13*$B$16*$B$17*$B$20*$B$22,0)</f>
        <v/>
      </c>
      <c r="X55" s="25">
        <f>ROUND($B$6*$B$10*$B$13*$B$16*$B$18*$B$19*$B$21,0)</f>
        <v/>
      </c>
      <c r="Y55" s="25">
        <f>ROUND($B$6*$B$10*$B$13*$B$16*$B$18*$B$19*$B$22,0)</f>
        <v/>
      </c>
      <c r="Z55" s="25">
        <f>ROUND($B$6*$B$10*$B$13*$B$16*$B$18*$B$20*$B$21,0)</f>
        <v/>
      </c>
      <c r="AA55" s="25">
        <f>ROUND($B$6*$B$10*$B$13*$B$16*$B$18*$B$20*$B$22,0)</f>
        <v/>
      </c>
    </row>
  </sheetData>
  <mergeCells count="41">
    <mergeCell ref="B53:B55"/>
    <mergeCell ref="X26:AA26"/>
    <mergeCell ref="A7:AA7"/>
    <mergeCell ref="Z27:AA27"/>
    <mergeCell ref="A25:A28"/>
    <mergeCell ref="D26:G26"/>
    <mergeCell ref="A3:AA3"/>
    <mergeCell ref="B35:B37"/>
    <mergeCell ref="H26:K26"/>
    <mergeCell ref="C25:C28"/>
    <mergeCell ref="D27:E27"/>
    <mergeCell ref="T25:AA25"/>
    <mergeCell ref="A2:AA2"/>
    <mergeCell ref="P26:S26"/>
    <mergeCell ref="N27:O27"/>
    <mergeCell ref="A29:A37"/>
    <mergeCell ref="J27:K27"/>
    <mergeCell ref="P27:Q27"/>
    <mergeCell ref="B41:B43"/>
    <mergeCell ref="B47:B49"/>
    <mergeCell ref="R27:S27"/>
    <mergeCell ref="B32:B34"/>
    <mergeCell ref="A23:AA23"/>
    <mergeCell ref="B50:B52"/>
    <mergeCell ref="A47:A55"/>
    <mergeCell ref="A38:A46"/>
    <mergeCell ref="V27:W27"/>
    <mergeCell ref="L25:S25"/>
    <mergeCell ref="F27:G27"/>
    <mergeCell ref="H27:I27"/>
    <mergeCell ref="D25:K25"/>
    <mergeCell ref="L26:O26"/>
    <mergeCell ref="B44:B46"/>
    <mergeCell ref="T26:W26"/>
    <mergeCell ref="B29:B31"/>
    <mergeCell ref="L27:M27"/>
    <mergeCell ref="B38:B40"/>
    <mergeCell ref="B25:B28"/>
    <mergeCell ref="T27:U27"/>
    <mergeCell ref="A1:AA1"/>
    <mergeCell ref="X27:Y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D3B4F"/>
    <outlinePr summaryBelow="1" summaryRight="1"/>
    <pageSetUpPr/>
  </sheetPr>
  <dimension ref="A1:AA55"/>
  <sheetViews>
    <sheetView workbookViewId="0">
      <pane xSplit="3" topLeftCell="D1" activePane="topRight" state="frozen"/>
      <selection pane="topRight" activeCell="A23" sqref="A23:AA23"/>
    </sheetView>
  </sheetViews>
  <sheetFormatPr baseColWidth="10" defaultColWidth="9.140625" defaultRowHeight="15"/>
  <cols>
    <col width="20" customWidth="1" style="62" min="1" max="1"/>
    <col width="18" customWidth="1" style="62" min="2" max="2"/>
    <col width="28" customWidth="1" style="62" min="3" max="3"/>
    <col width="14" customWidth="1" style="62" min="4" max="27"/>
  </cols>
  <sheetData>
    <row r="1" ht="33.95" customHeight="1" s="62">
      <c r="A1" s="84" t="inlineStr">
        <is>
          <t>GRILLE TARIFAIRE — Création ERP / CRM</t>
        </is>
      </c>
    </row>
    <row r="2" ht="26.1" customHeight="1" s="62">
      <c r="A2" s="79" t="inlineStr">
        <is>
          <t>⚙  ZONE DE PARAMÉTRAGE — Remplissez uniquement les cases jaunes. Le tableau se calcule automatiquement.</t>
        </is>
      </c>
    </row>
    <row r="3" ht="21.95" customHeight="1" s="62">
      <c r="A3" s="78" t="inlineStr">
        <is>
          <t>TARIFS DE BASE (€)  —  Par niveau de solution ERP / CRM</t>
        </is>
      </c>
    </row>
    <row r="4" ht="21.95" customHeight="1" s="62">
      <c r="A4" s="16" t="inlineStr">
        <is>
          <t>Tarif de base — CRM simple</t>
        </is>
      </c>
      <c r="B4" s="17" t="n">
        <v>8000</v>
      </c>
      <c r="C4" s="18" t="inlineStr">
        <is>
          <t>Fourchette indicative : 5 000 – 15 000 €</t>
        </is>
      </c>
    </row>
    <row r="5" ht="21.95" customHeight="1" s="62">
      <c r="A5" s="16" t="inlineStr">
        <is>
          <t>Tarif de base — ERP structuré</t>
        </is>
      </c>
      <c r="B5" s="17" t="n">
        <v>17000</v>
      </c>
      <c r="C5" s="18" t="inlineStr">
        <is>
          <t>Fourchette indicative : 15 000 – 40 000 €</t>
        </is>
      </c>
    </row>
    <row r="6" ht="21.95" customHeight="1" s="62">
      <c r="A6" s="16" t="inlineStr">
        <is>
          <t>Tarif de base — ERP complet</t>
        </is>
      </c>
      <c r="B6" s="17" t="n">
        <v>50000</v>
      </c>
      <c r="C6" s="18" t="inlineStr">
        <is>
          <t>Fourchette indicative : 40 000 – 100 000 €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modules — 1-3 modules</t>
        </is>
      </c>
      <c r="B8" s="20" t="n">
        <v>0.9</v>
      </c>
      <c r="C8" s="21" t="inlineStr">
        <is>
          <t>Périmètre réduit</t>
        </is>
      </c>
    </row>
    <row r="9" ht="20.1" customHeight="1" s="62">
      <c r="A9" s="19" t="inlineStr">
        <is>
          <t>Coeff. modules — 4-7 modules</t>
        </is>
      </c>
      <c r="B9" s="20" t="n">
        <v>1</v>
      </c>
      <c r="C9" s="21" t="inlineStr">
        <is>
          <t>Référence</t>
        </is>
      </c>
    </row>
    <row r="10" ht="20.1" customHeight="1" s="62">
      <c r="A10" s="19" t="inlineStr">
        <is>
          <t>Coeff. modules — 8+ modules</t>
        </is>
      </c>
      <c r="B10" s="20" t="n">
        <v>1.6</v>
      </c>
      <c r="C10" s="21" t="inlineStr">
        <is>
          <t>Périmètre étendu</t>
        </is>
      </c>
    </row>
    <row r="11" ht="20.1" customHeight="1" s="62">
      <c r="A11" s="19" t="inlineStr">
        <is>
          <t>Coeff. processus — Simples</t>
        </is>
      </c>
      <c r="B11" s="20" t="n">
        <v>0.9</v>
      </c>
      <c r="C11" s="21" t="inlineStr">
        <is>
          <t>Flux standards</t>
        </is>
      </c>
    </row>
    <row r="12" ht="20.1" customHeight="1" s="62">
      <c r="A12" s="19" t="inlineStr">
        <is>
          <t>Coeff. processus — Modérés</t>
        </is>
      </c>
      <c r="B12" s="20" t="n">
        <v>1</v>
      </c>
      <c r="C12" s="21" t="inlineStr">
        <is>
          <t>Référence</t>
        </is>
      </c>
    </row>
    <row r="13" ht="20.1" customHeight="1" s="62">
      <c r="A13" s="19" t="inlineStr">
        <is>
          <t>Coeff. processus — Complexes multi-métiers</t>
        </is>
      </c>
      <c r="B13" s="20" t="n">
        <v>1.6</v>
      </c>
      <c r="C13" s="21" t="inlineStr">
        <is>
          <t>Logique métier avancée</t>
        </is>
      </c>
    </row>
    <row r="14" ht="20.1" customHeight="1" s="62">
      <c r="A14" s="19" t="inlineStr">
        <is>
          <t>Coeff. personnalisation — Paramétrage standard</t>
        </is>
      </c>
      <c r="B14" s="20" t="n">
        <v>1</v>
      </c>
      <c r="C14" s="21" t="inlineStr">
        <is>
          <t>Référence</t>
        </is>
      </c>
    </row>
    <row r="15" ht="20.1" customHeight="1" s="62">
      <c r="A15" s="19" t="inlineStr">
        <is>
          <t>Coeff. personnalisation — Sur mesure partiel</t>
        </is>
      </c>
      <c r="B15" s="20" t="n">
        <v>1.3</v>
      </c>
      <c r="C15" s="21" t="inlineStr">
        <is>
          <t>Développements spécifiques</t>
        </is>
      </c>
    </row>
    <row r="16" ht="20.1" customHeight="1" s="62">
      <c r="A16" s="19" t="inlineStr">
        <is>
          <t>Coeff. personnalisation — Full sur mesure</t>
        </is>
      </c>
      <c r="B16" s="20" t="n">
        <v>1.7</v>
      </c>
      <c r="C16" s="21" t="inlineStr">
        <is>
          <t>Développement complet</t>
        </is>
      </c>
    </row>
    <row r="17" ht="20.1" customHeight="1" s="62">
      <c r="A17" s="19" t="inlineStr">
        <is>
          <t>Coeff. API — Sans API</t>
        </is>
      </c>
      <c r="B17" s="20" t="n">
        <v>1</v>
      </c>
      <c r="C17" s="21" t="inlineStr">
        <is>
          <t>Référence</t>
        </is>
      </c>
    </row>
    <row r="18" ht="20.1" customHeight="1" s="62">
      <c r="A18" s="19" t="inlineStr">
        <is>
          <t>Coeff. API — Avec API</t>
        </is>
      </c>
      <c r="B18" s="20" t="n">
        <v>1.25</v>
      </c>
      <c r="C18" s="21" t="inlineStr">
        <is>
          <t>Intégrations supplémentaires</t>
        </is>
      </c>
    </row>
    <row r="19" ht="20.1" customHeight="1" s="62">
      <c r="A19" s="19" t="inlineStr">
        <is>
          <t>Coeff. réglementation — Standard</t>
        </is>
      </c>
      <c r="B19" s="20" t="n">
        <v>1</v>
      </c>
      <c r="C19" s="21" t="inlineStr">
        <is>
          <t>Référence</t>
        </is>
      </c>
    </row>
    <row r="20" ht="20.1" customHeight="1" s="62">
      <c r="A20" s="19" t="inlineStr">
        <is>
          <t>Coeff. réglementation — Réglementé</t>
        </is>
      </c>
      <c r="B20" s="20" t="n">
        <v>1.25</v>
      </c>
      <c r="C20" s="21" t="inlineStr">
        <is>
          <t>Sécurité &amp; conformité renforcées</t>
        </is>
      </c>
    </row>
    <row r="21" ht="20.1" customHeight="1" s="62">
      <c r="A21" s="19" t="inlineStr">
        <is>
          <t>Coeff. mode — Distanciel</t>
        </is>
      </c>
      <c r="B21" s="20" t="n">
        <v>1</v>
      </c>
      <c r="C21" s="21" t="inlineStr">
        <is>
          <t>Référence</t>
        </is>
      </c>
    </row>
    <row r="22" ht="20.1" customHeight="1" s="62">
      <c r="A22" s="19" t="inlineStr">
        <is>
          <t>Coeff. mode — Présentiel</t>
        </is>
      </c>
      <c r="B22" s="20" t="n">
        <v>1.3</v>
      </c>
      <c r="C22" s="21" t="inlineStr">
        <is>
          <t>Ateliers et réunions sur site</t>
        </is>
      </c>
    </row>
    <row r="23" ht="24" customHeight="1" s="62">
      <c r="A23" s="83" t="inlineStr">
        <is>
          <t>▼  GRILLE TARIFAIRE CALCULÉE AUTOMATIQUEMENT  — Les cellules bleues sont en lecture seule (formules).</t>
        </is>
      </c>
    </row>
    <row r="24" ht="6" customHeight="1" s="62"/>
    <row r="25" ht="38.1" customHeight="1" s="62">
      <c r="A25" s="77" t="inlineStr">
        <is>
          <t>Type de solution</t>
        </is>
      </c>
      <c r="B25" s="74" t="inlineStr">
        <is>
          <t>Nombre de modules</t>
        </is>
      </c>
      <c r="C25" s="76" t="inlineStr">
        <is>
          <t>Complexité des processus</t>
        </is>
      </c>
      <c r="D25" s="77" t="inlineStr">
        <is>
          <t>Paramétrage standard</t>
        </is>
      </c>
      <c r="E25" s="55" t="n"/>
      <c r="F25" s="55" t="n"/>
      <c r="G25" s="55" t="n"/>
      <c r="H25" s="55" t="n"/>
      <c r="I25" s="55" t="n"/>
      <c r="J25" s="55" t="n"/>
      <c r="K25" s="56" t="n"/>
      <c r="L25" s="77" t="inlineStr">
        <is>
          <t>Sur mesure partiel</t>
        </is>
      </c>
      <c r="M25" s="55" t="n"/>
      <c r="N25" s="55" t="n"/>
      <c r="O25" s="55" t="n"/>
      <c r="P25" s="55" t="n"/>
      <c r="Q25" s="55" t="n"/>
      <c r="R25" s="55" t="n"/>
      <c r="S25" s="56" t="n"/>
      <c r="T25" s="77" t="inlineStr">
        <is>
          <t>Full sur mesure</t>
        </is>
      </c>
      <c r="U25" s="55" t="n"/>
      <c r="V25" s="55" t="n"/>
      <c r="W25" s="55" t="n"/>
      <c r="X25" s="55" t="n"/>
      <c r="Y25" s="55" t="n"/>
      <c r="Z25" s="55" t="n"/>
      <c r="AA25" s="56" t="n"/>
    </row>
    <row r="26" ht="38.1" customHeight="1" s="62">
      <c r="A26" s="64" t="n"/>
      <c r="B26" s="64" t="n"/>
      <c r="C26" s="64" t="n"/>
      <c r="D26" s="74" t="inlineStr">
        <is>
          <t>Sans API</t>
        </is>
      </c>
      <c r="E26" s="55" t="n"/>
      <c r="F26" s="55" t="n"/>
      <c r="G26" s="56" t="n"/>
      <c r="H26" s="74" t="inlineStr">
        <is>
          <t>Avec API</t>
        </is>
      </c>
      <c r="I26" s="55" t="n"/>
      <c r="J26" s="55" t="n"/>
      <c r="K26" s="56" t="n"/>
      <c r="L26" s="74" t="inlineStr">
        <is>
          <t>Sans API</t>
        </is>
      </c>
      <c r="M26" s="55" t="n"/>
      <c r="N26" s="55" t="n"/>
      <c r="O26" s="56" t="n"/>
      <c r="P26" s="74" t="inlineStr">
        <is>
          <t>Avec API</t>
        </is>
      </c>
      <c r="Q26" s="55" t="n"/>
      <c r="R26" s="55" t="n"/>
      <c r="S26" s="56" t="n"/>
      <c r="T26" s="74" t="inlineStr">
        <is>
          <t>Sans API</t>
        </is>
      </c>
      <c r="U26" s="55" t="n"/>
      <c r="V26" s="55" t="n"/>
      <c r="W26" s="56" t="n"/>
      <c r="X26" s="74" t="inlineStr">
        <is>
          <t>Avec API</t>
        </is>
      </c>
      <c r="Y26" s="55" t="n"/>
      <c r="Z26" s="55" t="n"/>
      <c r="AA26" s="56" t="n"/>
    </row>
    <row r="27" ht="38.1" customHeight="1" s="62">
      <c r="A27" s="64" t="n"/>
      <c r="B27" s="64" t="n"/>
      <c r="C27" s="64" t="n"/>
      <c r="D27" s="76" t="inlineStr">
        <is>
          <t>Standard</t>
        </is>
      </c>
      <c r="E27" s="56" t="n"/>
      <c r="F27" s="76" t="inlineStr">
        <is>
          <t>Réglementé</t>
        </is>
      </c>
      <c r="G27" s="56" t="n"/>
      <c r="H27" s="76" t="inlineStr">
        <is>
          <t>Standard</t>
        </is>
      </c>
      <c r="I27" s="56" t="n"/>
      <c r="J27" s="76" t="inlineStr">
        <is>
          <t>Réglementé</t>
        </is>
      </c>
      <c r="K27" s="56" t="n"/>
      <c r="L27" s="76" t="inlineStr">
        <is>
          <t>Standard</t>
        </is>
      </c>
      <c r="M27" s="56" t="n"/>
      <c r="N27" s="76" t="inlineStr">
        <is>
          <t>Réglementé</t>
        </is>
      </c>
      <c r="O27" s="56" t="n"/>
      <c r="P27" s="76" t="inlineStr">
        <is>
          <t>Standard</t>
        </is>
      </c>
      <c r="Q27" s="56" t="n"/>
      <c r="R27" s="76" t="inlineStr">
        <is>
          <t>Réglementé</t>
        </is>
      </c>
      <c r="S27" s="56" t="n"/>
      <c r="T27" s="76" t="inlineStr">
        <is>
          <t>Standard</t>
        </is>
      </c>
      <c r="U27" s="56" t="n"/>
      <c r="V27" s="76" t="inlineStr">
        <is>
          <t>Réglementé</t>
        </is>
      </c>
      <c r="W27" s="56" t="n"/>
      <c r="X27" s="76" t="inlineStr">
        <is>
          <t>Standard</t>
        </is>
      </c>
      <c r="Y27" s="56" t="n"/>
      <c r="Z27" s="76" t="inlineStr">
        <is>
          <t>Réglementé</t>
        </is>
      </c>
      <c r="AA27" s="56" t="n"/>
    </row>
    <row r="28" ht="38.1" customHeight="1" s="62">
      <c r="A28" s="65" t="n"/>
      <c r="B28" s="65" t="n"/>
      <c r="C28" s="65" t="n"/>
      <c r="D28" s="22" t="inlineStr">
        <is>
          <t>Distanciel</t>
        </is>
      </c>
      <c r="E28" s="22" t="inlineStr">
        <is>
          <t>Présentiel</t>
        </is>
      </c>
      <c r="F28" s="22" t="inlineStr">
        <is>
          <t>Distanciel</t>
        </is>
      </c>
      <c r="G28" s="22" t="inlineStr">
        <is>
          <t>Présentiel</t>
        </is>
      </c>
      <c r="H28" s="22" t="inlineStr">
        <is>
          <t>Distanciel</t>
        </is>
      </c>
      <c r="I28" s="22" t="inlineStr">
        <is>
          <t>Présentiel</t>
        </is>
      </c>
      <c r="J28" s="22" t="inlineStr">
        <is>
          <t>Distanciel</t>
        </is>
      </c>
      <c r="K28" s="22" t="inlineStr">
        <is>
          <t>Présentiel</t>
        </is>
      </c>
      <c r="L28" s="22" t="inlineStr">
        <is>
          <t>Distanciel</t>
        </is>
      </c>
      <c r="M28" s="22" t="inlineStr">
        <is>
          <t>Présentiel</t>
        </is>
      </c>
      <c r="N28" s="22" t="inlineStr">
        <is>
          <t>Distanciel</t>
        </is>
      </c>
      <c r="O28" s="22" t="inlineStr">
        <is>
          <t>Présentiel</t>
        </is>
      </c>
      <c r="P28" s="22" t="inlineStr">
        <is>
          <t>Distanciel</t>
        </is>
      </c>
      <c r="Q28" s="22" t="inlineStr">
        <is>
          <t>Présentiel</t>
        </is>
      </c>
      <c r="R28" s="22" t="inlineStr">
        <is>
          <t>Distanciel</t>
        </is>
      </c>
      <c r="S28" s="22" t="inlineStr">
        <is>
          <t>Présentiel</t>
        </is>
      </c>
      <c r="T28" s="22" t="inlineStr">
        <is>
          <t>Distanciel</t>
        </is>
      </c>
      <c r="U28" s="22" t="inlineStr">
        <is>
          <t>Présentiel</t>
        </is>
      </c>
      <c r="V28" s="22" t="inlineStr">
        <is>
          <t>Distanciel</t>
        </is>
      </c>
      <c r="W28" s="22" t="inlineStr">
        <is>
          <t>Présentiel</t>
        </is>
      </c>
      <c r="X28" s="22" t="inlineStr">
        <is>
          <t>Distanciel</t>
        </is>
      </c>
      <c r="Y28" s="22" t="inlineStr">
        <is>
          <t>Présentiel</t>
        </is>
      </c>
      <c r="Z28" s="22" t="inlineStr">
        <is>
          <t>Distanciel</t>
        </is>
      </c>
      <c r="AA28" s="22" t="inlineStr">
        <is>
          <t>Présentiel</t>
        </is>
      </c>
    </row>
    <row r="29" ht="20.1" customHeight="1" s="62">
      <c r="A29" s="80" t="inlineStr">
        <is>
          <t>CRM seul</t>
        </is>
      </c>
      <c r="B29" s="73" t="inlineStr">
        <is>
          <t>1-3 modules</t>
        </is>
      </c>
      <c r="C29" s="24" t="inlineStr">
        <is>
          <t>Processus simples</t>
        </is>
      </c>
      <c r="D29" s="25">
        <f>ROUND($B$4*$B$8*$B$11*$B$14*$B$17*$B$19*$B$21,0)</f>
        <v/>
      </c>
      <c r="E29" s="25">
        <f>ROUND($B$4*$B$8*$B$11*$B$14*$B$17*$B$19*$B$22,0)</f>
        <v/>
      </c>
      <c r="F29" s="25">
        <f>ROUND($B$4*$B$8*$B$11*$B$14*$B$17*$B$20*$B$21,0)</f>
        <v/>
      </c>
      <c r="G29" s="25">
        <f>ROUND($B$4*$B$8*$B$11*$B$14*$B$17*$B$20*$B$22,0)</f>
        <v/>
      </c>
      <c r="H29" s="25">
        <f>ROUND($B$4*$B$8*$B$11*$B$14*$B$18*$B$19*$B$21,0)</f>
        <v/>
      </c>
      <c r="I29" s="25">
        <f>ROUND($B$4*$B$8*$B$11*$B$14*$B$18*$B$19*$B$22,0)</f>
        <v/>
      </c>
      <c r="J29" s="25">
        <f>ROUND($B$4*$B$8*$B$11*$B$14*$B$18*$B$20*$B$21,0)</f>
        <v/>
      </c>
      <c r="K29" s="25">
        <f>ROUND($B$4*$B$8*$B$11*$B$14*$B$18*$B$20*$B$22,0)</f>
        <v/>
      </c>
      <c r="L29" s="25">
        <f>ROUND($B$4*$B$8*$B$11*$B$15*$B$17*$B$19*$B$21,0)</f>
        <v/>
      </c>
      <c r="M29" s="25">
        <f>ROUND($B$4*$B$8*$B$11*$B$15*$B$17*$B$19*$B$22,0)</f>
        <v/>
      </c>
      <c r="N29" s="25">
        <f>ROUND($B$4*$B$8*$B$11*$B$15*$B$17*$B$20*$B$21,0)</f>
        <v/>
      </c>
      <c r="O29" s="25">
        <f>ROUND($B$4*$B$8*$B$11*$B$15*$B$17*$B$20*$B$22,0)</f>
        <v/>
      </c>
      <c r="P29" s="25">
        <f>ROUND($B$4*$B$8*$B$11*$B$15*$B$18*$B$19*$B$21,0)</f>
        <v/>
      </c>
      <c r="Q29" s="25">
        <f>ROUND($B$4*$B$8*$B$11*$B$15*$B$18*$B$19*$B$22,0)</f>
        <v/>
      </c>
      <c r="R29" s="25">
        <f>ROUND($B$4*$B$8*$B$11*$B$15*$B$18*$B$20*$B$21,0)</f>
        <v/>
      </c>
      <c r="S29" s="25">
        <f>ROUND($B$4*$B$8*$B$11*$B$15*$B$18*$B$20*$B$22,0)</f>
        <v/>
      </c>
      <c r="T29" s="25">
        <f>ROUND($B$4*$B$8*$B$11*$B$16*$B$17*$B$19*$B$21,0)</f>
        <v/>
      </c>
      <c r="U29" s="25">
        <f>ROUND($B$4*$B$8*$B$11*$B$16*$B$17*$B$19*$B$22,0)</f>
        <v/>
      </c>
      <c r="V29" s="25">
        <f>ROUND($B$4*$B$8*$B$11*$B$16*$B$17*$B$20*$B$21,0)</f>
        <v/>
      </c>
      <c r="W29" s="25">
        <f>ROUND($B$4*$B$8*$B$11*$B$16*$B$17*$B$20*$B$22,0)</f>
        <v/>
      </c>
      <c r="X29" s="25">
        <f>ROUND($B$4*$B$8*$B$11*$B$16*$B$18*$B$19*$B$21,0)</f>
        <v/>
      </c>
      <c r="Y29" s="25">
        <f>ROUND($B$4*$B$8*$B$11*$B$16*$B$18*$B$19*$B$22,0)</f>
        <v/>
      </c>
      <c r="Z29" s="25">
        <f>ROUND($B$4*$B$8*$B$11*$B$16*$B$18*$B$20*$B$21,0)</f>
        <v/>
      </c>
      <c r="AA29" s="25">
        <f>ROUND($B$4*$B$8*$B$11*$B$16*$B$18*$B$20*$B$22,0)</f>
        <v/>
      </c>
    </row>
    <row r="30" ht="20.1" customHeight="1" s="62">
      <c r="A30" s="81" t="n"/>
      <c r="B30" s="58" t="n"/>
      <c r="C30" s="73" t="inlineStr">
        <is>
          <t>Processus modérés</t>
        </is>
      </c>
      <c r="D30" s="25">
        <f>ROUND($B$4*$B$8*$B$12*$B$14*$B$17*$B$19*$B$21,0)</f>
        <v/>
      </c>
      <c r="E30" s="25">
        <f>ROUND($B$4*$B$8*$B$12*$B$14*$B$17*$B$19*$B$22,0)</f>
        <v/>
      </c>
      <c r="F30" s="25">
        <f>ROUND($B$4*$B$8*$B$12*$B$14*$B$17*$B$20*$B$21,0)</f>
        <v/>
      </c>
      <c r="G30" s="25">
        <f>ROUND($B$4*$B$8*$B$12*$B$14*$B$17*$B$20*$B$22,0)</f>
        <v/>
      </c>
      <c r="H30" s="25">
        <f>ROUND($B$4*$B$8*$B$12*$B$14*$B$18*$B$19*$B$21,0)</f>
        <v/>
      </c>
      <c r="I30" s="25">
        <f>ROUND($B$4*$B$8*$B$12*$B$14*$B$18*$B$19*$B$22,0)</f>
        <v/>
      </c>
      <c r="J30" s="25">
        <f>ROUND($B$4*$B$8*$B$12*$B$14*$B$18*$B$20*$B$21,0)</f>
        <v/>
      </c>
      <c r="K30" s="25">
        <f>ROUND($B$4*$B$8*$B$12*$B$14*$B$18*$B$20*$B$22,0)</f>
        <v/>
      </c>
      <c r="L30" s="25">
        <f>ROUND($B$4*$B$8*$B$12*$B$15*$B$17*$B$19*$B$21,0)</f>
        <v/>
      </c>
      <c r="M30" s="25">
        <f>ROUND($B$4*$B$8*$B$12*$B$15*$B$17*$B$19*$B$22,0)</f>
        <v/>
      </c>
      <c r="N30" s="25">
        <f>ROUND($B$4*$B$8*$B$12*$B$15*$B$17*$B$20*$B$21,0)</f>
        <v/>
      </c>
      <c r="O30" s="25">
        <f>ROUND($B$4*$B$8*$B$12*$B$15*$B$17*$B$20*$B$22,0)</f>
        <v/>
      </c>
      <c r="P30" s="25">
        <f>ROUND($B$4*$B$8*$B$12*$B$15*$B$18*$B$19*$B$21,0)</f>
        <v/>
      </c>
      <c r="Q30" s="25">
        <f>ROUND($B$4*$B$8*$B$12*$B$15*$B$18*$B$19*$B$22,0)</f>
        <v/>
      </c>
      <c r="R30" s="25">
        <f>ROUND($B$4*$B$8*$B$12*$B$15*$B$18*$B$20*$B$21,0)</f>
        <v/>
      </c>
      <c r="S30" s="25">
        <f>ROUND($B$4*$B$8*$B$12*$B$15*$B$18*$B$20*$B$22,0)</f>
        <v/>
      </c>
      <c r="T30" s="25">
        <f>ROUND($B$4*$B$8*$B$12*$B$16*$B$17*$B$19*$B$21,0)</f>
        <v/>
      </c>
      <c r="U30" s="25">
        <f>ROUND($B$4*$B$8*$B$12*$B$16*$B$17*$B$19*$B$22,0)</f>
        <v/>
      </c>
      <c r="V30" s="25">
        <f>ROUND($B$4*$B$8*$B$12*$B$16*$B$17*$B$20*$B$21,0)</f>
        <v/>
      </c>
      <c r="W30" s="25">
        <f>ROUND($B$4*$B$8*$B$12*$B$16*$B$17*$B$20*$B$22,0)</f>
        <v/>
      </c>
      <c r="X30" s="25">
        <f>ROUND($B$4*$B$8*$B$12*$B$16*$B$18*$B$19*$B$21,0)</f>
        <v/>
      </c>
      <c r="Y30" s="25">
        <f>ROUND($B$4*$B$8*$B$12*$B$16*$B$18*$B$19*$B$22,0)</f>
        <v/>
      </c>
      <c r="Z30" s="25">
        <f>ROUND($B$4*$B$8*$B$12*$B$16*$B$18*$B$20*$B$21,0)</f>
        <v/>
      </c>
      <c r="AA30" s="25">
        <f>ROUND($B$4*$B$8*$B$12*$B$16*$B$18*$B$20*$B$22,0)</f>
        <v/>
      </c>
    </row>
    <row r="31" ht="20.1" customHeight="1" s="62">
      <c r="A31" s="81" t="n"/>
      <c r="B31" s="59" t="n"/>
      <c r="C31" s="26" t="inlineStr">
        <is>
          <t>Processus complexes multi-métiers</t>
        </is>
      </c>
      <c r="D31" s="25">
        <f>ROUND($B$4*$B$8*$B$13*$B$14*$B$17*$B$19*$B$21,0)</f>
        <v/>
      </c>
      <c r="E31" s="25">
        <f>ROUND($B$4*$B$8*$B$13*$B$14*$B$17*$B$19*$B$22,0)</f>
        <v/>
      </c>
      <c r="F31" s="25">
        <f>ROUND($B$4*$B$8*$B$13*$B$14*$B$17*$B$20*$B$21,0)</f>
        <v/>
      </c>
      <c r="G31" s="25">
        <f>ROUND($B$4*$B$8*$B$13*$B$14*$B$17*$B$20*$B$22,0)</f>
        <v/>
      </c>
      <c r="H31" s="25">
        <f>ROUND($B$4*$B$8*$B$13*$B$14*$B$18*$B$19*$B$21,0)</f>
        <v/>
      </c>
      <c r="I31" s="25">
        <f>ROUND($B$4*$B$8*$B$13*$B$14*$B$18*$B$19*$B$22,0)</f>
        <v/>
      </c>
      <c r="J31" s="25">
        <f>ROUND($B$4*$B$8*$B$13*$B$14*$B$18*$B$20*$B$21,0)</f>
        <v/>
      </c>
      <c r="K31" s="25">
        <f>ROUND($B$4*$B$8*$B$13*$B$14*$B$18*$B$20*$B$22,0)</f>
        <v/>
      </c>
      <c r="L31" s="25">
        <f>ROUND($B$4*$B$8*$B$13*$B$15*$B$17*$B$19*$B$21,0)</f>
        <v/>
      </c>
      <c r="M31" s="25">
        <f>ROUND($B$4*$B$8*$B$13*$B$15*$B$17*$B$19*$B$22,0)</f>
        <v/>
      </c>
      <c r="N31" s="25">
        <f>ROUND($B$4*$B$8*$B$13*$B$15*$B$17*$B$20*$B$21,0)</f>
        <v/>
      </c>
      <c r="O31" s="25">
        <f>ROUND($B$4*$B$8*$B$13*$B$15*$B$17*$B$20*$B$22,0)</f>
        <v/>
      </c>
      <c r="P31" s="25">
        <f>ROUND($B$4*$B$8*$B$13*$B$15*$B$18*$B$19*$B$21,0)</f>
        <v/>
      </c>
      <c r="Q31" s="25">
        <f>ROUND($B$4*$B$8*$B$13*$B$15*$B$18*$B$19*$B$22,0)</f>
        <v/>
      </c>
      <c r="R31" s="25">
        <f>ROUND($B$4*$B$8*$B$13*$B$15*$B$18*$B$20*$B$21,0)</f>
        <v/>
      </c>
      <c r="S31" s="25">
        <f>ROUND($B$4*$B$8*$B$13*$B$15*$B$18*$B$20*$B$22,0)</f>
        <v/>
      </c>
      <c r="T31" s="25">
        <f>ROUND($B$4*$B$8*$B$13*$B$16*$B$17*$B$19*$B$21,0)</f>
        <v/>
      </c>
      <c r="U31" s="25">
        <f>ROUND($B$4*$B$8*$B$13*$B$16*$B$17*$B$19*$B$22,0)</f>
        <v/>
      </c>
      <c r="V31" s="25">
        <f>ROUND($B$4*$B$8*$B$13*$B$16*$B$17*$B$20*$B$21,0)</f>
        <v/>
      </c>
      <c r="W31" s="25">
        <f>ROUND($B$4*$B$8*$B$13*$B$16*$B$17*$B$20*$B$22,0)</f>
        <v/>
      </c>
      <c r="X31" s="25">
        <f>ROUND($B$4*$B$8*$B$13*$B$16*$B$18*$B$19*$B$21,0)</f>
        <v/>
      </c>
      <c r="Y31" s="25">
        <f>ROUND($B$4*$B$8*$B$13*$B$16*$B$18*$B$19*$B$22,0)</f>
        <v/>
      </c>
      <c r="Z31" s="25">
        <f>ROUND($B$4*$B$8*$B$13*$B$16*$B$18*$B$20*$B$21,0)</f>
        <v/>
      </c>
      <c r="AA31" s="25">
        <f>ROUND($B$4*$B$8*$B$13*$B$16*$B$18*$B$20*$B$22,0)</f>
        <v/>
      </c>
    </row>
    <row r="32" ht="20.1" customHeight="1" s="62">
      <c r="A32" s="81" t="n"/>
      <c r="B32" s="73" t="inlineStr">
        <is>
          <t>4-7 modules</t>
        </is>
      </c>
      <c r="C32" s="24" t="inlineStr">
        <is>
          <t>Processus simples</t>
        </is>
      </c>
      <c r="D32" s="25">
        <f>ROUND($B$4*$B$9*$B$11*$B$14*$B$17*$B$19*$B$21,0)</f>
        <v/>
      </c>
      <c r="E32" s="25">
        <f>ROUND($B$4*$B$9*$B$11*$B$14*$B$17*$B$19*$B$22,0)</f>
        <v/>
      </c>
      <c r="F32" s="25">
        <f>ROUND($B$4*$B$9*$B$11*$B$14*$B$17*$B$20*$B$21,0)</f>
        <v/>
      </c>
      <c r="G32" s="25">
        <f>ROUND($B$4*$B$9*$B$11*$B$14*$B$17*$B$20*$B$22,0)</f>
        <v/>
      </c>
      <c r="H32" s="25">
        <f>ROUND($B$4*$B$9*$B$11*$B$14*$B$18*$B$19*$B$21,0)</f>
        <v/>
      </c>
      <c r="I32" s="25">
        <f>ROUND($B$4*$B$9*$B$11*$B$14*$B$18*$B$19*$B$22,0)</f>
        <v/>
      </c>
      <c r="J32" s="25">
        <f>ROUND($B$4*$B$9*$B$11*$B$14*$B$18*$B$20*$B$21,0)</f>
        <v/>
      </c>
      <c r="K32" s="25">
        <f>ROUND($B$4*$B$9*$B$11*$B$14*$B$18*$B$20*$B$22,0)</f>
        <v/>
      </c>
      <c r="L32" s="25">
        <f>ROUND($B$4*$B$9*$B$11*$B$15*$B$17*$B$19*$B$21,0)</f>
        <v/>
      </c>
      <c r="M32" s="25">
        <f>ROUND($B$4*$B$9*$B$11*$B$15*$B$17*$B$19*$B$22,0)</f>
        <v/>
      </c>
      <c r="N32" s="25">
        <f>ROUND($B$4*$B$9*$B$11*$B$15*$B$17*$B$20*$B$21,0)</f>
        <v/>
      </c>
      <c r="O32" s="25">
        <f>ROUND($B$4*$B$9*$B$11*$B$15*$B$17*$B$20*$B$22,0)</f>
        <v/>
      </c>
      <c r="P32" s="25">
        <f>ROUND($B$4*$B$9*$B$11*$B$15*$B$18*$B$19*$B$21,0)</f>
        <v/>
      </c>
      <c r="Q32" s="25">
        <f>ROUND($B$4*$B$9*$B$11*$B$15*$B$18*$B$19*$B$22,0)</f>
        <v/>
      </c>
      <c r="R32" s="25">
        <f>ROUND($B$4*$B$9*$B$11*$B$15*$B$18*$B$20*$B$21,0)</f>
        <v/>
      </c>
      <c r="S32" s="25">
        <f>ROUND($B$4*$B$9*$B$11*$B$15*$B$18*$B$20*$B$22,0)</f>
        <v/>
      </c>
      <c r="T32" s="25">
        <f>ROUND($B$4*$B$9*$B$11*$B$16*$B$17*$B$19*$B$21,0)</f>
        <v/>
      </c>
      <c r="U32" s="25">
        <f>ROUND($B$4*$B$9*$B$11*$B$16*$B$17*$B$19*$B$22,0)</f>
        <v/>
      </c>
      <c r="V32" s="25">
        <f>ROUND($B$4*$B$9*$B$11*$B$16*$B$17*$B$20*$B$21,0)</f>
        <v/>
      </c>
      <c r="W32" s="25">
        <f>ROUND($B$4*$B$9*$B$11*$B$16*$B$17*$B$20*$B$22,0)</f>
        <v/>
      </c>
      <c r="X32" s="25">
        <f>ROUND($B$4*$B$9*$B$11*$B$16*$B$18*$B$19*$B$21,0)</f>
        <v/>
      </c>
      <c r="Y32" s="25">
        <f>ROUND($B$4*$B$9*$B$11*$B$16*$B$18*$B$19*$B$22,0)</f>
        <v/>
      </c>
      <c r="Z32" s="25">
        <f>ROUND($B$4*$B$9*$B$11*$B$16*$B$18*$B$20*$B$21,0)</f>
        <v/>
      </c>
      <c r="AA32" s="25">
        <f>ROUND($B$4*$B$9*$B$11*$B$16*$B$18*$B$20*$B$22,0)</f>
        <v/>
      </c>
    </row>
    <row r="33" ht="20.1" customHeight="1" s="62">
      <c r="A33" s="81" t="n"/>
      <c r="B33" s="58" t="n"/>
      <c r="C33" s="73" t="inlineStr">
        <is>
          <t>Processus modérés</t>
        </is>
      </c>
      <c r="D33" s="25">
        <f>ROUND($B$4*$B$9*$B$12*$B$14*$B$17*$B$19*$B$21,0)</f>
        <v/>
      </c>
      <c r="E33" s="25">
        <f>ROUND($B$4*$B$9*$B$12*$B$14*$B$17*$B$19*$B$22,0)</f>
        <v/>
      </c>
      <c r="F33" s="25">
        <f>ROUND($B$4*$B$9*$B$12*$B$14*$B$17*$B$20*$B$21,0)</f>
        <v/>
      </c>
      <c r="G33" s="25">
        <f>ROUND($B$4*$B$9*$B$12*$B$14*$B$17*$B$20*$B$22,0)</f>
        <v/>
      </c>
      <c r="H33" s="25">
        <f>ROUND($B$4*$B$9*$B$12*$B$14*$B$18*$B$19*$B$21,0)</f>
        <v/>
      </c>
      <c r="I33" s="25">
        <f>ROUND($B$4*$B$9*$B$12*$B$14*$B$18*$B$19*$B$22,0)</f>
        <v/>
      </c>
      <c r="J33" s="25">
        <f>ROUND($B$4*$B$9*$B$12*$B$14*$B$18*$B$20*$B$21,0)</f>
        <v/>
      </c>
      <c r="K33" s="25">
        <f>ROUND($B$4*$B$9*$B$12*$B$14*$B$18*$B$20*$B$22,0)</f>
        <v/>
      </c>
      <c r="L33" s="25">
        <f>ROUND($B$4*$B$9*$B$12*$B$15*$B$17*$B$19*$B$21,0)</f>
        <v/>
      </c>
      <c r="M33" s="25">
        <f>ROUND($B$4*$B$9*$B$12*$B$15*$B$17*$B$19*$B$22,0)</f>
        <v/>
      </c>
      <c r="N33" s="25">
        <f>ROUND($B$4*$B$9*$B$12*$B$15*$B$17*$B$20*$B$21,0)</f>
        <v/>
      </c>
      <c r="O33" s="25">
        <f>ROUND($B$4*$B$9*$B$12*$B$15*$B$17*$B$20*$B$22,0)</f>
        <v/>
      </c>
      <c r="P33" s="25">
        <f>ROUND($B$4*$B$9*$B$12*$B$15*$B$18*$B$19*$B$21,0)</f>
        <v/>
      </c>
      <c r="Q33" s="25">
        <f>ROUND($B$4*$B$9*$B$12*$B$15*$B$18*$B$19*$B$22,0)</f>
        <v/>
      </c>
      <c r="R33" s="25">
        <f>ROUND($B$4*$B$9*$B$12*$B$15*$B$18*$B$20*$B$21,0)</f>
        <v/>
      </c>
      <c r="S33" s="25">
        <f>ROUND($B$4*$B$9*$B$12*$B$15*$B$18*$B$20*$B$22,0)</f>
        <v/>
      </c>
      <c r="T33" s="25">
        <f>ROUND($B$4*$B$9*$B$12*$B$16*$B$17*$B$19*$B$21,0)</f>
        <v/>
      </c>
      <c r="U33" s="25">
        <f>ROUND($B$4*$B$9*$B$12*$B$16*$B$17*$B$19*$B$22,0)</f>
        <v/>
      </c>
      <c r="V33" s="25">
        <f>ROUND($B$4*$B$9*$B$12*$B$16*$B$17*$B$20*$B$21,0)</f>
        <v/>
      </c>
      <c r="W33" s="25">
        <f>ROUND($B$4*$B$9*$B$12*$B$16*$B$17*$B$20*$B$22,0)</f>
        <v/>
      </c>
      <c r="X33" s="25">
        <f>ROUND($B$4*$B$9*$B$12*$B$16*$B$18*$B$19*$B$21,0)</f>
        <v/>
      </c>
      <c r="Y33" s="25">
        <f>ROUND($B$4*$B$9*$B$12*$B$16*$B$18*$B$19*$B$22,0)</f>
        <v/>
      </c>
      <c r="Z33" s="25">
        <f>ROUND($B$4*$B$9*$B$12*$B$16*$B$18*$B$20*$B$21,0)</f>
        <v/>
      </c>
      <c r="AA33" s="25">
        <f>ROUND($B$4*$B$9*$B$12*$B$16*$B$18*$B$20*$B$22,0)</f>
        <v/>
      </c>
    </row>
    <row r="34" ht="20.1" customHeight="1" s="62">
      <c r="A34" s="81" t="n"/>
      <c r="B34" s="59" t="n"/>
      <c r="C34" s="26" t="inlineStr">
        <is>
          <t>Processus complexes multi-métiers</t>
        </is>
      </c>
      <c r="D34" s="25">
        <f>ROUND($B$4*$B$9*$B$13*$B$14*$B$17*$B$19*$B$21,0)</f>
        <v/>
      </c>
      <c r="E34" s="25">
        <f>ROUND($B$4*$B$9*$B$13*$B$14*$B$17*$B$19*$B$22,0)</f>
        <v/>
      </c>
      <c r="F34" s="25">
        <f>ROUND($B$4*$B$9*$B$13*$B$14*$B$17*$B$20*$B$21,0)</f>
        <v/>
      </c>
      <c r="G34" s="25">
        <f>ROUND($B$4*$B$9*$B$13*$B$14*$B$17*$B$20*$B$22,0)</f>
        <v/>
      </c>
      <c r="H34" s="25">
        <f>ROUND($B$4*$B$9*$B$13*$B$14*$B$18*$B$19*$B$21,0)</f>
        <v/>
      </c>
      <c r="I34" s="25">
        <f>ROUND($B$4*$B$9*$B$13*$B$14*$B$18*$B$19*$B$22,0)</f>
        <v/>
      </c>
      <c r="J34" s="25">
        <f>ROUND($B$4*$B$9*$B$13*$B$14*$B$18*$B$20*$B$21,0)</f>
        <v/>
      </c>
      <c r="K34" s="25">
        <f>ROUND($B$4*$B$9*$B$13*$B$14*$B$18*$B$20*$B$22,0)</f>
        <v/>
      </c>
      <c r="L34" s="25">
        <f>ROUND($B$4*$B$9*$B$13*$B$15*$B$17*$B$19*$B$21,0)</f>
        <v/>
      </c>
      <c r="M34" s="25">
        <f>ROUND($B$4*$B$9*$B$13*$B$15*$B$17*$B$19*$B$22,0)</f>
        <v/>
      </c>
      <c r="N34" s="25">
        <f>ROUND($B$4*$B$9*$B$13*$B$15*$B$17*$B$20*$B$21,0)</f>
        <v/>
      </c>
      <c r="O34" s="25">
        <f>ROUND($B$4*$B$9*$B$13*$B$15*$B$17*$B$20*$B$22,0)</f>
        <v/>
      </c>
      <c r="P34" s="25">
        <f>ROUND($B$4*$B$9*$B$13*$B$15*$B$18*$B$19*$B$21,0)</f>
        <v/>
      </c>
      <c r="Q34" s="25">
        <f>ROUND($B$4*$B$9*$B$13*$B$15*$B$18*$B$19*$B$22,0)</f>
        <v/>
      </c>
      <c r="R34" s="25">
        <f>ROUND($B$4*$B$9*$B$13*$B$15*$B$18*$B$20*$B$21,0)</f>
        <v/>
      </c>
      <c r="S34" s="25">
        <f>ROUND($B$4*$B$9*$B$13*$B$15*$B$18*$B$20*$B$22,0)</f>
        <v/>
      </c>
      <c r="T34" s="25">
        <f>ROUND($B$4*$B$9*$B$13*$B$16*$B$17*$B$19*$B$21,0)</f>
        <v/>
      </c>
      <c r="U34" s="25">
        <f>ROUND($B$4*$B$9*$B$13*$B$16*$B$17*$B$19*$B$22,0)</f>
        <v/>
      </c>
      <c r="V34" s="25">
        <f>ROUND($B$4*$B$9*$B$13*$B$16*$B$17*$B$20*$B$21,0)</f>
        <v/>
      </c>
      <c r="W34" s="25">
        <f>ROUND($B$4*$B$9*$B$13*$B$16*$B$17*$B$20*$B$22,0)</f>
        <v/>
      </c>
      <c r="X34" s="25">
        <f>ROUND($B$4*$B$9*$B$13*$B$16*$B$18*$B$19*$B$21,0)</f>
        <v/>
      </c>
      <c r="Y34" s="25">
        <f>ROUND($B$4*$B$9*$B$13*$B$16*$B$18*$B$19*$B$22,0)</f>
        <v/>
      </c>
      <c r="Z34" s="25">
        <f>ROUND($B$4*$B$9*$B$13*$B$16*$B$18*$B$20*$B$21,0)</f>
        <v/>
      </c>
      <c r="AA34" s="25">
        <f>ROUND($B$4*$B$9*$B$13*$B$16*$B$18*$B$20*$B$22,0)</f>
        <v/>
      </c>
    </row>
    <row r="35" ht="20.1" customHeight="1" s="62">
      <c r="A35" s="81" t="n"/>
      <c r="B35" s="73" t="inlineStr">
        <is>
          <t>8+ modules</t>
        </is>
      </c>
      <c r="C35" s="24" t="inlineStr">
        <is>
          <t>Processus simples</t>
        </is>
      </c>
      <c r="D35" s="25">
        <f>ROUND($B$4*$B$10*$B$11*$B$14*$B$17*$B$19*$B$21,0)</f>
        <v/>
      </c>
      <c r="E35" s="25">
        <f>ROUND($B$4*$B$10*$B$11*$B$14*$B$17*$B$19*$B$22,0)</f>
        <v/>
      </c>
      <c r="F35" s="25">
        <f>ROUND($B$4*$B$10*$B$11*$B$14*$B$17*$B$20*$B$21,0)</f>
        <v/>
      </c>
      <c r="G35" s="25">
        <f>ROUND($B$4*$B$10*$B$11*$B$14*$B$17*$B$20*$B$22,0)</f>
        <v/>
      </c>
      <c r="H35" s="25">
        <f>ROUND($B$4*$B$10*$B$11*$B$14*$B$18*$B$19*$B$21,0)</f>
        <v/>
      </c>
      <c r="I35" s="25">
        <f>ROUND($B$4*$B$10*$B$11*$B$14*$B$18*$B$19*$B$22,0)</f>
        <v/>
      </c>
      <c r="J35" s="25">
        <f>ROUND($B$4*$B$10*$B$11*$B$14*$B$18*$B$20*$B$21,0)</f>
        <v/>
      </c>
      <c r="K35" s="25">
        <f>ROUND($B$4*$B$10*$B$11*$B$14*$B$18*$B$20*$B$22,0)</f>
        <v/>
      </c>
      <c r="L35" s="25">
        <f>ROUND($B$4*$B$10*$B$11*$B$15*$B$17*$B$19*$B$21,0)</f>
        <v/>
      </c>
      <c r="M35" s="25">
        <f>ROUND($B$4*$B$10*$B$11*$B$15*$B$17*$B$19*$B$22,0)</f>
        <v/>
      </c>
      <c r="N35" s="25">
        <f>ROUND($B$4*$B$10*$B$11*$B$15*$B$17*$B$20*$B$21,0)</f>
        <v/>
      </c>
      <c r="O35" s="25">
        <f>ROUND($B$4*$B$10*$B$11*$B$15*$B$17*$B$20*$B$22,0)</f>
        <v/>
      </c>
      <c r="P35" s="25">
        <f>ROUND($B$4*$B$10*$B$11*$B$15*$B$18*$B$19*$B$21,0)</f>
        <v/>
      </c>
      <c r="Q35" s="25">
        <f>ROUND($B$4*$B$10*$B$11*$B$15*$B$18*$B$19*$B$22,0)</f>
        <v/>
      </c>
      <c r="R35" s="25">
        <f>ROUND($B$4*$B$10*$B$11*$B$15*$B$18*$B$20*$B$21,0)</f>
        <v/>
      </c>
      <c r="S35" s="25">
        <f>ROUND($B$4*$B$10*$B$11*$B$15*$B$18*$B$20*$B$22,0)</f>
        <v/>
      </c>
      <c r="T35" s="25">
        <f>ROUND($B$4*$B$10*$B$11*$B$16*$B$17*$B$19*$B$21,0)</f>
        <v/>
      </c>
      <c r="U35" s="25">
        <f>ROUND($B$4*$B$10*$B$11*$B$16*$B$17*$B$19*$B$22,0)</f>
        <v/>
      </c>
      <c r="V35" s="25">
        <f>ROUND($B$4*$B$10*$B$11*$B$16*$B$17*$B$20*$B$21,0)</f>
        <v/>
      </c>
      <c r="W35" s="25">
        <f>ROUND($B$4*$B$10*$B$11*$B$16*$B$17*$B$20*$B$22,0)</f>
        <v/>
      </c>
      <c r="X35" s="25">
        <f>ROUND($B$4*$B$10*$B$11*$B$16*$B$18*$B$19*$B$21,0)</f>
        <v/>
      </c>
      <c r="Y35" s="25">
        <f>ROUND($B$4*$B$10*$B$11*$B$16*$B$18*$B$19*$B$22,0)</f>
        <v/>
      </c>
      <c r="Z35" s="25">
        <f>ROUND($B$4*$B$10*$B$11*$B$16*$B$18*$B$20*$B$21,0)</f>
        <v/>
      </c>
      <c r="AA35" s="25">
        <f>ROUND($B$4*$B$10*$B$11*$B$16*$B$18*$B$20*$B$22,0)</f>
        <v/>
      </c>
    </row>
    <row r="36" ht="20.1" customHeight="1" s="62">
      <c r="A36" s="81" t="n"/>
      <c r="B36" s="58" t="n"/>
      <c r="C36" s="73" t="inlineStr">
        <is>
          <t>Processus modérés</t>
        </is>
      </c>
      <c r="D36" s="25">
        <f>ROUND($B$4*$B$10*$B$12*$B$14*$B$17*$B$19*$B$21,0)</f>
        <v/>
      </c>
      <c r="E36" s="25">
        <f>ROUND($B$4*$B$10*$B$12*$B$14*$B$17*$B$19*$B$22,0)</f>
        <v/>
      </c>
      <c r="F36" s="25">
        <f>ROUND($B$4*$B$10*$B$12*$B$14*$B$17*$B$20*$B$21,0)</f>
        <v/>
      </c>
      <c r="G36" s="25">
        <f>ROUND($B$4*$B$10*$B$12*$B$14*$B$17*$B$20*$B$22,0)</f>
        <v/>
      </c>
      <c r="H36" s="25">
        <f>ROUND($B$4*$B$10*$B$12*$B$14*$B$18*$B$19*$B$21,0)</f>
        <v/>
      </c>
      <c r="I36" s="25">
        <f>ROUND($B$4*$B$10*$B$12*$B$14*$B$18*$B$19*$B$22,0)</f>
        <v/>
      </c>
      <c r="J36" s="25">
        <f>ROUND($B$4*$B$10*$B$12*$B$14*$B$18*$B$20*$B$21,0)</f>
        <v/>
      </c>
      <c r="K36" s="25">
        <f>ROUND($B$4*$B$10*$B$12*$B$14*$B$18*$B$20*$B$22,0)</f>
        <v/>
      </c>
      <c r="L36" s="25">
        <f>ROUND($B$4*$B$10*$B$12*$B$15*$B$17*$B$19*$B$21,0)</f>
        <v/>
      </c>
      <c r="M36" s="25">
        <f>ROUND($B$4*$B$10*$B$12*$B$15*$B$17*$B$19*$B$22,0)</f>
        <v/>
      </c>
      <c r="N36" s="25">
        <f>ROUND($B$4*$B$10*$B$12*$B$15*$B$17*$B$20*$B$21,0)</f>
        <v/>
      </c>
      <c r="O36" s="25">
        <f>ROUND($B$4*$B$10*$B$12*$B$15*$B$17*$B$20*$B$22,0)</f>
        <v/>
      </c>
      <c r="P36" s="25">
        <f>ROUND($B$4*$B$10*$B$12*$B$15*$B$18*$B$19*$B$21,0)</f>
        <v/>
      </c>
      <c r="Q36" s="25">
        <f>ROUND($B$4*$B$10*$B$12*$B$15*$B$18*$B$19*$B$22,0)</f>
        <v/>
      </c>
      <c r="R36" s="25">
        <f>ROUND($B$4*$B$10*$B$12*$B$15*$B$18*$B$20*$B$21,0)</f>
        <v/>
      </c>
      <c r="S36" s="25">
        <f>ROUND($B$4*$B$10*$B$12*$B$15*$B$18*$B$20*$B$22,0)</f>
        <v/>
      </c>
      <c r="T36" s="25">
        <f>ROUND($B$4*$B$10*$B$12*$B$16*$B$17*$B$19*$B$21,0)</f>
        <v/>
      </c>
      <c r="U36" s="25">
        <f>ROUND($B$4*$B$10*$B$12*$B$16*$B$17*$B$19*$B$22,0)</f>
        <v/>
      </c>
      <c r="V36" s="25">
        <f>ROUND($B$4*$B$10*$B$12*$B$16*$B$17*$B$20*$B$21,0)</f>
        <v/>
      </c>
      <c r="W36" s="25">
        <f>ROUND($B$4*$B$10*$B$12*$B$16*$B$17*$B$20*$B$22,0)</f>
        <v/>
      </c>
      <c r="X36" s="25">
        <f>ROUND($B$4*$B$10*$B$12*$B$16*$B$18*$B$19*$B$21,0)</f>
        <v/>
      </c>
      <c r="Y36" s="25">
        <f>ROUND($B$4*$B$10*$B$12*$B$16*$B$18*$B$19*$B$22,0)</f>
        <v/>
      </c>
      <c r="Z36" s="25">
        <f>ROUND($B$4*$B$10*$B$12*$B$16*$B$18*$B$20*$B$21,0)</f>
        <v/>
      </c>
      <c r="AA36" s="25">
        <f>ROUND($B$4*$B$10*$B$12*$B$16*$B$18*$B$20*$B$22,0)</f>
        <v/>
      </c>
    </row>
    <row r="37" ht="20.1" customHeight="1" s="62">
      <c r="A37" s="82" t="n"/>
      <c r="B37" s="59" t="n"/>
      <c r="C37" s="26" t="inlineStr">
        <is>
          <t>Processus complexes multi-métiers</t>
        </is>
      </c>
      <c r="D37" s="25">
        <f>ROUND($B$4*$B$10*$B$13*$B$14*$B$17*$B$19*$B$21,0)</f>
        <v/>
      </c>
      <c r="E37" s="25">
        <f>ROUND($B$4*$B$10*$B$13*$B$14*$B$17*$B$19*$B$22,0)</f>
        <v/>
      </c>
      <c r="F37" s="25">
        <f>ROUND($B$4*$B$10*$B$13*$B$14*$B$17*$B$20*$B$21,0)</f>
        <v/>
      </c>
      <c r="G37" s="25">
        <f>ROUND($B$4*$B$10*$B$13*$B$14*$B$17*$B$20*$B$22,0)</f>
        <v/>
      </c>
      <c r="H37" s="25">
        <f>ROUND($B$4*$B$10*$B$13*$B$14*$B$18*$B$19*$B$21,0)</f>
        <v/>
      </c>
      <c r="I37" s="25">
        <f>ROUND($B$4*$B$10*$B$13*$B$14*$B$18*$B$19*$B$22,0)</f>
        <v/>
      </c>
      <c r="J37" s="25">
        <f>ROUND($B$4*$B$10*$B$13*$B$14*$B$18*$B$20*$B$21,0)</f>
        <v/>
      </c>
      <c r="K37" s="25">
        <f>ROUND($B$4*$B$10*$B$13*$B$14*$B$18*$B$20*$B$22,0)</f>
        <v/>
      </c>
      <c r="L37" s="25">
        <f>ROUND($B$4*$B$10*$B$13*$B$15*$B$17*$B$19*$B$21,0)</f>
        <v/>
      </c>
      <c r="M37" s="25">
        <f>ROUND($B$4*$B$10*$B$13*$B$15*$B$17*$B$19*$B$22,0)</f>
        <v/>
      </c>
      <c r="N37" s="25">
        <f>ROUND($B$4*$B$10*$B$13*$B$15*$B$17*$B$20*$B$21,0)</f>
        <v/>
      </c>
      <c r="O37" s="25">
        <f>ROUND($B$4*$B$10*$B$13*$B$15*$B$17*$B$20*$B$22,0)</f>
        <v/>
      </c>
      <c r="P37" s="25">
        <f>ROUND($B$4*$B$10*$B$13*$B$15*$B$18*$B$19*$B$21,0)</f>
        <v/>
      </c>
      <c r="Q37" s="25">
        <f>ROUND($B$4*$B$10*$B$13*$B$15*$B$18*$B$19*$B$22,0)</f>
        <v/>
      </c>
      <c r="R37" s="25">
        <f>ROUND($B$4*$B$10*$B$13*$B$15*$B$18*$B$20*$B$21,0)</f>
        <v/>
      </c>
      <c r="S37" s="25">
        <f>ROUND($B$4*$B$10*$B$13*$B$15*$B$18*$B$20*$B$22,0)</f>
        <v/>
      </c>
      <c r="T37" s="25">
        <f>ROUND($B$4*$B$10*$B$13*$B$16*$B$17*$B$19*$B$21,0)</f>
        <v/>
      </c>
      <c r="U37" s="25">
        <f>ROUND($B$4*$B$10*$B$13*$B$16*$B$17*$B$19*$B$22,0)</f>
        <v/>
      </c>
      <c r="V37" s="25">
        <f>ROUND($B$4*$B$10*$B$13*$B$16*$B$17*$B$20*$B$21,0)</f>
        <v/>
      </c>
      <c r="W37" s="25">
        <f>ROUND($B$4*$B$10*$B$13*$B$16*$B$17*$B$20*$B$22,0)</f>
        <v/>
      </c>
      <c r="X37" s="25">
        <f>ROUND($B$4*$B$10*$B$13*$B$16*$B$18*$B$19*$B$21,0)</f>
        <v/>
      </c>
      <c r="Y37" s="25">
        <f>ROUND($B$4*$B$10*$B$13*$B$16*$B$18*$B$19*$B$22,0)</f>
        <v/>
      </c>
      <c r="Z37" s="25">
        <f>ROUND($B$4*$B$10*$B$13*$B$16*$B$18*$B$20*$B$21,0)</f>
        <v/>
      </c>
      <c r="AA37" s="25">
        <f>ROUND($B$4*$B$10*$B$13*$B$16*$B$18*$B$20*$B$22,0)</f>
        <v/>
      </c>
    </row>
    <row r="38" ht="20.1" customHeight="1" s="62">
      <c r="A38" s="80" t="inlineStr">
        <is>
          <t>ERP seul</t>
        </is>
      </c>
      <c r="B38" s="73" t="inlineStr">
        <is>
          <t>1-3 modules</t>
        </is>
      </c>
      <c r="C38" s="24" t="inlineStr">
        <is>
          <t>Processus simples</t>
        </is>
      </c>
      <c r="D38" s="25">
        <f>ROUND($B$5*$B$8*$B$11*$B$14*$B$17*$B$19*$B$21,0)</f>
        <v/>
      </c>
      <c r="E38" s="25">
        <f>ROUND($B$5*$B$8*$B$11*$B$14*$B$17*$B$19*$B$22,0)</f>
        <v/>
      </c>
      <c r="F38" s="25">
        <f>ROUND($B$5*$B$8*$B$11*$B$14*$B$17*$B$20*$B$21,0)</f>
        <v/>
      </c>
      <c r="G38" s="25">
        <f>ROUND($B$5*$B$8*$B$11*$B$14*$B$17*$B$20*$B$22,0)</f>
        <v/>
      </c>
      <c r="H38" s="25">
        <f>ROUND($B$5*$B$8*$B$11*$B$14*$B$18*$B$19*$B$21,0)</f>
        <v/>
      </c>
      <c r="I38" s="25">
        <f>ROUND($B$5*$B$8*$B$11*$B$14*$B$18*$B$19*$B$22,0)</f>
        <v/>
      </c>
      <c r="J38" s="25">
        <f>ROUND($B$5*$B$8*$B$11*$B$14*$B$18*$B$20*$B$21,0)</f>
        <v/>
      </c>
      <c r="K38" s="25">
        <f>ROUND($B$5*$B$8*$B$11*$B$14*$B$18*$B$20*$B$22,0)</f>
        <v/>
      </c>
      <c r="L38" s="25">
        <f>ROUND($B$5*$B$8*$B$11*$B$15*$B$17*$B$19*$B$21,0)</f>
        <v/>
      </c>
      <c r="M38" s="25">
        <f>ROUND($B$5*$B$8*$B$11*$B$15*$B$17*$B$19*$B$22,0)</f>
        <v/>
      </c>
      <c r="N38" s="25">
        <f>ROUND($B$5*$B$8*$B$11*$B$15*$B$17*$B$20*$B$21,0)</f>
        <v/>
      </c>
      <c r="O38" s="25">
        <f>ROUND($B$5*$B$8*$B$11*$B$15*$B$17*$B$20*$B$22,0)</f>
        <v/>
      </c>
      <c r="P38" s="25">
        <f>ROUND($B$5*$B$8*$B$11*$B$15*$B$18*$B$19*$B$21,0)</f>
        <v/>
      </c>
      <c r="Q38" s="25">
        <f>ROUND($B$5*$B$8*$B$11*$B$15*$B$18*$B$19*$B$22,0)</f>
        <v/>
      </c>
      <c r="R38" s="25">
        <f>ROUND($B$5*$B$8*$B$11*$B$15*$B$18*$B$20*$B$21,0)</f>
        <v/>
      </c>
      <c r="S38" s="25">
        <f>ROUND($B$5*$B$8*$B$11*$B$15*$B$18*$B$20*$B$22,0)</f>
        <v/>
      </c>
      <c r="T38" s="25">
        <f>ROUND($B$5*$B$8*$B$11*$B$16*$B$17*$B$19*$B$21,0)</f>
        <v/>
      </c>
      <c r="U38" s="25">
        <f>ROUND($B$5*$B$8*$B$11*$B$16*$B$17*$B$19*$B$22,0)</f>
        <v/>
      </c>
      <c r="V38" s="25">
        <f>ROUND($B$5*$B$8*$B$11*$B$16*$B$17*$B$20*$B$21,0)</f>
        <v/>
      </c>
      <c r="W38" s="25">
        <f>ROUND($B$5*$B$8*$B$11*$B$16*$B$17*$B$20*$B$22,0)</f>
        <v/>
      </c>
      <c r="X38" s="25">
        <f>ROUND($B$5*$B$8*$B$11*$B$16*$B$18*$B$19*$B$21,0)</f>
        <v/>
      </c>
      <c r="Y38" s="25">
        <f>ROUND($B$5*$B$8*$B$11*$B$16*$B$18*$B$19*$B$22,0)</f>
        <v/>
      </c>
      <c r="Z38" s="25">
        <f>ROUND($B$5*$B$8*$B$11*$B$16*$B$18*$B$20*$B$21,0)</f>
        <v/>
      </c>
      <c r="AA38" s="25">
        <f>ROUND($B$5*$B$8*$B$11*$B$16*$B$18*$B$20*$B$22,0)</f>
        <v/>
      </c>
    </row>
    <row r="39" ht="20.1" customHeight="1" s="62">
      <c r="A39" s="81" t="n"/>
      <c r="B39" s="58" t="n"/>
      <c r="C39" s="73" t="inlineStr">
        <is>
          <t>Processus modérés</t>
        </is>
      </c>
      <c r="D39" s="25">
        <f>ROUND($B$5*$B$8*$B$12*$B$14*$B$17*$B$19*$B$21,0)</f>
        <v/>
      </c>
      <c r="E39" s="25">
        <f>ROUND($B$5*$B$8*$B$12*$B$14*$B$17*$B$19*$B$22,0)</f>
        <v/>
      </c>
      <c r="F39" s="25">
        <f>ROUND($B$5*$B$8*$B$12*$B$14*$B$17*$B$20*$B$21,0)</f>
        <v/>
      </c>
      <c r="G39" s="25">
        <f>ROUND($B$5*$B$8*$B$12*$B$14*$B$17*$B$20*$B$22,0)</f>
        <v/>
      </c>
      <c r="H39" s="25">
        <f>ROUND($B$5*$B$8*$B$12*$B$14*$B$18*$B$19*$B$21,0)</f>
        <v/>
      </c>
      <c r="I39" s="25">
        <f>ROUND($B$5*$B$8*$B$12*$B$14*$B$18*$B$19*$B$22,0)</f>
        <v/>
      </c>
      <c r="J39" s="25">
        <f>ROUND($B$5*$B$8*$B$12*$B$14*$B$18*$B$20*$B$21,0)</f>
        <v/>
      </c>
      <c r="K39" s="25">
        <f>ROUND($B$5*$B$8*$B$12*$B$14*$B$18*$B$20*$B$22,0)</f>
        <v/>
      </c>
      <c r="L39" s="25">
        <f>ROUND($B$5*$B$8*$B$12*$B$15*$B$17*$B$19*$B$21,0)</f>
        <v/>
      </c>
      <c r="M39" s="25">
        <f>ROUND($B$5*$B$8*$B$12*$B$15*$B$17*$B$19*$B$22,0)</f>
        <v/>
      </c>
      <c r="N39" s="25">
        <f>ROUND($B$5*$B$8*$B$12*$B$15*$B$17*$B$20*$B$21,0)</f>
        <v/>
      </c>
      <c r="O39" s="25">
        <f>ROUND($B$5*$B$8*$B$12*$B$15*$B$17*$B$20*$B$22,0)</f>
        <v/>
      </c>
      <c r="P39" s="25">
        <f>ROUND($B$5*$B$8*$B$12*$B$15*$B$18*$B$19*$B$21,0)</f>
        <v/>
      </c>
      <c r="Q39" s="25">
        <f>ROUND($B$5*$B$8*$B$12*$B$15*$B$18*$B$19*$B$22,0)</f>
        <v/>
      </c>
      <c r="R39" s="25">
        <f>ROUND($B$5*$B$8*$B$12*$B$15*$B$18*$B$20*$B$21,0)</f>
        <v/>
      </c>
      <c r="S39" s="25">
        <f>ROUND($B$5*$B$8*$B$12*$B$15*$B$18*$B$20*$B$22,0)</f>
        <v/>
      </c>
      <c r="T39" s="25">
        <f>ROUND($B$5*$B$8*$B$12*$B$16*$B$17*$B$19*$B$21,0)</f>
        <v/>
      </c>
      <c r="U39" s="25">
        <f>ROUND($B$5*$B$8*$B$12*$B$16*$B$17*$B$19*$B$22,0)</f>
        <v/>
      </c>
      <c r="V39" s="25">
        <f>ROUND($B$5*$B$8*$B$12*$B$16*$B$17*$B$20*$B$21,0)</f>
        <v/>
      </c>
      <c r="W39" s="25">
        <f>ROUND($B$5*$B$8*$B$12*$B$16*$B$17*$B$20*$B$22,0)</f>
        <v/>
      </c>
      <c r="X39" s="25">
        <f>ROUND($B$5*$B$8*$B$12*$B$16*$B$18*$B$19*$B$21,0)</f>
        <v/>
      </c>
      <c r="Y39" s="25">
        <f>ROUND($B$5*$B$8*$B$12*$B$16*$B$18*$B$19*$B$22,0)</f>
        <v/>
      </c>
      <c r="Z39" s="25">
        <f>ROUND($B$5*$B$8*$B$12*$B$16*$B$18*$B$20*$B$21,0)</f>
        <v/>
      </c>
      <c r="AA39" s="25">
        <f>ROUND($B$5*$B$8*$B$12*$B$16*$B$18*$B$20*$B$22,0)</f>
        <v/>
      </c>
    </row>
    <row r="40" ht="20.1" customHeight="1" s="62">
      <c r="A40" s="81" t="n"/>
      <c r="B40" s="59" t="n"/>
      <c r="C40" s="26" t="inlineStr">
        <is>
          <t>Processus complexes multi-métiers</t>
        </is>
      </c>
      <c r="D40" s="25">
        <f>ROUND($B$5*$B$8*$B$13*$B$14*$B$17*$B$19*$B$21,0)</f>
        <v/>
      </c>
      <c r="E40" s="25">
        <f>ROUND($B$5*$B$8*$B$13*$B$14*$B$17*$B$19*$B$22,0)</f>
        <v/>
      </c>
      <c r="F40" s="25">
        <f>ROUND($B$5*$B$8*$B$13*$B$14*$B$17*$B$20*$B$21,0)</f>
        <v/>
      </c>
      <c r="G40" s="25">
        <f>ROUND($B$5*$B$8*$B$13*$B$14*$B$17*$B$20*$B$22,0)</f>
        <v/>
      </c>
      <c r="H40" s="25">
        <f>ROUND($B$5*$B$8*$B$13*$B$14*$B$18*$B$19*$B$21,0)</f>
        <v/>
      </c>
      <c r="I40" s="25">
        <f>ROUND($B$5*$B$8*$B$13*$B$14*$B$18*$B$19*$B$22,0)</f>
        <v/>
      </c>
      <c r="J40" s="25">
        <f>ROUND($B$5*$B$8*$B$13*$B$14*$B$18*$B$20*$B$21,0)</f>
        <v/>
      </c>
      <c r="K40" s="25">
        <f>ROUND($B$5*$B$8*$B$13*$B$14*$B$18*$B$20*$B$22,0)</f>
        <v/>
      </c>
      <c r="L40" s="25">
        <f>ROUND($B$5*$B$8*$B$13*$B$15*$B$17*$B$19*$B$21,0)</f>
        <v/>
      </c>
      <c r="M40" s="25">
        <f>ROUND($B$5*$B$8*$B$13*$B$15*$B$17*$B$19*$B$22,0)</f>
        <v/>
      </c>
      <c r="N40" s="25">
        <f>ROUND($B$5*$B$8*$B$13*$B$15*$B$17*$B$20*$B$21,0)</f>
        <v/>
      </c>
      <c r="O40" s="25">
        <f>ROUND($B$5*$B$8*$B$13*$B$15*$B$17*$B$20*$B$22,0)</f>
        <v/>
      </c>
      <c r="P40" s="25">
        <f>ROUND($B$5*$B$8*$B$13*$B$15*$B$18*$B$19*$B$21,0)</f>
        <v/>
      </c>
      <c r="Q40" s="25">
        <f>ROUND($B$5*$B$8*$B$13*$B$15*$B$18*$B$19*$B$22,0)</f>
        <v/>
      </c>
      <c r="R40" s="25">
        <f>ROUND($B$5*$B$8*$B$13*$B$15*$B$18*$B$20*$B$21,0)</f>
        <v/>
      </c>
      <c r="S40" s="25">
        <f>ROUND($B$5*$B$8*$B$13*$B$15*$B$18*$B$20*$B$22,0)</f>
        <v/>
      </c>
      <c r="T40" s="25">
        <f>ROUND($B$5*$B$8*$B$13*$B$16*$B$17*$B$19*$B$21,0)</f>
        <v/>
      </c>
      <c r="U40" s="25">
        <f>ROUND($B$5*$B$8*$B$13*$B$16*$B$17*$B$19*$B$22,0)</f>
        <v/>
      </c>
      <c r="V40" s="25">
        <f>ROUND($B$5*$B$8*$B$13*$B$16*$B$17*$B$20*$B$21,0)</f>
        <v/>
      </c>
      <c r="W40" s="25">
        <f>ROUND($B$5*$B$8*$B$13*$B$16*$B$17*$B$20*$B$22,0)</f>
        <v/>
      </c>
      <c r="X40" s="25">
        <f>ROUND($B$5*$B$8*$B$13*$B$16*$B$18*$B$19*$B$21,0)</f>
        <v/>
      </c>
      <c r="Y40" s="25">
        <f>ROUND($B$5*$B$8*$B$13*$B$16*$B$18*$B$19*$B$22,0)</f>
        <v/>
      </c>
      <c r="Z40" s="25">
        <f>ROUND($B$5*$B$8*$B$13*$B$16*$B$18*$B$20*$B$21,0)</f>
        <v/>
      </c>
      <c r="AA40" s="25">
        <f>ROUND($B$5*$B$8*$B$13*$B$16*$B$18*$B$20*$B$22,0)</f>
        <v/>
      </c>
    </row>
    <row r="41" ht="20.1" customHeight="1" s="62">
      <c r="A41" s="81" t="n"/>
      <c r="B41" s="73" t="inlineStr">
        <is>
          <t>4-7 modules</t>
        </is>
      </c>
      <c r="C41" s="24" t="inlineStr">
        <is>
          <t>Processus simples</t>
        </is>
      </c>
      <c r="D41" s="25">
        <f>ROUND($B$5*$B$9*$B$11*$B$14*$B$17*$B$19*$B$21,0)</f>
        <v/>
      </c>
      <c r="E41" s="25">
        <f>ROUND($B$5*$B$9*$B$11*$B$14*$B$17*$B$19*$B$22,0)</f>
        <v/>
      </c>
      <c r="F41" s="25">
        <f>ROUND($B$5*$B$9*$B$11*$B$14*$B$17*$B$20*$B$21,0)</f>
        <v/>
      </c>
      <c r="G41" s="25">
        <f>ROUND($B$5*$B$9*$B$11*$B$14*$B$17*$B$20*$B$22,0)</f>
        <v/>
      </c>
      <c r="H41" s="25">
        <f>ROUND($B$5*$B$9*$B$11*$B$14*$B$18*$B$19*$B$21,0)</f>
        <v/>
      </c>
      <c r="I41" s="25">
        <f>ROUND($B$5*$B$9*$B$11*$B$14*$B$18*$B$19*$B$22,0)</f>
        <v/>
      </c>
      <c r="J41" s="25">
        <f>ROUND($B$5*$B$9*$B$11*$B$14*$B$18*$B$20*$B$21,0)</f>
        <v/>
      </c>
      <c r="K41" s="25">
        <f>ROUND($B$5*$B$9*$B$11*$B$14*$B$18*$B$20*$B$22,0)</f>
        <v/>
      </c>
      <c r="L41" s="25">
        <f>ROUND($B$5*$B$9*$B$11*$B$15*$B$17*$B$19*$B$21,0)</f>
        <v/>
      </c>
      <c r="M41" s="25">
        <f>ROUND($B$5*$B$9*$B$11*$B$15*$B$17*$B$19*$B$22,0)</f>
        <v/>
      </c>
      <c r="N41" s="25">
        <f>ROUND($B$5*$B$9*$B$11*$B$15*$B$17*$B$20*$B$21,0)</f>
        <v/>
      </c>
      <c r="O41" s="25">
        <f>ROUND($B$5*$B$9*$B$11*$B$15*$B$17*$B$20*$B$22,0)</f>
        <v/>
      </c>
      <c r="P41" s="25">
        <f>ROUND($B$5*$B$9*$B$11*$B$15*$B$18*$B$19*$B$21,0)</f>
        <v/>
      </c>
      <c r="Q41" s="25">
        <f>ROUND($B$5*$B$9*$B$11*$B$15*$B$18*$B$19*$B$22,0)</f>
        <v/>
      </c>
      <c r="R41" s="25">
        <f>ROUND($B$5*$B$9*$B$11*$B$15*$B$18*$B$20*$B$21,0)</f>
        <v/>
      </c>
      <c r="S41" s="25">
        <f>ROUND($B$5*$B$9*$B$11*$B$15*$B$18*$B$20*$B$22,0)</f>
        <v/>
      </c>
      <c r="T41" s="25">
        <f>ROUND($B$5*$B$9*$B$11*$B$16*$B$17*$B$19*$B$21,0)</f>
        <v/>
      </c>
      <c r="U41" s="25">
        <f>ROUND($B$5*$B$9*$B$11*$B$16*$B$17*$B$19*$B$22,0)</f>
        <v/>
      </c>
      <c r="V41" s="25">
        <f>ROUND($B$5*$B$9*$B$11*$B$16*$B$17*$B$20*$B$21,0)</f>
        <v/>
      </c>
      <c r="W41" s="25">
        <f>ROUND($B$5*$B$9*$B$11*$B$16*$B$17*$B$20*$B$22,0)</f>
        <v/>
      </c>
      <c r="X41" s="25">
        <f>ROUND($B$5*$B$9*$B$11*$B$16*$B$18*$B$19*$B$21,0)</f>
        <v/>
      </c>
      <c r="Y41" s="25">
        <f>ROUND($B$5*$B$9*$B$11*$B$16*$B$18*$B$19*$B$22,0)</f>
        <v/>
      </c>
      <c r="Z41" s="25">
        <f>ROUND($B$5*$B$9*$B$11*$B$16*$B$18*$B$20*$B$21,0)</f>
        <v/>
      </c>
      <c r="AA41" s="25">
        <f>ROUND($B$5*$B$9*$B$11*$B$16*$B$18*$B$20*$B$22,0)</f>
        <v/>
      </c>
    </row>
    <row r="42" ht="20.1" customHeight="1" s="62">
      <c r="A42" s="81" t="n"/>
      <c r="B42" s="58" t="n"/>
      <c r="C42" s="73" t="inlineStr">
        <is>
          <t>Processus modérés</t>
        </is>
      </c>
      <c r="D42" s="25">
        <f>ROUND($B$5*$B$9*$B$12*$B$14*$B$17*$B$19*$B$21,0)</f>
        <v/>
      </c>
      <c r="E42" s="25">
        <f>ROUND($B$5*$B$9*$B$12*$B$14*$B$17*$B$19*$B$22,0)</f>
        <v/>
      </c>
      <c r="F42" s="25">
        <f>ROUND($B$5*$B$9*$B$12*$B$14*$B$17*$B$20*$B$21,0)</f>
        <v/>
      </c>
      <c r="G42" s="25">
        <f>ROUND($B$5*$B$9*$B$12*$B$14*$B$17*$B$20*$B$22,0)</f>
        <v/>
      </c>
      <c r="H42" s="25">
        <f>ROUND($B$5*$B$9*$B$12*$B$14*$B$18*$B$19*$B$21,0)</f>
        <v/>
      </c>
      <c r="I42" s="25">
        <f>ROUND($B$5*$B$9*$B$12*$B$14*$B$18*$B$19*$B$22,0)</f>
        <v/>
      </c>
      <c r="J42" s="25">
        <f>ROUND($B$5*$B$9*$B$12*$B$14*$B$18*$B$20*$B$21,0)</f>
        <v/>
      </c>
      <c r="K42" s="25">
        <f>ROUND($B$5*$B$9*$B$12*$B$14*$B$18*$B$20*$B$22,0)</f>
        <v/>
      </c>
      <c r="L42" s="25">
        <f>ROUND($B$5*$B$9*$B$12*$B$15*$B$17*$B$19*$B$21,0)</f>
        <v/>
      </c>
      <c r="M42" s="25">
        <f>ROUND($B$5*$B$9*$B$12*$B$15*$B$17*$B$19*$B$22,0)</f>
        <v/>
      </c>
      <c r="N42" s="25">
        <f>ROUND($B$5*$B$9*$B$12*$B$15*$B$17*$B$20*$B$21,0)</f>
        <v/>
      </c>
      <c r="O42" s="25">
        <f>ROUND($B$5*$B$9*$B$12*$B$15*$B$17*$B$20*$B$22,0)</f>
        <v/>
      </c>
      <c r="P42" s="25">
        <f>ROUND($B$5*$B$9*$B$12*$B$15*$B$18*$B$19*$B$21,0)</f>
        <v/>
      </c>
      <c r="Q42" s="25">
        <f>ROUND($B$5*$B$9*$B$12*$B$15*$B$18*$B$19*$B$22,0)</f>
        <v/>
      </c>
      <c r="R42" s="25">
        <f>ROUND($B$5*$B$9*$B$12*$B$15*$B$18*$B$20*$B$21,0)</f>
        <v/>
      </c>
      <c r="S42" s="25">
        <f>ROUND($B$5*$B$9*$B$12*$B$15*$B$18*$B$20*$B$22,0)</f>
        <v/>
      </c>
      <c r="T42" s="25">
        <f>ROUND($B$5*$B$9*$B$12*$B$16*$B$17*$B$19*$B$21,0)</f>
        <v/>
      </c>
      <c r="U42" s="25">
        <f>ROUND($B$5*$B$9*$B$12*$B$16*$B$17*$B$19*$B$22,0)</f>
        <v/>
      </c>
      <c r="V42" s="25">
        <f>ROUND($B$5*$B$9*$B$12*$B$16*$B$17*$B$20*$B$21,0)</f>
        <v/>
      </c>
      <c r="W42" s="25">
        <f>ROUND($B$5*$B$9*$B$12*$B$16*$B$17*$B$20*$B$22,0)</f>
        <v/>
      </c>
      <c r="X42" s="25">
        <f>ROUND($B$5*$B$9*$B$12*$B$16*$B$18*$B$19*$B$21,0)</f>
        <v/>
      </c>
      <c r="Y42" s="25">
        <f>ROUND($B$5*$B$9*$B$12*$B$16*$B$18*$B$19*$B$22,0)</f>
        <v/>
      </c>
      <c r="Z42" s="25">
        <f>ROUND($B$5*$B$9*$B$12*$B$16*$B$18*$B$20*$B$21,0)</f>
        <v/>
      </c>
      <c r="AA42" s="25">
        <f>ROUND($B$5*$B$9*$B$12*$B$16*$B$18*$B$20*$B$22,0)</f>
        <v/>
      </c>
    </row>
    <row r="43" ht="20.1" customHeight="1" s="62">
      <c r="A43" s="81" t="n"/>
      <c r="B43" s="59" t="n"/>
      <c r="C43" s="26" t="inlineStr">
        <is>
          <t>Processus complexes multi-métiers</t>
        </is>
      </c>
      <c r="D43" s="25">
        <f>ROUND($B$5*$B$9*$B$13*$B$14*$B$17*$B$19*$B$21,0)</f>
        <v/>
      </c>
      <c r="E43" s="25">
        <f>ROUND($B$5*$B$9*$B$13*$B$14*$B$17*$B$19*$B$22,0)</f>
        <v/>
      </c>
      <c r="F43" s="25">
        <f>ROUND($B$5*$B$9*$B$13*$B$14*$B$17*$B$20*$B$21,0)</f>
        <v/>
      </c>
      <c r="G43" s="25">
        <f>ROUND($B$5*$B$9*$B$13*$B$14*$B$17*$B$20*$B$22,0)</f>
        <v/>
      </c>
      <c r="H43" s="25">
        <f>ROUND($B$5*$B$9*$B$13*$B$14*$B$18*$B$19*$B$21,0)</f>
        <v/>
      </c>
      <c r="I43" s="25">
        <f>ROUND($B$5*$B$9*$B$13*$B$14*$B$18*$B$19*$B$22,0)</f>
        <v/>
      </c>
      <c r="J43" s="25">
        <f>ROUND($B$5*$B$9*$B$13*$B$14*$B$18*$B$20*$B$21,0)</f>
        <v/>
      </c>
      <c r="K43" s="25">
        <f>ROUND($B$5*$B$9*$B$13*$B$14*$B$18*$B$20*$B$22,0)</f>
        <v/>
      </c>
      <c r="L43" s="25">
        <f>ROUND($B$5*$B$9*$B$13*$B$15*$B$17*$B$19*$B$21,0)</f>
        <v/>
      </c>
      <c r="M43" s="25">
        <f>ROUND($B$5*$B$9*$B$13*$B$15*$B$17*$B$19*$B$22,0)</f>
        <v/>
      </c>
      <c r="N43" s="25">
        <f>ROUND($B$5*$B$9*$B$13*$B$15*$B$17*$B$20*$B$21,0)</f>
        <v/>
      </c>
      <c r="O43" s="25">
        <f>ROUND($B$5*$B$9*$B$13*$B$15*$B$17*$B$20*$B$22,0)</f>
        <v/>
      </c>
      <c r="P43" s="25">
        <f>ROUND($B$5*$B$9*$B$13*$B$15*$B$18*$B$19*$B$21,0)</f>
        <v/>
      </c>
      <c r="Q43" s="25">
        <f>ROUND($B$5*$B$9*$B$13*$B$15*$B$18*$B$19*$B$22,0)</f>
        <v/>
      </c>
      <c r="R43" s="25">
        <f>ROUND($B$5*$B$9*$B$13*$B$15*$B$18*$B$20*$B$21,0)</f>
        <v/>
      </c>
      <c r="S43" s="25">
        <f>ROUND($B$5*$B$9*$B$13*$B$15*$B$18*$B$20*$B$22,0)</f>
        <v/>
      </c>
      <c r="T43" s="25">
        <f>ROUND($B$5*$B$9*$B$13*$B$16*$B$17*$B$19*$B$21,0)</f>
        <v/>
      </c>
      <c r="U43" s="25">
        <f>ROUND($B$5*$B$9*$B$13*$B$16*$B$17*$B$19*$B$22,0)</f>
        <v/>
      </c>
      <c r="V43" s="25">
        <f>ROUND($B$5*$B$9*$B$13*$B$16*$B$17*$B$20*$B$21,0)</f>
        <v/>
      </c>
      <c r="W43" s="25">
        <f>ROUND($B$5*$B$9*$B$13*$B$16*$B$17*$B$20*$B$22,0)</f>
        <v/>
      </c>
      <c r="X43" s="25">
        <f>ROUND($B$5*$B$9*$B$13*$B$16*$B$18*$B$19*$B$21,0)</f>
        <v/>
      </c>
      <c r="Y43" s="25">
        <f>ROUND($B$5*$B$9*$B$13*$B$16*$B$18*$B$19*$B$22,0)</f>
        <v/>
      </c>
      <c r="Z43" s="25">
        <f>ROUND($B$5*$B$9*$B$13*$B$16*$B$18*$B$20*$B$21,0)</f>
        <v/>
      </c>
      <c r="AA43" s="25">
        <f>ROUND($B$5*$B$9*$B$13*$B$16*$B$18*$B$20*$B$22,0)</f>
        <v/>
      </c>
    </row>
    <row r="44" ht="20.1" customHeight="1" s="62">
      <c r="A44" s="81" t="n"/>
      <c r="B44" s="73" t="inlineStr">
        <is>
          <t>8+ modules</t>
        </is>
      </c>
      <c r="C44" s="24" t="inlineStr">
        <is>
          <t>Processus simples</t>
        </is>
      </c>
      <c r="D44" s="25">
        <f>ROUND($B$5*$B$10*$B$11*$B$14*$B$17*$B$19*$B$21,0)</f>
        <v/>
      </c>
      <c r="E44" s="25">
        <f>ROUND($B$5*$B$10*$B$11*$B$14*$B$17*$B$19*$B$22,0)</f>
        <v/>
      </c>
      <c r="F44" s="25">
        <f>ROUND($B$5*$B$10*$B$11*$B$14*$B$17*$B$20*$B$21,0)</f>
        <v/>
      </c>
      <c r="G44" s="25">
        <f>ROUND($B$5*$B$10*$B$11*$B$14*$B$17*$B$20*$B$22,0)</f>
        <v/>
      </c>
      <c r="H44" s="25">
        <f>ROUND($B$5*$B$10*$B$11*$B$14*$B$18*$B$19*$B$21,0)</f>
        <v/>
      </c>
      <c r="I44" s="25">
        <f>ROUND($B$5*$B$10*$B$11*$B$14*$B$18*$B$19*$B$22,0)</f>
        <v/>
      </c>
      <c r="J44" s="25">
        <f>ROUND($B$5*$B$10*$B$11*$B$14*$B$18*$B$20*$B$21,0)</f>
        <v/>
      </c>
      <c r="K44" s="25">
        <f>ROUND($B$5*$B$10*$B$11*$B$14*$B$18*$B$20*$B$22,0)</f>
        <v/>
      </c>
      <c r="L44" s="25">
        <f>ROUND($B$5*$B$10*$B$11*$B$15*$B$17*$B$19*$B$21,0)</f>
        <v/>
      </c>
      <c r="M44" s="25">
        <f>ROUND($B$5*$B$10*$B$11*$B$15*$B$17*$B$19*$B$22,0)</f>
        <v/>
      </c>
      <c r="N44" s="25">
        <f>ROUND($B$5*$B$10*$B$11*$B$15*$B$17*$B$20*$B$21,0)</f>
        <v/>
      </c>
      <c r="O44" s="25">
        <f>ROUND($B$5*$B$10*$B$11*$B$15*$B$17*$B$20*$B$22,0)</f>
        <v/>
      </c>
      <c r="P44" s="25">
        <f>ROUND($B$5*$B$10*$B$11*$B$15*$B$18*$B$19*$B$21,0)</f>
        <v/>
      </c>
      <c r="Q44" s="25">
        <f>ROUND($B$5*$B$10*$B$11*$B$15*$B$18*$B$19*$B$22,0)</f>
        <v/>
      </c>
      <c r="R44" s="25">
        <f>ROUND($B$5*$B$10*$B$11*$B$15*$B$18*$B$20*$B$21,0)</f>
        <v/>
      </c>
      <c r="S44" s="25">
        <f>ROUND($B$5*$B$10*$B$11*$B$15*$B$18*$B$20*$B$22,0)</f>
        <v/>
      </c>
      <c r="T44" s="25">
        <f>ROUND($B$5*$B$10*$B$11*$B$16*$B$17*$B$19*$B$21,0)</f>
        <v/>
      </c>
      <c r="U44" s="25">
        <f>ROUND($B$5*$B$10*$B$11*$B$16*$B$17*$B$19*$B$22,0)</f>
        <v/>
      </c>
      <c r="V44" s="25">
        <f>ROUND($B$5*$B$10*$B$11*$B$16*$B$17*$B$20*$B$21,0)</f>
        <v/>
      </c>
      <c r="W44" s="25">
        <f>ROUND($B$5*$B$10*$B$11*$B$16*$B$17*$B$20*$B$22,0)</f>
        <v/>
      </c>
      <c r="X44" s="25">
        <f>ROUND($B$5*$B$10*$B$11*$B$16*$B$18*$B$19*$B$21,0)</f>
        <v/>
      </c>
      <c r="Y44" s="25">
        <f>ROUND($B$5*$B$10*$B$11*$B$16*$B$18*$B$19*$B$22,0)</f>
        <v/>
      </c>
      <c r="Z44" s="25">
        <f>ROUND($B$5*$B$10*$B$11*$B$16*$B$18*$B$20*$B$21,0)</f>
        <v/>
      </c>
      <c r="AA44" s="25">
        <f>ROUND($B$5*$B$10*$B$11*$B$16*$B$18*$B$20*$B$22,0)</f>
        <v/>
      </c>
    </row>
    <row r="45" ht="20.1" customHeight="1" s="62">
      <c r="A45" s="81" t="n"/>
      <c r="B45" s="58" t="n"/>
      <c r="C45" s="73" t="inlineStr">
        <is>
          <t>Processus modérés</t>
        </is>
      </c>
      <c r="D45" s="25">
        <f>ROUND($B$5*$B$10*$B$12*$B$14*$B$17*$B$19*$B$21,0)</f>
        <v/>
      </c>
      <c r="E45" s="25">
        <f>ROUND($B$5*$B$10*$B$12*$B$14*$B$17*$B$19*$B$22,0)</f>
        <v/>
      </c>
      <c r="F45" s="25">
        <f>ROUND($B$5*$B$10*$B$12*$B$14*$B$17*$B$20*$B$21,0)</f>
        <v/>
      </c>
      <c r="G45" s="25">
        <f>ROUND($B$5*$B$10*$B$12*$B$14*$B$17*$B$20*$B$22,0)</f>
        <v/>
      </c>
      <c r="H45" s="25">
        <f>ROUND($B$5*$B$10*$B$12*$B$14*$B$18*$B$19*$B$21,0)</f>
        <v/>
      </c>
      <c r="I45" s="25">
        <f>ROUND($B$5*$B$10*$B$12*$B$14*$B$18*$B$19*$B$22,0)</f>
        <v/>
      </c>
      <c r="J45" s="25">
        <f>ROUND($B$5*$B$10*$B$12*$B$14*$B$18*$B$20*$B$21,0)</f>
        <v/>
      </c>
      <c r="K45" s="25">
        <f>ROUND($B$5*$B$10*$B$12*$B$14*$B$18*$B$20*$B$22,0)</f>
        <v/>
      </c>
      <c r="L45" s="25">
        <f>ROUND($B$5*$B$10*$B$12*$B$15*$B$17*$B$19*$B$21,0)</f>
        <v/>
      </c>
      <c r="M45" s="25">
        <f>ROUND($B$5*$B$10*$B$12*$B$15*$B$17*$B$19*$B$22,0)</f>
        <v/>
      </c>
      <c r="N45" s="25">
        <f>ROUND($B$5*$B$10*$B$12*$B$15*$B$17*$B$20*$B$21,0)</f>
        <v/>
      </c>
      <c r="O45" s="25">
        <f>ROUND($B$5*$B$10*$B$12*$B$15*$B$17*$B$20*$B$22,0)</f>
        <v/>
      </c>
      <c r="P45" s="25">
        <f>ROUND($B$5*$B$10*$B$12*$B$15*$B$18*$B$19*$B$21,0)</f>
        <v/>
      </c>
      <c r="Q45" s="25">
        <f>ROUND($B$5*$B$10*$B$12*$B$15*$B$18*$B$19*$B$22,0)</f>
        <v/>
      </c>
      <c r="R45" s="25">
        <f>ROUND($B$5*$B$10*$B$12*$B$15*$B$18*$B$20*$B$21,0)</f>
        <v/>
      </c>
      <c r="S45" s="25">
        <f>ROUND($B$5*$B$10*$B$12*$B$15*$B$18*$B$20*$B$22,0)</f>
        <v/>
      </c>
      <c r="T45" s="25">
        <f>ROUND($B$5*$B$10*$B$12*$B$16*$B$17*$B$19*$B$21,0)</f>
        <v/>
      </c>
      <c r="U45" s="25">
        <f>ROUND($B$5*$B$10*$B$12*$B$16*$B$17*$B$19*$B$22,0)</f>
        <v/>
      </c>
      <c r="V45" s="25">
        <f>ROUND($B$5*$B$10*$B$12*$B$16*$B$17*$B$20*$B$21,0)</f>
        <v/>
      </c>
      <c r="W45" s="25">
        <f>ROUND($B$5*$B$10*$B$12*$B$16*$B$17*$B$20*$B$22,0)</f>
        <v/>
      </c>
      <c r="X45" s="25">
        <f>ROUND($B$5*$B$10*$B$12*$B$16*$B$18*$B$19*$B$21,0)</f>
        <v/>
      </c>
      <c r="Y45" s="25">
        <f>ROUND($B$5*$B$10*$B$12*$B$16*$B$18*$B$19*$B$22,0)</f>
        <v/>
      </c>
      <c r="Z45" s="25">
        <f>ROUND($B$5*$B$10*$B$12*$B$16*$B$18*$B$20*$B$21,0)</f>
        <v/>
      </c>
      <c r="AA45" s="25">
        <f>ROUND($B$5*$B$10*$B$12*$B$16*$B$18*$B$20*$B$22,0)</f>
        <v/>
      </c>
    </row>
    <row r="46" ht="20.1" customHeight="1" s="62">
      <c r="A46" s="82" t="n"/>
      <c r="B46" s="59" t="n"/>
      <c r="C46" s="26" t="inlineStr">
        <is>
          <t>Processus complexes multi-métiers</t>
        </is>
      </c>
      <c r="D46" s="25">
        <f>ROUND($B$5*$B$10*$B$13*$B$14*$B$17*$B$19*$B$21,0)</f>
        <v/>
      </c>
      <c r="E46" s="25">
        <f>ROUND($B$5*$B$10*$B$13*$B$14*$B$17*$B$19*$B$22,0)</f>
        <v/>
      </c>
      <c r="F46" s="25">
        <f>ROUND($B$5*$B$10*$B$13*$B$14*$B$17*$B$20*$B$21,0)</f>
        <v/>
      </c>
      <c r="G46" s="25">
        <f>ROUND($B$5*$B$10*$B$13*$B$14*$B$17*$B$20*$B$22,0)</f>
        <v/>
      </c>
      <c r="H46" s="25">
        <f>ROUND($B$5*$B$10*$B$13*$B$14*$B$18*$B$19*$B$21,0)</f>
        <v/>
      </c>
      <c r="I46" s="25">
        <f>ROUND($B$5*$B$10*$B$13*$B$14*$B$18*$B$19*$B$22,0)</f>
        <v/>
      </c>
      <c r="J46" s="25">
        <f>ROUND($B$5*$B$10*$B$13*$B$14*$B$18*$B$20*$B$21,0)</f>
        <v/>
      </c>
      <c r="K46" s="25">
        <f>ROUND($B$5*$B$10*$B$13*$B$14*$B$18*$B$20*$B$22,0)</f>
        <v/>
      </c>
      <c r="L46" s="25">
        <f>ROUND($B$5*$B$10*$B$13*$B$15*$B$17*$B$19*$B$21,0)</f>
        <v/>
      </c>
      <c r="M46" s="25">
        <f>ROUND($B$5*$B$10*$B$13*$B$15*$B$17*$B$19*$B$22,0)</f>
        <v/>
      </c>
      <c r="N46" s="25">
        <f>ROUND($B$5*$B$10*$B$13*$B$15*$B$17*$B$20*$B$21,0)</f>
        <v/>
      </c>
      <c r="O46" s="25">
        <f>ROUND($B$5*$B$10*$B$13*$B$15*$B$17*$B$20*$B$22,0)</f>
        <v/>
      </c>
      <c r="P46" s="25">
        <f>ROUND($B$5*$B$10*$B$13*$B$15*$B$18*$B$19*$B$21,0)</f>
        <v/>
      </c>
      <c r="Q46" s="25">
        <f>ROUND($B$5*$B$10*$B$13*$B$15*$B$18*$B$19*$B$22,0)</f>
        <v/>
      </c>
      <c r="R46" s="25">
        <f>ROUND($B$5*$B$10*$B$13*$B$15*$B$18*$B$20*$B$21,0)</f>
        <v/>
      </c>
      <c r="S46" s="25">
        <f>ROUND($B$5*$B$10*$B$13*$B$15*$B$18*$B$20*$B$22,0)</f>
        <v/>
      </c>
      <c r="T46" s="25">
        <f>ROUND($B$5*$B$10*$B$13*$B$16*$B$17*$B$19*$B$21,0)</f>
        <v/>
      </c>
      <c r="U46" s="25">
        <f>ROUND($B$5*$B$10*$B$13*$B$16*$B$17*$B$19*$B$22,0)</f>
        <v/>
      </c>
      <c r="V46" s="25">
        <f>ROUND($B$5*$B$10*$B$13*$B$16*$B$17*$B$20*$B$21,0)</f>
        <v/>
      </c>
      <c r="W46" s="25">
        <f>ROUND($B$5*$B$10*$B$13*$B$16*$B$17*$B$20*$B$22,0)</f>
        <v/>
      </c>
      <c r="X46" s="25">
        <f>ROUND($B$5*$B$10*$B$13*$B$16*$B$18*$B$19*$B$21,0)</f>
        <v/>
      </c>
      <c r="Y46" s="25">
        <f>ROUND($B$5*$B$10*$B$13*$B$16*$B$18*$B$19*$B$22,0)</f>
        <v/>
      </c>
      <c r="Z46" s="25">
        <f>ROUND($B$5*$B$10*$B$13*$B$16*$B$18*$B$20*$B$21,0)</f>
        <v/>
      </c>
      <c r="AA46" s="25">
        <f>ROUND($B$5*$B$10*$B$13*$B$16*$B$18*$B$20*$B$22,0)</f>
        <v/>
      </c>
    </row>
    <row r="47" ht="20.1" customHeight="1" s="62">
      <c r="A47" s="80" t="inlineStr">
        <is>
          <t>ERP+CRM hybride</t>
        </is>
      </c>
      <c r="B47" s="73" t="inlineStr">
        <is>
          <t>1-3 modules</t>
        </is>
      </c>
      <c r="C47" s="24" t="inlineStr">
        <is>
          <t>Processus simples</t>
        </is>
      </c>
      <c r="D47" s="25">
        <f>ROUND($B$6*$B$8*$B$11*$B$14*$B$17*$B$19*$B$21,0)</f>
        <v/>
      </c>
      <c r="E47" s="25">
        <f>ROUND($B$6*$B$8*$B$11*$B$14*$B$17*$B$19*$B$22,0)</f>
        <v/>
      </c>
      <c r="F47" s="25">
        <f>ROUND($B$6*$B$8*$B$11*$B$14*$B$17*$B$20*$B$21,0)</f>
        <v/>
      </c>
      <c r="G47" s="25">
        <f>ROUND($B$6*$B$8*$B$11*$B$14*$B$17*$B$20*$B$22,0)</f>
        <v/>
      </c>
      <c r="H47" s="25">
        <f>ROUND($B$6*$B$8*$B$11*$B$14*$B$18*$B$19*$B$21,0)</f>
        <v/>
      </c>
      <c r="I47" s="25">
        <f>ROUND($B$6*$B$8*$B$11*$B$14*$B$18*$B$19*$B$22,0)</f>
        <v/>
      </c>
      <c r="J47" s="25">
        <f>ROUND($B$6*$B$8*$B$11*$B$14*$B$18*$B$20*$B$21,0)</f>
        <v/>
      </c>
      <c r="K47" s="25">
        <f>ROUND($B$6*$B$8*$B$11*$B$14*$B$18*$B$20*$B$22,0)</f>
        <v/>
      </c>
      <c r="L47" s="25">
        <f>ROUND($B$6*$B$8*$B$11*$B$15*$B$17*$B$19*$B$21,0)</f>
        <v/>
      </c>
      <c r="M47" s="25">
        <f>ROUND($B$6*$B$8*$B$11*$B$15*$B$17*$B$19*$B$22,0)</f>
        <v/>
      </c>
      <c r="N47" s="25">
        <f>ROUND($B$6*$B$8*$B$11*$B$15*$B$17*$B$20*$B$21,0)</f>
        <v/>
      </c>
      <c r="O47" s="25">
        <f>ROUND($B$6*$B$8*$B$11*$B$15*$B$17*$B$20*$B$22,0)</f>
        <v/>
      </c>
      <c r="P47" s="25">
        <f>ROUND($B$6*$B$8*$B$11*$B$15*$B$18*$B$19*$B$21,0)</f>
        <v/>
      </c>
      <c r="Q47" s="25">
        <f>ROUND($B$6*$B$8*$B$11*$B$15*$B$18*$B$19*$B$22,0)</f>
        <v/>
      </c>
      <c r="R47" s="25">
        <f>ROUND($B$6*$B$8*$B$11*$B$15*$B$18*$B$20*$B$21,0)</f>
        <v/>
      </c>
      <c r="S47" s="25">
        <f>ROUND($B$6*$B$8*$B$11*$B$15*$B$18*$B$20*$B$22,0)</f>
        <v/>
      </c>
      <c r="T47" s="25">
        <f>ROUND($B$6*$B$8*$B$11*$B$16*$B$17*$B$19*$B$21,0)</f>
        <v/>
      </c>
      <c r="U47" s="25">
        <f>ROUND($B$6*$B$8*$B$11*$B$16*$B$17*$B$19*$B$22,0)</f>
        <v/>
      </c>
      <c r="V47" s="25">
        <f>ROUND($B$6*$B$8*$B$11*$B$16*$B$17*$B$20*$B$21,0)</f>
        <v/>
      </c>
      <c r="W47" s="25">
        <f>ROUND($B$6*$B$8*$B$11*$B$16*$B$17*$B$20*$B$22,0)</f>
        <v/>
      </c>
      <c r="X47" s="25">
        <f>ROUND($B$6*$B$8*$B$11*$B$16*$B$18*$B$19*$B$21,0)</f>
        <v/>
      </c>
      <c r="Y47" s="25">
        <f>ROUND($B$6*$B$8*$B$11*$B$16*$B$18*$B$19*$B$22,0)</f>
        <v/>
      </c>
      <c r="Z47" s="25">
        <f>ROUND($B$6*$B$8*$B$11*$B$16*$B$18*$B$20*$B$21,0)</f>
        <v/>
      </c>
      <c r="AA47" s="25">
        <f>ROUND($B$6*$B$8*$B$11*$B$16*$B$18*$B$20*$B$22,0)</f>
        <v/>
      </c>
    </row>
    <row r="48" ht="20.1" customHeight="1" s="62">
      <c r="A48" s="81" t="n"/>
      <c r="B48" s="58" t="n"/>
      <c r="C48" s="73" t="inlineStr">
        <is>
          <t>Processus modérés</t>
        </is>
      </c>
      <c r="D48" s="25">
        <f>ROUND($B$6*$B$8*$B$12*$B$14*$B$17*$B$19*$B$21,0)</f>
        <v/>
      </c>
      <c r="E48" s="25">
        <f>ROUND($B$6*$B$8*$B$12*$B$14*$B$17*$B$19*$B$22,0)</f>
        <v/>
      </c>
      <c r="F48" s="25">
        <f>ROUND($B$6*$B$8*$B$12*$B$14*$B$17*$B$20*$B$21,0)</f>
        <v/>
      </c>
      <c r="G48" s="25">
        <f>ROUND($B$6*$B$8*$B$12*$B$14*$B$17*$B$20*$B$22,0)</f>
        <v/>
      </c>
      <c r="H48" s="25">
        <f>ROUND($B$6*$B$8*$B$12*$B$14*$B$18*$B$19*$B$21,0)</f>
        <v/>
      </c>
      <c r="I48" s="25">
        <f>ROUND($B$6*$B$8*$B$12*$B$14*$B$18*$B$19*$B$22,0)</f>
        <v/>
      </c>
      <c r="J48" s="25">
        <f>ROUND($B$6*$B$8*$B$12*$B$14*$B$18*$B$20*$B$21,0)</f>
        <v/>
      </c>
      <c r="K48" s="25">
        <f>ROUND($B$6*$B$8*$B$12*$B$14*$B$18*$B$20*$B$22,0)</f>
        <v/>
      </c>
      <c r="L48" s="25">
        <f>ROUND($B$6*$B$8*$B$12*$B$15*$B$17*$B$19*$B$21,0)</f>
        <v/>
      </c>
      <c r="M48" s="25">
        <f>ROUND($B$6*$B$8*$B$12*$B$15*$B$17*$B$19*$B$22,0)</f>
        <v/>
      </c>
      <c r="N48" s="25">
        <f>ROUND($B$6*$B$8*$B$12*$B$15*$B$17*$B$20*$B$21,0)</f>
        <v/>
      </c>
      <c r="O48" s="25">
        <f>ROUND($B$6*$B$8*$B$12*$B$15*$B$17*$B$20*$B$22,0)</f>
        <v/>
      </c>
      <c r="P48" s="25">
        <f>ROUND($B$6*$B$8*$B$12*$B$15*$B$18*$B$19*$B$21,0)</f>
        <v/>
      </c>
      <c r="Q48" s="25">
        <f>ROUND($B$6*$B$8*$B$12*$B$15*$B$18*$B$19*$B$22,0)</f>
        <v/>
      </c>
      <c r="R48" s="25">
        <f>ROUND($B$6*$B$8*$B$12*$B$15*$B$18*$B$20*$B$21,0)</f>
        <v/>
      </c>
      <c r="S48" s="25">
        <f>ROUND($B$6*$B$8*$B$12*$B$15*$B$18*$B$20*$B$22,0)</f>
        <v/>
      </c>
      <c r="T48" s="25">
        <f>ROUND($B$6*$B$8*$B$12*$B$16*$B$17*$B$19*$B$21,0)</f>
        <v/>
      </c>
      <c r="U48" s="25">
        <f>ROUND($B$6*$B$8*$B$12*$B$16*$B$17*$B$19*$B$22,0)</f>
        <v/>
      </c>
      <c r="V48" s="25">
        <f>ROUND($B$6*$B$8*$B$12*$B$16*$B$17*$B$20*$B$21,0)</f>
        <v/>
      </c>
      <c r="W48" s="25">
        <f>ROUND($B$6*$B$8*$B$12*$B$16*$B$17*$B$20*$B$22,0)</f>
        <v/>
      </c>
      <c r="X48" s="25">
        <f>ROUND($B$6*$B$8*$B$12*$B$16*$B$18*$B$19*$B$21,0)</f>
        <v/>
      </c>
      <c r="Y48" s="25">
        <f>ROUND($B$6*$B$8*$B$12*$B$16*$B$18*$B$19*$B$22,0)</f>
        <v/>
      </c>
      <c r="Z48" s="25">
        <f>ROUND($B$6*$B$8*$B$12*$B$16*$B$18*$B$20*$B$21,0)</f>
        <v/>
      </c>
      <c r="AA48" s="25">
        <f>ROUND($B$6*$B$8*$B$12*$B$16*$B$18*$B$20*$B$22,0)</f>
        <v/>
      </c>
    </row>
    <row r="49" ht="20.1" customHeight="1" s="62">
      <c r="A49" s="81" t="n"/>
      <c r="B49" s="59" t="n"/>
      <c r="C49" s="26" t="inlineStr">
        <is>
          <t>Processus complexes multi-métiers</t>
        </is>
      </c>
      <c r="D49" s="25">
        <f>ROUND($B$6*$B$8*$B$13*$B$14*$B$17*$B$19*$B$21,0)</f>
        <v/>
      </c>
      <c r="E49" s="25">
        <f>ROUND($B$6*$B$8*$B$13*$B$14*$B$17*$B$19*$B$22,0)</f>
        <v/>
      </c>
      <c r="F49" s="25">
        <f>ROUND($B$6*$B$8*$B$13*$B$14*$B$17*$B$20*$B$21,0)</f>
        <v/>
      </c>
      <c r="G49" s="25">
        <f>ROUND($B$6*$B$8*$B$13*$B$14*$B$17*$B$20*$B$22,0)</f>
        <v/>
      </c>
      <c r="H49" s="25">
        <f>ROUND($B$6*$B$8*$B$13*$B$14*$B$18*$B$19*$B$21,0)</f>
        <v/>
      </c>
      <c r="I49" s="25">
        <f>ROUND($B$6*$B$8*$B$13*$B$14*$B$18*$B$19*$B$22,0)</f>
        <v/>
      </c>
      <c r="J49" s="25">
        <f>ROUND($B$6*$B$8*$B$13*$B$14*$B$18*$B$20*$B$21,0)</f>
        <v/>
      </c>
      <c r="K49" s="25">
        <f>ROUND($B$6*$B$8*$B$13*$B$14*$B$18*$B$20*$B$22,0)</f>
        <v/>
      </c>
      <c r="L49" s="25">
        <f>ROUND($B$6*$B$8*$B$13*$B$15*$B$17*$B$19*$B$21,0)</f>
        <v/>
      </c>
      <c r="M49" s="25">
        <f>ROUND($B$6*$B$8*$B$13*$B$15*$B$17*$B$19*$B$22,0)</f>
        <v/>
      </c>
      <c r="N49" s="25">
        <f>ROUND($B$6*$B$8*$B$13*$B$15*$B$17*$B$20*$B$21,0)</f>
        <v/>
      </c>
      <c r="O49" s="25">
        <f>ROUND($B$6*$B$8*$B$13*$B$15*$B$17*$B$20*$B$22,0)</f>
        <v/>
      </c>
      <c r="P49" s="25">
        <f>ROUND($B$6*$B$8*$B$13*$B$15*$B$18*$B$19*$B$21,0)</f>
        <v/>
      </c>
      <c r="Q49" s="25">
        <f>ROUND($B$6*$B$8*$B$13*$B$15*$B$18*$B$19*$B$22,0)</f>
        <v/>
      </c>
      <c r="R49" s="25">
        <f>ROUND($B$6*$B$8*$B$13*$B$15*$B$18*$B$20*$B$21,0)</f>
        <v/>
      </c>
      <c r="S49" s="25">
        <f>ROUND($B$6*$B$8*$B$13*$B$15*$B$18*$B$20*$B$22,0)</f>
        <v/>
      </c>
      <c r="T49" s="25">
        <f>ROUND($B$6*$B$8*$B$13*$B$16*$B$17*$B$19*$B$21,0)</f>
        <v/>
      </c>
      <c r="U49" s="25">
        <f>ROUND($B$6*$B$8*$B$13*$B$16*$B$17*$B$19*$B$22,0)</f>
        <v/>
      </c>
      <c r="V49" s="25">
        <f>ROUND($B$6*$B$8*$B$13*$B$16*$B$17*$B$20*$B$21,0)</f>
        <v/>
      </c>
      <c r="W49" s="25">
        <f>ROUND($B$6*$B$8*$B$13*$B$16*$B$17*$B$20*$B$22,0)</f>
        <v/>
      </c>
      <c r="X49" s="25">
        <f>ROUND($B$6*$B$8*$B$13*$B$16*$B$18*$B$19*$B$21,0)</f>
        <v/>
      </c>
      <c r="Y49" s="25">
        <f>ROUND($B$6*$B$8*$B$13*$B$16*$B$18*$B$19*$B$22,0)</f>
        <v/>
      </c>
      <c r="Z49" s="25">
        <f>ROUND($B$6*$B$8*$B$13*$B$16*$B$18*$B$20*$B$21,0)</f>
        <v/>
      </c>
      <c r="AA49" s="25">
        <f>ROUND($B$6*$B$8*$B$13*$B$16*$B$18*$B$20*$B$22,0)</f>
        <v/>
      </c>
    </row>
    <row r="50" ht="20.1" customHeight="1" s="62">
      <c r="A50" s="81" t="n"/>
      <c r="B50" s="73" t="inlineStr">
        <is>
          <t>4-7 modules</t>
        </is>
      </c>
      <c r="C50" s="24" t="inlineStr">
        <is>
          <t>Processus simples</t>
        </is>
      </c>
      <c r="D50" s="25">
        <f>ROUND($B$6*$B$9*$B$11*$B$14*$B$17*$B$19*$B$21,0)</f>
        <v/>
      </c>
      <c r="E50" s="25">
        <f>ROUND($B$6*$B$9*$B$11*$B$14*$B$17*$B$19*$B$22,0)</f>
        <v/>
      </c>
      <c r="F50" s="25">
        <f>ROUND($B$6*$B$9*$B$11*$B$14*$B$17*$B$20*$B$21,0)</f>
        <v/>
      </c>
      <c r="G50" s="25">
        <f>ROUND($B$6*$B$9*$B$11*$B$14*$B$17*$B$20*$B$22,0)</f>
        <v/>
      </c>
      <c r="H50" s="25">
        <f>ROUND($B$6*$B$9*$B$11*$B$14*$B$18*$B$19*$B$21,0)</f>
        <v/>
      </c>
      <c r="I50" s="25">
        <f>ROUND($B$6*$B$9*$B$11*$B$14*$B$18*$B$19*$B$22,0)</f>
        <v/>
      </c>
      <c r="J50" s="25">
        <f>ROUND($B$6*$B$9*$B$11*$B$14*$B$18*$B$20*$B$21,0)</f>
        <v/>
      </c>
      <c r="K50" s="25">
        <f>ROUND($B$6*$B$9*$B$11*$B$14*$B$18*$B$20*$B$22,0)</f>
        <v/>
      </c>
      <c r="L50" s="25">
        <f>ROUND($B$6*$B$9*$B$11*$B$15*$B$17*$B$19*$B$21,0)</f>
        <v/>
      </c>
      <c r="M50" s="25">
        <f>ROUND($B$6*$B$9*$B$11*$B$15*$B$17*$B$19*$B$22,0)</f>
        <v/>
      </c>
      <c r="N50" s="25">
        <f>ROUND($B$6*$B$9*$B$11*$B$15*$B$17*$B$20*$B$21,0)</f>
        <v/>
      </c>
      <c r="O50" s="25">
        <f>ROUND($B$6*$B$9*$B$11*$B$15*$B$17*$B$20*$B$22,0)</f>
        <v/>
      </c>
      <c r="P50" s="25">
        <f>ROUND($B$6*$B$9*$B$11*$B$15*$B$18*$B$19*$B$21,0)</f>
        <v/>
      </c>
      <c r="Q50" s="25">
        <f>ROUND($B$6*$B$9*$B$11*$B$15*$B$18*$B$19*$B$22,0)</f>
        <v/>
      </c>
      <c r="R50" s="25">
        <f>ROUND($B$6*$B$9*$B$11*$B$15*$B$18*$B$20*$B$21,0)</f>
        <v/>
      </c>
      <c r="S50" s="25">
        <f>ROUND($B$6*$B$9*$B$11*$B$15*$B$18*$B$20*$B$22,0)</f>
        <v/>
      </c>
      <c r="T50" s="25">
        <f>ROUND($B$6*$B$9*$B$11*$B$16*$B$17*$B$19*$B$21,0)</f>
        <v/>
      </c>
      <c r="U50" s="25">
        <f>ROUND($B$6*$B$9*$B$11*$B$16*$B$17*$B$19*$B$22,0)</f>
        <v/>
      </c>
      <c r="V50" s="25">
        <f>ROUND($B$6*$B$9*$B$11*$B$16*$B$17*$B$20*$B$21,0)</f>
        <v/>
      </c>
      <c r="W50" s="25">
        <f>ROUND($B$6*$B$9*$B$11*$B$16*$B$17*$B$20*$B$22,0)</f>
        <v/>
      </c>
      <c r="X50" s="25">
        <f>ROUND($B$6*$B$9*$B$11*$B$16*$B$18*$B$19*$B$21,0)</f>
        <v/>
      </c>
      <c r="Y50" s="25">
        <f>ROUND($B$6*$B$9*$B$11*$B$16*$B$18*$B$19*$B$22,0)</f>
        <v/>
      </c>
      <c r="Z50" s="25">
        <f>ROUND($B$6*$B$9*$B$11*$B$16*$B$18*$B$20*$B$21,0)</f>
        <v/>
      </c>
      <c r="AA50" s="25">
        <f>ROUND($B$6*$B$9*$B$11*$B$16*$B$18*$B$20*$B$22,0)</f>
        <v/>
      </c>
    </row>
    <row r="51" ht="20.1" customHeight="1" s="62">
      <c r="A51" s="81" t="n"/>
      <c r="B51" s="58" t="n"/>
      <c r="C51" s="73" t="inlineStr">
        <is>
          <t>Processus modérés</t>
        </is>
      </c>
      <c r="D51" s="25">
        <f>ROUND($B$6*$B$9*$B$12*$B$14*$B$17*$B$19*$B$21,0)</f>
        <v/>
      </c>
      <c r="E51" s="25">
        <f>ROUND($B$6*$B$9*$B$12*$B$14*$B$17*$B$19*$B$22,0)</f>
        <v/>
      </c>
      <c r="F51" s="25">
        <f>ROUND($B$6*$B$9*$B$12*$B$14*$B$17*$B$20*$B$21,0)</f>
        <v/>
      </c>
      <c r="G51" s="25">
        <f>ROUND($B$6*$B$9*$B$12*$B$14*$B$17*$B$20*$B$22,0)</f>
        <v/>
      </c>
      <c r="H51" s="25">
        <f>ROUND($B$6*$B$9*$B$12*$B$14*$B$18*$B$19*$B$21,0)</f>
        <v/>
      </c>
      <c r="I51" s="25">
        <f>ROUND($B$6*$B$9*$B$12*$B$14*$B$18*$B$19*$B$22,0)</f>
        <v/>
      </c>
      <c r="J51" s="25">
        <f>ROUND($B$6*$B$9*$B$12*$B$14*$B$18*$B$20*$B$21,0)</f>
        <v/>
      </c>
      <c r="K51" s="25">
        <f>ROUND($B$6*$B$9*$B$12*$B$14*$B$18*$B$20*$B$22,0)</f>
        <v/>
      </c>
      <c r="L51" s="25">
        <f>ROUND($B$6*$B$9*$B$12*$B$15*$B$17*$B$19*$B$21,0)</f>
        <v/>
      </c>
      <c r="M51" s="25">
        <f>ROUND($B$6*$B$9*$B$12*$B$15*$B$17*$B$19*$B$22,0)</f>
        <v/>
      </c>
      <c r="N51" s="25">
        <f>ROUND($B$6*$B$9*$B$12*$B$15*$B$17*$B$20*$B$21,0)</f>
        <v/>
      </c>
      <c r="O51" s="25">
        <f>ROUND($B$6*$B$9*$B$12*$B$15*$B$17*$B$20*$B$22,0)</f>
        <v/>
      </c>
      <c r="P51" s="25">
        <f>ROUND($B$6*$B$9*$B$12*$B$15*$B$18*$B$19*$B$21,0)</f>
        <v/>
      </c>
      <c r="Q51" s="25">
        <f>ROUND($B$6*$B$9*$B$12*$B$15*$B$18*$B$19*$B$22,0)</f>
        <v/>
      </c>
      <c r="R51" s="25">
        <f>ROUND($B$6*$B$9*$B$12*$B$15*$B$18*$B$20*$B$21,0)</f>
        <v/>
      </c>
      <c r="S51" s="25">
        <f>ROUND($B$6*$B$9*$B$12*$B$15*$B$18*$B$20*$B$22,0)</f>
        <v/>
      </c>
      <c r="T51" s="25">
        <f>ROUND($B$6*$B$9*$B$12*$B$16*$B$17*$B$19*$B$21,0)</f>
        <v/>
      </c>
      <c r="U51" s="25">
        <f>ROUND($B$6*$B$9*$B$12*$B$16*$B$17*$B$19*$B$22,0)</f>
        <v/>
      </c>
      <c r="V51" s="25">
        <f>ROUND($B$6*$B$9*$B$12*$B$16*$B$17*$B$20*$B$21,0)</f>
        <v/>
      </c>
      <c r="W51" s="25">
        <f>ROUND($B$6*$B$9*$B$12*$B$16*$B$17*$B$20*$B$22,0)</f>
        <v/>
      </c>
      <c r="X51" s="25">
        <f>ROUND($B$6*$B$9*$B$12*$B$16*$B$18*$B$19*$B$21,0)</f>
        <v/>
      </c>
      <c r="Y51" s="25">
        <f>ROUND($B$6*$B$9*$B$12*$B$16*$B$18*$B$19*$B$22,0)</f>
        <v/>
      </c>
      <c r="Z51" s="25">
        <f>ROUND($B$6*$B$9*$B$12*$B$16*$B$18*$B$20*$B$21,0)</f>
        <v/>
      </c>
      <c r="AA51" s="25">
        <f>ROUND($B$6*$B$9*$B$12*$B$16*$B$18*$B$20*$B$22,0)</f>
        <v/>
      </c>
    </row>
    <row r="52" ht="20.1" customHeight="1" s="62">
      <c r="A52" s="81" t="n"/>
      <c r="B52" s="59" t="n"/>
      <c r="C52" s="26" t="inlineStr">
        <is>
          <t>Processus complexes multi-métiers</t>
        </is>
      </c>
      <c r="D52" s="25">
        <f>ROUND($B$6*$B$9*$B$13*$B$14*$B$17*$B$19*$B$21,0)</f>
        <v/>
      </c>
      <c r="E52" s="25">
        <f>ROUND($B$6*$B$9*$B$13*$B$14*$B$17*$B$19*$B$22,0)</f>
        <v/>
      </c>
      <c r="F52" s="25">
        <f>ROUND($B$6*$B$9*$B$13*$B$14*$B$17*$B$20*$B$21,0)</f>
        <v/>
      </c>
      <c r="G52" s="25">
        <f>ROUND($B$6*$B$9*$B$13*$B$14*$B$17*$B$20*$B$22,0)</f>
        <v/>
      </c>
      <c r="H52" s="25">
        <f>ROUND($B$6*$B$9*$B$13*$B$14*$B$18*$B$19*$B$21,0)</f>
        <v/>
      </c>
      <c r="I52" s="25">
        <f>ROUND($B$6*$B$9*$B$13*$B$14*$B$18*$B$19*$B$22,0)</f>
        <v/>
      </c>
      <c r="J52" s="25">
        <f>ROUND($B$6*$B$9*$B$13*$B$14*$B$18*$B$20*$B$21,0)</f>
        <v/>
      </c>
      <c r="K52" s="25">
        <f>ROUND($B$6*$B$9*$B$13*$B$14*$B$18*$B$20*$B$22,0)</f>
        <v/>
      </c>
      <c r="L52" s="25">
        <f>ROUND($B$6*$B$9*$B$13*$B$15*$B$17*$B$19*$B$21,0)</f>
        <v/>
      </c>
      <c r="M52" s="25">
        <f>ROUND($B$6*$B$9*$B$13*$B$15*$B$17*$B$19*$B$22,0)</f>
        <v/>
      </c>
      <c r="N52" s="25">
        <f>ROUND($B$6*$B$9*$B$13*$B$15*$B$17*$B$20*$B$21,0)</f>
        <v/>
      </c>
      <c r="O52" s="25">
        <f>ROUND($B$6*$B$9*$B$13*$B$15*$B$17*$B$20*$B$22,0)</f>
        <v/>
      </c>
      <c r="P52" s="25">
        <f>ROUND($B$6*$B$9*$B$13*$B$15*$B$18*$B$19*$B$21,0)</f>
        <v/>
      </c>
      <c r="Q52" s="25">
        <f>ROUND($B$6*$B$9*$B$13*$B$15*$B$18*$B$19*$B$22,0)</f>
        <v/>
      </c>
      <c r="R52" s="25">
        <f>ROUND($B$6*$B$9*$B$13*$B$15*$B$18*$B$20*$B$21,0)</f>
        <v/>
      </c>
      <c r="S52" s="25">
        <f>ROUND($B$6*$B$9*$B$13*$B$15*$B$18*$B$20*$B$22,0)</f>
        <v/>
      </c>
      <c r="T52" s="25">
        <f>ROUND($B$6*$B$9*$B$13*$B$16*$B$17*$B$19*$B$21,0)</f>
        <v/>
      </c>
      <c r="U52" s="25">
        <f>ROUND($B$6*$B$9*$B$13*$B$16*$B$17*$B$19*$B$22,0)</f>
        <v/>
      </c>
      <c r="V52" s="25">
        <f>ROUND($B$6*$B$9*$B$13*$B$16*$B$17*$B$20*$B$21,0)</f>
        <v/>
      </c>
      <c r="W52" s="25">
        <f>ROUND($B$6*$B$9*$B$13*$B$16*$B$17*$B$20*$B$22,0)</f>
        <v/>
      </c>
      <c r="X52" s="25">
        <f>ROUND($B$6*$B$9*$B$13*$B$16*$B$18*$B$19*$B$21,0)</f>
        <v/>
      </c>
      <c r="Y52" s="25">
        <f>ROUND($B$6*$B$9*$B$13*$B$16*$B$18*$B$19*$B$22,0)</f>
        <v/>
      </c>
      <c r="Z52" s="25">
        <f>ROUND($B$6*$B$9*$B$13*$B$16*$B$18*$B$20*$B$21,0)</f>
        <v/>
      </c>
      <c r="AA52" s="25">
        <f>ROUND($B$6*$B$9*$B$13*$B$16*$B$18*$B$20*$B$22,0)</f>
        <v/>
      </c>
    </row>
    <row r="53" ht="20.1" customHeight="1" s="62">
      <c r="A53" s="81" t="n"/>
      <c r="B53" s="73" t="inlineStr">
        <is>
          <t>8+ modules</t>
        </is>
      </c>
      <c r="C53" s="24" t="inlineStr">
        <is>
          <t>Processus simples</t>
        </is>
      </c>
      <c r="D53" s="25">
        <f>ROUND($B$6*$B$10*$B$11*$B$14*$B$17*$B$19*$B$21,0)</f>
        <v/>
      </c>
      <c r="E53" s="25">
        <f>ROUND($B$6*$B$10*$B$11*$B$14*$B$17*$B$19*$B$22,0)</f>
        <v/>
      </c>
      <c r="F53" s="25">
        <f>ROUND($B$6*$B$10*$B$11*$B$14*$B$17*$B$20*$B$21,0)</f>
        <v/>
      </c>
      <c r="G53" s="25">
        <f>ROUND($B$6*$B$10*$B$11*$B$14*$B$17*$B$20*$B$22,0)</f>
        <v/>
      </c>
      <c r="H53" s="25">
        <f>ROUND($B$6*$B$10*$B$11*$B$14*$B$18*$B$19*$B$21,0)</f>
        <v/>
      </c>
      <c r="I53" s="25">
        <f>ROUND($B$6*$B$10*$B$11*$B$14*$B$18*$B$19*$B$22,0)</f>
        <v/>
      </c>
      <c r="J53" s="25">
        <f>ROUND($B$6*$B$10*$B$11*$B$14*$B$18*$B$20*$B$21,0)</f>
        <v/>
      </c>
      <c r="K53" s="25">
        <f>ROUND($B$6*$B$10*$B$11*$B$14*$B$18*$B$20*$B$22,0)</f>
        <v/>
      </c>
      <c r="L53" s="25">
        <f>ROUND($B$6*$B$10*$B$11*$B$15*$B$17*$B$19*$B$21,0)</f>
        <v/>
      </c>
      <c r="M53" s="25">
        <f>ROUND($B$6*$B$10*$B$11*$B$15*$B$17*$B$19*$B$22,0)</f>
        <v/>
      </c>
      <c r="N53" s="25">
        <f>ROUND($B$6*$B$10*$B$11*$B$15*$B$17*$B$20*$B$21,0)</f>
        <v/>
      </c>
      <c r="O53" s="25">
        <f>ROUND($B$6*$B$10*$B$11*$B$15*$B$17*$B$20*$B$22,0)</f>
        <v/>
      </c>
      <c r="P53" s="25">
        <f>ROUND($B$6*$B$10*$B$11*$B$15*$B$18*$B$19*$B$21,0)</f>
        <v/>
      </c>
      <c r="Q53" s="25">
        <f>ROUND($B$6*$B$10*$B$11*$B$15*$B$18*$B$19*$B$22,0)</f>
        <v/>
      </c>
      <c r="R53" s="25">
        <f>ROUND($B$6*$B$10*$B$11*$B$15*$B$18*$B$20*$B$21,0)</f>
        <v/>
      </c>
      <c r="S53" s="25">
        <f>ROUND($B$6*$B$10*$B$11*$B$15*$B$18*$B$20*$B$22,0)</f>
        <v/>
      </c>
      <c r="T53" s="25">
        <f>ROUND($B$6*$B$10*$B$11*$B$16*$B$17*$B$19*$B$21,0)</f>
        <v/>
      </c>
      <c r="U53" s="25">
        <f>ROUND($B$6*$B$10*$B$11*$B$16*$B$17*$B$19*$B$22,0)</f>
        <v/>
      </c>
      <c r="V53" s="25">
        <f>ROUND($B$6*$B$10*$B$11*$B$16*$B$17*$B$20*$B$21,0)</f>
        <v/>
      </c>
      <c r="W53" s="25">
        <f>ROUND($B$6*$B$10*$B$11*$B$16*$B$17*$B$20*$B$22,0)</f>
        <v/>
      </c>
      <c r="X53" s="25">
        <f>ROUND($B$6*$B$10*$B$11*$B$16*$B$18*$B$19*$B$21,0)</f>
        <v/>
      </c>
      <c r="Y53" s="25">
        <f>ROUND($B$6*$B$10*$B$11*$B$16*$B$18*$B$19*$B$22,0)</f>
        <v/>
      </c>
      <c r="Z53" s="25">
        <f>ROUND($B$6*$B$10*$B$11*$B$16*$B$18*$B$20*$B$21,0)</f>
        <v/>
      </c>
      <c r="AA53" s="25">
        <f>ROUND($B$6*$B$10*$B$11*$B$16*$B$18*$B$20*$B$22,0)</f>
        <v/>
      </c>
    </row>
    <row r="54" ht="20.1" customHeight="1" s="62">
      <c r="A54" s="81" t="n"/>
      <c r="B54" s="58" t="n"/>
      <c r="C54" s="73" t="inlineStr">
        <is>
          <t>Processus modérés</t>
        </is>
      </c>
      <c r="D54" s="25">
        <f>ROUND($B$6*$B$10*$B$12*$B$14*$B$17*$B$19*$B$21,0)</f>
        <v/>
      </c>
      <c r="E54" s="25">
        <f>ROUND($B$6*$B$10*$B$12*$B$14*$B$17*$B$19*$B$22,0)</f>
        <v/>
      </c>
      <c r="F54" s="25">
        <f>ROUND($B$6*$B$10*$B$12*$B$14*$B$17*$B$20*$B$21,0)</f>
        <v/>
      </c>
      <c r="G54" s="25">
        <f>ROUND($B$6*$B$10*$B$12*$B$14*$B$17*$B$20*$B$22,0)</f>
        <v/>
      </c>
      <c r="H54" s="25">
        <f>ROUND($B$6*$B$10*$B$12*$B$14*$B$18*$B$19*$B$21,0)</f>
        <v/>
      </c>
      <c r="I54" s="25">
        <f>ROUND($B$6*$B$10*$B$12*$B$14*$B$18*$B$19*$B$22,0)</f>
        <v/>
      </c>
      <c r="J54" s="25">
        <f>ROUND($B$6*$B$10*$B$12*$B$14*$B$18*$B$20*$B$21,0)</f>
        <v/>
      </c>
      <c r="K54" s="25">
        <f>ROUND($B$6*$B$10*$B$12*$B$14*$B$18*$B$20*$B$22,0)</f>
        <v/>
      </c>
      <c r="L54" s="25">
        <f>ROUND($B$6*$B$10*$B$12*$B$15*$B$17*$B$19*$B$21,0)</f>
        <v/>
      </c>
      <c r="M54" s="25">
        <f>ROUND($B$6*$B$10*$B$12*$B$15*$B$17*$B$19*$B$22,0)</f>
        <v/>
      </c>
      <c r="N54" s="25">
        <f>ROUND($B$6*$B$10*$B$12*$B$15*$B$17*$B$20*$B$21,0)</f>
        <v/>
      </c>
      <c r="O54" s="25">
        <f>ROUND($B$6*$B$10*$B$12*$B$15*$B$17*$B$20*$B$22,0)</f>
        <v/>
      </c>
      <c r="P54" s="25">
        <f>ROUND($B$6*$B$10*$B$12*$B$15*$B$18*$B$19*$B$21,0)</f>
        <v/>
      </c>
      <c r="Q54" s="25">
        <f>ROUND($B$6*$B$10*$B$12*$B$15*$B$18*$B$19*$B$22,0)</f>
        <v/>
      </c>
      <c r="R54" s="25">
        <f>ROUND($B$6*$B$10*$B$12*$B$15*$B$18*$B$20*$B$21,0)</f>
        <v/>
      </c>
      <c r="S54" s="25">
        <f>ROUND($B$6*$B$10*$B$12*$B$15*$B$18*$B$20*$B$22,0)</f>
        <v/>
      </c>
      <c r="T54" s="25">
        <f>ROUND($B$6*$B$10*$B$12*$B$16*$B$17*$B$19*$B$21,0)</f>
        <v/>
      </c>
      <c r="U54" s="25">
        <f>ROUND($B$6*$B$10*$B$12*$B$16*$B$17*$B$19*$B$22,0)</f>
        <v/>
      </c>
      <c r="V54" s="25">
        <f>ROUND($B$6*$B$10*$B$12*$B$16*$B$17*$B$20*$B$21,0)</f>
        <v/>
      </c>
      <c r="W54" s="25">
        <f>ROUND($B$6*$B$10*$B$12*$B$16*$B$17*$B$20*$B$22,0)</f>
        <v/>
      </c>
      <c r="X54" s="25">
        <f>ROUND($B$6*$B$10*$B$12*$B$16*$B$18*$B$19*$B$21,0)</f>
        <v/>
      </c>
      <c r="Y54" s="25">
        <f>ROUND($B$6*$B$10*$B$12*$B$16*$B$18*$B$19*$B$22,0)</f>
        <v/>
      </c>
      <c r="Z54" s="25">
        <f>ROUND($B$6*$B$10*$B$12*$B$16*$B$18*$B$20*$B$21,0)</f>
        <v/>
      </c>
      <c r="AA54" s="25">
        <f>ROUND($B$6*$B$10*$B$12*$B$16*$B$18*$B$20*$B$22,0)</f>
        <v/>
      </c>
    </row>
    <row r="55" ht="20.1" customHeight="1" s="62">
      <c r="A55" s="82" t="n"/>
      <c r="B55" s="59" t="n"/>
      <c r="C55" s="26" t="inlineStr">
        <is>
          <t>Processus complexes multi-métiers</t>
        </is>
      </c>
      <c r="D55" s="25">
        <f>ROUND($B$6*$B$10*$B$13*$B$14*$B$17*$B$19*$B$21,0)</f>
        <v/>
      </c>
      <c r="E55" s="25">
        <f>ROUND($B$6*$B$10*$B$13*$B$14*$B$17*$B$19*$B$22,0)</f>
        <v/>
      </c>
      <c r="F55" s="25">
        <f>ROUND($B$6*$B$10*$B$13*$B$14*$B$17*$B$20*$B$21,0)</f>
        <v/>
      </c>
      <c r="G55" s="25">
        <f>ROUND($B$6*$B$10*$B$13*$B$14*$B$17*$B$20*$B$22,0)</f>
        <v/>
      </c>
      <c r="H55" s="25">
        <f>ROUND($B$6*$B$10*$B$13*$B$14*$B$18*$B$19*$B$21,0)</f>
        <v/>
      </c>
      <c r="I55" s="25">
        <f>ROUND($B$6*$B$10*$B$13*$B$14*$B$18*$B$19*$B$22,0)</f>
        <v/>
      </c>
      <c r="J55" s="25">
        <f>ROUND($B$6*$B$10*$B$13*$B$14*$B$18*$B$20*$B$21,0)</f>
        <v/>
      </c>
      <c r="K55" s="25">
        <f>ROUND($B$6*$B$10*$B$13*$B$14*$B$18*$B$20*$B$22,0)</f>
        <v/>
      </c>
      <c r="L55" s="25">
        <f>ROUND($B$6*$B$10*$B$13*$B$15*$B$17*$B$19*$B$21,0)</f>
        <v/>
      </c>
      <c r="M55" s="25">
        <f>ROUND($B$6*$B$10*$B$13*$B$15*$B$17*$B$19*$B$22,0)</f>
        <v/>
      </c>
      <c r="N55" s="25">
        <f>ROUND($B$6*$B$10*$B$13*$B$15*$B$17*$B$20*$B$21,0)</f>
        <v/>
      </c>
      <c r="O55" s="25">
        <f>ROUND($B$6*$B$10*$B$13*$B$15*$B$17*$B$20*$B$22,0)</f>
        <v/>
      </c>
      <c r="P55" s="25">
        <f>ROUND($B$6*$B$10*$B$13*$B$15*$B$18*$B$19*$B$21,0)</f>
        <v/>
      </c>
      <c r="Q55" s="25">
        <f>ROUND($B$6*$B$10*$B$13*$B$15*$B$18*$B$19*$B$22,0)</f>
        <v/>
      </c>
      <c r="R55" s="25">
        <f>ROUND($B$6*$B$10*$B$13*$B$15*$B$18*$B$20*$B$21,0)</f>
        <v/>
      </c>
      <c r="S55" s="25">
        <f>ROUND($B$6*$B$10*$B$13*$B$15*$B$18*$B$20*$B$22,0)</f>
        <v/>
      </c>
      <c r="T55" s="25">
        <f>ROUND($B$6*$B$10*$B$13*$B$16*$B$17*$B$19*$B$21,0)</f>
        <v/>
      </c>
      <c r="U55" s="25">
        <f>ROUND($B$6*$B$10*$B$13*$B$16*$B$17*$B$19*$B$22,0)</f>
        <v/>
      </c>
      <c r="V55" s="25">
        <f>ROUND($B$6*$B$10*$B$13*$B$16*$B$17*$B$20*$B$21,0)</f>
        <v/>
      </c>
      <c r="W55" s="25">
        <f>ROUND($B$6*$B$10*$B$13*$B$16*$B$17*$B$20*$B$22,0)</f>
        <v/>
      </c>
      <c r="X55" s="25">
        <f>ROUND($B$6*$B$10*$B$13*$B$16*$B$18*$B$19*$B$21,0)</f>
        <v/>
      </c>
      <c r="Y55" s="25">
        <f>ROUND($B$6*$B$10*$B$13*$B$16*$B$18*$B$19*$B$22,0)</f>
        <v/>
      </c>
      <c r="Z55" s="25">
        <f>ROUND($B$6*$B$10*$B$13*$B$16*$B$18*$B$20*$B$21,0)</f>
        <v/>
      </c>
      <c r="AA55" s="25">
        <f>ROUND($B$6*$B$10*$B$13*$B$16*$B$18*$B$20*$B$22,0)</f>
        <v/>
      </c>
    </row>
  </sheetData>
  <mergeCells count="41">
    <mergeCell ref="B53:B55"/>
    <mergeCell ref="X26:AA26"/>
    <mergeCell ref="A7:AA7"/>
    <mergeCell ref="Z27:AA27"/>
    <mergeCell ref="A25:A28"/>
    <mergeCell ref="D26:G26"/>
    <mergeCell ref="A3:AA3"/>
    <mergeCell ref="B35:B37"/>
    <mergeCell ref="H26:K26"/>
    <mergeCell ref="C25:C28"/>
    <mergeCell ref="D27:E27"/>
    <mergeCell ref="T25:AA25"/>
    <mergeCell ref="A2:AA2"/>
    <mergeCell ref="P26:S26"/>
    <mergeCell ref="N27:O27"/>
    <mergeCell ref="A29:A37"/>
    <mergeCell ref="J27:K27"/>
    <mergeCell ref="P27:Q27"/>
    <mergeCell ref="B41:B43"/>
    <mergeCell ref="B47:B49"/>
    <mergeCell ref="R27:S27"/>
    <mergeCell ref="B32:B34"/>
    <mergeCell ref="A23:AA23"/>
    <mergeCell ref="B50:B52"/>
    <mergeCell ref="A47:A55"/>
    <mergeCell ref="A38:A46"/>
    <mergeCell ref="V27:W27"/>
    <mergeCell ref="L25:S25"/>
    <mergeCell ref="F27:G27"/>
    <mergeCell ref="H27:I27"/>
    <mergeCell ref="D25:K25"/>
    <mergeCell ref="L26:O26"/>
    <mergeCell ref="B44:B46"/>
    <mergeCell ref="T26:W26"/>
    <mergeCell ref="B29:B31"/>
    <mergeCell ref="L27:M27"/>
    <mergeCell ref="B38:B40"/>
    <mergeCell ref="B25:B28"/>
    <mergeCell ref="T27:U27"/>
    <mergeCell ref="A1:AA1"/>
    <mergeCell ref="X27:Y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D3B4F"/>
    <outlinePr summaryBelow="1" summaryRight="1"/>
    <pageSetUpPr/>
  </sheetPr>
  <dimension ref="A1:AA65"/>
  <sheetViews>
    <sheetView topLeftCell="A2" workbookViewId="0">
      <pane xSplit="3" topLeftCell="D1" activePane="topRight" state="frozen"/>
      <selection pane="topRight" activeCell="A24" sqref="A24:AA24"/>
    </sheetView>
  </sheetViews>
  <sheetFormatPr baseColWidth="10" defaultColWidth="9.140625" defaultRowHeight="15"/>
  <cols>
    <col width="26" customWidth="1" style="62" min="1" max="1"/>
    <col width="22" customWidth="1" style="62" min="2" max="3"/>
    <col width="14" customWidth="1" style="62" min="4" max="27"/>
  </cols>
  <sheetData>
    <row r="1" ht="33.95" customHeight="1" s="62">
      <c r="A1" s="84" t="inlineStr">
        <is>
          <t>GRILLE TARIFAIRE — Développement d'applications métiers</t>
        </is>
      </c>
    </row>
    <row r="2" ht="26.1" customHeight="1" s="62">
      <c r="A2" s="79" t="inlineStr">
        <is>
          <t>⚙  ZONE DE PARAMÉTRAGE — Remplissez uniquement les cases jaunes. Le tableau se calcule automatiquement.</t>
        </is>
      </c>
    </row>
    <row r="3" ht="21.95" customHeight="1" s="62">
      <c r="A3" s="78" t="inlineStr">
        <is>
          <t>TARIFS DE BASE (€)  —  Par niveau de complexité applicative</t>
        </is>
      </c>
    </row>
    <row r="4" ht="21.95" customHeight="1" s="62">
      <c r="A4" s="16" t="inlineStr">
        <is>
          <t>Tarif de base — Application simple</t>
        </is>
      </c>
      <c r="B4" s="17" t="n">
        <v>14000</v>
      </c>
      <c r="C4" s="18" t="inlineStr">
        <is>
          <t>Fourchette indicative : 8 000 – 20 000 €</t>
        </is>
      </c>
    </row>
    <row r="5" ht="21.95" customHeight="1" s="62">
      <c r="A5" s="16" t="inlineStr">
        <is>
          <t>Tarif de base — Application structurée</t>
        </is>
      </c>
      <c r="B5" s="17" t="n">
        <v>35000</v>
      </c>
      <c r="C5" s="18" t="inlineStr">
        <is>
          <t>Fourchette indicative : 20 000 – 50 000 €</t>
        </is>
      </c>
    </row>
    <row r="6" ht="21.95" customHeight="1" s="62">
      <c r="A6" s="16" t="inlineStr">
        <is>
          <t>Tarif de base — Application complexe métier</t>
        </is>
      </c>
      <c r="B6" s="17" t="n">
        <v>85000</v>
      </c>
      <c r="C6" s="18" t="inlineStr">
        <is>
          <t>Fourchette indicative : 50 000 – 120 000 €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fonctionnalités — &lt; 10</t>
        </is>
      </c>
      <c r="B8" s="20" t="n">
        <v>0.9</v>
      </c>
      <c r="C8" s="21" t="inlineStr">
        <is>
          <t>Périmètre réduit</t>
        </is>
      </c>
    </row>
    <row r="9" ht="20.1" customHeight="1" s="62">
      <c r="A9" s="19" t="inlineStr">
        <is>
          <t>Coeff. fonctionnalités — 10-30</t>
        </is>
      </c>
      <c r="B9" s="20" t="n">
        <v>1</v>
      </c>
      <c r="C9" s="21" t="inlineStr">
        <is>
          <t>Référence</t>
        </is>
      </c>
    </row>
    <row r="10" ht="20.1" customHeight="1" s="62">
      <c r="A10" s="19" t="inlineStr">
        <is>
          <t>Coeff. fonctionnalités — 30+</t>
        </is>
      </c>
      <c r="B10" s="20" t="n">
        <v>1.5</v>
      </c>
      <c r="C10" s="21" t="inlineStr">
        <is>
          <t>Périmètre étendu</t>
        </is>
      </c>
    </row>
    <row r="11" ht="20.1" customHeight="1" s="62">
      <c r="A11" s="19" t="inlineStr">
        <is>
          <t>Coeff. environnement — Web</t>
        </is>
      </c>
      <c r="B11" s="20" t="n">
        <v>1</v>
      </c>
      <c r="C11" s="21" t="inlineStr">
        <is>
          <t>Référence</t>
        </is>
      </c>
    </row>
    <row r="12" ht="20.1" customHeight="1" s="62">
      <c r="A12" s="19" t="inlineStr">
        <is>
          <t>Coeff. environnement — Mobile</t>
        </is>
      </c>
      <c r="B12" s="20" t="n">
        <v>1.15</v>
      </c>
      <c r="C12" s="21" t="inlineStr">
        <is>
          <t>Contraintes spécifiques mobile</t>
        </is>
      </c>
    </row>
    <row r="13" ht="20.1" customHeight="1" s="62">
      <c r="A13" s="19" t="inlineStr">
        <is>
          <t>Coeff. environnement — Desktop</t>
        </is>
      </c>
      <c r="B13" s="20" t="n">
        <v>1.1</v>
      </c>
      <c r="C13" s="21" t="inlineStr">
        <is>
          <t>Contraintes spécifiques desktop</t>
        </is>
      </c>
    </row>
    <row r="14" ht="20.1" customHeight="1" s="62">
      <c r="A14" s="19" t="inlineStr">
        <is>
          <t>Coeff. environnement — Multi-environnements</t>
        </is>
      </c>
      <c r="B14" s="20" t="n">
        <v>1.4</v>
      </c>
      <c r="C14" s="21" t="inlineStr">
        <is>
          <t>Développement multi-cibles</t>
        </is>
      </c>
    </row>
    <row r="15" ht="20.1" customHeight="1" s="62">
      <c r="A15" s="19" t="inlineStr">
        <is>
          <t>Coeff. personnalisation — Paramétrage standard</t>
        </is>
      </c>
      <c r="B15" s="20" t="n">
        <v>1</v>
      </c>
      <c r="C15" s="21" t="inlineStr">
        <is>
          <t>Référence</t>
        </is>
      </c>
    </row>
    <row r="16" ht="20.1" customHeight="1" s="62">
      <c r="A16" s="19" t="inlineStr">
        <is>
          <t>Coeff. personnalisation — Sur mesure partiel</t>
        </is>
      </c>
      <c r="B16" s="20" t="n">
        <v>1.3</v>
      </c>
      <c r="C16" s="21" t="inlineStr">
        <is>
          <t>Développements spécifiques</t>
        </is>
      </c>
    </row>
    <row r="17" ht="20.1" customHeight="1" s="62">
      <c r="A17" s="19" t="inlineStr">
        <is>
          <t>Coeff. personnalisation — Full sur mesure</t>
        </is>
      </c>
      <c r="B17" s="20" t="n">
        <v>1.65</v>
      </c>
      <c r="C17" s="21" t="inlineStr">
        <is>
          <t>Développement complet</t>
        </is>
      </c>
    </row>
    <row r="18" ht="20.1" customHeight="1" s="62">
      <c r="A18" s="19" t="inlineStr">
        <is>
          <t>Coeff. API — Sans API</t>
        </is>
      </c>
      <c r="B18" s="20" t="n">
        <v>1</v>
      </c>
      <c r="C18" s="21" t="inlineStr">
        <is>
          <t>Référence</t>
        </is>
      </c>
    </row>
    <row r="19" ht="20.1" customHeight="1" s="62">
      <c r="A19" s="19" t="inlineStr">
        <is>
          <t>Coeff. API — Avec API</t>
        </is>
      </c>
      <c r="B19" s="20" t="n">
        <v>1.25</v>
      </c>
      <c r="C19" s="21" t="inlineStr">
        <is>
          <t>Intégrations supplémentaires</t>
        </is>
      </c>
    </row>
    <row r="20" ht="20.1" customHeight="1" s="62">
      <c r="A20" s="19" t="inlineStr">
        <is>
          <t>Coeff. automatisation — Faible</t>
        </is>
      </c>
      <c r="B20" s="20" t="n">
        <v>1</v>
      </c>
      <c r="C20" s="21" t="inlineStr">
        <is>
          <t>Référence</t>
        </is>
      </c>
    </row>
    <row r="21" ht="20.1" customHeight="1" s="62">
      <c r="A21" s="19" t="inlineStr">
        <is>
          <t>Coeff. automatisation — Élevée</t>
        </is>
      </c>
      <c r="B21" s="20" t="n">
        <v>1.25</v>
      </c>
      <c r="C21" s="21" t="inlineStr">
        <is>
          <t>Logique métier complexe</t>
        </is>
      </c>
    </row>
    <row r="22" ht="20.1" customHeight="1" s="62">
      <c r="A22" s="19" t="inlineStr">
        <is>
          <t>Coeff. mode — Distanciel</t>
        </is>
      </c>
      <c r="B22" s="20" t="n">
        <v>1</v>
      </c>
      <c r="C22" s="21" t="inlineStr">
        <is>
          <t>Référence</t>
        </is>
      </c>
    </row>
    <row r="23" ht="20.1" customHeight="1" s="62">
      <c r="A23" s="19" t="inlineStr">
        <is>
          <t>Coeff. mode — Présentiel</t>
        </is>
      </c>
      <c r="B23" s="20" t="n">
        <v>1.3</v>
      </c>
      <c r="C23" s="21" t="inlineStr">
        <is>
          <t>Ateliers et réunions sur site</t>
        </is>
      </c>
    </row>
    <row r="24" ht="24" customHeight="1" s="62">
      <c r="A24" s="83" t="inlineStr">
        <is>
          <t>▼  GRILLE TARIFAIRE CALCULÉE AUTOMATIQUEMENT  — Les cellules bleues sont en lecture seule (formules).</t>
        </is>
      </c>
    </row>
    <row r="25" ht="6" customHeight="1" s="62"/>
    <row r="26" ht="38.1" customHeight="1" s="62">
      <c r="A26" s="77" t="inlineStr">
        <is>
          <t>Complexité applicative</t>
        </is>
      </c>
      <c r="B26" s="74" t="inlineStr">
        <is>
          <t>Nombre de fonctionnalités</t>
        </is>
      </c>
      <c r="C26" s="76" t="inlineStr">
        <is>
          <t>Environnement cible</t>
        </is>
      </c>
      <c r="D26" s="77" t="inlineStr">
        <is>
          <t>Paramétrage standard</t>
        </is>
      </c>
      <c r="E26" s="55" t="n"/>
      <c r="F26" s="55" t="n"/>
      <c r="G26" s="55" t="n"/>
      <c r="H26" s="55" t="n"/>
      <c r="I26" s="55" t="n"/>
      <c r="J26" s="55" t="n"/>
      <c r="K26" s="56" t="n"/>
      <c r="L26" s="77" t="inlineStr">
        <is>
          <t>Sur mesure partiel</t>
        </is>
      </c>
      <c r="M26" s="55" t="n"/>
      <c r="N26" s="55" t="n"/>
      <c r="O26" s="55" t="n"/>
      <c r="P26" s="55" t="n"/>
      <c r="Q26" s="55" t="n"/>
      <c r="R26" s="55" t="n"/>
      <c r="S26" s="56" t="n"/>
      <c r="T26" s="77" t="inlineStr">
        <is>
          <t>Full sur mesure</t>
        </is>
      </c>
      <c r="U26" s="55" t="n"/>
      <c r="V26" s="55" t="n"/>
      <c r="W26" s="55" t="n"/>
      <c r="X26" s="55" t="n"/>
      <c r="Y26" s="55" t="n"/>
      <c r="Z26" s="55" t="n"/>
      <c r="AA26" s="56" t="n"/>
    </row>
    <row r="27" ht="38.1" customHeight="1" s="62">
      <c r="A27" s="64" t="n"/>
      <c r="B27" s="64" t="n"/>
      <c r="C27" s="64" t="n"/>
      <c r="D27" s="74" t="inlineStr">
        <is>
          <t>Sans API</t>
        </is>
      </c>
      <c r="E27" s="55" t="n"/>
      <c r="F27" s="55" t="n"/>
      <c r="G27" s="56" t="n"/>
      <c r="H27" s="74" t="inlineStr">
        <is>
          <t>Avec API</t>
        </is>
      </c>
      <c r="I27" s="55" t="n"/>
      <c r="J27" s="55" t="n"/>
      <c r="K27" s="56" t="n"/>
      <c r="L27" s="74" t="inlineStr">
        <is>
          <t>Sans API</t>
        </is>
      </c>
      <c r="M27" s="55" t="n"/>
      <c r="N27" s="55" t="n"/>
      <c r="O27" s="56" t="n"/>
      <c r="P27" s="74" t="inlineStr">
        <is>
          <t>Avec API</t>
        </is>
      </c>
      <c r="Q27" s="55" t="n"/>
      <c r="R27" s="55" t="n"/>
      <c r="S27" s="56" t="n"/>
      <c r="T27" s="74" t="inlineStr">
        <is>
          <t>Sans API</t>
        </is>
      </c>
      <c r="U27" s="55" t="n"/>
      <c r="V27" s="55" t="n"/>
      <c r="W27" s="56" t="n"/>
      <c r="X27" s="74" t="inlineStr">
        <is>
          <t>Avec API</t>
        </is>
      </c>
      <c r="Y27" s="55" t="n"/>
      <c r="Z27" s="55" t="n"/>
      <c r="AA27" s="56" t="n"/>
    </row>
    <row r="28" ht="38.1" customHeight="1" s="62">
      <c r="A28" s="64" t="n"/>
      <c r="B28" s="64" t="n"/>
      <c r="C28" s="64" t="n"/>
      <c r="D28" s="76" t="inlineStr">
        <is>
          <t>Automatisation faible</t>
        </is>
      </c>
      <c r="E28" s="56" t="n"/>
      <c r="F28" s="76" t="inlineStr">
        <is>
          <t>Automatisation élevée</t>
        </is>
      </c>
      <c r="G28" s="56" t="n"/>
      <c r="H28" s="76" t="inlineStr">
        <is>
          <t>Automatisation faible</t>
        </is>
      </c>
      <c r="I28" s="56" t="n"/>
      <c r="J28" s="76" t="inlineStr">
        <is>
          <t>Automatisation élevée</t>
        </is>
      </c>
      <c r="K28" s="56" t="n"/>
      <c r="L28" s="76" t="inlineStr">
        <is>
          <t>Automatisation faible</t>
        </is>
      </c>
      <c r="M28" s="56" t="n"/>
      <c r="N28" s="76" t="inlineStr">
        <is>
          <t>Automatisation élevée</t>
        </is>
      </c>
      <c r="O28" s="56" t="n"/>
      <c r="P28" s="76" t="inlineStr">
        <is>
          <t>Automatisation faible</t>
        </is>
      </c>
      <c r="Q28" s="56" t="n"/>
      <c r="R28" s="76" t="inlineStr">
        <is>
          <t>Automatisation élevée</t>
        </is>
      </c>
      <c r="S28" s="56" t="n"/>
      <c r="T28" s="76" t="inlineStr">
        <is>
          <t>Automatisation faible</t>
        </is>
      </c>
      <c r="U28" s="56" t="n"/>
      <c r="V28" s="76" t="inlineStr">
        <is>
          <t>Automatisation élevée</t>
        </is>
      </c>
      <c r="W28" s="56" t="n"/>
      <c r="X28" s="76" t="inlineStr">
        <is>
          <t>Automatisation faible</t>
        </is>
      </c>
      <c r="Y28" s="56" t="n"/>
      <c r="Z28" s="76" t="inlineStr">
        <is>
          <t>Automatisation élevée</t>
        </is>
      </c>
      <c r="AA28" s="56" t="n"/>
    </row>
    <row r="29" ht="38.1" customHeight="1" s="62">
      <c r="A29" s="65" t="n"/>
      <c r="B29" s="65" t="n"/>
      <c r="C29" s="65" t="n"/>
      <c r="D29" s="22" t="inlineStr">
        <is>
          <t>Distanciel</t>
        </is>
      </c>
      <c r="E29" s="22" t="inlineStr">
        <is>
          <t>Présentiel</t>
        </is>
      </c>
      <c r="F29" s="22" t="inlineStr">
        <is>
          <t>Distanciel</t>
        </is>
      </c>
      <c r="G29" s="22" t="inlineStr">
        <is>
          <t>Présentiel</t>
        </is>
      </c>
      <c r="H29" s="22" t="inlineStr">
        <is>
          <t>Distanciel</t>
        </is>
      </c>
      <c r="I29" s="22" t="inlineStr">
        <is>
          <t>Présentiel</t>
        </is>
      </c>
      <c r="J29" s="22" t="inlineStr">
        <is>
          <t>Distanciel</t>
        </is>
      </c>
      <c r="K29" s="22" t="inlineStr">
        <is>
          <t>Présentiel</t>
        </is>
      </c>
      <c r="L29" s="22" t="inlineStr">
        <is>
          <t>Distanciel</t>
        </is>
      </c>
      <c r="M29" s="22" t="inlineStr">
        <is>
          <t>Présentiel</t>
        </is>
      </c>
      <c r="N29" s="22" t="inlineStr">
        <is>
          <t>Distanciel</t>
        </is>
      </c>
      <c r="O29" s="22" t="inlineStr">
        <is>
          <t>Présentiel</t>
        </is>
      </c>
      <c r="P29" s="22" t="inlineStr">
        <is>
          <t>Distanciel</t>
        </is>
      </c>
      <c r="Q29" s="22" t="inlineStr">
        <is>
          <t>Présentiel</t>
        </is>
      </c>
      <c r="R29" s="22" t="inlineStr">
        <is>
          <t>Distanciel</t>
        </is>
      </c>
      <c r="S29" s="22" t="inlineStr">
        <is>
          <t>Présentiel</t>
        </is>
      </c>
      <c r="T29" s="22" t="inlineStr">
        <is>
          <t>Distanciel</t>
        </is>
      </c>
      <c r="U29" s="22" t="inlineStr">
        <is>
          <t>Présentiel</t>
        </is>
      </c>
      <c r="V29" s="22" t="inlineStr">
        <is>
          <t>Distanciel</t>
        </is>
      </c>
      <c r="W29" s="22" t="inlineStr">
        <is>
          <t>Présentiel</t>
        </is>
      </c>
      <c r="X29" s="22" t="inlineStr">
        <is>
          <t>Distanciel</t>
        </is>
      </c>
      <c r="Y29" s="22" t="inlineStr">
        <is>
          <t>Présentiel</t>
        </is>
      </c>
      <c r="Z29" s="22" t="inlineStr">
        <is>
          <t>Distanciel</t>
        </is>
      </c>
      <c r="AA29" s="22" t="inlineStr">
        <is>
          <t>Présentiel</t>
        </is>
      </c>
    </row>
    <row r="30" ht="20.1" customHeight="1" s="62">
      <c r="A30" s="80" t="inlineStr">
        <is>
          <t>Application simple</t>
        </is>
      </c>
      <c r="B30" s="73" t="inlineStr">
        <is>
          <t>&lt; 10 fonctionnalités</t>
        </is>
      </c>
      <c r="C30" s="24" t="inlineStr">
        <is>
          <t>Web</t>
        </is>
      </c>
      <c r="D30" s="25">
        <f>ROUND($B$4*$B$8*$B$11*$B$15*$B$18*$B$20*$B$22,0)</f>
        <v/>
      </c>
      <c r="E30" s="25">
        <f>ROUND($B$4*$B$8*$B$11*$B$15*$B$18*$B$20*$B$23,0)</f>
        <v/>
      </c>
      <c r="F30" s="25">
        <f>ROUND($B$4*$B$8*$B$11*$B$15*$B$18*$B$21*$B$22,0)</f>
        <v/>
      </c>
      <c r="G30" s="25">
        <f>ROUND($B$4*$B$8*$B$11*$B$15*$B$18*$B$21*$B$23,0)</f>
        <v/>
      </c>
      <c r="H30" s="25">
        <f>ROUND($B$4*$B$8*$B$11*$B$15*$B$19*$B$20*$B$22,0)</f>
        <v/>
      </c>
      <c r="I30" s="25">
        <f>ROUND($B$4*$B$8*$B$11*$B$15*$B$19*$B$20*$B$23,0)</f>
        <v/>
      </c>
      <c r="J30" s="25">
        <f>ROUND($B$4*$B$8*$B$11*$B$15*$B$19*$B$21*$B$22,0)</f>
        <v/>
      </c>
      <c r="K30" s="25">
        <f>ROUND($B$4*$B$8*$B$11*$B$15*$B$19*$B$21*$B$23,0)</f>
        <v/>
      </c>
      <c r="L30" s="25">
        <f>ROUND($B$4*$B$8*$B$11*$B$16*$B$18*$B$20*$B$22,0)</f>
        <v/>
      </c>
      <c r="M30" s="25">
        <f>ROUND($B$4*$B$8*$B$11*$B$16*$B$18*$B$20*$B$23,0)</f>
        <v/>
      </c>
      <c r="N30" s="25">
        <f>ROUND($B$4*$B$8*$B$11*$B$16*$B$18*$B$21*$B$22,0)</f>
        <v/>
      </c>
      <c r="O30" s="25">
        <f>ROUND($B$4*$B$8*$B$11*$B$16*$B$18*$B$21*$B$23,0)</f>
        <v/>
      </c>
      <c r="P30" s="25">
        <f>ROUND($B$4*$B$8*$B$11*$B$16*$B$19*$B$20*$B$22,0)</f>
        <v/>
      </c>
      <c r="Q30" s="25">
        <f>ROUND($B$4*$B$8*$B$11*$B$16*$B$19*$B$20*$B$23,0)</f>
        <v/>
      </c>
      <c r="R30" s="25">
        <f>ROUND($B$4*$B$8*$B$11*$B$16*$B$19*$B$21*$B$22,0)</f>
        <v/>
      </c>
      <c r="S30" s="25">
        <f>ROUND($B$4*$B$8*$B$11*$B$16*$B$19*$B$21*$B$23,0)</f>
        <v/>
      </c>
      <c r="T30" s="25">
        <f>ROUND($B$4*$B$8*$B$11*$B$17*$B$18*$B$20*$B$22,0)</f>
        <v/>
      </c>
      <c r="U30" s="25">
        <f>ROUND($B$4*$B$8*$B$11*$B$17*$B$18*$B$20*$B$23,0)</f>
        <v/>
      </c>
      <c r="V30" s="25">
        <f>ROUND($B$4*$B$8*$B$11*$B$17*$B$18*$B$21*$B$22,0)</f>
        <v/>
      </c>
      <c r="W30" s="25">
        <f>ROUND($B$4*$B$8*$B$11*$B$17*$B$18*$B$21*$B$23,0)</f>
        <v/>
      </c>
      <c r="X30" s="25">
        <f>ROUND($B$4*$B$8*$B$11*$B$17*$B$19*$B$20*$B$22,0)</f>
        <v/>
      </c>
      <c r="Y30" s="25">
        <f>ROUND($B$4*$B$8*$B$11*$B$17*$B$19*$B$20*$B$23,0)</f>
        <v/>
      </c>
      <c r="Z30" s="25">
        <f>ROUND($B$4*$B$8*$B$11*$B$17*$B$19*$B$21*$B$22,0)</f>
        <v/>
      </c>
      <c r="AA30" s="25">
        <f>ROUND($B$4*$B$8*$B$11*$B$17*$B$19*$B$21*$B$23,0)</f>
        <v/>
      </c>
    </row>
    <row r="31" ht="20.1" customHeight="1" s="62">
      <c r="A31" s="81" t="n"/>
      <c r="B31" s="58" t="n"/>
      <c r="C31" s="73" t="inlineStr">
        <is>
          <t>Mobile</t>
        </is>
      </c>
      <c r="D31" s="25">
        <f>ROUND($B$4*$B$8*$B$12*$B$15*$B$18*$B$20*$B$22,0)</f>
        <v/>
      </c>
      <c r="E31" s="25">
        <f>ROUND($B$4*$B$8*$B$12*$B$15*$B$18*$B$20*$B$23,0)</f>
        <v/>
      </c>
      <c r="F31" s="25">
        <f>ROUND($B$4*$B$8*$B$12*$B$15*$B$18*$B$21*$B$22,0)</f>
        <v/>
      </c>
      <c r="G31" s="25">
        <f>ROUND($B$4*$B$8*$B$12*$B$15*$B$18*$B$21*$B$23,0)</f>
        <v/>
      </c>
      <c r="H31" s="25">
        <f>ROUND($B$4*$B$8*$B$12*$B$15*$B$19*$B$20*$B$22,0)</f>
        <v/>
      </c>
      <c r="I31" s="25">
        <f>ROUND($B$4*$B$8*$B$12*$B$15*$B$19*$B$20*$B$23,0)</f>
        <v/>
      </c>
      <c r="J31" s="25">
        <f>ROUND($B$4*$B$8*$B$12*$B$15*$B$19*$B$21*$B$22,0)</f>
        <v/>
      </c>
      <c r="K31" s="25">
        <f>ROUND($B$4*$B$8*$B$12*$B$15*$B$19*$B$21*$B$23,0)</f>
        <v/>
      </c>
      <c r="L31" s="25">
        <f>ROUND($B$4*$B$8*$B$12*$B$16*$B$18*$B$20*$B$22,0)</f>
        <v/>
      </c>
      <c r="M31" s="25">
        <f>ROUND($B$4*$B$8*$B$12*$B$16*$B$18*$B$20*$B$23,0)</f>
        <v/>
      </c>
      <c r="N31" s="25">
        <f>ROUND($B$4*$B$8*$B$12*$B$16*$B$18*$B$21*$B$22,0)</f>
        <v/>
      </c>
      <c r="O31" s="25">
        <f>ROUND($B$4*$B$8*$B$12*$B$16*$B$18*$B$21*$B$23,0)</f>
        <v/>
      </c>
      <c r="P31" s="25">
        <f>ROUND($B$4*$B$8*$B$12*$B$16*$B$19*$B$20*$B$22,0)</f>
        <v/>
      </c>
      <c r="Q31" s="25">
        <f>ROUND($B$4*$B$8*$B$12*$B$16*$B$19*$B$20*$B$23,0)</f>
        <v/>
      </c>
      <c r="R31" s="25">
        <f>ROUND($B$4*$B$8*$B$12*$B$16*$B$19*$B$21*$B$22,0)</f>
        <v/>
      </c>
      <c r="S31" s="25">
        <f>ROUND($B$4*$B$8*$B$12*$B$16*$B$19*$B$21*$B$23,0)</f>
        <v/>
      </c>
      <c r="T31" s="25">
        <f>ROUND($B$4*$B$8*$B$12*$B$17*$B$18*$B$20*$B$22,0)</f>
        <v/>
      </c>
      <c r="U31" s="25">
        <f>ROUND($B$4*$B$8*$B$12*$B$17*$B$18*$B$20*$B$23,0)</f>
        <v/>
      </c>
      <c r="V31" s="25">
        <f>ROUND($B$4*$B$8*$B$12*$B$17*$B$18*$B$21*$B$22,0)</f>
        <v/>
      </c>
      <c r="W31" s="25">
        <f>ROUND($B$4*$B$8*$B$12*$B$17*$B$18*$B$21*$B$23,0)</f>
        <v/>
      </c>
      <c r="X31" s="25">
        <f>ROUND($B$4*$B$8*$B$12*$B$17*$B$19*$B$20*$B$22,0)</f>
        <v/>
      </c>
      <c r="Y31" s="25">
        <f>ROUND($B$4*$B$8*$B$12*$B$17*$B$19*$B$20*$B$23,0)</f>
        <v/>
      </c>
      <c r="Z31" s="25">
        <f>ROUND($B$4*$B$8*$B$12*$B$17*$B$19*$B$21*$B$22,0)</f>
        <v/>
      </c>
      <c r="AA31" s="25">
        <f>ROUND($B$4*$B$8*$B$12*$B$17*$B$19*$B$21*$B$23,0)</f>
        <v/>
      </c>
    </row>
    <row r="32" ht="20.1" customHeight="1" s="62">
      <c r="A32" s="81" t="n"/>
      <c r="B32" s="58" t="n"/>
      <c r="C32" s="26" t="inlineStr">
        <is>
          <t>Desktop</t>
        </is>
      </c>
      <c r="D32" s="25">
        <f>ROUND($B$4*$B$8*$B$13*$B$15*$B$18*$B$20*$B$22,0)</f>
        <v/>
      </c>
      <c r="E32" s="25">
        <f>ROUND($B$4*$B$8*$B$13*$B$15*$B$18*$B$20*$B$23,0)</f>
        <v/>
      </c>
      <c r="F32" s="25">
        <f>ROUND($B$4*$B$8*$B$13*$B$15*$B$18*$B$21*$B$22,0)</f>
        <v/>
      </c>
      <c r="G32" s="25">
        <f>ROUND($B$4*$B$8*$B$13*$B$15*$B$18*$B$21*$B$23,0)</f>
        <v/>
      </c>
      <c r="H32" s="25">
        <f>ROUND($B$4*$B$8*$B$13*$B$15*$B$19*$B$20*$B$22,0)</f>
        <v/>
      </c>
      <c r="I32" s="25">
        <f>ROUND($B$4*$B$8*$B$13*$B$15*$B$19*$B$20*$B$23,0)</f>
        <v/>
      </c>
      <c r="J32" s="25">
        <f>ROUND($B$4*$B$8*$B$13*$B$15*$B$19*$B$21*$B$22,0)</f>
        <v/>
      </c>
      <c r="K32" s="25">
        <f>ROUND($B$4*$B$8*$B$13*$B$15*$B$19*$B$21*$B$23,0)</f>
        <v/>
      </c>
      <c r="L32" s="25">
        <f>ROUND($B$4*$B$8*$B$13*$B$16*$B$18*$B$20*$B$22,0)</f>
        <v/>
      </c>
      <c r="M32" s="25">
        <f>ROUND($B$4*$B$8*$B$13*$B$16*$B$18*$B$20*$B$23,0)</f>
        <v/>
      </c>
      <c r="N32" s="25">
        <f>ROUND($B$4*$B$8*$B$13*$B$16*$B$18*$B$21*$B$22,0)</f>
        <v/>
      </c>
      <c r="O32" s="25">
        <f>ROUND($B$4*$B$8*$B$13*$B$16*$B$18*$B$21*$B$23,0)</f>
        <v/>
      </c>
      <c r="P32" s="25">
        <f>ROUND($B$4*$B$8*$B$13*$B$16*$B$19*$B$20*$B$22,0)</f>
        <v/>
      </c>
      <c r="Q32" s="25">
        <f>ROUND($B$4*$B$8*$B$13*$B$16*$B$19*$B$20*$B$23,0)</f>
        <v/>
      </c>
      <c r="R32" s="25">
        <f>ROUND($B$4*$B$8*$B$13*$B$16*$B$19*$B$21*$B$22,0)</f>
        <v/>
      </c>
      <c r="S32" s="25">
        <f>ROUND($B$4*$B$8*$B$13*$B$16*$B$19*$B$21*$B$23,0)</f>
        <v/>
      </c>
      <c r="T32" s="25">
        <f>ROUND($B$4*$B$8*$B$13*$B$17*$B$18*$B$20*$B$22,0)</f>
        <v/>
      </c>
      <c r="U32" s="25">
        <f>ROUND($B$4*$B$8*$B$13*$B$17*$B$18*$B$20*$B$23,0)</f>
        <v/>
      </c>
      <c r="V32" s="25">
        <f>ROUND($B$4*$B$8*$B$13*$B$17*$B$18*$B$21*$B$22,0)</f>
        <v/>
      </c>
      <c r="W32" s="25">
        <f>ROUND($B$4*$B$8*$B$13*$B$17*$B$18*$B$21*$B$23,0)</f>
        <v/>
      </c>
      <c r="X32" s="25">
        <f>ROUND($B$4*$B$8*$B$13*$B$17*$B$19*$B$20*$B$22,0)</f>
        <v/>
      </c>
      <c r="Y32" s="25">
        <f>ROUND($B$4*$B$8*$B$13*$B$17*$B$19*$B$20*$B$23,0)</f>
        <v/>
      </c>
      <c r="Z32" s="25">
        <f>ROUND($B$4*$B$8*$B$13*$B$17*$B$19*$B$21*$B$22,0)</f>
        <v/>
      </c>
      <c r="AA32" s="25">
        <f>ROUND($B$4*$B$8*$B$13*$B$17*$B$19*$B$21*$B$23,0)</f>
        <v/>
      </c>
    </row>
    <row r="33" ht="20.1" customHeight="1" s="62">
      <c r="A33" s="81" t="n"/>
      <c r="B33" s="59" t="n"/>
      <c r="C33" s="27" t="inlineStr">
        <is>
          <t>Multi-environnements</t>
        </is>
      </c>
      <c r="D33" s="25">
        <f>ROUND($B$4*$B$8*$B$14*$B$15*$B$18*$B$20*$B$22,0)</f>
        <v/>
      </c>
      <c r="E33" s="25">
        <f>ROUND($B$4*$B$8*$B$14*$B$15*$B$18*$B$20*$B$23,0)</f>
        <v/>
      </c>
      <c r="F33" s="25">
        <f>ROUND($B$4*$B$8*$B$14*$B$15*$B$18*$B$21*$B$22,0)</f>
        <v/>
      </c>
      <c r="G33" s="25">
        <f>ROUND($B$4*$B$8*$B$14*$B$15*$B$18*$B$21*$B$23,0)</f>
        <v/>
      </c>
      <c r="H33" s="25">
        <f>ROUND($B$4*$B$8*$B$14*$B$15*$B$19*$B$20*$B$22,0)</f>
        <v/>
      </c>
      <c r="I33" s="25">
        <f>ROUND($B$4*$B$8*$B$14*$B$15*$B$19*$B$20*$B$23,0)</f>
        <v/>
      </c>
      <c r="J33" s="25">
        <f>ROUND($B$4*$B$8*$B$14*$B$15*$B$19*$B$21*$B$22,0)</f>
        <v/>
      </c>
      <c r="K33" s="25">
        <f>ROUND($B$4*$B$8*$B$14*$B$15*$B$19*$B$21*$B$23,0)</f>
        <v/>
      </c>
      <c r="L33" s="25">
        <f>ROUND($B$4*$B$8*$B$14*$B$16*$B$18*$B$20*$B$22,0)</f>
        <v/>
      </c>
      <c r="M33" s="25">
        <f>ROUND($B$4*$B$8*$B$14*$B$16*$B$18*$B$20*$B$23,0)</f>
        <v/>
      </c>
      <c r="N33" s="25">
        <f>ROUND($B$4*$B$8*$B$14*$B$16*$B$18*$B$21*$B$22,0)</f>
        <v/>
      </c>
      <c r="O33" s="25">
        <f>ROUND($B$4*$B$8*$B$14*$B$16*$B$18*$B$21*$B$23,0)</f>
        <v/>
      </c>
      <c r="P33" s="25">
        <f>ROUND($B$4*$B$8*$B$14*$B$16*$B$19*$B$20*$B$22,0)</f>
        <v/>
      </c>
      <c r="Q33" s="25">
        <f>ROUND($B$4*$B$8*$B$14*$B$16*$B$19*$B$20*$B$23,0)</f>
        <v/>
      </c>
      <c r="R33" s="25">
        <f>ROUND($B$4*$B$8*$B$14*$B$16*$B$19*$B$21*$B$22,0)</f>
        <v/>
      </c>
      <c r="S33" s="25">
        <f>ROUND($B$4*$B$8*$B$14*$B$16*$B$19*$B$21*$B$23,0)</f>
        <v/>
      </c>
      <c r="T33" s="25">
        <f>ROUND($B$4*$B$8*$B$14*$B$17*$B$18*$B$20*$B$22,0)</f>
        <v/>
      </c>
      <c r="U33" s="25">
        <f>ROUND($B$4*$B$8*$B$14*$B$17*$B$18*$B$20*$B$23,0)</f>
        <v/>
      </c>
      <c r="V33" s="25">
        <f>ROUND($B$4*$B$8*$B$14*$B$17*$B$18*$B$21*$B$22,0)</f>
        <v/>
      </c>
      <c r="W33" s="25">
        <f>ROUND($B$4*$B$8*$B$14*$B$17*$B$18*$B$21*$B$23,0)</f>
        <v/>
      </c>
      <c r="X33" s="25">
        <f>ROUND($B$4*$B$8*$B$14*$B$17*$B$19*$B$20*$B$22,0)</f>
        <v/>
      </c>
      <c r="Y33" s="25">
        <f>ROUND($B$4*$B$8*$B$14*$B$17*$B$19*$B$20*$B$23,0)</f>
        <v/>
      </c>
      <c r="Z33" s="25">
        <f>ROUND($B$4*$B$8*$B$14*$B$17*$B$19*$B$21*$B$22,0)</f>
        <v/>
      </c>
      <c r="AA33" s="25">
        <f>ROUND($B$4*$B$8*$B$14*$B$17*$B$19*$B$21*$B$23,0)</f>
        <v/>
      </c>
    </row>
    <row r="34" ht="20.1" customHeight="1" s="62">
      <c r="A34" s="81" t="n"/>
      <c r="B34" s="73" t="inlineStr">
        <is>
          <t>10-30 fonctionnalités</t>
        </is>
      </c>
      <c r="C34" s="24" t="inlineStr">
        <is>
          <t>Web</t>
        </is>
      </c>
      <c r="D34" s="25">
        <f>ROUND($B$4*$B$9*$B$11*$B$15*$B$18*$B$20*$B$22,0)</f>
        <v/>
      </c>
      <c r="E34" s="25">
        <f>ROUND($B$4*$B$9*$B$11*$B$15*$B$18*$B$20*$B$23,0)</f>
        <v/>
      </c>
      <c r="F34" s="25">
        <f>ROUND($B$4*$B$9*$B$11*$B$15*$B$18*$B$21*$B$22,0)</f>
        <v/>
      </c>
      <c r="G34" s="25">
        <f>ROUND($B$4*$B$9*$B$11*$B$15*$B$18*$B$21*$B$23,0)</f>
        <v/>
      </c>
      <c r="H34" s="25">
        <f>ROUND($B$4*$B$9*$B$11*$B$15*$B$19*$B$20*$B$22,0)</f>
        <v/>
      </c>
      <c r="I34" s="25">
        <f>ROUND($B$4*$B$9*$B$11*$B$15*$B$19*$B$20*$B$23,0)</f>
        <v/>
      </c>
      <c r="J34" s="25">
        <f>ROUND($B$4*$B$9*$B$11*$B$15*$B$19*$B$21*$B$22,0)</f>
        <v/>
      </c>
      <c r="K34" s="25">
        <f>ROUND($B$4*$B$9*$B$11*$B$15*$B$19*$B$21*$B$23,0)</f>
        <v/>
      </c>
      <c r="L34" s="25">
        <f>ROUND($B$4*$B$9*$B$11*$B$16*$B$18*$B$20*$B$22,0)</f>
        <v/>
      </c>
      <c r="M34" s="25">
        <f>ROUND($B$4*$B$9*$B$11*$B$16*$B$18*$B$20*$B$23,0)</f>
        <v/>
      </c>
      <c r="N34" s="25">
        <f>ROUND($B$4*$B$9*$B$11*$B$16*$B$18*$B$21*$B$22,0)</f>
        <v/>
      </c>
      <c r="O34" s="25">
        <f>ROUND($B$4*$B$9*$B$11*$B$16*$B$18*$B$21*$B$23,0)</f>
        <v/>
      </c>
      <c r="P34" s="25">
        <f>ROUND($B$4*$B$9*$B$11*$B$16*$B$19*$B$20*$B$22,0)</f>
        <v/>
      </c>
      <c r="Q34" s="25">
        <f>ROUND($B$4*$B$9*$B$11*$B$16*$B$19*$B$20*$B$23,0)</f>
        <v/>
      </c>
      <c r="R34" s="25">
        <f>ROUND($B$4*$B$9*$B$11*$B$16*$B$19*$B$21*$B$22,0)</f>
        <v/>
      </c>
      <c r="S34" s="25">
        <f>ROUND($B$4*$B$9*$B$11*$B$16*$B$19*$B$21*$B$23,0)</f>
        <v/>
      </c>
      <c r="T34" s="25">
        <f>ROUND($B$4*$B$9*$B$11*$B$17*$B$18*$B$20*$B$22,0)</f>
        <v/>
      </c>
      <c r="U34" s="25">
        <f>ROUND($B$4*$B$9*$B$11*$B$17*$B$18*$B$20*$B$23,0)</f>
        <v/>
      </c>
      <c r="V34" s="25">
        <f>ROUND($B$4*$B$9*$B$11*$B$17*$B$18*$B$21*$B$22,0)</f>
        <v/>
      </c>
      <c r="W34" s="25">
        <f>ROUND($B$4*$B$9*$B$11*$B$17*$B$18*$B$21*$B$23,0)</f>
        <v/>
      </c>
      <c r="X34" s="25">
        <f>ROUND($B$4*$B$9*$B$11*$B$17*$B$19*$B$20*$B$22,0)</f>
        <v/>
      </c>
      <c r="Y34" s="25">
        <f>ROUND($B$4*$B$9*$B$11*$B$17*$B$19*$B$20*$B$23,0)</f>
        <v/>
      </c>
      <c r="Z34" s="25">
        <f>ROUND($B$4*$B$9*$B$11*$B$17*$B$19*$B$21*$B$22,0)</f>
        <v/>
      </c>
      <c r="AA34" s="25">
        <f>ROUND($B$4*$B$9*$B$11*$B$17*$B$19*$B$21*$B$23,0)</f>
        <v/>
      </c>
    </row>
    <row r="35" ht="20.1" customHeight="1" s="62">
      <c r="A35" s="81" t="n"/>
      <c r="B35" s="58" t="n"/>
      <c r="C35" s="73" t="inlineStr">
        <is>
          <t>Mobile</t>
        </is>
      </c>
      <c r="D35" s="25">
        <f>ROUND($B$4*$B$9*$B$12*$B$15*$B$18*$B$20*$B$22,0)</f>
        <v/>
      </c>
      <c r="E35" s="25">
        <f>ROUND($B$4*$B$9*$B$12*$B$15*$B$18*$B$20*$B$23,0)</f>
        <v/>
      </c>
      <c r="F35" s="25">
        <f>ROUND($B$4*$B$9*$B$12*$B$15*$B$18*$B$21*$B$22,0)</f>
        <v/>
      </c>
      <c r="G35" s="25">
        <f>ROUND($B$4*$B$9*$B$12*$B$15*$B$18*$B$21*$B$23,0)</f>
        <v/>
      </c>
      <c r="H35" s="25">
        <f>ROUND($B$4*$B$9*$B$12*$B$15*$B$19*$B$20*$B$22,0)</f>
        <v/>
      </c>
      <c r="I35" s="25">
        <f>ROUND($B$4*$B$9*$B$12*$B$15*$B$19*$B$20*$B$23,0)</f>
        <v/>
      </c>
      <c r="J35" s="25">
        <f>ROUND($B$4*$B$9*$B$12*$B$15*$B$19*$B$21*$B$22,0)</f>
        <v/>
      </c>
      <c r="K35" s="25">
        <f>ROUND($B$4*$B$9*$B$12*$B$15*$B$19*$B$21*$B$23,0)</f>
        <v/>
      </c>
      <c r="L35" s="25">
        <f>ROUND($B$4*$B$9*$B$12*$B$16*$B$18*$B$20*$B$22,0)</f>
        <v/>
      </c>
      <c r="M35" s="25">
        <f>ROUND($B$4*$B$9*$B$12*$B$16*$B$18*$B$20*$B$23,0)</f>
        <v/>
      </c>
      <c r="N35" s="25">
        <f>ROUND($B$4*$B$9*$B$12*$B$16*$B$18*$B$21*$B$22,0)</f>
        <v/>
      </c>
      <c r="O35" s="25">
        <f>ROUND($B$4*$B$9*$B$12*$B$16*$B$18*$B$21*$B$23,0)</f>
        <v/>
      </c>
      <c r="P35" s="25">
        <f>ROUND($B$4*$B$9*$B$12*$B$16*$B$19*$B$20*$B$22,0)</f>
        <v/>
      </c>
      <c r="Q35" s="25">
        <f>ROUND($B$4*$B$9*$B$12*$B$16*$B$19*$B$20*$B$23,0)</f>
        <v/>
      </c>
      <c r="R35" s="25">
        <f>ROUND($B$4*$B$9*$B$12*$B$16*$B$19*$B$21*$B$22,0)</f>
        <v/>
      </c>
      <c r="S35" s="25">
        <f>ROUND($B$4*$B$9*$B$12*$B$16*$B$19*$B$21*$B$23,0)</f>
        <v/>
      </c>
      <c r="T35" s="25">
        <f>ROUND($B$4*$B$9*$B$12*$B$17*$B$18*$B$20*$B$22,0)</f>
        <v/>
      </c>
      <c r="U35" s="25">
        <f>ROUND($B$4*$B$9*$B$12*$B$17*$B$18*$B$20*$B$23,0)</f>
        <v/>
      </c>
      <c r="V35" s="25">
        <f>ROUND($B$4*$B$9*$B$12*$B$17*$B$18*$B$21*$B$22,0)</f>
        <v/>
      </c>
      <c r="W35" s="25">
        <f>ROUND($B$4*$B$9*$B$12*$B$17*$B$18*$B$21*$B$23,0)</f>
        <v/>
      </c>
      <c r="X35" s="25">
        <f>ROUND($B$4*$B$9*$B$12*$B$17*$B$19*$B$20*$B$22,0)</f>
        <v/>
      </c>
      <c r="Y35" s="25">
        <f>ROUND($B$4*$B$9*$B$12*$B$17*$B$19*$B$20*$B$23,0)</f>
        <v/>
      </c>
      <c r="Z35" s="25">
        <f>ROUND($B$4*$B$9*$B$12*$B$17*$B$19*$B$21*$B$22,0)</f>
        <v/>
      </c>
      <c r="AA35" s="25">
        <f>ROUND($B$4*$B$9*$B$12*$B$17*$B$19*$B$21*$B$23,0)</f>
        <v/>
      </c>
    </row>
    <row r="36" ht="20.1" customHeight="1" s="62">
      <c r="A36" s="81" t="n"/>
      <c r="B36" s="58" t="n"/>
      <c r="C36" s="26" t="inlineStr">
        <is>
          <t>Desktop</t>
        </is>
      </c>
      <c r="D36" s="25">
        <f>ROUND($B$4*$B$9*$B$13*$B$15*$B$18*$B$20*$B$22,0)</f>
        <v/>
      </c>
      <c r="E36" s="25">
        <f>ROUND($B$4*$B$9*$B$13*$B$15*$B$18*$B$20*$B$23,0)</f>
        <v/>
      </c>
      <c r="F36" s="25">
        <f>ROUND($B$4*$B$9*$B$13*$B$15*$B$18*$B$21*$B$22,0)</f>
        <v/>
      </c>
      <c r="G36" s="25">
        <f>ROUND($B$4*$B$9*$B$13*$B$15*$B$18*$B$21*$B$23,0)</f>
        <v/>
      </c>
      <c r="H36" s="25">
        <f>ROUND($B$4*$B$9*$B$13*$B$15*$B$19*$B$20*$B$22,0)</f>
        <v/>
      </c>
      <c r="I36" s="25">
        <f>ROUND($B$4*$B$9*$B$13*$B$15*$B$19*$B$20*$B$23,0)</f>
        <v/>
      </c>
      <c r="J36" s="25">
        <f>ROUND($B$4*$B$9*$B$13*$B$15*$B$19*$B$21*$B$22,0)</f>
        <v/>
      </c>
      <c r="K36" s="25">
        <f>ROUND($B$4*$B$9*$B$13*$B$15*$B$19*$B$21*$B$23,0)</f>
        <v/>
      </c>
      <c r="L36" s="25">
        <f>ROUND($B$4*$B$9*$B$13*$B$16*$B$18*$B$20*$B$22,0)</f>
        <v/>
      </c>
      <c r="M36" s="25">
        <f>ROUND($B$4*$B$9*$B$13*$B$16*$B$18*$B$20*$B$23,0)</f>
        <v/>
      </c>
      <c r="N36" s="25">
        <f>ROUND($B$4*$B$9*$B$13*$B$16*$B$18*$B$21*$B$22,0)</f>
        <v/>
      </c>
      <c r="O36" s="25">
        <f>ROUND($B$4*$B$9*$B$13*$B$16*$B$18*$B$21*$B$23,0)</f>
        <v/>
      </c>
      <c r="P36" s="25">
        <f>ROUND($B$4*$B$9*$B$13*$B$16*$B$19*$B$20*$B$22,0)</f>
        <v/>
      </c>
      <c r="Q36" s="25">
        <f>ROUND($B$4*$B$9*$B$13*$B$16*$B$19*$B$20*$B$23,0)</f>
        <v/>
      </c>
      <c r="R36" s="25">
        <f>ROUND($B$4*$B$9*$B$13*$B$16*$B$19*$B$21*$B$22,0)</f>
        <v/>
      </c>
      <c r="S36" s="25">
        <f>ROUND($B$4*$B$9*$B$13*$B$16*$B$19*$B$21*$B$23,0)</f>
        <v/>
      </c>
      <c r="T36" s="25">
        <f>ROUND($B$4*$B$9*$B$13*$B$17*$B$18*$B$20*$B$22,0)</f>
        <v/>
      </c>
      <c r="U36" s="25">
        <f>ROUND($B$4*$B$9*$B$13*$B$17*$B$18*$B$20*$B$23,0)</f>
        <v/>
      </c>
      <c r="V36" s="25">
        <f>ROUND($B$4*$B$9*$B$13*$B$17*$B$18*$B$21*$B$22,0)</f>
        <v/>
      </c>
      <c r="W36" s="25">
        <f>ROUND($B$4*$B$9*$B$13*$B$17*$B$18*$B$21*$B$23,0)</f>
        <v/>
      </c>
      <c r="X36" s="25">
        <f>ROUND($B$4*$B$9*$B$13*$B$17*$B$19*$B$20*$B$22,0)</f>
        <v/>
      </c>
      <c r="Y36" s="25">
        <f>ROUND($B$4*$B$9*$B$13*$B$17*$B$19*$B$20*$B$23,0)</f>
        <v/>
      </c>
      <c r="Z36" s="25">
        <f>ROUND($B$4*$B$9*$B$13*$B$17*$B$19*$B$21*$B$22,0)</f>
        <v/>
      </c>
      <c r="AA36" s="25">
        <f>ROUND($B$4*$B$9*$B$13*$B$17*$B$19*$B$21*$B$23,0)</f>
        <v/>
      </c>
    </row>
    <row r="37" ht="20.1" customHeight="1" s="62">
      <c r="A37" s="81" t="n"/>
      <c r="B37" s="59" t="n"/>
      <c r="C37" s="27" t="inlineStr">
        <is>
          <t>Multi-environnements</t>
        </is>
      </c>
      <c r="D37" s="25">
        <f>ROUND($B$4*$B$9*$B$14*$B$15*$B$18*$B$20*$B$22,0)</f>
        <v/>
      </c>
      <c r="E37" s="25">
        <f>ROUND($B$4*$B$9*$B$14*$B$15*$B$18*$B$20*$B$23,0)</f>
        <v/>
      </c>
      <c r="F37" s="25">
        <f>ROUND($B$4*$B$9*$B$14*$B$15*$B$18*$B$21*$B$22,0)</f>
        <v/>
      </c>
      <c r="G37" s="25">
        <f>ROUND($B$4*$B$9*$B$14*$B$15*$B$18*$B$21*$B$23,0)</f>
        <v/>
      </c>
      <c r="H37" s="25">
        <f>ROUND($B$4*$B$9*$B$14*$B$15*$B$19*$B$20*$B$22,0)</f>
        <v/>
      </c>
      <c r="I37" s="25">
        <f>ROUND($B$4*$B$9*$B$14*$B$15*$B$19*$B$20*$B$23,0)</f>
        <v/>
      </c>
      <c r="J37" s="25">
        <f>ROUND($B$4*$B$9*$B$14*$B$15*$B$19*$B$21*$B$22,0)</f>
        <v/>
      </c>
      <c r="K37" s="25">
        <f>ROUND($B$4*$B$9*$B$14*$B$15*$B$19*$B$21*$B$23,0)</f>
        <v/>
      </c>
      <c r="L37" s="25">
        <f>ROUND($B$4*$B$9*$B$14*$B$16*$B$18*$B$20*$B$22,0)</f>
        <v/>
      </c>
      <c r="M37" s="25">
        <f>ROUND($B$4*$B$9*$B$14*$B$16*$B$18*$B$20*$B$23,0)</f>
        <v/>
      </c>
      <c r="N37" s="25">
        <f>ROUND($B$4*$B$9*$B$14*$B$16*$B$18*$B$21*$B$22,0)</f>
        <v/>
      </c>
      <c r="O37" s="25">
        <f>ROUND($B$4*$B$9*$B$14*$B$16*$B$18*$B$21*$B$23,0)</f>
        <v/>
      </c>
      <c r="P37" s="25">
        <f>ROUND($B$4*$B$9*$B$14*$B$16*$B$19*$B$20*$B$22,0)</f>
        <v/>
      </c>
      <c r="Q37" s="25">
        <f>ROUND($B$4*$B$9*$B$14*$B$16*$B$19*$B$20*$B$23,0)</f>
        <v/>
      </c>
      <c r="R37" s="25">
        <f>ROUND($B$4*$B$9*$B$14*$B$16*$B$19*$B$21*$B$22,0)</f>
        <v/>
      </c>
      <c r="S37" s="25">
        <f>ROUND($B$4*$B$9*$B$14*$B$16*$B$19*$B$21*$B$23,0)</f>
        <v/>
      </c>
      <c r="T37" s="25">
        <f>ROUND($B$4*$B$9*$B$14*$B$17*$B$18*$B$20*$B$22,0)</f>
        <v/>
      </c>
      <c r="U37" s="25">
        <f>ROUND($B$4*$B$9*$B$14*$B$17*$B$18*$B$20*$B$23,0)</f>
        <v/>
      </c>
      <c r="V37" s="25">
        <f>ROUND($B$4*$B$9*$B$14*$B$17*$B$18*$B$21*$B$22,0)</f>
        <v/>
      </c>
      <c r="W37" s="25">
        <f>ROUND($B$4*$B$9*$B$14*$B$17*$B$18*$B$21*$B$23,0)</f>
        <v/>
      </c>
      <c r="X37" s="25">
        <f>ROUND($B$4*$B$9*$B$14*$B$17*$B$19*$B$20*$B$22,0)</f>
        <v/>
      </c>
      <c r="Y37" s="25">
        <f>ROUND($B$4*$B$9*$B$14*$B$17*$B$19*$B$20*$B$23,0)</f>
        <v/>
      </c>
      <c r="Z37" s="25">
        <f>ROUND($B$4*$B$9*$B$14*$B$17*$B$19*$B$21*$B$22,0)</f>
        <v/>
      </c>
      <c r="AA37" s="25">
        <f>ROUND($B$4*$B$9*$B$14*$B$17*$B$19*$B$21*$B$23,0)</f>
        <v/>
      </c>
    </row>
    <row r="38" ht="20.1" customHeight="1" s="62">
      <c r="A38" s="81" t="n"/>
      <c r="B38" s="73" t="inlineStr">
        <is>
          <t>30+ fonctionnalités</t>
        </is>
      </c>
      <c r="C38" s="24" t="inlineStr">
        <is>
          <t>Web</t>
        </is>
      </c>
      <c r="D38" s="25">
        <f>ROUND($B$4*$B$10*$B$11*$B$15*$B$18*$B$20*$B$22,0)</f>
        <v/>
      </c>
      <c r="E38" s="25">
        <f>ROUND($B$4*$B$10*$B$11*$B$15*$B$18*$B$20*$B$23,0)</f>
        <v/>
      </c>
      <c r="F38" s="25">
        <f>ROUND($B$4*$B$10*$B$11*$B$15*$B$18*$B$21*$B$22,0)</f>
        <v/>
      </c>
      <c r="G38" s="25">
        <f>ROUND($B$4*$B$10*$B$11*$B$15*$B$18*$B$21*$B$23,0)</f>
        <v/>
      </c>
      <c r="H38" s="25">
        <f>ROUND($B$4*$B$10*$B$11*$B$15*$B$19*$B$20*$B$22,0)</f>
        <v/>
      </c>
      <c r="I38" s="25">
        <f>ROUND($B$4*$B$10*$B$11*$B$15*$B$19*$B$20*$B$23,0)</f>
        <v/>
      </c>
      <c r="J38" s="25">
        <f>ROUND($B$4*$B$10*$B$11*$B$15*$B$19*$B$21*$B$22,0)</f>
        <v/>
      </c>
      <c r="K38" s="25">
        <f>ROUND($B$4*$B$10*$B$11*$B$15*$B$19*$B$21*$B$23,0)</f>
        <v/>
      </c>
      <c r="L38" s="25">
        <f>ROUND($B$4*$B$10*$B$11*$B$16*$B$18*$B$20*$B$22,0)</f>
        <v/>
      </c>
      <c r="M38" s="25">
        <f>ROUND($B$4*$B$10*$B$11*$B$16*$B$18*$B$20*$B$23,0)</f>
        <v/>
      </c>
      <c r="N38" s="25">
        <f>ROUND($B$4*$B$10*$B$11*$B$16*$B$18*$B$21*$B$22,0)</f>
        <v/>
      </c>
      <c r="O38" s="25">
        <f>ROUND($B$4*$B$10*$B$11*$B$16*$B$18*$B$21*$B$23,0)</f>
        <v/>
      </c>
      <c r="P38" s="25">
        <f>ROUND($B$4*$B$10*$B$11*$B$16*$B$19*$B$20*$B$22,0)</f>
        <v/>
      </c>
      <c r="Q38" s="25">
        <f>ROUND($B$4*$B$10*$B$11*$B$16*$B$19*$B$20*$B$23,0)</f>
        <v/>
      </c>
      <c r="R38" s="25">
        <f>ROUND($B$4*$B$10*$B$11*$B$16*$B$19*$B$21*$B$22,0)</f>
        <v/>
      </c>
      <c r="S38" s="25">
        <f>ROUND($B$4*$B$10*$B$11*$B$16*$B$19*$B$21*$B$23,0)</f>
        <v/>
      </c>
      <c r="T38" s="25">
        <f>ROUND($B$4*$B$10*$B$11*$B$17*$B$18*$B$20*$B$22,0)</f>
        <v/>
      </c>
      <c r="U38" s="25">
        <f>ROUND($B$4*$B$10*$B$11*$B$17*$B$18*$B$20*$B$23,0)</f>
        <v/>
      </c>
      <c r="V38" s="25">
        <f>ROUND($B$4*$B$10*$B$11*$B$17*$B$18*$B$21*$B$22,0)</f>
        <v/>
      </c>
      <c r="W38" s="25">
        <f>ROUND($B$4*$B$10*$B$11*$B$17*$B$18*$B$21*$B$23,0)</f>
        <v/>
      </c>
      <c r="X38" s="25">
        <f>ROUND($B$4*$B$10*$B$11*$B$17*$B$19*$B$20*$B$22,0)</f>
        <v/>
      </c>
      <c r="Y38" s="25">
        <f>ROUND($B$4*$B$10*$B$11*$B$17*$B$19*$B$20*$B$23,0)</f>
        <v/>
      </c>
      <c r="Z38" s="25">
        <f>ROUND($B$4*$B$10*$B$11*$B$17*$B$19*$B$21*$B$22,0)</f>
        <v/>
      </c>
      <c r="AA38" s="25">
        <f>ROUND($B$4*$B$10*$B$11*$B$17*$B$19*$B$21*$B$23,0)</f>
        <v/>
      </c>
    </row>
    <row r="39" ht="20.1" customHeight="1" s="62">
      <c r="A39" s="81" t="n"/>
      <c r="B39" s="58" t="n"/>
      <c r="C39" s="73" t="inlineStr">
        <is>
          <t>Mobile</t>
        </is>
      </c>
      <c r="D39" s="25">
        <f>ROUND($B$4*$B$10*$B$12*$B$15*$B$18*$B$20*$B$22,0)</f>
        <v/>
      </c>
      <c r="E39" s="25">
        <f>ROUND($B$4*$B$10*$B$12*$B$15*$B$18*$B$20*$B$23,0)</f>
        <v/>
      </c>
      <c r="F39" s="25">
        <f>ROUND($B$4*$B$10*$B$12*$B$15*$B$18*$B$21*$B$22,0)</f>
        <v/>
      </c>
      <c r="G39" s="25">
        <f>ROUND($B$4*$B$10*$B$12*$B$15*$B$18*$B$21*$B$23,0)</f>
        <v/>
      </c>
      <c r="H39" s="25">
        <f>ROUND($B$4*$B$10*$B$12*$B$15*$B$19*$B$20*$B$22,0)</f>
        <v/>
      </c>
      <c r="I39" s="25">
        <f>ROUND($B$4*$B$10*$B$12*$B$15*$B$19*$B$20*$B$23,0)</f>
        <v/>
      </c>
      <c r="J39" s="25">
        <f>ROUND($B$4*$B$10*$B$12*$B$15*$B$19*$B$21*$B$22,0)</f>
        <v/>
      </c>
      <c r="K39" s="25">
        <f>ROUND($B$4*$B$10*$B$12*$B$15*$B$19*$B$21*$B$23,0)</f>
        <v/>
      </c>
      <c r="L39" s="25">
        <f>ROUND($B$4*$B$10*$B$12*$B$16*$B$18*$B$20*$B$22,0)</f>
        <v/>
      </c>
      <c r="M39" s="25">
        <f>ROUND($B$4*$B$10*$B$12*$B$16*$B$18*$B$20*$B$23,0)</f>
        <v/>
      </c>
      <c r="N39" s="25">
        <f>ROUND($B$4*$B$10*$B$12*$B$16*$B$18*$B$21*$B$22,0)</f>
        <v/>
      </c>
      <c r="O39" s="25">
        <f>ROUND($B$4*$B$10*$B$12*$B$16*$B$18*$B$21*$B$23,0)</f>
        <v/>
      </c>
      <c r="P39" s="25">
        <f>ROUND($B$4*$B$10*$B$12*$B$16*$B$19*$B$20*$B$22,0)</f>
        <v/>
      </c>
      <c r="Q39" s="25">
        <f>ROUND($B$4*$B$10*$B$12*$B$16*$B$19*$B$20*$B$23,0)</f>
        <v/>
      </c>
      <c r="R39" s="25">
        <f>ROUND($B$4*$B$10*$B$12*$B$16*$B$19*$B$21*$B$22,0)</f>
        <v/>
      </c>
      <c r="S39" s="25">
        <f>ROUND($B$4*$B$10*$B$12*$B$16*$B$19*$B$21*$B$23,0)</f>
        <v/>
      </c>
      <c r="T39" s="25">
        <f>ROUND($B$4*$B$10*$B$12*$B$17*$B$18*$B$20*$B$22,0)</f>
        <v/>
      </c>
      <c r="U39" s="25">
        <f>ROUND($B$4*$B$10*$B$12*$B$17*$B$18*$B$20*$B$23,0)</f>
        <v/>
      </c>
      <c r="V39" s="25">
        <f>ROUND($B$4*$B$10*$B$12*$B$17*$B$18*$B$21*$B$22,0)</f>
        <v/>
      </c>
      <c r="W39" s="25">
        <f>ROUND($B$4*$B$10*$B$12*$B$17*$B$18*$B$21*$B$23,0)</f>
        <v/>
      </c>
      <c r="X39" s="25">
        <f>ROUND($B$4*$B$10*$B$12*$B$17*$B$19*$B$20*$B$22,0)</f>
        <v/>
      </c>
      <c r="Y39" s="25">
        <f>ROUND($B$4*$B$10*$B$12*$B$17*$B$19*$B$20*$B$23,0)</f>
        <v/>
      </c>
      <c r="Z39" s="25">
        <f>ROUND($B$4*$B$10*$B$12*$B$17*$B$19*$B$21*$B$22,0)</f>
        <v/>
      </c>
      <c r="AA39" s="25">
        <f>ROUND($B$4*$B$10*$B$12*$B$17*$B$19*$B$21*$B$23,0)</f>
        <v/>
      </c>
    </row>
    <row r="40" ht="20.1" customHeight="1" s="62">
      <c r="A40" s="81" t="n"/>
      <c r="B40" s="58" t="n"/>
      <c r="C40" s="26" t="inlineStr">
        <is>
          <t>Desktop</t>
        </is>
      </c>
      <c r="D40" s="25">
        <f>ROUND($B$4*$B$10*$B$13*$B$15*$B$18*$B$20*$B$22,0)</f>
        <v/>
      </c>
      <c r="E40" s="25">
        <f>ROUND($B$4*$B$10*$B$13*$B$15*$B$18*$B$20*$B$23,0)</f>
        <v/>
      </c>
      <c r="F40" s="25">
        <f>ROUND($B$4*$B$10*$B$13*$B$15*$B$18*$B$21*$B$22,0)</f>
        <v/>
      </c>
      <c r="G40" s="25">
        <f>ROUND($B$4*$B$10*$B$13*$B$15*$B$18*$B$21*$B$23,0)</f>
        <v/>
      </c>
      <c r="H40" s="25">
        <f>ROUND($B$4*$B$10*$B$13*$B$15*$B$19*$B$20*$B$22,0)</f>
        <v/>
      </c>
      <c r="I40" s="25">
        <f>ROUND($B$4*$B$10*$B$13*$B$15*$B$19*$B$20*$B$23,0)</f>
        <v/>
      </c>
      <c r="J40" s="25">
        <f>ROUND($B$4*$B$10*$B$13*$B$15*$B$19*$B$21*$B$22,0)</f>
        <v/>
      </c>
      <c r="K40" s="25">
        <f>ROUND($B$4*$B$10*$B$13*$B$15*$B$19*$B$21*$B$23,0)</f>
        <v/>
      </c>
      <c r="L40" s="25">
        <f>ROUND($B$4*$B$10*$B$13*$B$16*$B$18*$B$20*$B$22,0)</f>
        <v/>
      </c>
      <c r="M40" s="25">
        <f>ROUND($B$4*$B$10*$B$13*$B$16*$B$18*$B$20*$B$23,0)</f>
        <v/>
      </c>
      <c r="N40" s="25">
        <f>ROUND($B$4*$B$10*$B$13*$B$16*$B$18*$B$21*$B$22,0)</f>
        <v/>
      </c>
      <c r="O40" s="25">
        <f>ROUND($B$4*$B$10*$B$13*$B$16*$B$18*$B$21*$B$23,0)</f>
        <v/>
      </c>
      <c r="P40" s="25">
        <f>ROUND($B$4*$B$10*$B$13*$B$16*$B$19*$B$20*$B$22,0)</f>
        <v/>
      </c>
      <c r="Q40" s="25">
        <f>ROUND($B$4*$B$10*$B$13*$B$16*$B$19*$B$20*$B$23,0)</f>
        <v/>
      </c>
      <c r="R40" s="25">
        <f>ROUND($B$4*$B$10*$B$13*$B$16*$B$19*$B$21*$B$22,0)</f>
        <v/>
      </c>
      <c r="S40" s="25">
        <f>ROUND($B$4*$B$10*$B$13*$B$16*$B$19*$B$21*$B$23,0)</f>
        <v/>
      </c>
      <c r="T40" s="25">
        <f>ROUND($B$4*$B$10*$B$13*$B$17*$B$18*$B$20*$B$22,0)</f>
        <v/>
      </c>
      <c r="U40" s="25">
        <f>ROUND($B$4*$B$10*$B$13*$B$17*$B$18*$B$20*$B$23,0)</f>
        <v/>
      </c>
      <c r="V40" s="25">
        <f>ROUND($B$4*$B$10*$B$13*$B$17*$B$18*$B$21*$B$22,0)</f>
        <v/>
      </c>
      <c r="W40" s="25">
        <f>ROUND($B$4*$B$10*$B$13*$B$17*$B$18*$B$21*$B$23,0)</f>
        <v/>
      </c>
      <c r="X40" s="25">
        <f>ROUND($B$4*$B$10*$B$13*$B$17*$B$19*$B$20*$B$22,0)</f>
        <v/>
      </c>
      <c r="Y40" s="25">
        <f>ROUND($B$4*$B$10*$B$13*$B$17*$B$19*$B$20*$B$23,0)</f>
        <v/>
      </c>
      <c r="Z40" s="25">
        <f>ROUND($B$4*$B$10*$B$13*$B$17*$B$19*$B$21*$B$22,0)</f>
        <v/>
      </c>
      <c r="AA40" s="25">
        <f>ROUND($B$4*$B$10*$B$13*$B$17*$B$19*$B$21*$B$23,0)</f>
        <v/>
      </c>
    </row>
    <row r="41" ht="20.1" customHeight="1" s="62">
      <c r="A41" s="82" t="n"/>
      <c r="B41" s="59" t="n"/>
      <c r="C41" s="27" t="inlineStr">
        <is>
          <t>Multi-environnements</t>
        </is>
      </c>
      <c r="D41" s="25">
        <f>ROUND($B$4*$B$10*$B$14*$B$15*$B$18*$B$20*$B$22,0)</f>
        <v/>
      </c>
      <c r="E41" s="25">
        <f>ROUND($B$4*$B$10*$B$14*$B$15*$B$18*$B$20*$B$23,0)</f>
        <v/>
      </c>
      <c r="F41" s="25">
        <f>ROUND($B$4*$B$10*$B$14*$B$15*$B$18*$B$21*$B$22,0)</f>
        <v/>
      </c>
      <c r="G41" s="25">
        <f>ROUND($B$4*$B$10*$B$14*$B$15*$B$18*$B$21*$B$23,0)</f>
        <v/>
      </c>
      <c r="H41" s="25">
        <f>ROUND($B$4*$B$10*$B$14*$B$15*$B$19*$B$20*$B$22,0)</f>
        <v/>
      </c>
      <c r="I41" s="25">
        <f>ROUND($B$4*$B$10*$B$14*$B$15*$B$19*$B$20*$B$23,0)</f>
        <v/>
      </c>
      <c r="J41" s="25">
        <f>ROUND($B$4*$B$10*$B$14*$B$15*$B$19*$B$21*$B$22,0)</f>
        <v/>
      </c>
      <c r="K41" s="25">
        <f>ROUND($B$4*$B$10*$B$14*$B$15*$B$19*$B$21*$B$23,0)</f>
        <v/>
      </c>
      <c r="L41" s="25">
        <f>ROUND($B$4*$B$10*$B$14*$B$16*$B$18*$B$20*$B$22,0)</f>
        <v/>
      </c>
      <c r="M41" s="25">
        <f>ROUND($B$4*$B$10*$B$14*$B$16*$B$18*$B$20*$B$23,0)</f>
        <v/>
      </c>
      <c r="N41" s="25">
        <f>ROUND($B$4*$B$10*$B$14*$B$16*$B$18*$B$21*$B$22,0)</f>
        <v/>
      </c>
      <c r="O41" s="25">
        <f>ROUND($B$4*$B$10*$B$14*$B$16*$B$18*$B$21*$B$23,0)</f>
        <v/>
      </c>
      <c r="P41" s="25">
        <f>ROUND($B$4*$B$10*$B$14*$B$16*$B$19*$B$20*$B$22,0)</f>
        <v/>
      </c>
      <c r="Q41" s="25">
        <f>ROUND($B$4*$B$10*$B$14*$B$16*$B$19*$B$20*$B$23,0)</f>
        <v/>
      </c>
      <c r="R41" s="25">
        <f>ROUND($B$4*$B$10*$B$14*$B$16*$B$19*$B$21*$B$22,0)</f>
        <v/>
      </c>
      <c r="S41" s="25">
        <f>ROUND($B$4*$B$10*$B$14*$B$16*$B$19*$B$21*$B$23,0)</f>
        <v/>
      </c>
      <c r="T41" s="25">
        <f>ROUND($B$4*$B$10*$B$14*$B$17*$B$18*$B$20*$B$22,0)</f>
        <v/>
      </c>
      <c r="U41" s="25">
        <f>ROUND($B$4*$B$10*$B$14*$B$17*$B$18*$B$20*$B$23,0)</f>
        <v/>
      </c>
      <c r="V41" s="25">
        <f>ROUND($B$4*$B$10*$B$14*$B$17*$B$18*$B$21*$B$22,0)</f>
        <v/>
      </c>
      <c r="W41" s="25">
        <f>ROUND($B$4*$B$10*$B$14*$B$17*$B$18*$B$21*$B$23,0)</f>
        <v/>
      </c>
      <c r="X41" s="25">
        <f>ROUND($B$4*$B$10*$B$14*$B$17*$B$19*$B$20*$B$22,0)</f>
        <v/>
      </c>
      <c r="Y41" s="25">
        <f>ROUND($B$4*$B$10*$B$14*$B$17*$B$19*$B$20*$B$23,0)</f>
        <v/>
      </c>
      <c r="Z41" s="25">
        <f>ROUND($B$4*$B$10*$B$14*$B$17*$B$19*$B$21*$B$22,0)</f>
        <v/>
      </c>
      <c r="AA41" s="25">
        <f>ROUND($B$4*$B$10*$B$14*$B$17*$B$19*$B$21*$B$23,0)</f>
        <v/>
      </c>
    </row>
    <row r="42" ht="20.1" customHeight="1" s="62">
      <c r="A42" s="80" t="inlineStr">
        <is>
          <t>Application structurée</t>
        </is>
      </c>
      <c r="B42" s="73" t="inlineStr">
        <is>
          <t>&lt; 10 fonctionnalités</t>
        </is>
      </c>
      <c r="C42" s="24" t="inlineStr">
        <is>
          <t>Web</t>
        </is>
      </c>
      <c r="D42" s="25">
        <f>ROUND($B$5*$B$8*$B$11*$B$15*$B$18*$B$20*$B$22,0)</f>
        <v/>
      </c>
      <c r="E42" s="25">
        <f>ROUND($B$5*$B$8*$B$11*$B$15*$B$18*$B$20*$B$23,0)</f>
        <v/>
      </c>
      <c r="F42" s="25">
        <f>ROUND($B$5*$B$8*$B$11*$B$15*$B$18*$B$21*$B$22,0)</f>
        <v/>
      </c>
      <c r="G42" s="25">
        <f>ROUND($B$5*$B$8*$B$11*$B$15*$B$18*$B$21*$B$23,0)</f>
        <v/>
      </c>
      <c r="H42" s="25">
        <f>ROUND($B$5*$B$8*$B$11*$B$15*$B$19*$B$20*$B$22,0)</f>
        <v/>
      </c>
      <c r="I42" s="25">
        <f>ROUND($B$5*$B$8*$B$11*$B$15*$B$19*$B$20*$B$23,0)</f>
        <v/>
      </c>
      <c r="J42" s="25">
        <f>ROUND($B$5*$B$8*$B$11*$B$15*$B$19*$B$21*$B$22,0)</f>
        <v/>
      </c>
      <c r="K42" s="25">
        <f>ROUND($B$5*$B$8*$B$11*$B$15*$B$19*$B$21*$B$23,0)</f>
        <v/>
      </c>
      <c r="L42" s="25">
        <f>ROUND($B$5*$B$8*$B$11*$B$16*$B$18*$B$20*$B$22,0)</f>
        <v/>
      </c>
      <c r="M42" s="25">
        <f>ROUND($B$5*$B$8*$B$11*$B$16*$B$18*$B$20*$B$23,0)</f>
        <v/>
      </c>
      <c r="N42" s="25">
        <f>ROUND($B$5*$B$8*$B$11*$B$16*$B$18*$B$21*$B$22,0)</f>
        <v/>
      </c>
      <c r="O42" s="25">
        <f>ROUND($B$5*$B$8*$B$11*$B$16*$B$18*$B$21*$B$23,0)</f>
        <v/>
      </c>
      <c r="P42" s="25">
        <f>ROUND($B$5*$B$8*$B$11*$B$16*$B$19*$B$20*$B$22,0)</f>
        <v/>
      </c>
      <c r="Q42" s="25">
        <f>ROUND($B$5*$B$8*$B$11*$B$16*$B$19*$B$20*$B$23,0)</f>
        <v/>
      </c>
      <c r="R42" s="25">
        <f>ROUND($B$5*$B$8*$B$11*$B$16*$B$19*$B$21*$B$22,0)</f>
        <v/>
      </c>
      <c r="S42" s="25">
        <f>ROUND($B$5*$B$8*$B$11*$B$16*$B$19*$B$21*$B$23,0)</f>
        <v/>
      </c>
      <c r="T42" s="25">
        <f>ROUND($B$5*$B$8*$B$11*$B$17*$B$18*$B$20*$B$22,0)</f>
        <v/>
      </c>
      <c r="U42" s="25">
        <f>ROUND($B$5*$B$8*$B$11*$B$17*$B$18*$B$20*$B$23,0)</f>
        <v/>
      </c>
      <c r="V42" s="25">
        <f>ROUND($B$5*$B$8*$B$11*$B$17*$B$18*$B$21*$B$22,0)</f>
        <v/>
      </c>
      <c r="W42" s="25">
        <f>ROUND($B$5*$B$8*$B$11*$B$17*$B$18*$B$21*$B$23,0)</f>
        <v/>
      </c>
      <c r="X42" s="25">
        <f>ROUND($B$5*$B$8*$B$11*$B$17*$B$19*$B$20*$B$22,0)</f>
        <v/>
      </c>
      <c r="Y42" s="25">
        <f>ROUND($B$5*$B$8*$B$11*$B$17*$B$19*$B$20*$B$23,0)</f>
        <v/>
      </c>
      <c r="Z42" s="25">
        <f>ROUND($B$5*$B$8*$B$11*$B$17*$B$19*$B$21*$B$22,0)</f>
        <v/>
      </c>
      <c r="AA42" s="25">
        <f>ROUND($B$5*$B$8*$B$11*$B$17*$B$19*$B$21*$B$23,0)</f>
        <v/>
      </c>
    </row>
    <row r="43" ht="20.1" customHeight="1" s="62">
      <c r="A43" s="81" t="n"/>
      <c r="B43" s="58" t="n"/>
      <c r="C43" s="73" t="inlineStr">
        <is>
          <t>Mobile</t>
        </is>
      </c>
      <c r="D43" s="25">
        <f>ROUND($B$5*$B$8*$B$12*$B$15*$B$18*$B$20*$B$22,0)</f>
        <v/>
      </c>
      <c r="E43" s="25">
        <f>ROUND($B$5*$B$8*$B$12*$B$15*$B$18*$B$20*$B$23,0)</f>
        <v/>
      </c>
      <c r="F43" s="25">
        <f>ROUND($B$5*$B$8*$B$12*$B$15*$B$18*$B$21*$B$22,0)</f>
        <v/>
      </c>
      <c r="G43" s="25">
        <f>ROUND($B$5*$B$8*$B$12*$B$15*$B$18*$B$21*$B$23,0)</f>
        <v/>
      </c>
      <c r="H43" s="25">
        <f>ROUND($B$5*$B$8*$B$12*$B$15*$B$19*$B$20*$B$22,0)</f>
        <v/>
      </c>
      <c r="I43" s="25">
        <f>ROUND($B$5*$B$8*$B$12*$B$15*$B$19*$B$20*$B$23,0)</f>
        <v/>
      </c>
      <c r="J43" s="25">
        <f>ROUND($B$5*$B$8*$B$12*$B$15*$B$19*$B$21*$B$22,0)</f>
        <v/>
      </c>
      <c r="K43" s="25">
        <f>ROUND($B$5*$B$8*$B$12*$B$15*$B$19*$B$21*$B$23,0)</f>
        <v/>
      </c>
      <c r="L43" s="25">
        <f>ROUND($B$5*$B$8*$B$12*$B$16*$B$18*$B$20*$B$22,0)</f>
        <v/>
      </c>
      <c r="M43" s="25">
        <f>ROUND($B$5*$B$8*$B$12*$B$16*$B$18*$B$20*$B$23,0)</f>
        <v/>
      </c>
      <c r="N43" s="25">
        <f>ROUND($B$5*$B$8*$B$12*$B$16*$B$18*$B$21*$B$22,0)</f>
        <v/>
      </c>
      <c r="O43" s="25">
        <f>ROUND($B$5*$B$8*$B$12*$B$16*$B$18*$B$21*$B$23,0)</f>
        <v/>
      </c>
      <c r="P43" s="25">
        <f>ROUND($B$5*$B$8*$B$12*$B$16*$B$19*$B$20*$B$22,0)</f>
        <v/>
      </c>
      <c r="Q43" s="25">
        <f>ROUND($B$5*$B$8*$B$12*$B$16*$B$19*$B$20*$B$23,0)</f>
        <v/>
      </c>
      <c r="R43" s="25">
        <f>ROUND($B$5*$B$8*$B$12*$B$16*$B$19*$B$21*$B$22,0)</f>
        <v/>
      </c>
      <c r="S43" s="25">
        <f>ROUND($B$5*$B$8*$B$12*$B$16*$B$19*$B$21*$B$23,0)</f>
        <v/>
      </c>
      <c r="T43" s="25">
        <f>ROUND($B$5*$B$8*$B$12*$B$17*$B$18*$B$20*$B$22,0)</f>
        <v/>
      </c>
      <c r="U43" s="25">
        <f>ROUND($B$5*$B$8*$B$12*$B$17*$B$18*$B$20*$B$23,0)</f>
        <v/>
      </c>
      <c r="V43" s="25">
        <f>ROUND($B$5*$B$8*$B$12*$B$17*$B$18*$B$21*$B$22,0)</f>
        <v/>
      </c>
      <c r="W43" s="25">
        <f>ROUND($B$5*$B$8*$B$12*$B$17*$B$18*$B$21*$B$23,0)</f>
        <v/>
      </c>
      <c r="X43" s="25">
        <f>ROUND($B$5*$B$8*$B$12*$B$17*$B$19*$B$20*$B$22,0)</f>
        <v/>
      </c>
      <c r="Y43" s="25">
        <f>ROUND($B$5*$B$8*$B$12*$B$17*$B$19*$B$20*$B$23,0)</f>
        <v/>
      </c>
      <c r="Z43" s="25">
        <f>ROUND($B$5*$B$8*$B$12*$B$17*$B$19*$B$21*$B$22,0)</f>
        <v/>
      </c>
      <c r="AA43" s="25">
        <f>ROUND($B$5*$B$8*$B$12*$B$17*$B$19*$B$21*$B$23,0)</f>
        <v/>
      </c>
    </row>
    <row r="44" ht="20.1" customHeight="1" s="62">
      <c r="A44" s="81" t="n"/>
      <c r="B44" s="58" t="n"/>
      <c r="C44" s="26" t="inlineStr">
        <is>
          <t>Desktop</t>
        </is>
      </c>
      <c r="D44" s="25">
        <f>ROUND($B$5*$B$8*$B$13*$B$15*$B$18*$B$20*$B$22,0)</f>
        <v/>
      </c>
      <c r="E44" s="25">
        <f>ROUND($B$5*$B$8*$B$13*$B$15*$B$18*$B$20*$B$23,0)</f>
        <v/>
      </c>
      <c r="F44" s="25">
        <f>ROUND($B$5*$B$8*$B$13*$B$15*$B$18*$B$21*$B$22,0)</f>
        <v/>
      </c>
      <c r="G44" s="25">
        <f>ROUND($B$5*$B$8*$B$13*$B$15*$B$18*$B$21*$B$23,0)</f>
        <v/>
      </c>
      <c r="H44" s="25">
        <f>ROUND($B$5*$B$8*$B$13*$B$15*$B$19*$B$20*$B$22,0)</f>
        <v/>
      </c>
      <c r="I44" s="25">
        <f>ROUND($B$5*$B$8*$B$13*$B$15*$B$19*$B$20*$B$23,0)</f>
        <v/>
      </c>
      <c r="J44" s="25">
        <f>ROUND($B$5*$B$8*$B$13*$B$15*$B$19*$B$21*$B$22,0)</f>
        <v/>
      </c>
      <c r="K44" s="25">
        <f>ROUND($B$5*$B$8*$B$13*$B$15*$B$19*$B$21*$B$23,0)</f>
        <v/>
      </c>
      <c r="L44" s="25">
        <f>ROUND($B$5*$B$8*$B$13*$B$16*$B$18*$B$20*$B$22,0)</f>
        <v/>
      </c>
      <c r="M44" s="25">
        <f>ROUND($B$5*$B$8*$B$13*$B$16*$B$18*$B$20*$B$23,0)</f>
        <v/>
      </c>
      <c r="N44" s="25">
        <f>ROUND($B$5*$B$8*$B$13*$B$16*$B$18*$B$21*$B$22,0)</f>
        <v/>
      </c>
      <c r="O44" s="25">
        <f>ROUND($B$5*$B$8*$B$13*$B$16*$B$18*$B$21*$B$23,0)</f>
        <v/>
      </c>
      <c r="P44" s="25">
        <f>ROUND($B$5*$B$8*$B$13*$B$16*$B$19*$B$20*$B$22,0)</f>
        <v/>
      </c>
      <c r="Q44" s="25">
        <f>ROUND($B$5*$B$8*$B$13*$B$16*$B$19*$B$20*$B$23,0)</f>
        <v/>
      </c>
      <c r="R44" s="25">
        <f>ROUND($B$5*$B$8*$B$13*$B$16*$B$19*$B$21*$B$22,0)</f>
        <v/>
      </c>
      <c r="S44" s="25">
        <f>ROUND($B$5*$B$8*$B$13*$B$16*$B$19*$B$21*$B$23,0)</f>
        <v/>
      </c>
      <c r="T44" s="25">
        <f>ROUND($B$5*$B$8*$B$13*$B$17*$B$18*$B$20*$B$22,0)</f>
        <v/>
      </c>
      <c r="U44" s="25">
        <f>ROUND($B$5*$B$8*$B$13*$B$17*$B$18*$B$20*$B$23,0)</f>
        <v/>
      </c>
      <c r="V44" s="25">
        <f>ROUND($B$5*$B$8*$B$13*$B$17*$B$18*$B$21*$B$22,0)</f>
        <v/>
      </c>
      <c r="W44" s="25">
        <f>ROUND($B$5*$B$8*$B$13*$B$17*$B$18*$B$21*$B$23,0)</f>
        <v/>
      </c>
      <c r="X44" s="25">
        <f>ROUND($B$5*$B$8*$B$13*$B$17*$B$19*$B$20*$B$22,0)</f>
        <v/>
      </c>
      <c r="Y44" s="25">
        <f>ROUND($B$5*$B$8*$B$13*$B$17*$B$19*$B$20*$B$23,0)</f>
        <v/>
      </c>
      <c r="Z44" s="25">
        <f>ROUND($B$5*$B$8*$B$13*$B$17*$B$19*$B$21*$B$22,0)</f>
        <v/>
      </c>
      <c r="AA44" s="25">
        <f>ROUND($B$5*$B$8*$B$13*$B$17*$B$19*$B$21*$B$23,0)</f>
        <v/>
      </c>
    </row>
    <row r="45" ht="20.1" customHeight="1" s="62">
      <c r="A45" s="81" t="n"/>
      <c r="B45" s="59" t="n"/>
      <c r="C45" s="27" t="inlineStr">
        <is>
          <t>Multi-environnements</t>
        </is>
      </c>
      <c r="D45" s="25">
        <f>ROUND($B$5*$B$8*$B$14*$B$15*$B$18*$B$20*$B$22,0)</f>
        <v/>
      </c>
      <c r="E45" s="25">
        <f>ROUND($B$5*$B$8*$B$14*$B$15*$B$18*$B$20*$B$23,0)</f>
        <v/>
      </c>
      <c r="F45" s="25">
        <f>ROUND($B$5*$B$8*$B$14*$B$15*$B$18*$B$21*$B$22,0)</f>
        <v/>
      </c>
      <c r="G45" s="25">
        <f>ROUND($B$5*$B$8*$B$14*$B$15*$B$18*$B$21*$B$23,0)</f>
        <v/>
      </c>
      <c r="H45" s="25">
        <f>ROUND($B$5*$B$8*$B$14*$B$15*$B$19*$B$20*$B$22,0)</f>
        <v/>
      </c>
      <c r="I45" s="25">
        <f>ROUND($B$5*$B$8*$B$14*$B$15*$B$19*$B$20*$B$23,0)</f>
        <v/>
      </c>
      <c r="J45" s="25">
        <f>ROUND($B$5*$B$8*$B$14*$B$15*$B$19*$B$21*$B$22,0)</f>
        <v/>
      </c>
      <c r="K45" s="25">
        <f>ROUND($B$5*$B$8*$B$14*$B$15*$B$19*$B$21*$B$23,0)</f>
        <v/>
      </c>
      <c r="L45" s="25">
        <f>ROUND($B$5*$B$8*$B$14*$B$16*$B$18*$B$20*$B$22,0)</f>
        <v/>
      </c>
      <c r="M45" s="25">
        <f>ROUND($B$5*$B$8*$B$14*$B$16*$B$18*$B$20*$B$23,0)</f>
        <v/>
      </c>
      <c r="N45" s="25">
        <f>ROUND($B$5*$B$8*$B$14*$B$16*$B$18*$B$21*$B$22,0)</f>
        <v/>
      </c>
      <c r="O45" s="25">
        <f>ROUND($B$5*$B$8*$B$14*$B$16*$B$18*$B$21*$B$23,0)</f>
        <v/>
      </c>
      <c r="P45" s="25">
        <f>ROUND($B$5*$B$8*$B$14*$B$16*$B$19*$B$20*$B$22,0)</f>
        <v/>
      </c>
      <c r="Q45" s="25">
        <f>ROUND($B$5*$B$8*$B$14*$B$16*$B$19*$B$20*$B$23,0)</f>
        <v/>
      </c>
      <c r="R45" s="25">
        <f>ROUND($B$5*$B$8*$B$14*$B$16*$B$19*$B$21*$B$22,0)</f>
        <v/>
      </c>
      <c r="S45" s="25">
        <f>ROUND($B$5*$B$8*$B$14*$B$16*$B$19*$B$21*$B$23,0)</f>
        <v/>
      </c>
      <c r="T45" s="25">
        <f>ROUND($B$5*$B$8*$B$14*$B$17*$B$18*$B$20*$B$22,0)</f>
        <v/>
      </c>
      <c r="U45" s="25">
        <f>ROUND($B$5*$B$8*$B$14*$B$17*$B$18*$B$20*$B$23,0)</f>
        <v/>
      </c>
      <c r="V45" s="25">
        <f>ROUND($B$5*$B$8*$B$14*$B$17*$B$18*$B$21*$B$22,0)</f>
        <v/>
      </c>
      <c r="W45" s="25">
        <f>ROUND($B$5*$B$8*$B$14*$B$17*$B$18*$B$21*$B$23,0)</f>
        <v/>
      </c>
      <c r="X45" s="25">
        <f>ROUND($B$5*$B$8*$B$14*$B$17*$B$19*$B$20*$B$22,0)</f>
        <v/>
      </c>
      <c r="Y45" s="25">
        <f>ROUND($B$5*$B$8*$B$14*$B$17*$B$19*$B$20*$B$23,0)</f>
        <v/>
      </c>
      <c r="Z45" s="25">
        <f>ROUND($B$5*$B$8*$B$14*$B$17*$B$19*$B$21*$B$22,0)</f>
        <v/>
      </c>
      <c r="AA45" s="25">
        <f>ROUND($B$5*$B$8*$B$14*$B$17*$B$19*$B$21*$B$23,0)</f>
        <v/>
      </c>
    </row>
    <row r="46" ht="20.1" customHeight="1" s="62">
      <c r="A46" s="81" t="n"/>
      <c r="B46" s="73" t="inlineStr">
        <is>
          <t>10-30 fonctionnalités</t>
        </is>
      </c>
      <c r="C46" s="24" t="inlineStr">
        <is>
          <t>Web</t>
        </is>
      </c>
      <c r="D46" s="25">
        <f>ROUND($B$5*$B$9*$B$11*$B$15*$B$18*$B$20*$B$22,0)</f>
        <v/>
      </c>
      <c r="E46" s="25">
        <f>ROUND($B$5*$B$9*$B$11*$B$15*$B$18*$B$20*$B$23,0)</f>
        <v/>
      </c>
      <c r="F46" s="25">
        <f>ROUND($B$5*$B$9*$B$11*$B$15*$B$18*$B$21*$B$22,0)</f>
        <v/>
      </c>
      <c r="G46" s="25">
        <f>ROUND($B$5*$B$9*$B$11*$B$15*$B$18*$B$21*$B$23,0)</f>
        <v/>
      </c>
      <c r="H46" s="25">
        <f>ROUND($B$5*$B$9*$B$11*$B$15*$B$19*$B$20*$B$22,0)</f>
        <v/>
      </c>
      <c r="I46" s="25">
        <f>ROUND($B$5*$B$9*$B$11*$B$15*$B$19*$B$20*$B$23,0)</f>
        <v/>
      </c>
      <c r="J46" s="25">
        <f>ROUND($B$5*$B$9*$B$11*$B$15*$B$19*$B$21*$B$22,0)</f>
        <v/>
      </c>
      <c r="K46" s="25">
        <f>ROUND($B$5*$B$9*$B$11*$B$15*$B$19*$B$21*$B$23,0)</f>
        <v/>
      </c>
      <c r="L46" s="25">
        <f>ROUND($B$5*$B$9*$B$11*$B$16*$B$18*$B$20*$B$22,0)</f>
        <v/>
      </c>
      <c r="M46" s="25">
        <f>ROUND($B$5*$B$9*$B$11*$B$16*$B$18*$B$20*$B$23,0)</f>
        <v/>
      </c>
      <c r="N46" s="25">
        <f>ROUND($B$5*$B$9*$B$11*$B$16*$B$18*$B$21*$B$22,0)</f>
        <v/>
      </c>
      <c r="O46" s="25">
        <f>ROUND($B$5*$B$9*$B$11*$B$16*$B$18*$B$21*$B$23,0)</f>
        <v/>
      </c>
      <c r="P46" s="25">
        <f>ROUND($B$5*$B$9*$B$11*$B$16*$B$19*$B$20*$B$22,0)</f>
        <v/>
      </c>
      <c r="Q46" s="25">
        <f>ROUND($B$5*$B$9*$B$11*$B$16*$B$19*$B$20*$B$23,0)</f>
        <v/>
      </c>
      <c r="R46" s="25">
        <f>ROUND($B$5*$B$9*$B$11*$B$16*$B$19*$B$21*$B$22,0)</f>
        <v/>
      </c>
      <c r="S46" s="25">
        <f>ROUND($B$5*$B$9*$B$11*$B$16*$B$19*$B$21*$B$23,0)</f>
        <v/>
      </c>
      <c r="T46" s="25">
        <f>ROUND($B$5*$B$9*$B$11*$B$17*$B$18*$B$20*$B$22,0)</f>
        <v/>
      </c>
      <c r="U46" s="25">
        <f>ROUND($B$5*$B$9*$B$11*$B$17*$B$18*$B$20*$B$23,0)</f>
        <v/>
      </c>
      <c r="V46" s="25">
        <f>ROUND($B$5*$B$9*$B$11*$B$17*$B$18*$B$21*$B$22,0)</f>
        <v/>
      </c>
      <c r="W46" s="25">
        <f>ROUND($B$5*$B$9*$B$11*$B$17*$B$18*$B$21*$B$23,0)</f>
        <v/>
      </c>
      <c r="X46" s="25">
        <f>ROUND($B$5*$B$9*$B$11*$B$17*$B$19*$B$20*$B$22,0)</f>
        <v/>
      </c>
      <c r="Y46" s="25">
        <f>ROUND($B$5*$B$9*$B$11*$B$17*$B$19*$B$20*$B$23,0)</f>
        <v/>
      </c>
      <c r="Z46" s="25">
        <f>ROUND($B$5*$B$9*$B$11*$B$17*$B$19*$B$21*$B$22,0)</f>
        <v/>
      </c>
      <c r="AA46" s="25">
        <f>ROUND($B$5*$B$9*$B$11*$B$17*$B$19*$B$21*$B$23,0)</f>
        <v/>
      </c>
    </row>
    <row r="47" ht="20.1" customHeight="1" s="62">
      <c r="A47" s="81" t="n"/>
      <c r="B47" s="58" t="n"/>
      <c r="C47" s="73" t="inlineStr">
        <is>
          <t>Mobile</t>
        </is>
      </c>
      <c r="D47" s="25">
        <f>ROUND($B$5*$B$9*$B$12*$B$15*$B$18*$B$20*$B$22,0)</f>
        <v/>
      </c>
      <c r="E47" s="25">
        <f>ROUND($B$5*$B$9*$B$12*$B$15*$B$18*$B$20*$B$23,0)</f>
        <v/>
      </c>
      <c r="F47" s="25">
        <f>ROUND($B$5*$B$9*$B$12*$B$15*$B$18*$B$21*$B$22,0)</f>
        <v/>
      </c>
      <c r="G47" s="25">
        <f>ROUND($B$5*$B$9*$B$12*$B$15*$B$18*$B$21*$B$23,0)</f>
        <v/>
      </c>
      <c r="H47" s="25">
        <f>ROUND($B$5*$B$9*$B$12*$B$15*$B$19*$B$20*$B$22,0)</f>
        <v/>
      </c>
      <c r="I47" s="25">
        <f>ROUND($B$5*$B$9*$B$12*$B$15*$B$19*$B$20*$B$23,0)</f>
        <v/>
      </c>
      <c r="J47" s="25">
        <f>ROUND($B$5*$B$9*$B$12*$B$15*$B$19*$B$21*$B$22,0)</f>
        <v/>
      </c>
      <c r="K47" s="25">
        <f>ROUND($B$5*$B$9*$B$12*$B$15*$B$19*$B$21*$B$23,0)</f>
        <v/>
      </c>
      <c r="L47" s="25">
        <f>ROUND($B$5*$B$9*$B$12*$B$16*$B$18*$B$20*$B$22,0)</f>
        <v/>
      </c>
      <c r="M47" s="25">
        <f>ROUND($B$5*$B$9*$B$12*$B$16*$B$18*$B$20*$B$23,0)</f>
        <v/>
      </c>
      <c r="N47" s="25">
        <f>ROUND($B$5*$B$9*$B$12*$B$16*$B$18*$B$21*$B$22,0)</f>
        <v/>
      </c>
      <c r="O47" s="25">
        <f>ROUND($B$5*$B$9*$B$12*$B$16*$B$18*$B$21*$B$23,0)</f>
        <v/>
      </c>
      <c r="P47" s="25">
        <f>ROUND($B$5*$B$9*$B$12*$B$16*$B$19*$B$20*$B$22,0)</f>
        <v/>
      </c>
      <c r="Q47" s="25">
        <f>ROUND($B$5*$B$9*$B$12*$B$16*$B$19*$B$20*$B$23,0)</f>
        <v/>
      </c>
      <c r="R47" s="25">
        <f>ROUND($B$5*$B$9*$B$12*$B$16*$B$19*$B$21*$B$22,0)</f>
        <v/>
      </c>
      <c r="S47" s="25">
        <f>ROUND($B$5*$B$9*$B$12*$B$16*$B$19*$B$21*$B$23,0)</f>
        <v/>
      </c>
      <c r="T47" s="25">
        <f>ROUND($B$5*$B$9*$B$12*$B$17*$B$18*$B$20*$B$22,0)</f>
        <v/>
      </c>
      <c r="U47" s="25">
        <f>ROUND($B$5*$B$9*$B$12*$B$17*$B$18*$B$20*$B$23,0)</f>
        <v/>
      </c>
      <c r="V47" s="25">
        <f>ROUND($B$5*$B$9*$B$12*$B$17*$B$18*$B$21*$B$22,0)</f>
        <v/>
      </c>
      <c r="W47" s="25">
        <f>ROUND($B$5*$B$9*$B$12*$B$17*$B$18*$B$21*$B$23,0)</f>
        <v/>
      </c>
      <c r="X47" s="25">
        <f>ROUND($B$5*$B$9*$B$12*$B$17*$B$19*$B$20*$B$22,0)</f>
        <v/>
      </c>
      <c r="Y47" s="25">
        <f>ROUND($B$5*$B$9*$B$12*$B$17*$B$19*$B$20*$B$23,0)</f>
        <v/>
      </c>
      <c r="Z47" s="25">
        <f>ROUND($B$5*$B$9*$B$12*$B$17*$B$19*$B$21*$B$22,0)</f>
        <v/>
      </c>
      <c r="AA47" s="25">
        <f>ROUND($B$5*$B$9*$B$12*$B$17*$B$19*$B$21*$B$23,0)</f>
        <v/>
      </c>
    </row>
    <row r="48" ht="20.1" customHeight="1" s="62">
      <c r="A48" s="81" t="n"/>
      <c r="B48" s="58" t="n"/>
      <c r="C48" s="26" t="inlineStr">
        <is>
          <t>Desktop</t>
        </is>
      </c>
      <c r="D48" s="25">
        <f>ROUND($B$5*$B$9*$B$13*$B$15*$B$18*$B$20*$B$22,0)</f>
        <v/>
      </c>
      <c r="E48" s="25">
        <f>ROUND($B$5*$B$9*$B$13*$B$15*$B$18*$B$20*$B$23,0)</f>
        <v/>
      </c>
      <c r="F48" s="25">
        <f>ROUND($B$5*$B$9*$B$13*$B$15*$B$18*$B$21*$B$22,0)</f>
        <v/>
      </c>
      <c r="G48" s="25">
        <f>ROUND($B$5*$B$9*$B$13*$B$15*$B$18*$B$21*$B$23,0)</f>
        <v/>
      </c>
      <c r="H48" s="25">
        <f>ROUND($B$5*$B$9*$B$13*$B$15*$B$19*$B$20*$B$22,0)</f>
        <v/>
      </c>
      <c r="I48" s="25">
        <f>ROUND($B$5*$B$9*$B$13*$B$15*$B$19*$B$20*$B$23,0)</f>
        <v/>
      </c>
      <c r="J48" s="25">
        <f>ROUND($B$5*$B$9*$B$13*$B$15*$B$19*$B$21*$B$22,0)</f>
        <v/>
      </c>
      <c r="K48" s="25">
        <f>ROUND($B$5*$B$9*$B$13*$B$15*$B$19*$B$21*$B$23,0)</f>
        <v/>
      </c>
      <c r="L48" s="25">
        <f>ROUND($B$5*$B$9*$B$13*$B$16*$B$18*$B$20*$B$22,0)</f>
        <v/>
      </c>
      <c r="M48" s="25">
        <f>ROUND($B$5*$B$9*$B$13*$B$16*$B$18*$B$20*$B$23,0)</f>
        <v/>
      </c>
      <c r="N48" s="25">
        <f>ROUND($B$5*$B$9*$B$13*$B$16*$B$18*$B$21*$B$22,0)</f>
        <v/>
      </c>
      <c r="O48" s="25">
        <f>ROUND($B$5*$B$9*$B$13*$B$16*$B$18*$B$21*$B$23,0)</f>
        <v/>
      </c>
      <c r="P48" s="25">
        <f>ROUND($B$5*$B$9*$B$13*$B$16*$B$19*$B$20*$B$22,0)</f>
        <v/>
      </c>
      <c r="Q48" s="25">
        <f>ROUND($B$5*$B$9*$B$13*$B$16*$B$19*$B$20*$B$23,0)</f>
        <v/>
      </c>
      <c r="R48" s="25">
        <f>ROUND($B$5*$B$9*$B$13*$B$16*$B$19*$B$21*$B$22,0)</f>
        <v/>
      </c>
      <c r="S48" s="25">
        <f>ROUND($B$5*$B$9*$B$13*$B$16*$B$19*$B$21*$B$23,0)</f>
        <v/>
      </c>
      <c r="T48" s="25">
        <f>ROUND($B$5*$B$9*$B$13*$B$17*$B$18*$B$20*$B$22,0)</f>
        <v/>
      </c>
      <c r="U48" s="25">
        <f>ROUND($B$5*$B$9*$B$13*$B$17*$B$18*$B$20*$B$23,0)</f>
        <v/>
      </c>
      <c r="V48" s="25">
        <f>ROUND($B$5*$B$9*$B$13*$B$17*$B$18*$B$21*$B$22,0)</f>
        <v/>
      </c>
      <c r="W48" s="25">
        <f>ROUND($B$5*$B$9*$B$13*$B$17*$B$18*$B$21*$B$23,0)</f>
        <v/>
      </c>
      <c r="X48" s="25">
        <f>ROUND($B$5*$B$9*$B$13*$B$17*$B$19*$B$20*$B$22,0)</f>
        <v/>
      </c>
      <c r="Y48" s="25">
        <f>ROUND($B$5*$B$9*$B$13*$B$17*$B$19*$B$20*$B$23,0)</f>
        <v/>
      </c>
      <c r="Z48" s="25">
        <f>ROUND($B$5*$B$9*$B$13*$B$17*$B$19*$B$21*$B$22,0)</f>
        <v/>
      </c>
      <c r="AA48" s="25">
        <f>ROUND($B$5*$B$9*$B$13*$B$17*$B$19*$B$21*$B$23,0)</f>
        <v/>
      </c>
    </row>
    <row r="49" ht="20.1" customHeight="1" s="62">
      <c r="A49" s="81" t="n"/>
      <c r="B49" s="59" t="n"/>
      <c r="C49" s="27" t="inlineStr">
        <is>
          <t>Multi-environnements</t>
        </is>
      </c>
      <c r="D49" s="25">
        <f>ROUND($B$5*$B$9*$B$14*$B$15*$B$18*$B$20*$B$22,0)</f>
        <v/>
      </c>
      <c r="E49" s="25">
        <f>ROUND($B$5*$B$9*$B$14*$B$15*$B$18*$B$20*$B$23,0)</f>
        <v/>
      </c>
      <c r="F49" s="25">
        <f>ROUND($B$5*$B$9*$B$14*$B$15*$B$18*$B$21*$B$22,0)</f>
        <v/>
      </c>
      <c r="G49" s="25">
        <f>ROUND($B$5*$B$9*$B$14*$B$15*$B$18*$B$21*$B$23,0)</f>
        <v/>
      </c>
      <c r="H49" s="25">
        <f>ROUND($B$5*$B$9*$B$14*$B$15*$B$19*$B$20*$B$22,0)</f>
        <v/>
      </c>
      <c r="I49" s="25">
        <f>ROUND($B$5*$B$9*$B$14*$B$15*$B$19*$B$20*$B$23,0)</f>
        <v/>
      </c>
      <c r="J49" s="25">
        <f>ROUND($B$5*$B$9*$B$14*$B$15*$B$19*$B$21*$B$22,0)</f>
        <v/>
      </c>
      <c r="K49" s="25">
        <f>ROUND($B$5*$B$9*$B$14*$B$15*$B$19*$B$21*$B$23,0)</f>
        <v/>
      </c>
      <c r="L49" s="25">
        <f>ROUND($B$5*$B$9*$B$14*$B$16*$B$18*$B$20*$B$22,0)</f>
        <v/>
      </c>
      <c r="M49" s="25">
        <f>ROUND($B$5*$B$9*$B$14*$B$16*$B$18*$B$20*$B$23,0)</f>
        <v/>
      </c>
      <c r="N49" s="25">
        <f>ROUND($B$5*$B$9*$B$14*$B$16*$B$18*$B$21*$B$22,0)</f>
        <v/>
      </c>
      <c r="O49" s="25">
        <f>ROUND($B$5*$B$9*$B$14*$B$16*$B$18*$B$21*$B$23,0)</f>
        <v/>
      </c>
      <c r="P49" s="25">
        <f>ROUND($B$5*$B$9*$B$14*$B$16*$B$19*$B$20*$B$22,0)</f>
        <v/>
      </c>
      <c r="Q49" s="25">
        <f>ROUND($B$5*$B$9*$B$14*$B$16*$B$19*$B$20*$B$23,0)</f>
        <v/>
      </c>
      <c r="R49" s="25">
        <f>ROUND($B$5*$B$9*$B$14*$B$16*$B$19*$B$21*$B$22,0)</f>
        <v/>
      </c>
      <c r="S49" s="25">
        <f>ROUND($B$5*$B$9*$B$14*$B$16*$B$19*$B$21*$B$23,0)</f>
        <v/>
      </c>
      <c r="T49" s="25">
        <f>ROUND($B$5*$B$9*$B$14*$B$17*$B$18*$B$20*$B$22,0)</f>
        <v/>
      </c>
      <c r="U49" s="25">
        <f>ROUND($B$5*$B$9*$B$14*$B$17*$B$18*$B$20*$B$23,0)</f>
        <v/>
      </c>
      <c r="V49" s="25">
        <f>ROUND($B$5*$B$9*$B$14*$B$17*$B$18*$B$21*$B$22,0)</f>
        <v/>
      </c>
      <c r="W49" s="25">
        <f>ROUND($B$5*$B$9*$B$14*$B$17*$B$18*$B$21*$B$23,0)</f>
        <v/>
      </c>
      <c r="X49" s="25">
        <f>ROUND($B$5*$B$9*$B$14*$B$17*$B$19*$B$20*$B$22,0)</f>
        <v/>
      </c>
      <c r="Y49" s="25">
        <f>ROUND($B$5*$B$9*$B$14*$B$17*$B$19*$B$20*$B$23,0)</f>
        <v/>
      </c>
      <c r="Z49" s="25">
        <f>ROUND($B$5*$B$9*$B$14*$B$17*$B$19*$B$21*$B$22,0)</f>
        <v/>
      </c>
      <c r="AA49" s="25">
        <f>ROUND($B$5*$B$9*$B$14*$B$17*$B$19*$B$21*$B$23,0)</f>
        <v/>
      </c>
    </row>
    <row r="50" ht="20.1" customHeight="1" s="62">
      <c r="A50" s="81" t="n"/>
      <c r="B50" s="73" t="inlineStr">
        <is>
          <t>30+ fonctionnalités</t>
        </is>
      </c>
      <c r="C50" s="24" t="inlineStr">
        <is>
          <t>Web</t>
        </is>
      </c>
      <c r="D50" s="25">
        <f>ROUND($B$5*$B$10*$B$11*$B$15*$B$18*$B$20*$B$22,0)</f>
        <v/>
      </c>
      <c r="E50" s="25">
        <f>ROUND($B$5*$B$10*$B$11*$B$15*$B$18*$B$20*$B$23,0)</f>
        <v/>
      </c>
      <c r="F50" s="25">
        <f>ROUND($B$5*$B$10*$B$11*$B$15*$B$18*$B$21*$B$22,0)</f>
        <v/>
      </c>
      <c r="G50" s="25">
        <f>ROUND($B$5*$B$10*$B$11*$B$15*$B$18*$B$21*$B$23,0)</f>
        <v/>
      </c>
      <c r="H50" s="25">
        <f>ROUND($B$5*$B$10*$B$11*$B$15*$B$19*$B$20*$B$22,0)</f>
        <v/>
      </c>
      <c r="I50" s="25">
        <f>ROUND($B$5*$B$10*$B$11*$B$15*$B$19*$B$20*$B$23,0)</f>
        <v/>
      </c>
      <c r="J50" s="25">
        <f>ROUND($B$5*$B$10*$B$11*$B$15*$B$19*$B$21*$B$22,0)</f>
        <v/>
      </c>
      <c r="K50" s="25">
        <f>ROUND($B$5*$B$10*$B$11*$B$15*$B$19*$B$21*$B$23,0)</f>
        <v/>
      </c>
      <c r="L50" s="25">
        <f>ROUND($B$5*$B$10*$B$11*$B$16*$B$18*$B$20*$B$22,0)</f>
        <v/>
      </c>
      <c r="M50" s="25">
        <f>ROUND($B$5*$B$10*$B$11*$B$16*$B$18*$B$20*$B$23,0)</f>
        <v/>
      </c>
      <c r="N50" s="25">
        <f>ROUND($B$5*$B$10*$B$11*$B$16*$B$18*$B$21*$B$22,0)</f>
        <v/>
      </c>
      <c r="O50" s="25">
        <f>ROUND($B$5*$B$10*$B$11*$B$16*$B$18*$B$21*$B$23,0)</f>
        <v/>
      </c>
      <c r="P50" s="25">
        <f>ROUND($B$5*$B$10*$B$11*$B$16*$B$19*$B$20*$B$22,0)</f>
        <v/>
      </c>
      <c r="Q50" s="25">
        <f>ROUND($B$5*$B$10*$B$11*$B$16*$B$19*$B$20*$B$23,0)</f>
        <v/>
      </c>
      <c r="R50" s="25">
        <f>ROUND($B$5*$B$10*$B$11*$B$16*$B$19*$B$21*$B$22,0)</f>
        <v/>
      </c>
      <c r="S50" s="25">
        <f>ROUND($B$5*$B$10*$B$11*$B$16*$B$19*$B$21*$B$23,0)</f>
        <v/>
      </c>
      <c r="T50" s="25">
        <f>ROUND($B$5*$B$10*$B$11*$B$17*$B$18*$B$20*$B$22,0)</f>
        <v/>
      </c>
      <c r="U50" s="25">
        <f>ROUND($B$5*$B$10*$B$11*$B$17*$B$18*$B$20*$B$23,0)</f>
        <v/>
      </c>
      <c r="V50" s="25">
        <f>ROUND($B$5*$B$10*$B$11*$B$17*$B$18*$B$21*$B$22,0)</f>
        <v/>
      </c>
      <c r="W50" s="25">
        <f>ROUND($B$5*$B$10*$B$11*$B$17*$B$18*$B$21*$B$23,0)</f>
        <v/>
      </c>
      <c r="X50" s="25">
        <f>ROUND($B$5*$B$10*$B$11*$B$17*$B$19*$B$20*$B$22,0)</f>
        <v/>
      </c>
      <c r="Y50" s="25">
        <f>ROUND($B$5*$B$10*$B$11*$B$17*$B$19*$B$20*$B$23,0)</f>
        <v/>
      </c>
      <c r="Z50" s="25">
        <f>ROUND($B$5*$B$10*$B$11*$B$17*$B$19*$B$21*$B$22,0)</f>
        <v/>
      </c>
      <c r="AA50" s="25">
        <f>ROUND($B$5*$B$10*$B$11*$B$17*$B$19*$B$21*$B$23,0)</f>
        <v/>
      </c>
    </row>
    <row r="51" ht="20.1" customHeight="1" s="62">
      <c r="A51" s="81" t="n"/>
      <c r="B51" s="58" t="n"/>
      <c r="C51" s="73" t="inlineStr">
        <is>
          <t>Mobile</t>
        </is>
      </c>
      <c r="D51" s="25">
        <f>ROUND($B$5*$B$10*$B$12*$B$15*$B$18*$B$20*$B$22,0)</f>
        <v/>
      </c>
      <c r="E51" s="25">
        <f>ROUND($B$5*$B$10*$B$12*$B$15*$B$18*$B$20*$B$23,0)</f>
        <v/>
      </c>
      <c r="F51" s="25">
        <f>ROUND($B$5*$B$10*$B$12*$B$15*$B$18*$B$21*$B$22,0)</f>
        <v/>
      </c>
      <c r="G51" s="25">
        <f>ROUND($B$5*$B$10*$B$12*$B$15*$B$18*$B$21*$B$23,0)</f>
        <v/>
      </c>
      <c r="H51" s="25">
        <f>ROUND($B$5*$B$10*$B$12*$B$15*$B$19*$B$20*$B$22,0)</f>
        <v/>
      </c>
      <c r="I51" s="25">
        <f>ROUND($B$5*$B$10*$B$12*$B$15*$B$19*$B$20*$B$23,0)</f>
        <v/>
      </c>
      <c r="J51" s="25">
        <f>ROUND($B$5*$B$10*$B$12*$B$15*$B$19*$B$21*$B$22,0)</f>
        <v/>
      </c>
      <c r="K51" s="25">
        <f>ROUND($B$5*$B$10*$B$12*$B$15*$B$19*$B$21*$B$23,0)</f>
        <v/>
      </c>
      <c r="L51" s="25">
        <f>ROUND($B$5*$B$10*$B$12*$B$16*$B$18*$B$20*$B$22,0)</f>
        <v/>
      </c>
      <c r="M51" s="25">
        <f>ROUND($B$5*$B$10*$B$12*$B$16*$B$18*$B$20*$B$23,0)</f>
        <v/>
      </c>
      <c r="N51" s="25">
        <f>ROUND($B$5*$B$10*$B$12*$B$16*$B$18*$B$21*$B$22,0)</f>
        <v/>
      </c>
      <c r="O51" s="25">
        <f>ROUND($B$5*$B$10*$B$12*$B$16*$B$18*$B$21*$B$23,0)</f>
        <v/>
      </c>
      <c r="P51" s="25">
        <f>ROUND($B$5*$B$10*$B$12*$B$16*$B$19*$B$20*$B$22,0)</f>
        <v/>
      </c>
      <c r="Q51" s="25">
        <f>ROUND($B$5*$B$10*$B$12*$B$16*$B$19*$B$20*$B$23,0)</f>
        <v/>
      </c>
      <c r="R51" s="25">
        <f>ROUND($B$5*$B$10*$B$12*$B$16*$B$19*$B$21*$B$22,0)</f>
        <v/>
      </c>
      <c r="S51" s="25">
        <f>ROUND($B$5*$B$10*$B$12*$B$16*$B$19*$B$21*$B$23,0)</f>
        <v/>
      </c>
      <c r="T51" s="25">
        <f>ROUND($B$5*$B$10*$B$12*$B$17*$B$18*$B$20*$B$22,0)</f>
        <v/>
      </c>
      <c r="U51" s="25">
        <f>ROUND($B$5*$B$10*$B$12*$B$17*$B$18*$B$20*$B$23,0)</f>
        <v/>
      </c>
      <c r="V51" s="25">
        <f>ROUND($B$5*$B$10*$B$12*$B$17*$B$18*$B$21*$B$22,0)</f>
        <v/>
      </c>
      <c r="W51" s="25">
        <f>ROUND($B$5*$B$10*$B$12*$B$17*$B$18*$B$21*$B$23,0)</f>
        <v/>
      </c>
      <c r="X51" s="25">
        <f>ROUND($B$5*$B$10*$B$12*$B$17*$B$19*$B$20*$B$22,0)</f>
        <v/>
      </c>
      <c r="Y51" s="25">
        <f>ROUND($B$5*$B$10*$B$12*$B$17*$B$19*$B$20*$B$23,0)</f>
        <v/>
      </c>
      <c r="Z51" s="25">
        <f>ROUND($B$5*$B$10*$B$12*$B$17*$B$19*$B$21*$B$22,0)</f>
        <v/>
      </c>
      <c r="AA51" s="25">
        <f>ROUND($B$5*$B$10*$B$12*$B$17*$B$19*$B$21*$B$23,0)</f>
        <v/>
      </c>
    </row>
    <row r="52" ht="20.1" customHeight="1" s="62">
      <c r="A52" s="81" t="n"/>
      <c r="B52" s="58" t="n"/>
      <c r="C52" s="26" t="inlineStr">
        <is>
          <t>Desktop</t>
        </is>
      </c>
      <c r="D52" s="25">
        <f>ROUND($B$5*$B$10*$B$13*$B$15*$B$18*$B$20*$B$22,0)</f>
        <v/>
      </c>
      <c r="E52" s="25">
        <f>ROUND($B$5*$B$10*$B$13*$B$15*$B$18*$B$20*$B$23,0)</f>
        <v/>
      </c>
      <c r="F52" s="25">
        <f>ROUND($B$5*$B$10*$B$13*$B$15*$B$18*$B$21*$B$22,0)</f>
        <v/>
      </c>
      <c r="G52" s="25">
        <f>ROUND($B$5*$B$10*$B$13*$B$15*$B$18*$B$21*$B$23,0)</f>
        <v/>
      </c>
      <c r="H52" s="25">
        <f>ROUND($B$5*$B$10*$B$13*$B$15*$B$19*$B$20*$B$22,0)</f>
        <v/>
      </c>
      <c r="I52" s="25">
        <f>ROUND($B$5*$B$10*$B$13*$B$15*$B$19*$B$20*$B$23,0)</f>
        <v/>
      </c>
      <c r="J52" s="25">
        <f>ROUND($B$5*$B$10*$B$13*$B$15*$B$19*$B$21*$B$22,0)</f>
        <v/>
      </c>
      <c r="K52" s="25">
        <f>ROUND($B$5*$B$10*$B$13*$B$15*$B$19*$B$21*$B$23,0)</f>
        <v/>
      </c>
      <c r="L52" s="25">
        <f>ROUND($B$5*$B$10*$B$13*$B$16*$B$18*$B$20*$B$22,0)</f>
        <v/>
      </c>
      <c r="M52" s="25">
        <f>ROUND($B$5*$B$10*$B$13*$B$16*$B$18*$B$20*$B$23,0)</f>
        <v/>
      </c>
      <c r="N52" s="25">
        <f>ROUND($B$5*$B$10*$B$13*$B$16*$B$18*$B$21*$B$22,0)</f>
        <v/>
      </c>
      <c r="O52" s="25">
        <f>ROUND($B$5*$B$10*$B$13*$B$16*$B$18*$B$21*$B$23,0)</f>
        <v/>
      </c>
      <c r="P52" s="25">
        <f>ROUND($B$5*$B$10*$B$13*$B$16*$B$19*$B$20*$B$22,0)</f>
        <v/>
      </c>
      <c r="Q52" s="25">
        <f>ROUND($B$5*$B$10*$B$13*$B$16*$B$19*$B$20*$B$23,0)</f>
        <v/>
      </c>
      <c r="R52" s="25">
        <f>ROUND($B$5*$B$10*$B$13*$B$16*$B$19*$B$21*$B$22,0)</f>
        <v/>
      </c>
      <c r="S52" s="25">
        <f>ROUND($B$5*$B$10*$B$13*$B$16*$B$19*$B$21*$B$23,0)</f>
        <v/>
      </c>
      <c r="T52" s="25">
        <f>ROUND($B$5*$B$10*$B$13*$B$17*$B$18*$B$20*$B$22,0)</f>
        <v/>
      </c>
      <c r="U52" s="25">
        <f>ROUND($B$5*$B$10*$B$13*$B$17*$B$18*$B$20*$B$23,0)</f>
        <v/>
      </c>
      <c r="V52" s="25">
        <f>ROUND($B$5*$B$10*$B$13*$B$17*$B$18*$B$21*$B$22,0)</f>
        <v/>
      </c>
      <c r="W52" s="25">
        <f>ROUND($B$5*$B$10*$B$13*$B$17*$B$18*$B$21*$B$23,0)</f>
        <v/>
      </c>
      <c r="X52" s="25">
        <f>ROUND($B$5*$B$10*$B$13*$B$17*$B$19*$B$20*$B$22,0)</f>
        <v/>
      </c>
      <c r="Y52" s="25">
        <f>ROUND($B$5*$B$10*$B$13*$B$17*$B$19*$B$20*$B$23,0)</f>
        <v/>
      </c>
      <c r="Z52" s="25">
        <f>ROUND($B$5*$B$10*$B$13*$B$17*$B$19*$B$21*$B$22,0)</f>
        <v/>
      </c>
      <c r="AA52" s="25">
        <f>ROUND($B$5*$B$10*$B$13*$B$17*$B$19*$B$21*$B$23,0)</f>
        <v/>
      </c>
    </row>
    <row r="53" ht="20.1" customHeight="1" s="62">
      <c r="A53" s="82" t="n"/>
      <c r="B53" s="59" t="n"/>
      <c r="C53" s="27" t="inlineStr">
        <is>
          <t>Multi-environnements</t>
        </is>
      </c>
      <c r="D53" s="25">
        <f>ROUND($B$5*$B$10*$B$14*$B$15*$B$18*$B$20*$B$22,0)</f>
        <v/>
      </c>
      <c r="E53" s="25">
        <f>ROUND($B$5*$B$10*$B$14*$B$15*$B$18*$B$20*$B$23,0)</f>
        <v/>
      </c>
      <c r="F53" s="25">
        <f>ROUND($B$5*$B$10*$B$14*$B$15*$B$18*$B$21*$B$22,0)</f>
        <v/>
      </c>
      <c r="G53" s="25">
        <f>ROUND($B$5*$B$10*$B$14*$B$15*$B$18*$B$21*$B$23,0)</f>
        <v/>
      </c>
      <c r="H53" s="25">
        <f>ROUND($B$5*$B$10*$B$14*$B$15*$B$19*$B$20*$B$22,0)</f>
        <v/>
      </c>
      <c r="I53" s="25">
        <f>ROUND($B$5*$B$10*$B$14*$B$15*$B$19*$B$20*$B$23,0)</f>
        <v/>
      </c>
      <c r="J53" s="25">
        <f>ROUND($B$5*$B$10*$B$14*$B$15*$B$19*$B$21*$B$22,0)</f>
        <v/>
      </c>
      <c r="K53" s="25">
        <f>ROUND($B$5*$B$10*$B$14*$B$15*$B$19*$B$21*$B$23,0)</f>
        <v/>
      </c>
      <c r="L53" s="25">
        <f>ROUND($B$5*$B$10*$B$14*$B$16*$B$18*$B$20*$B$22,0)</f>
        <v/>
      </c>
      <c r="M53" s="25">
        <f>ROUND($B$5*$B$10*$B$14*$B$16*$B$18*$B$20*$B$23,0)</f>
        <v/>
      </c>
      <c r="N53" s="25">
        <f>ROUND($B$5*$B$10*$B$14*$B$16*$B$18*$B$21*$B$22,0)</f>
        <v/>
      </c>
      <c r="O53" s="25">
        <f>ROUND($B$5*$B$10*$B$14*$B$16*$B$18*$B$21*$B$23,0)</f>
        <v/>
      </c>
      <c r="P53" s="25">
        <f>ROUND($B$5*$B$10*$B$14*$B$16*$B$19*$B$20*$B$22,0)</f>
        <v/>
      </c>
      <c r="Q53" s="25">
        <f>ROUND($B$5*$B$10*$B$14*$B$16*$B$19*$B$20*$B$23,0)</f>
        <v/>
      </c>
      <c r="R53" s="25">
        <f>ROUND($B$5*$B$10*$B$14*$B$16*$B$19*$B$21*$B$22,0)</f>
        <v/>
      </c>
      <c r="S53" s="25">
        <f>ROUND($B$5*$B$10*$B$14*$B$16*$B$19*$B$21*$B$23,0)</f>
        <v/>
      </c>
      <c r="T53" s="25">
        <f>ROUND($B$5*$B$10*$B$14*$B$17*$B$18*$B$20*$B$22,0)</f>
        <v/>
      </c>
      <c r="U53" s="25">
        <f>ROUND($B$5*$B$10*$B$14*$B$17*$B$18*$B$20*$B$23,0)</f>
        <v/>
      </c>
      <c r="V53" s="25">
        <f>ROUND($B$5*$B$10*$B$14*$B$17*$B$18*$B$21*$B$22,0)</f>
        <v/>
      </c>
      <c r="W53" s="25">
        <f>ROUND($B$5*$B$10*$B$14*$B$17*$B$18*$B$21*$B$23,0)</f>
        <v/>
      </c>
      <c r="X53" s="25">
        <f>ROUND($B$5*$B$10*$B$14*$B$17*$B$19*$B$20*$B$22,0)</f>
        <v/>
      </c>
      <c r="Y53" s="25">
        <f>ROUND($B$5*$B$10*$B$14*$B$17*$B$19*$B$20*$B$23,0)</f>
        <v/>
      </c>
      <c r="Z53" s="25">
        <f>ROUND($B$5*$B$10*$B$14*$B$17*$B$19*$B$21*$B$22,0)</f>
        <v/>
      </c>
      <c r="AA53" s="25">
        <f>ROUND($B$5*$B$10*$B$14*$B$17*$B$19*$B$21*$B$23,0)</f>
        <v/>
      </c>
    </row>
    <row r="54" ht="20.1" customHeight="1" s="62">
      <c r="A54" s="80" t="inlineStr">
        <is>
          <t>Application complexe métier</t>
        </is>
      </c>
      <c r="B54" s="73" t="inlineStr">
        <is>
          <t>&lt; 10 fonctionnalités</t>
        </is>
      </c>
      <c r="C54" s="24" t="inlineStr">
        <is>
          <t>Web</t>
        </is>
      </c>
      <c r="D54" s="25">
        <f>ROUND($B$6*$B$8*$B$11*$B$15*$B$18*$B$20*$B$22,0)</f>
        <v/>
      </c>
      <c r="E54" s="25">
        <f>ROUND($B$6*$B$8*$B$11*$B$15*$B$18*$B$20*$B$23,0)</f>
        <v/>
      </c>
      <c r="F54" s="25">
        <f>ROUND($B$6*$B$8*$B$11*$B$15*$B$18*$B$21*$B$22,0)</f>
        <v/>
      </c>
      <c r="G54" s="25">
        <f>ROUND($B$6*$B$8*$B$11*$B$15*$B$18*$B$21*$B$23,0)</f>
        <v/>
      </c>
      <c r="H54" s="25">
        <f>ROUND($B$6*$B$8*$B$11*$B$15*$B$19*$B$20*$B$22,0)</f>
        <v/>
      </c>
      <c r="I54" s="25">
        <f>ROUND($B$6*$B$8*$B$11*$B$15*$B$19*$B$20*$B$23,0)</f>
        <v/>
      </c>
      <c r="J54" s="25">
        <f>ROUND($B$6*$B$8*$B$11*$B$15*$B$19*$B$21*$B$22,0)</f>
        <v/>
      </c>
      <c r="K54" s="25">
        <f>ROUND($B$6*$B$8*$B$11*$B$15*$B$19*$B$21*$B$23,0)</f>
        <v/>
      </c>
      <c r="L54" s="25">
        <f>ROUND($B$6*$B$8*$B$11*$B$16*$B$18*$B$20*$B$22,0)</f>
        <v/>
      </c>
      <c r="M54" s="25">
        <f>ROUND($B$6*$B$8*$B$11*$B$16*$B$18*$B$20*$B$23,0)</f>
        <v/>
      </c>
      <c r="N54" s="25">
        <f>ROUND($B$6*$B$8*$B$11*$B$16*$B$18*$B$21*$B$22,0)</f>
        <v/>
      </c>
      <c r="O54" s="25">
        <f>ROUND($B$6*$B$8*$B$11*$B$16*$B$18*$B$21*$B$23,0)</f>
        <v/>
      </c>
      <c r="P54" s="25">
        <f>ROUND($B$6*$B$8*$B$11*$B$16*$B$19*$B$20*$B$22,0)</f>
        <v/>
      </c>
      <c r="Q54" s="25">
        <f>ROUND($B$6*$B$8*$B$11*$B$16*$B$19*$B$20*$B$23,0)</f>
        <v/>
      </c>
      <c r="R54" s="25">
        <f>ROUND($B$6*$B$8*$B$11*$B$16*$B$19*$B$21*$B$22,0)</f>
        <v/>
      </c>
      <c r="S54" s="25">
        <f>ROUND($B$6*$B$8*$B$11*$B$16*$B$19*$B$21*$B$23,0)</f>
        <v/>
      </c>
      <c r="T54" s="25">
        <f>ROUND($B$6*$B$8*$B$11*$B$17*$B$18*$B$20*$B$22,0)</f>
        <v/>
      </c>
      <c r="U54" s="25">
        <f>ROUND($B$6*$B$8*$B$11*$B$17*$B$18*$B$20*$B$23,0)</f>
        <v/>
      </c>
      <c r="V54" s="25">
        <f>ROUND($B$6*$B$8*$B$11*$B$17*$B$18*$B$21*$B$22,0)</f>
        <v/>
      </c>
      <c r="W54" s="25">
        <f>ROUND($B$6*$B$8*$B$11*$B$17*$B$18*$B$21*$B$23,0)</f>
        <v/>
      </c>
      <c r="X54" s="25">
        <f>ROUND($B$6*$B$8*$B$11*$B$17*$B$19*$B$20*$B$22,0)</f>
        <v/>
      </c>
      <c r="Y54" s="25">
        <f>ROUND($B$6*$B$8*$B$11*$B$17*$B$19*$B$20*$B$23,0)</f>
        <v/>
      </c>
      <c r="Z54" s="25">
        <f>ROUND($B$6*$B$8*$B$11*$B$17*$B$19*$B$21*$B$22,0)</f>
        <v/>
      </c>
      <c r="AA54" s="25">
        <f>ROUND($B$6*$B$8*$B$11*$B$17*$B$19*$B$21*$B$23,0)</f>
        <v/>
      </c>
    </row>
    <row r="55" ht="20.1" customHeight="1" s="62">
      <c r="A55" s="81" t="n"/>
      <c r="B55" s="58" t="n"/>
      <c r="C55" s="73" t="inlineStr">
        <is>
          <t>Mobile</t>
        </is>
      </c>
      <c r="D55" s="25">
        <f>ROUND($B$6*$B$8*$B$12*$B$15*$B$18*$B$20*$B$22,0)</f>
        <v/>
      </c>
      <c r="E55" s="25">
        <f>ROUND($B$6*$B$8*$B$12*$B$15*$B$18*$B$20*$B$23,0)</f>
        <v/>
      </c>
      <c r="F55" s="25">
        <f>ROUND($B$6*$B$8*$B$12*$B$15*$B$18*$B$21*$B$22,0)</f>
        <v/>
      </c>
      <c r="G55" s="25">
        <f>ROUND($B$6*$B$8*$B$12*$B$15*$B$18*$B$21*$B$23,0)</f>
        <v/>
      </c>
      <c r="H55" s="25">
        <f>ROUND($B$6*$B$8*$B$12*$B$15*$B$19*$B$20*$B$22,0)</f>
        <v/>
      </c>
      <c r="I55" s="25">
        <f>ROUND($B$6*$B$8*$B$12*$B$15*$B$19*$B$20*$B$23,0)</f>
        <v/>
      </c>
      <c r="J55" s="25">
        <f>ROUND($B$6*$B$8*$B$12*$B$15*$B$19*$B$21*$B$22,0)</f>
        <v/>
      </c>
      <c r="K55" s="25">
        <f>ROUND($B$6*$B$8*$B$12*$B$15*$B$19*$B$21*$B$23,0)</f>
        <v/>
      </c>
      <c r="L55" s="25">
        <f>ROUND($B$6*$B$8*$B$12*$B$16*$B$18*$B$20*$B$22,0)</f>
        <v/>
      </c>
      <c r="M55" s="25">
        <f>ROUND($B$6*$B$8*$B$12*$B$16*$B$18*$B$20*$B$23,0)</f>
        <v/>
      </c>
      <c r="N55" s="25">
        <f>ROUND($B$6*$B$8*$B$12*$B$16*$B$18*$B$21*$B$22,0)</f>
        <v/>
      </c>
      <c r="O55" s="25">
        <f>ROUND($B$6*$B$8*$B$12*$B$16*$B$18*$B$21*$B$23,0)</f>
        <v/>
      </c>
      <c r="P55" s="25">
        <f>ROUND($B$6*$B$8*$B$12*$B$16*$B$19*$B$20*$B$22,0)</f>
        <v/>
      </c>
      <c r="Q55" s="25">
        <f>ROUND($B$6*$B$8*$B$12*$B$16*$B$19*$B$20*$B$23,0)</f>
        <v/>
      </c>
      <c r="R55" s="25">
        <f>ROUND($B$6*$B$8*$B$12*$B$16*$B$19*$B$21*$B$22,0)</f>
        <v/>
      </c>
      <c r="S55" s="25">
        <f>ROUND($B$6*$B$8*$B$12*$B$16*$B$19*$B$21*$B$23,0)</f>
        <v/>
      </c>
      <c r="T55" s="25">
        <f>ROUND($B$6*$B$8*$B$12*$B$17*$B$18*$B$20*$B$22,0)</f>
        <v/>
      </c>
      <c r="U55" s="25">
        <f>ROUND($B$6*$B$8*$B$12*$B$17*$B$18*$B$20*$B$23,0)</f>
        <v/>
      </c>
      <c r="V55" s="25">
        <f>ROUND($B$6*$B$8*$B$12*$B$17*$B$18*$B$21*$B$22,0)</f>
        <v/>
      </c>
      <c r="W55" s="25">
        <f>ROUND($B$6*$B$8*$B$12*$B$17*$B$18*$B$21*$B$23,0)</f>
        <v/>
      </c>
      <c r="X55" s="25">
        <f>ROUND($B$6*$B$8*$B$12*$B$17*$B$19*$B$20*$B$22,0)</f>
        <v/>
      </c>
      <c r="Y55" s="25">
        <f>ROUND($B$6*$B$8*$B$12*$B$17*$B$19*$B$20*$B$23,0)</f>
        <v/>
      </c>
      <c r="Z55" s="25">
        <f>ROUND($B$6*$B$8*$B$12*$B$17*$B$19*$B$21*$B$22,0)</f>
        <v/>
      </c>
      <c r="AA55" s="25">
        <f>ROUND($B$6*$B$8*$B$12*$B$17*$B$19*$B$21*$B$23,0)</f>
        <v/>
      </c>
    </row>
    <row r="56" ht="20.1" customHeight="1" s="62">
      <c r="A56" s="81" t="n"/>
      <c r="B56" s="58" t="n"/>
      <c r="C56" s="26" t="inlineStr">
        <is>
          <t>Desktop</t>
        </is>
      </c>
      <c r="D56" s="25">
        <f>ROUND($B$6*$B$8*$B$13*$B$15*$B$18*$B$20*$B$22,0)</f>
        <v/>
      </c>
      <c r="E56" s="25">
        <f>ROUND($B$6*$B$8*$B$13*$B$15*$B$18*$B$20*$B$23,0)</f>
        <v/>
      </c>
      <c r="F56" s="25">
        <f>ROUND($B$6*$B$8*$B$13*$B$15*$B$18*$B$21*$B$22,0)</f>
        <v/>
      </c>
      <c r="G56" s="25">
        <f>ROUND($B$6*$B$8*$B$13*$B$15*$B$18*$B$21*$B$23,0)</f>
        <v/>
      </c>
      <c r="H56" s="25">
        <f>ROUND($B$6*$B$8*$B$13*$B$15*$B$19*$B$20*$B$22,0)</f>
        <v/>
      </c>
      <c r="I56" s="25">
        <f>ROUND($B$6*$B$8*$B$13*$B$15*$B$19*$B$20*$B$23,0)</f>
        <v/>
      </c>
      <c r="J56" s="25">
        <f>ROUND($B$6*$B$8*$B$13*$B$15*$B$19*$B$21*$B$22,0)</f>
        <v/>
      </c>
      <c r="K56" s="25">
        <f>ROUND($B$6*$B$8*$B$13*$B$15*$B$19*$B$21*$B$23,0)</f>
        <v/>
      </c>
      <c r="L56" s="25">
        <f>ROUND($B$6*$B$8*$B$13*$B$16*$B$18*$B$20*$B$22,0)</f>
        <v/>
      </c>
      <c r="M56" s="25">
        <f>ROUND($B$6*$B$8*$B$13*$B$16*$B$18*$B$20*$B$23,0)</f>
        <v/>
      </c>
      <c r="N56" s="25">
        <f>ROUND($B$6*$B$8*$B$13*$B$16*$B$18*$B$21*$B$22,0)</f>
        <v/>
      </c>
      <c r="O56" s="25">
        <f>ROUND($B$6*$B$8*$B$13*$B$16*$B$18*$B$21*$B$23,0)</f>
        <v/>
      </c>
      <c r="P56" s="25">
        <f>ROUND($B$6*$B$8*$B$13*$B$16*$B$19*$B$20*$B$22,0)</f>
        <v/>
      </c>
      <c r="Q56" s="25">
        <f>ROUND($B$6*$B$8*$B$13*$B$16*$B$19*$B$20*$B$23,0)</f>
        <v/>
      </c>
      <c r="R56" s="25">
        <f>ROUND($B$6*$B$8*$B$13*$B$16*$B$19*$B$21*$B$22,0)</f>
        <v/>
      </c>
      <c r="S56" s="25">
        <f>ROUND($B$6*$B$8*$B$13*$B$16*$B$19*$B$21*$B$23,0)</f>
        <v/>
      </c>
      <c r="T56" s="25">
        <f>ROUND($B$6*$B$8*$B$13*$B$17*$B$18*$B$20*$B$22,0)</f>
        <v/>
      </c>
      <c r="U56" s="25">
        <f>ROUND($B$6*$B$8*$B$13*$B$17*$B$18*$B$20*$B$23,0)</f>
        <v/>
      </c>
      <c r="V56" s="25">
        <f>ROUND($B$6*$B$8*$B$13*$B$17*$B$18*$B$21*$B$22,0)</f>
        <v/>
      </c>
      <c r="W56" s="25">
        <f>ROUND($B$6*$B$8*$B$13*$B$17*$B$18*$B$21*$B$23,0)</f>
        <v/>
      </c>
      <c r="X56" s="25">
        <f>ROUND($B$6*$B$8*$B$13*$B$17*$B$19*$B$20*$B$22,0)</f>
        <v/>
      </c>
      <c r="Y56" s="25">
        <f>ROUND($B$6*$B$8*$B$13*$B$17*$B$19*$B$20*$B$23,0)</f>
        <v/>
      </c>
      <c r="Z56" s="25">
        <f>ROUND($B$6*$B$8*$B$13*$B$17*$B$19*$B$21*$B$22,0)</f>
        <v/>
      </c>
      <c r="AA56" s="25">
        <f>ROUND($B$6*$B$8*$B$13*$B$17*$B$19*$B$21*$B$23,0)</f>
        <v/>
      </c>
    </row>
    <row r="57" ht="20.1" customHeight="1" s="62">
      <c r="A57" s="81" t="n"/>
      <c r="B57" s="59" t="n"/>
      <c r="C57" s="27" t="inlineStr">
        <is>
          <t>Multi-environnements</t>
        </is>
      </c>
      <c r="D57" s="25">
        <f>ROUND($B$6*$B$8*$B$14*$B$15*$B$18*$B$20*$B$22,0)</f>
        <v/>
      </c>
      <c r="E57" s="25">
        <f>ROUND($B$6*$B$8*$B$14*$B$15*$B$18*$B$20*$B$23,0)</f>
        <v/>
      </c>
      <c r="F57" s="25">
        <f>ROUND($B$6*$B$8*$B$14*$B$15*$B$18*$B$21*$B$22,0)</f>
        <v/>
      </c>
      <c r="G57" s="25">
        <f>ROUND($B$6*$B$8*$B$14*$B$15*$B$18*$B$21*$B$23,0)</f>
        <v/>
      </c>
      <c r="H57" s="25">
        <f>ROUND($B$6*$B$8*$B$14*$B$15*$B$19*$B$20*$B$22,0)</f>
        <v/>
      </c>
      <c r="I57" s="25">
        <f>ROUND($B$6*$B$8*$B$14*$B$15*$B$19*$B$20*$B$23,0)</f>
        <v/>
      </c>
      <c r="J57" s="25">
        <f>ROUND($B$6*$B$8*$B$14*$B$15*$B$19*$B$21*$B$22,0)</f>
        <v/>
      </c>
      <c r="K57" s="25">
        <f>ROUND($B$6*$B$8*$B$14*$B$15*$B$19*$B$21*$B$23,0)</f>
        <v/>
      </c>
      <c r="L57" s="25">
        <f>ROUND($B$6*$B$8*$B$14*$B$16*$B$18*$B$20*$B$22,0)</f>
        <v/>
      </c>
      <c r="M57" s="25">
        <f>ROUND($B$6*$B$8*$B$14*$B$16*$B$18*$B$20*$B$23,0)</f>
        <v/>
      </c>
      <c r="N57" s="25">
        <f>ROUND($B$6*$B$8*$B$14*$B$16*$B$18*$B$21*$B$22,0)</f>
        <v/>
      </c>
      <c r="O57" s="25">
        <f>ROUND($B$6*$B$8*$B$14*$B$16*$B$18*$B$21*$B$23,0)</f>
        <v/>
      </c>
      <c r="P57" s="25">
        <f>ROUND($B$6*$B$8*$B$14*$B$16*$B$19*$B$20*$B$22,0)</f>
        <v/>
      </c>
      <c r="Q57" s="25">
        <f>ROUND($B$6*$B$8*$B$14*$B$16*$B$19*$B$20*$B$23,0)</f>
        <v/>
      </c>
      <c r="R57" s="25">
        <f>ROUND($B$6*$B$8*$B$14*$B$16*$B$19*$B$21*$B$22,0)</f>
        <v/>
      </c>
      <c r="S57" s="25">
        <f>ROUND($B$6*$B$8*$B$14*$B$16*$B$19*$B$21*$B$23,0)</f>
        <v/>
      </c>
      <c r="T57" s="25">
        <f>ROUND($B$6*$B$8*$B$14*$B$17*$B$18*$B$20*$B$22,0)</f>
        <v/>
      </c>
      <c r="U57" s="25">
        <f>ROUND($B$6*$B$8*$B$14*$B$17*$B$18*$B$20*$B$23,0)</f>
        <v/>
      </c>
      <c r="V57" s="25">
        <f>ROUND($B$6*$B$8*$B$14*$B$17*$B$18*$B$21*$B$22,0)</f>
        <v/>
      </c>
      <c r="W57" s="25">
        <f>ROUND($B$6*$B$8*$B$14*$B$17*$B$18*$B$21*$B$23,0)</f>
        <v/>
      </c>
      <c r="X57" s="25">
        <f>ROUND($B$6*$B$8*$B$14*$B$17*$B$19*$B$20*$B$22,0)</f>
        <v/>
      </c>
      <c r="Y57" s="25">
        <f>ROUND($B$6*$B$8*$B$14*$B$17*$B$19*$B$20*$B$23,0)</f>
        <v/>
      </c>
      <c r="Z57" s="25">
        <f>ROUND($B$6*$B$8*$B$14*$B$17*$B$19*$B$21*$B$22,0)</f>
        <v/>
      </c>
      <c r="AA57" s="25">
        <f>ROUND($B$6*$B$8*$B$14*$B$17*$B$19*$B$21*$B$23,0)</f>
        <v/>
      </c>
    </row>
    <row r="58" ht="20.1" customHeight="1" s="62">
      <c r="A58" s="81" t="n"/>
      <c r="B58" s="73" t="inlineStr">
        <is>
          <t>10-30 fonctionnalités</t>
        </is>
      </c>
      <c r="C58" s="24" t="inlineStr">
        <is>
          <t>Web</t>
        </is>
      </c>
      <c r="D58" s="25">
        <f>ROUND($B$6*$B$9*$B$11*$B$15*$B$18*$B$20*$B$22,0)</f>
        <v/>
      </c>
      <c r="E58" s="25">
        <f>ROUND($B$6*$B$9*$B$11*$B$15*$B$18*$B$20*$B$23,0)</f>
        <v/>
      </c>
      <c r="F58" s="25">
        <f>ROUND($B$6*$B$9*$B$11*$B$15*$B$18*$B$21*$B$22,0)</f>
        <v/>
      </c>
      <c r="G58" s="25">
        <f>ROUND($B$6*$B$9*$B$11*$B$15*$B$18*$B$21*$B$23,0)</f>
        <v/>
      </c>
      <c r="H58" s="25">
        <f>ROUND($B$6*$B$9*$B$11*$B$15*$B$19*$B$20*$B$22,0)</f>
        <v/>
      </c>
      <c r="I58" s="25">
        <f>ROUND($B$6*$B$9*$B$11*$B$15*$B$19*$B$20*$B$23,0)</f>
        <v/>
      </c>
      <c r="J58" s="25">
        <f>ROUND($B$6*$B$9*$B$11*$B$15*$B$19*$B$21*$B$22,0)</f>
        <v/>
      </c>
      <c r="K58" s="25">
        <f>ROUND($B$6*$B$9*$B$11*$B$15*$B$19*$B$21*$B$23,0)</f>
        <v/>
      </c>
      <c r="L58" s="25">
        <f>ROUND($B$6*$B$9*$B$11*$B$16*$B$18*$B$20*$B$22,0)</f>
        <v/>
      </c>
      <c r="M58" s="25">
        <f>ROUND($B$6*$B$9*$B$11*$B$16*$B$18*$B$20*$B$23,0)</f>
        <v/>
      </c>
      <c r="N58" s="25">
        <f>ROUND($B$6*$B$9*$B$11*$B$16*$B$18*$B$21*$B$22,0)</f>
        <v/>
      </c>
      <c r="O58" s="25">
        <f>ROUND($B$6*$B$9*$B$11*$B$16*$B$18*$B$21*$B$23,0)</f>
        <v/>
      </c>
      <c r="P58" s="25">
        <f>ROUND($B$6*$B$9*$B$11*$B$16*$B$19*$B$20*$B$22,0)</f>
        <v/>
      </c>
      <c r="Q58" s="25">
        <f>ROUND($B$6*$B$9*$B$11*$B$16*$B$19*$B$20*$B$23,0)</f>
        <v/>
      </c>
      <c r="R58" s="25">
        <f>ROUND($B$6*$B$9*$B$11*$B$16*$B$19*$B$21*$B$22,0)</f>
        <v/>
      </c>
      <c r="S58" s="25">
        <f>ROUND($B$6*$B$9*$B$11*$B$16*$B$19*$B$21*$B$23,0)</f>
        <v/>
      </c>
      <c r="T58" s="25">
        <f>ROUND($B$6*$B$9*$B$11*$B$17*$B$18*$B$20*$B$22,0)</f>
        <v/>
      </c>
      <c r="U58" s="25">
        <f>ROUND($B$6*$B$9*$B$11*$B$17*$B$18*$B$20*$B$23,0)</f>
        <v/>
      </c>
      <c r="V58" s="25">
        <f>ROUND($B$6*$B$9*$B$11*$B$17*$B$18*$B$21*$B$22,0)</f>
        <v/>
      </c>
      <c r="W58" s="25">
        <f>ROUND($B$6*$B$9*$B$11*$B$17*$B$18*$B$21*$B$23,0)</f>
        <v/>
      </c>
      <c r="X58" s="25">
        <f>ROUND($B$6*$B$9*$B$11*$B$17*$B$19*$B$20*$B$22,0)</f>
        <v/>
      </c>
      <c r="Y58" s="25">
        <f>ROUND($B$6*$B$9*$B$11*$B$17*$B$19*$B$20*$B$23,0)</f>
        <v/>
      </c>
      <c r="Z58" s="25">
        <f>ROUND($B$6*$B$9*$B$11*$B$17*$B$19*$B$21*$B$22,0)</f>
        <v/>
      </c>
      <c r="AA58" s="25">
        <f>ROUND($B$6*$B$9*$B$11*$B$17*$B$19*$B$21*$B$23,0)</f>
        <v/>
      </c>
    </row>
    <row r="59" ht="20.1" customHeight="1" s="62">
      <c r="A59" s="81" t="n"/>
      <c r="B59" s="58" t="n"/>
      <c r="C59" s="73" t="inlineStr">
        <is>
          <t>Mobile</t>
        </is>
      </c>
      <c r="D59" s="25">
        <f>ROUND($B$6*$B$9*$B$12*$B$15*$B$18*$B$20*$B$22,0)</f>
        <v/>
      </c>
      <c r="E59" s="25">
        <f>ROUND($B$6*$B$9*$B$12*$B$15*$B$18*$B$20*$B$23,0)</f>
        <v/>
      </c>
      <c r="F59" s="25">
        <f>ROUND($B$6*$B$9*$B$12*$B$15*$B$18*$B$21*$B$22,0)</f>
        <v/>
      </c>
      <c r="G59" s="25">
        <f>ROUND($B$6*$B$9*$B$12*$B$15*$B$18*$B$21*$B$23,0)</f>
        <v/>
      </c>
      <c r="H59" s="25">
        <f>ROUND($B$6*$B$9*$B$12*$B$15*$B$19*$B$20*$B$22,0)</f>
        <v/>
      </c>
      <c r="I59" s="25">
        <f>ROUND($B$6*$B$9*$B$12*$B$15*$B$19*$B$20*$B$23,0)</f>
        <v/>
      </c>
      <c r="J59" s="25">
        <f>ROUND($B$6*$B$9*$B$12*$B$15*$B$19*$B$21*$B$22,0)</f>
        <v/>
      </c>
      <c r="K59" s="25">
        <f>ROUND($B$6*$B$9*$B$12*$B$15*$B$19*$B$21*$B$23,0)</f>
        <v/>
      </c>
      <c r="L59" s="25">
        <f>ROUND($B$6*$B$9*$B$12*$B$16*$B$18*$B$20*$B$22,0)</f>
        <v/>
      </c>
      <c r="M59" s="25">
        <f>ROUND($B$6*$B$9*$B$12*$B$16*$B$18*$B$20*$B$23,0)</f>
        <v/>
      </c>
      <c r="N59" s="25">
        <f>ROUND($B$6*$B$9*$B$12*$B$16*$B$18*$B$21*$B$22,0)</f>
        <v/>
      </c>
      <c r="O59" s="25">
        <f>ROUND($B$6*$B$9*$B$12*$B$16*$B$18*$B$21*$B$23,0)</f>
        <v/>
      </c>
      <c r="P59" s="25">
        <f>ROUND($B$6*$B$9*$B$12*$B$16*$B$19*$B$20*$B$22,0)</f>
        <v/>
      </c>
      <c r="Q59" s="25">
        <f>ROUND($B$6*$B$9*$B$12*$B$16*$B$19*$B$20*$B$23,0)</f>
        <v/>
      </c>
      <c r="R59" s="25">
        <f>ROUND($B$6*$B$9*$B$12*$B$16*$B$19*$B$21*$B$22,0)</f>
        <v/>
      </c>
      <c r="S59" s="25">
        <f>ROUND($B$6*$B$9*$B$12*$B$16*$B$19*$B$21*$B$23,0)</f>
        <v/>
      </c>
      <c r="T59" s="25">
        <f>ROUND($B$6*$B$9*$B$12*$B$17*$B$18*$B$20*$B$22,0)</f>
        <v/>
      </c>
      <c r="U59" s="25">
        <f>ROUND($B$6*$B$9*$B$12*$B$17*$B$18*$B$20*$B$23,0)</f>
        <v/>
      </c>
      <c r="V59" s="25">
        <f>ROUND($B$6*$B$9*$B$12*$B$17*$B$18*$B$21*$B$22,0)</f>
        <v/>
      </c>
      <c r="W59" s="25">
        <f>ROUND($B$6*$B$9*$B$12*$B$17*$B$18*$B$21*$B$23,0)</f>
        <v/>
      </c>
      <c r="X59" s="25">
        <f>ROUND($B$6*$B$9*$B$12*$B$17*$B$19*$B$20*$B$22,0)</f>
        <v/>
      </c>
      <c r="Y59" s="25">
        <f>ROUND($B$6*$B$9*$B$12*$B$17*$B$19*$B$20*$B$23,0)</f>
        <v/>
      </c>
      <c r="Z59" s="25">
        <f>ROUND($B$6*$B$9*$B$12*$B$17*$B$19*$B$21*$B$22,0)</f>
        <v/>
      </c>
      <c r="AA59" s="25">
        <f>ROUND($B$6*$B$9*$B$12*$B$17*$B$19*$B$21*$B$23,0)</f>
        <v/>
      </c>
    </row>
    <row r="60" ht="20.1" customHeight="1" s="62">
      <c r="A60" s="81" t="n"/>
      <c r="B60" s="58" t="n"/>
      <c r="C60" s="26" t="inlineStr">
        <is>
          <t>Desktop</t>
        </is>
      </c>
      <c r="D60" s="25">
        <f>ROUND($B$6*$B$9*$B$13*$B$15*$B$18*$B$20*$B$22,0)</f>
        <v/>
      </c>
      <c r="E60" s="25">
        <f>ROUND($B$6*$B$9*$B$13*$B$15*$B$18*$B$20*$B$23,0)</f>
        <v/>
      </c>
      <c r="F60" s="25">
        <f>ROUND($B$6*$B$9*$B$13*$B$15*$B$18*$B$21*$B$22,0)</f>
        <v/>
      </c>
      <c r="G60" s="25">
        <f>ROUND($B$6*$B$9*$B$13*$B$15*$B$18*$B$21*$B$23,0)</f>
        <v/>
      </c>
      <c r="H60" s="25">
        <f>ROUND($B$6*$B$9*$B$13*$B$15*$B$19*$B$20*$B$22,0)</f>
        <v/>
      </c>
      <c r="I60" s="25">
        <f>ROUND($B$6*$B$9*$B$13*$B$15*$B$19*$B$20*$B$23,0)</f>
        <v/>
      </c>
      <c r="J60" s="25">
        <f>ROUND($B$6*$B$9*$B$13*$B$15*$B$19*$B$21*$B$22,0)</f>
        <v/>
      </c>
      <c r="K60" s="25">
        <f>ROUND($B$6*$B$9*$B$13*$B$15*$B$19*$B$21*$B$23,0)</f>
        <v/>
      </c>
      <c r="L60" s="25">
        <f>ROUND($B$6*$B$9*$B$13*$B$16*$B$18*$B$20*$B$22,0)</f>
        <v/>
      </c>
      <c r="M60" s="25">
        <f>ROUND($B$6*$B$9*$B$13*$B$16*$B$18*$B$20*$B$23,0)</f>
        <v/>
      </c>
      <c r="N60" s="25">
        <f>ROUND($B$6*$B$9*$B$13*$B$16*$B$18*$B$21*$B$22,0)</f>
        <v/>
      </c>
      <c r="O60" s="25">
        <f>ROUND($B$6*$B$9*$B$13*$B$16*$B$18*$B$21*$B$23,0)</f>
        <v/>
      </c>
      <c r="P60" s="25">
        <f>ROUND($B$6*$B$9*$B$13*$B$16*$B$19*$B$20*$B$22,0)</f>
        <v/>
      </c>
      <c r="Q60" s="25">
        <f>ROUND($B$6*$B$9*$B$13*$B$16*$B$19*$B$20*$B$23,0)</f>
        <v/>
      </c>
      <c r="R60" s="25">
        <f>ROUND($B$6*$B$9*$B$13*$B$16*$B$19*$B$21*$B$22,0)</f>
        <v/>
      </c>
      <c r="S60" s="25">
        <f>ROUND($B$6*$B$9*$B$13*$B$16*$B$19*$B$21*$B$23,0)</f>
        <v/>
      </c>
      <c r="T60" s="25">
        <f>ROUND($B$6*$B$9*$B$13*$B$17*$B$18*$B$20*$B$22,0)</f>
        <v/>
      </c>
      <c r="U60" s="25">
        <f>ROUND($B$6*$B$9*$B$13*$B$17*$B$18*$B$20*$B$23,0)</f>
        <v/>
      </c>
      <c r="V60" s="25">
        <f>ROUND($B$6*$B$9*$B$13*$B$17*$B$18*$B$21*$B$22,0)</f>
        <v/>
      </c>
      <c r="W60" s="25">
        <f>ROUND($B$6*$B$9*$B$13*$B$17*$B$18*$B$21*$B$23,0)</f>
        <v/>
      </c>
      <c r="X60" s="25">
        <f>ROUND($B$6*$B$9*$B$13*$B$17*$B$19*$B$20*$B$22,0)</f>
        <v/>
      </c>
      <c r="Y60" s="25">
        <f>ROUND($B$6*$B$9*$B$13*$B$17*$B$19*$B$20*$B$23,0)</f>
        <v/>
      </c>
      <c r="Z60" s="25">
        <f>ROUND($B$6*$B$9*$B$13*$B$17*$B$19*$B$21*$B$22,0)</f>
        <v/>
      </c>
      <c r="AA60" s="25">
        <f>ROUND($B$6*$B$9*$B$13*$B$17*$B$19*$B$21*$B$23,0)</f>
        <v/>
      </c>
    </row>
    <row r="61" ht="20.1" customHeight="1" s="62">
      <c r="A61" s="81" t="n"/>
      <c r="B61" s="59" t="n"/>
      <c r="C61" s="27" t="inlineStr">
        <is>
          <t>Multi-environnements</t>
        </is>
      </c>
      <c r="D61" s="25">
        <f>ROUND($B$6*$B$9*$B$14*$B$15*$B$18*$B$20*$B$22,0)</f>
        <v/>
      </c>
      <c r="E61" s="25">
        <f>ROUND($B$6*$B$9*$B$14*$B$15*$B$18*$B$20*$B$23,0)</f>
        <v/>
      </c>
      <c r="F61" s="25">
        <f>ROUND($B$6*$B$9*$B$14*$B$15*$B$18*$B$21*$B$22,0)</f>
        <v/>
      </c>
      <c r="G61" s="25">
        <f>ROUND($B$6*$B$9*$B$14*$B$15*$B$18*$B$21*$B$23,0)</f>
        <v/>
      </c>
      <c r="H61" s="25">
        <f>ROUND($B$6*$B$9*$B$14*$B$15*$B$19*$B$20*$B$22,0)</f>
        <v/>
      </c>
      <c r="I61" s="25">
        <f>ROUND($B$6*$B$9*$B$14*$B$15*$B$19*$B$20*$B$23,0)</f>
        <v/>
      </c>
      <c r="J61" s="25">
        <f>ROUND($B$6*$B$9*$B$14*$B$15*$B$19*$B$21*$B$22,0)</f>
        <v/>
      </c>
      <c r="K61" s="25">
        <f>ROUND($B$6*$B$9*$B$14*$B$15*$B$19*$B$21*$B$23,0)</f>
        <v/>
      </c>
      <c r="L61" s="25">
        <f>ROUND($B$6*$B$9*$B$14*$B$16*$B$18*$B$20*$B$22,0)</f>
        <v/>
      </c>
      <c r="M61" s="25">
        <f>ROUND($B$6*$B$9*$B$14*$B$16*$B$18*$B$20*$B$23,0)</f>
        <v/>
      </c>
      <c r="N61" s="25">
        <f>ROUND($B$6*$B$9*$B$14*$B$16*$B$18*$B$21*$B$22,0)</f>
        <v/>
      </c>
      <c r="O61" s="25">
        <f>ROUND($B$6*$B$9*$B$14*$B$16*$B$18*$B$21*$B$23,0)</f>
        <v/>
      </c>
      <c r="P61" s="25">
        <f>ROUND($B$6*$B$9*$B$14*$B$16*$B$19*$B$20*$B$22,0)</f>
        <v/>
      </c>
      <c r="Q61" s="25">
        <f>ROUND($B$6*$B$9*$B$14*$B$16*$B$19*$B$20*$B$23,0)</f>
        <v/>
      </c>
      <c r="R61" s="25">
        <f>ROUND($B$6*$B$9*$B$14*$B$16*$B$19*$B$21*$B$22,0)</f>
        <v/>
      </c>
      <c r="S61" s="25">
        <f>ROUND($B$6*$B$9*$B$14*$B$16*$B$19*$B$21*$B$23,0)</f>
        <v/>
      </c>
      <c r="T61" s="25">
        <f>ROUND($B$6*$B$9*$B$14*$B$17*$B$18*$B$20*$B$22,0)</f>
        <v/>
      </c>
      <c r="U61" s="25">
        <f>ROUND($B$6*$B$9*$B$14*$B$17*$B$18*$B$20*$B$23,0)</f>
        <v/>
      </c>
      <c r="V61" s="25">
        <f>ROUND($B$6*$B$9*$B$14*$B$17*$B$18*$B$21*$B$22,0)</f>
        <v/>
      </c>
      <c r="W61" s="25">
        <f>ROUND($B$6*$B$9*$B$14*$B$17*$B$18*$B$21*$B$23,0)</f>
        <v/>
      </c>
      <c r="X61" s="25">
        <f>ROUND($B$6*$B$9*$B$14*$B$17*$B$19*$B$20*$B$22,0)</f>
        <v/>
      </c>
      <c r="Y61" s="25">
        <f>ROUND($B$6*$B$9*$B$14*$B$17*$B$19*$B$20*$B$23,0)</f>
        <v/>
      </c>
      <c r="Z61" s="25">
        <f>ROUND($B$6*$B$9*$B$14*$B$17*$B$19*$B$21*$B$22,0)</f>
        <v/>
      </c>
      <c r="AA61" s="25">
        <f>ROUND($B$6*$B$9*$B$14*$B$17*$B$19*$B$21*$B$23,0)</f>
        <v/>
      </c>
    </row>
    <row r="62" ht="20.1" customHeight="1" s="62">
      <c r="A62" s="81" t="n"/>
      <c r="B62" s="73" t="inlineStr">
        <is>
          <t>30+ fonctionnalités</t>
        </is>
      </c>
      <c r="C62" s="24" t="inlineStr">
        <is>
          <t>Web</t>
        </is>
      </c>
      <c r="D62" s="25">
        <f>ROUND($B$6*$B$10*$B$11*$B$15*$B$18*$B$20*$B$22,0)</f>
        <v/>
      </c>
      <c r="E62" s="25">
        <f>ROUND($B$6*$B$10*$B$11*$B$15*$B$18*$B$20*$B$23,0)</f>
        <v/>
      </c>
      <c r="F62" s="25">
        <f>ROUND($B$6*$B$10*$B$11*$B$15*$B$18*$B$21*$B$22,0)</f>
        <v/>
      </c>
      <c r="G62" s="25">
        <f>ROUND($B$6*$B$10*$B$11*$B$15*$B$18*$B$21*$B$23,0)</f>
        <v/>
      </c>
      <c r="H62" s="25">
        <f>ROUND($B$6*$B$10*$B$11*$B$15*$B$19*$B$20*$B$22,0)</f>
        <v/>
      </c>
      <c r="I62" s="25">
        <f>ROUND($B$6*$B$10*$B$11*$B$15*$B$19*$B$20*$B$23,0)</f>
        <v/>
      </c>
      <c r="J62" s="25">
        <f>ROUND($B$6*$B$10*$B$11*$B$15*$B$19*$B$21*$B$22,0)</f>
        <v/>
      </c>
      <c r="K62" s="25">
        <f>ROUND($B$6*$B$10*$B$11*$B$15*$B$19*$B$21*$B$23,0)</f>
        <v/>
      </c>
      <c r="L62" s="25">
        <f>ROUND($B$6*$B$10*$B$11*$B$16*$B$18*$B$20*$B$22,0)</f>
        <v/>
      </c>
      <c r="M62" s="25">
        <f>ROUND($B$6*$B$10*$B$11*$B$16*$B$18*$B$20*$B$23,0)</f>
        <v/>
      </c>
      <c r="N62" s="25">
        <f>ROUND($B$6*$B$10*$B$11*$B$16*$B$18*$B$21*$B$22,0)</f>
        <v/>
      </c>
      <c r="O62" s="25">
        <f>ROUND($B$6*$B$10*$B$11*$B$16*$B$18*$B$21*$B$23,0)</f>
        <v/>
      </c>
      <c r="P62" s="25">
        <f>ROUND($B$6*$B$10*$B$11*$B$16*$B$19*$B$20*$B$22,0)</f>
        <v/>
      </c>
      <c r="Q62" s="25">
        <f>ROUND($B$6*$B$10*$B$11*$B$16*$B$19*$B$20*$B$23,0)</f>
        <v/>
      </c>
      <c r="R62" s="25">
        <f>ROUND($B$6*$B$10*$B$11*$B$16*$B$19*$B$21*$B$22,0)</f>
        <v/>
      </c>
      <c r="S62" s="25">
        <f>ROUND($B$6*$B$10*$B$11*$B$16*$B$19*$B$21*$B$23,0)</f>
        <v/>
      </c>
      <c r="T62" s="25">
        <f>ROUND($B$6*$B$10*$B$11*$B$17*$B$18*$B$20*$B$22,0)</f>
        <v/>
      </c>
      <c r="U62" s="25">
        <f>ROUND($B$6*$B$10*$B$11*$B$17*$B$18*$B$20*$B$23,0)</f>
        <v/>
      </c>
      <c r="V62" s="25">
        <f>ROUND($B$6*$B$10*$B$11*$B$17*$B$18*$B$21*$B$22,0)</f>
        <v/>
      </c>
      <c r="W62" s="25">
        <f>ROUND($B$6*$B$10*$B$11*$B$17*$B$18*$B$21*$B$23,0)</f>
        <v/>
      </c>
      <c r="X62" s="25">
        <f>ROUND($B$6*$B$10*$B$11*$B$17*$B$19*$B$20*$B$22,0)</f>
        <v/>
      </c>
      <c r="Y62" s="25">
        <f>ROUND($B$6*$B$10*$B$11*$B$17*$B$19*$B$20*$B$23,0)</f>
        <v/>
      </c>
      <c r="Z62" s="25">
        <f>ROUND($B$6*$B$10*$B$11*$B$17*$B$19*$B$21*$B$22,0)</f>
        <v/>
      </c>
      <c r="AA62" s="25">
        <f>ROUND($B$6*$B$10*$B$11*$B$17*$B$19*$B$21*$B$23,0)</f>
        <v/>
      </c>
    </row>
    <row r="63" ht="20.1" customHeight="1" s="62">
      <c r="A63" s="81" t="n"/>
      <c r="B63" s="58" t="n"/>
      <c r="C63" s="73" t="inlineStr">
        <is>
          <t>Mobile</t>
        </is>
      </c>
      <c r="D63" s="25">
        <f>ROUND($B$6*$B$10*$B$12*$B$15*$B$18*$B$20*$B$22,0)</f>
        <v/>
      </c>
      <c r="E63" s="25">
        <f>ROUND($B$6*$B$10*$B$12*$B$15*$B$18*$B$20*$B$23,0)</f>
        <v/>
      </c>
      <c r="F63" s="25">
        <f>ROUND($B$6*$B$10*$B$12*$B$15*$B$18*$B$21*$B$22,0)</f>
        <v/>
      </c>
      <c r="G63" s="25">
        <f>ROUND($B$6*$B$10*$B$12*$B$15*$B$18*$B$21*$B$23,0)</f>
        <v/>
      </c>
      <c r="H63" s="25">
        <f>ROUND($B$6*$B$10*$B$12*$B$15*$B$19*$B$20*$B$22,0)</f>
        <v/>
      </c>
      <c r="I63" s="25">
        <f>ROUND($B$6*$B$10*$B$12*$B$15*$B$19*$B$20*$B$23,0)</f>
        <v/>
      </c>
      <c r="J63" s="25">
        <f>ROUND($B$6*$B$10*$B$12*$B$15*$B$19*$B$21*$B$22,0)</f>
        <v/>
      </c>
      <c r="K63" s="25">
        <f>ROUND($B$6*$B$10*$B$12*$B$15*$B$19*$B$21*$B$23,0)</f>
        <v/>
      </c>
      <c r="L63" s="25">
        <f>ROUND($B$6*$B$10*$B$12*$B$16*$B$18*$B$20*$B$22,0)</f>
        <v/>
      </c>
      <c r="M63" s="25">
        <f>ROUND($B$6*$B$10*$B$12*$B$16*$B$18*$B$20*$B$23,0)</f>
        <v/>
      </c>
      <c r="N63" s="25">
        <f>ROUND($B$6*$B$10*$B$12*$B$16*$B$18*$B$21*$B$22,0)</f>
        <v/>
      </c>
      <c r="O63" s="25">
        <f>ROUND($B$6*$B$10*$B$12*$B$16*$B$18*$B$21*$B$23,0)</f>
        <v/>
      </c>
      <c r="P63" s="25">
        <f>ROUND($B$6*$B$10*$B$12*$B$16*$B$19*$B$20*$B$22,0)</f>
        <v/>
      </c>
      <c r="Q63" s="25">
        <f>ROUND($B$6*$B$10*$B$12*$B$16*$B$19*$B$20*$B$23,0)</f>
        <v/>
      </c>
      <c r="R63" s="25">
        <f>ROUND($B$6*$B$10*$B$12*$B$16*$B$19*$B$21*$B$22,0)</f>
        <v/>
      </c>
      <c r="S63" s="25">
        <f>ROUND($B$6*$B$10*$B$12*$B$16*$B$19*$B$21*$B$23,0)</f>
        <v/>
      </c>
      <c r="T63" s="25">
        <f>ROUND($B$6*$B$10*$B$12*$B$17*$B$18*$B$20*$B$22,0)</f>
        <v/>
      </c>
      <c r="U63" s="25">
        <f>ROUND($B$6*$B$10*$B$12*$B$17*$B$18*$B$20*$B$23,0)</f>
        <v/>
      </c>
      <c r="V63" s="25">
        <f>ROUND($B$6*$B$10*$B$12*$B$17*$B$18*$B$21*$B$22,0)</f>
        <v/>
      </c>
      <c r="W63" s="25">
        <f>ROUND($B$6*$B$10*$B$12*$B$17*$B$18*$B$21*$B$23,0)</f>
        <v/>
      </c>
      <c r="X63" s="25">
        <f>ROUND($B$6*$B$10*$B$12*$B$17*$B$19*$B$20*$B$22,0)</f>
        <v/>
      </c>
      <c r="Y63" s="25">
        <f>ROUND($B$6*$B$10*$B$12*$B$17*$B$19*$B$20*$B$23,0)</f>
        <v/>
      </c>
      <c r="Z63" s="25">
        <f>ROUND($B$6*$B$10*$B$12*$B$17*$B$19*$B$21*$B$22,0)</f>
        <v/>
      </c>
      <c r="AA63" s="25">
        <f>ROUND($B$6*$B$10*$B$12*$B$17*$B$19*$B$21*$B$23,0)</f>
        <v/>
      </c>
    </row>
    <row r="64" ht="20.1" customHeight="1" s="62">
      <c r="A64" s="81" t="n"/>
      <c r="B64" s="58" t="n"/>
      <c r="C64" s="26" t="inlineStr">
        <is>
          <t>Desktop</t>
        </is>
      </c>
      <c r="D64" s="25">
        <f>ROUND($B$6*$B$10*$B$13*$B$15*$B$18*$B$20*$B$22,0)</f>
        <v/>
      </c>
      <c r="E64" s="25">
        <f>ROUND($B$6*$B$10*$B$13*$B$15*$B$18*$B$20*$B$23,0)</f>
        <v/>
      </c>
      <c r="F64" s="25">
        <f>ROUND($B$6*$B$10*$B$13*$B$15*$B$18*$B$21*$B$22,0)</f>
        <v/>
      </c>
      <c r="G64" s="25">
        <f>ROUND($B$6*$B$10*$B$13*$B$15*$B$18*$B$21*$B$23,0)</f>
        <v/>
      </c>
      <c r="H64" s="25">
        <f>ROUND($B$6*$B$10*$B$13*$B$15*$B$19*$B$20*$B$22,0)</f>
        <v/>
      </c>
      <c r="I64" s="25">
        <f>ROUND($B$6*$B$10*$B$13*$B$15*$B$19*$B$20*$B$23,0)</f>
        <v/>
      </c>
      <c r="J64" s="25">
        <f>ROUND($B$6*$B$10*$B$13*$B$15*$B$19*$B$21*$B$22,0)</f>
        <v/>
      </c>
      <c r="K64" s="25">
        <f>ROUND($B$6*$B$10*$B$13*$B$15*$B$19*$B$21*$B$23,0)</f>
        <v/>
      </c>
      <c r="L64" s="25">
        <f>ROUND($B$6*$B$10*$B$13*$B$16*$B$18*$B$20*$B$22,0)</f>
        <v/>
      </c>
      <c r="M64" s="25">
        <f>ROUND($B$6*$B$10*$B$13*$B$16*$B$18*$B$20*$B$23,0)</f>
        <v/>
      </c>
      <c r="N64" s="25">
        <f>ROUND($B$6*$B$10*$B$13*$B$16*$B$18*$B$21*$B$22,0)</f>
        <v/>
      </c>
      <c r="O64" s="25">
        <f>ROUND($B$6*$B$10*$B$13*$B$16*$B$18*$B$21*$B$23,0)</f>
        <v/>
      </c>
      <c r="P64" s="25">
        <f>ROUND($B$6*$B$10*$B$13*$B$16*$B$19*$B$20*$B$22,0)</f>
        <v/>
      </c>
      <c r="Q64" s="25">
        <f>ROUND($B$6*$B$10*$B$13*$B$16*$B$19*$B$20*$B$23,0)</f>
        <v/>
      </c>
      <c r="R64" s="25">
        <f>ROUND($B$6*$B$10*$B$13*$B$16*$B$19*$B$21*$B$22,0)</f>
        <v/>
      </c>
      <c r="S64" s="25">
        <f>ROUND($B$6*$B$10*$B$13*$B$16*$B$19*$B$21*$B$23,0)</f>
        <v/>
      </c>
      <c r="T64" s="25">
        <f>ROUND($B$6*$B$10*$B$13*$B$17*$B$18*$B$20*$B$22,0)</f>
        <v/>
      </c>
      <c r="U64" s="25">
        <f>ROUND($B$6*$B$10*$B$13*$B$17*$B$18*$B$20*$B$23,0)</f>
        <v/>
      </c>
      <c r="V64" s="25">
        <f>ROUND($B$6*$B$10*$B$13*$B$17*$B$18*$B$21*$B$22,0)</f>
        <v/>
      </c>
      <c r="W64" s="25">
        <f>ROUND($B$6*$B$10*$B$13*$B$17*$B$18*$B$21*$B$23,0)</f>
        <v/>
      </c>
      <c r="X64" s="25">
        <f>ROUND($B$6*$B$10*$B$13*$B$17*$B$19*$B$20*$B$22,0)</f>
        <v/>
      </c>
      <c r="Y64" s="25">
        <f>ROUND($B$6*$B$10*$B$13*$B$17*$B$19*$B$20*$B$23,0)</f>
        <v/>
      </c>
      <c r="Z64" s="25">
        <f>ROUND($B$6*$B$10*$B$13*$B$17*$B$19*$B$21*$B$22,0)</f>
        <v/>
      </c>
      <c r="AA64" s="25">
        <f>ROUND($B$6*$B$10*$B$13*$B$17*$B$19*$B$21*$B$23,0)</f>
        <v/>
      </c>
    </row>
    <row r="65" ht="20.1" customHeight="1" s="62">
      <c r="A65" s="82" t="n"/>
      <c r="B65" s="59" t="n"/>
      <c r="C65" s="27" t="inlineStr">
        <is>
          <t>Multi-environnements</t>
        </is>
      </c>
      <c r="D65" s="25">
        <f>ROUND($B$6*$B$10*$B$14*$B$15*$B$18*$B$20*$B$22,0)</f>
        <v/>
      </c>
      <c r="E65" s="25">
        <f>ROUND($B$6*$B$10*$B$14*$B$15*$B$18*$B$20*$B$23,0)</f>
        <v/>
      </c>
      <c r="F65" s="25">
        <f>ROUND($B$6*$B$10*$B$14*$B$15*$B$18*$B$21*$B$22,0)</f>
        <v/>
      </c>
      <c r="G65" s="25">
        <f>ROUND($B$6*$B$10*$B$14*$B$15*$B$18*$B$21*$B$23,0)</f>
        <v/>
      </c>
      <c r="H65" s="25">
        <f>ROUND($B$6*$B$10*$B$14*$B$15*$B$19*$B$20*$B$22,0)</f>
        <v/>
      </c>
      <c r="I65" s="25">
        <f>ROUND($B$6*$B$10*$B$14*$B$15*$B$19*$B$20*$B$23,0)</f>
        <v/>
      </c>
      <c r="J65" s="25">
        <f>ROUND($B$6*$B$10*$B$14*$B$15*$B$19*$B$21*$B$22,0)</f>
        <v/>
      </c>
      <c r="K65" s="25">
        <f>ROUND($B$6*$B$10*$B$14*$B$15*$B$19*$B$21*$B$23,0)</f>
        <v/>
      </c>
      <c r="L65" s="25">
        <f>ROUND($B$6*$B$10*$B$14*$B$16*$B$18*$B$20*$B$22,0)</f>
        <v/>
      </c>
      <c r="M65" s="25">
        <f>ROUND($B$6*$B$10*$B$14*$B$16*$B$18*$B$20*$B$23,0)</f>
        <v/>
      </c>
      <c r="N65" s="25">
        <f>ROUND($B$6*$B$10*$B$14*$B$16*$B$18*$B$21*$B$22,0)</f>
        <v/>
      </c>
      <c r="O65" s="25">
        <f>ROUND($B$6*$B$10*$B$14*$B$16*$B$18*$B$21*$B$23,0)</f>
        <v/>
      </c>
      <c r="P65" s="25">
        <f>ROUND($B$6*$B$10*$B$14*$B$16*$B$19*$B$20*$B$22,0)</f>
        <v/>
      </c>
      <c r="Q65" s="25">
        <f>ROUND($B$6*$B$10*$B$14*$B$16*$B$19*$B$20*$B$23,0)</f>
        <v/>
      </c>
      <c r="R65" s="25">
        <f>ROUND($B$6*$B$10*$B$14*$B$16*$B$19*$B$21*$B$22,0)</f>
        <v/>
      </c>
      <c r="S65" s="25">
        <f>ROUND($B$6*$B$10*$B$14*$B$16*$B$19*$B$21*$B$23,0)</f>
        <v/>
      </c>
      <c r="T65" s="25">
        <f>ROUND($B$6*$B$10*$B$14*$B$17*$B$18*$B$20*$B$22,0)</f>
        <v/>
      </c>
      <c r="U65" s="25">
        <f>ROUND($B$6*$B$10*$B$14*$B$17*$B$18*$B$20*$B$23,0)</f>
        <v/>
      </c>
      <c r="V65" s="25">
        <f>ROUND($B$6*$B$10*$B$14*$B$17*$B$18*$B$21*$B$22,0)</f>
        <v/>
      </c>
      <c r="W65" s="25">
        <f>ROUND($B$6*$B$10*$B$14*$B$17*$B$18*$B$21*$B$23,0)</f>
        <v/>
      </c>
      <c r="X65" s="25">
        <f>ROUND($B$6*$B$10*$B$14*$B$17*$B$19*$B$20*$B$22,0)</f>
        <v/>
      </c>
      <c r="Y65" s="25">
        <f>ROUND($B$6*$B$10*$B$14*$B$17*$B$19*$B$20*$B$23,0)</f>
        <v/>
      </c>
      <c r="Z65" s="25">
        <f>ROUND($B$6*$B$10*$B$14*$B$17*$B$19*$B$21*$B$22,0)</f>
        <v/>
      </c>
      <c r="AA65" s="25">
        <f>ROUND($B$6*$B$10*$B$14*$B$17*$B$19*$B$21*$B$23,0)</f>
        <v/>
      </c>
    </row>
  </sheetData>
  <mergeCells count="41">
    <mergeCell ref="D26:K26"/>
    <mergeCell ref="H27:K27"/>
    <mergeCell ref="A7:AA7"/>
    <mergeCell ref="B50:B53"/>
    <mergeCell ref="C26:C29"/>
    <mergeCell ref="R28:S28"/>
    <mergeCell ref="J28:K28"/>
    <mergeCell ref="B46:B49"/>
    <mergeCell ref="L28:M28"/>
    <mergeCell ref="B62:B65"/>
    <mergeCell ref="B42:B45"/>
    <mergeCell ref="L27:O27"/>
    <mergeCell ref="T27:W27"/>
    <mergeCell ref="A3:AA3"/>
    <mergeCell ref="X27:AA27"/>
    <mergeCell ref="V28:W28"/>
    <mergeCell ref="X28:Y28"/>
    <mergeCell ref="A2:AA2"/>
    <mergeCell ref="B58:B61"/>
    <mergeCell ref="B38:B41"/>
    <mergeCell ref="A54:A65"/>
    <mergeCell ref="B54:B57"/>
    <mergeCell ref="A30:A41"/>
    <mergeCell ref="T26:AA26"/>
    <mergeCell ref="L26:S26"/>
    <mergeCell ref="A26:A29"/>
    <mergeCell ref="B34:B37"/>
    <mergeCell ref="N28:O28"/>
    <mergeCell ref="D28:E28"/>
    <mergeCell ref="B30:B33"/>
    <mergeCell ref="F28:G28"/>
    <mergeCell ref="P28:Q28"/>
    <mergeCell ref="H28:I28"/>
    <mergeCell ref="D27:G27"/>
    <mergeCell ref="P27:S27"/>
    <mergeCell ref="Z28:AA28"/>
    <mergeCell ref="B26:B29"/>
    <mergeCell ref="A24:AA24"/>
    <mergeCell ref="T28:U28"/>
    <mergeCell ref="A42:A53"/>
    <mergeCell ref="A1:A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0D3B4F"/>
    <outlinePr summaryBelow="1" summaryRight="1"/>
    <pageSetUpPr/>
  </sheetPr>
  <dimension ref="A1:AA65"/>
  <sheetViews>
    <sheetView workbookViewId="0">
      <pane xSplit="3" topLeftCell="N1" activePane="topRight" state="frozen"/>
      <selection pane="topRight" activeCell="A24" sqref="A24:AA24"/>
    </sheetView>
  </sheetViews>
  <sheetFormatPr baseColWidth="10" defaultColWidth="9.140625" defaultRowHeight="15"/>
  <cols>
    <col width="22" customWidth="1" style="62" min="1" max="1"/>
    <col width="16" customWidth="1" style="62" min="2" max="2"/>
    <col width="22" customWidth="1" style="62" min="3" max="3"/>
    <col width="14" customWidth="1" style="62" min="4" max="27"/>
  </cols>
  <sheetData>
    <row r="1" ht="33.95" customHeight="1" s="62">
      <c r="A1" s="84" t="inlineStr">
        <is>
          <t>GRILLE TARIFAIRE — Création de sites web</t>
        </is>
      </c>
    </row>
    <row r="2" ht="26.1" customHeight="1" s="62">
      <c r="A2" s="79" t="inlineStr">
        <is>
          <t>⚙  ZONE DE PARAMÉTRAGE — Remplissez uniquement les cases jaunes. Le tableau se calcule automatiquement.</t>
        </is>
      </c>
    </row>
    <row r="3" ht="21.95" customHeight="1" s="62">
      <c r="A3" s="78" t="inlineStr">
        <is>
          <t>TARIFS DE BASE (€)  —  Par type de site web</t>
        </is>
      </c>
    </row>
    <row r="4" ht="21.95" customHeight="1" s="62">
      <c r="A4" s="16" t="inlineStr">
        <is>
          <t>Tarif de base — Site vitrine</t>
        </is>
      </c>
      <c r="B4" s="17" t="n">
        <v>2000</v>
      </c>
      <c r="C4" s="18" t="inlineStr">
        <is>
          <t>Fourchette indicative : 2 000 – 5 000 €</t>
        </is>
      </c>
    </row>
    <row r="5" ht="21.95" customHeight="1" s="62">
      <c r="A5" s="16" t="inlineStr">
        <is>
          <t>Tarif de base — Site professionnel</t>
        </is>
      </c>
      <c r="B5" s="17" t="n">
        <v>5000</v>
      </c>
      <c r="C5" s="18" t="inlineStr">
        <is>
          <t>Fourchette indicative : 5 000 – 12 000 €</t>
        </is>
      </c>
    </row>
    <row r="6" ht="21.95" customHeight="1" s="62">
      <c r="A6" s="16" t="inlineStr">
        <is>
          <t>Tarif de base — Site avancé sur mesure</t>
        </is>
      </c>
      <c r="B6" s="17" t="n">
        <v>10000</v>
      </c>
      <c r="C6" s="18" t="inlineStr">
        <is>
          <t>Fourchette indicative : 12 000 – 30 000 €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pages — 1-5 pages</t>
        </is>
      </c>
      <c r="B8" s="20" t="n">
        <v>0.85</v>
      </c>
      <c r="C8" s="21" t="inlineStr">
        <is>
          <t>Petit site</t>
        </is>
      </c>
    </row>
    <row r="9" ht="20.1" customHeight="1" s="62">
      <c r="A9" s="19" t="inlineStr">
        <is>
          <t>Coeff. pages — 6-15 pages</t>
        </is>
      </c>
      <c r="B9" s="20" t="n">
        <v>1</v>
      </c>
      <c r="C9" s="21" t="inlineStr">
        <is>
          <t>Référence</t>
        </is>
      </c>
    </row>
    <row r="10" ht="20.1" customHeight="1" s="62">
      <c r="A10" s="19" t="inlineStr">
        <is>
          <t>Coeff. pages — 16-30 pages</t>
        </is>
      </c>
      <c r="B10" s="20" t="n">
        <v>1.35</v>
      </c>
      <c r="C10" s="21" t="inlineStr">
        <is>
          <t>Site moyen</t>
        </is>
      </c>
    </row>
    <row r="11" ht="20.1" customHeight="1" s="62">
      <c r="A11" s="19" t="inlineStr">
        <is>
          <t>Coeff. pages — 30+ pages</t>
        </is>
      </c>
      <c r="B11" s="20" t="n">
        <v>1.8</v>
      </c>
      <c r="C11" s="21" t="inlineStr">
        <is>
          <t>Grand site</t>
        </is>
      </c>
    </row>
    <row r="12" ht="20.1" customHeight="1" s="62">
      <c r="A12" s="19" t="inlineStr">
        <is>
          <t>Coeff. design — Standard</t>
        </is>
      </c>
      <c r="B12" s="20" t="n">
        <v>1</v>
      </c>
      <c r="C12" s="21" t="inlineStr">
        <is>
          <t>Référence</t>
        </is>
      </c>
    </row>
    <row r="13" ht="20.1" customHeight="1" s="62">
      <c r="A13" s="19" t="inlineStr">
        <is>
          <t>Coeff. design — Personnalisé</t>
        </is>
      </c>
      <c r="B13" s="20" t="n">
        <v>1.3</v>
      </c>
      <c r="C13" s="21" t="inlineStr">
        <is>
          <t>Identité visuelle sur mesure</t>
        </is>
      </c>
    </row>
    <row r="14" ht="20.1" customHeight="1" s="62">
      <c r="A14" s="19" t="inlineStr">
        <is>
          <t>Coeff. design — Full sur mesure</t>
        </is>
      </c>
      <c r="B14" s="20" t="n">
        <v>1.8</v>
      </c>
      <c r="C14" s="21" t="inlineStr">
        <is>
          <t>Conception graphique complète</t>
        </is>
      </c>
    </row>
    <row r="15" ht="20.1" customHeight="1" s="62">
      <c r="A15" s="19" t="inlineStr">
        <is>
          <t>Coeff. fonctionnalités — Sans</t>
        </is>
      </c>
      <c r="B15" s="20" t="n">
        <v>1</v>
      </c>
      <c r="C15" s="21" t="inlineStr">
        <is>
          <t>Référence</t>
        </is>
      </c>
    </row>
    <row r="16" ht="20.1" customHeight="1" s="62">
      <c r="A16" s="19" t="inlineStr">
        <is>
          <t>Coeff. fonctionnalités — Formulaires &amp; tracking</t>
        </is>
      </c>
      <c r="B16" s="20" t="n">
        <v>1.15</v>
      </c>
      <c r="C16" s="21" t="inlineStr">
        <is>
          <t>Intégrations légères</t>
        </is>
      </c>
    </row>
    <row r="17" ht="20.1" customHeight="1" s="62">
      <c r="A17" s="19" t="inlineStr">
        <is>
          <t>Coeff. fonctionnalités — Espace client / e-comm.</t>
        </is>
      </c>
      <c r="B17" s="20" t="n">
        <v>1.5</v>
      </c>
      <c r="C17" s="21" t="inlineStr">
        <is>
          <t>Développement fonctionnel avancé</t>
        </is>
      </c>
    </row>
    <row r="18" ht="20.1" customHeight="1" s="62">
      <c r="A18" s="19" t="inlineStr">
        <is>
          <t>Coeff. SEO — De base</t>
        </is>
      </c>
      <c r="B18" s="20" t="n">
        <v>1</v>
      </c>
      <c r="C18" s="21" t="inlineStr">
        <is>
          <t>Référence</t>
        </is>
      </c>
    </row>
    <row r="19" ht="20.1" customHeight="1" s="62">
      <c r="A19" s="19" t="inlineStr">
        <is>
          <t>Coeff. SEO — Optimisé</t>
        </is>
      </c>
      <c r="B19" s="20" t="n">
        <v>1.3</v>
      </c>
      <c r="C19" s="21" t="inlineStr">
        <is>
          <t>Travail SEO approfondi</t>
        </is>
      </c>
    </row>
    <row r="20" ht="20.1" customHeight="1" s="62">
      <c r="A20" s="19" t="inlineStr">
        <is>
          <t>Coeff. intégration — Sans</t>
        </is>
      </c>
      <c r="B20" s="20" t="n">
        <v>1</v>
      </c>
      <c r="C20" s="21" t="inlineStr">
        <is>
          <t>Référence</t>
        </is>
      </c>
    </row>
    <row r="21" ht="20.1" customHeight="1" s="62">
      <c r="A21" s="19" t="inlineStr">
        <is>
          <t>Coeff. intégration — Avec (CRM, tracking…)</t>
        </is>
      </c>
      <c r="B21" s="20" t="n">
        <v>1.4</v>
      </c>
      <c r="C21" s="21" t="inlineStr">
        <is>
          <t>Connexion outils tiers</t>
        </is>
      </c>
    </row>
    <row r="22" ht="20.1" customHeight="1" s="62">
      <c r="A22" s="19" t="inlineStr">
        <is>
          <t>Coeff. mode — Distanciel</t>
        </is>
      </c>
      <c r="B22" s="20" t="n">
        <v>1</v>
      </c>
      <c r="C22" s="21" t="inlineStr">
        <is>
          <t>Référence</t>
        </is>
      </c>
    </row>
    <row r="23" ht="20.1" customHeight="1" s="62">
      <c r="A23" s="19" t="inlineStr">
        <is>
          <t>Coeff. mode — Présentiel</t>
        </is>
      </c>
      <c r="B23" s="20" t="n">
        <v>1.3</v>
      </c>
      <c r="C23" s="21" t="inlineStr">
        <is>
          <t>Réunions et ateliers sur site</t>
        </is>
      </c>
    </row>
    <row r="24" ht="24" customHeight="1" s="62">
      <c r="A24" s="83" t="inlineStr">
        <is>
          <t>▼  GRILLE TARIFAIRE CALCULÉE AUTOMATIQUEMENT  — Les cellules bleues sont en lecture seule (formules).</t>
        </is>
      </c>
    </row>
    <row r="25" ht="6" customHeight="1" s="62"/>
    <row r="26" ht="38.1" customHeight="1" s="62">
      <c r="A26" s="77" t="inlineStr">
        <is>
          <t>Type de site</t>
        </is>
      </c>
      <c r="B26" s="74" t="inlineStr">
        <is>
          <t>Nombre de pages</t>
        </is>
      </c>
      <c r="C26" s="76" t="inlineStr">
        <is>
          <t>Niveau de personnalisation</t>
        </is>
      </c>
      <c r="D26" s="77" t="inlineStr">
        <is>
          <t>Sans fonctionnalité spécifique</t>
        </is>
      </c>
      <c r="E26" s="55" t="n"/>
      <c r="F26" s="55" t="n"/>
      <c r="G26" s="55" t="n"/>
      <c r="H26" s="55" t="n"/>
      <c r="I26" s="55" t="n"/>
      <c r="J26" s="55" t="n"/>
      <c r="K26" s="56" t="n"/>
      <c r="L26" s="77" t="inlineStr">
        <is>
          <t>Formulaires &amp; tracking</t>
        </is>
      </c>
      <c r="M26" s="55" t="n"/>
      <c r="N26" s="55" t="n"/>
      <c r="O26" s="55" t="n"/>
      <c r="P26" s="55" t="n"/>
      <c r="Q26" s="55" t="n"/>
      <c r="R26" s="55" t="n"/>
      <c r="S26" s="56" t="n"/>
      <c r="T26" s="77" t="inlineStr">
        <is>
          <t>Espace client / e-commerce</t>
        </is>
      </c>
      <c r="U26" s="55" t="n"/>
      <c r="V26" s="55" t="n"/>
      <c r="W26" s="55" t="n"/>
      <c r="X26" s="55" t="n"/>
      <c r="Y26" s="55" t="n"/>
      <c r="Z26" s="55" t="n"/>
      <c r="AA26" s="56" t="n"/>
    </row>
    <row r="27" ht="38.1" customHeight="1" s="62">
      <c r="A27" s="64" t="n"/>
      <c r="B27" s="64" t="n"/>
      <c r="C27" s="64" t="n"/>
      <c r="D27" s="74" t="inlineStr">
        <is>
          <t>SEO de base</t>
        </is>
      </c>
      <c r="E27" s="55" t="n"/>
      <c r="F27" s="55" t="n"/>
      <c r="G27" s="56" t="n"/>
      <c r="H27" s="74" t="inlineStr">
        <is>
          <t>SEO optimisé</t>
        </is>
      </c>
      <c r="I27" s="55" t="n"/>
      <c r="J27" s="55" t="n"/>
      <c r="K27" s="56" t="n"/>
      <c r="L27" s="74" t="inlineStr">
        <is>
          <t>SEO de base</t>
        </is>
      </c>
      <c r="M27" s="55" t="n"/>
      <c r="N27" s="55" t="n"/>
      <c r="O27" s="56" t="n"/>
      <c r="P27" s="74" t="inlineStr">
        <is>
          <t>SEO optimisé</t>
        </is>
      </c>
      <c r="Q27" s="55" t="n"/>
      <c r="R27" s="55" t="n"/>
      <c r="S27" s="56" t="n"/>
      <c r="T27" s="74" t="inlineStr">
        <is>
          <t>SEO de base</t>
        </is>
      </c>
      <c r="U27" s="55" t="n"/>
      <c r="V27" s="55" t="n"/>
      <c r="W27" s="56" t="n"/>
      <c r="X27" s="74" t="inlineStr">
        <is>
          <t>SEO optimisé</t>
        </is>
      </c>
      <c r="Y27" s="55" t="n"/>
      <c r="Z27" s="55" t="n"/>
      <c r="AA27" s="56" t="n"/>
    </row>
    <row r="28" ht="38.1" customHeight="1" s="62">
      <c r="A28" s="64" t="n"/>
      <c r="B28" s="64" t="n"/>
      <c r="C28" s="64" t="n"/>
      <c r="D28" s="76" t="inlineStr">
        <is>
          <t>Sans intégration externe</t>
        </is>
      </c>
      <c r="E28" s="56" t="n"/>
      <c r="F28" s="76" t="inlineStr">
        <is>
          <t>Avec intégration (CRM, tracking…)</t>
        </is>
      </c>
      <c r="G28" s="56" t="n"/>
      <c r="H28" s="76" t="inlineStr">
        <is>
          <t>Sans intégration externe</t>
        </is>
      </c>
      <c r="I28" s="56" t="n"/>
      <c r="J28" s="76" t="inlineStr">
        <is>
          <t>Avec intégration (CRM, tracking…)</t>
        </is>
      </c>
      <c r="K28" s="56" t="n"/>
      <c r="L28" s="76" t="inlineStr">
        <is>
          <t>Sans intégration externe</t>
        </is>
      </c>
      <c r="M28" s="56" t="n"/>
      <c r="N28" s="76" t="inlineStr">
        <is>
          <t>Avec intégration (CRM, tracking…)</t>
        </is>
      </c>
      <c r="O28" s="56" t="n"/>
      <c r="P28" s="76" t="inlineStr">
        <is>
          <t>Sans intégration externe</t>
        </is>
      </c>
      <c r="Q28" s="56" t="n"/>
      <c r="R28" s="76" t="inlineStr">
        <is>
          <t>Avec intégration (CRM, tracking…)</t>
        </is>
      </c>
      <c r="S28" s="56" t="n"/>
      <c r="T28" s="76" t="inlineStr">
        <is>
          <t>Sans intégration externe</t>
        </is>
      </c>
      <c r="U28" s="56" t="n"/>
      <c r="V28" s="76" t="inlineStr">
        <is>
          <t>Avec intégration (CRM, tracking…)</t>
        </is>
      </c>
      <c r="W28" s="56" t="n"/>
      <c r="X28" s="76" t="inlineStr">
        <is>
          <t>Sans intégration externe</t>
        </is>
      </c>
      <c r="Y28" s="56" t="n"/>
      <c r="Z28" s="76" t="inlineStr">
        <is>
          <t>Avec intégration (CRM, tracking…)</t>
        </is>
      </c>
      <c r="AA28" s="56" t="n"/>
    </row>
    <row r="29" ht="38.1" customHeight="1" s="62">
      <c r="A29" s="65" t="n"/>
      <c r="B29" s="65" t="n"/>
      <c r="C29" s="65" t="n"/>
      <c r="D29" s="22" t="inlineStr">
        <is>
          <t>Distanciel</t>
        </is>
      </c>
      <c r="E29" s="22" t="inlineStr">
        <is>
          <t>Présentiel</t>
        </is>
      </c>
      <c r="F29" s="22" t="inlineStr">
        <is>
          <t>Distanciel</t>
        </is>
      </c>
      <c r="G29" s="22" t="inlineStr">
        <is>
          <t>Présentiel</t>
        </is>
      </c>
      <c r="H29" s="22" t="inlineStr">
        <is>
          <t>Distanciel</t>
        </is>
      </c>
      <c r="I29" s="22" t="inlineStr">
        <is>
          <t>Présentiel</t>
        </is>
      </c>
      <c r="J29" s="22" t="inlineStr">
        <is>
          <t>Distanciel</t>
        </is>
      </c>
      <c r="K29" s="22" t="inlineStr">
        <is>
          <t>Présentiel</t>
        </is>
      </c>
      <c r="L29" s="22" t="inlineStr">
        <is>
          <t>Distanciel</t>
        </is>
      </c>
      <c r="M29" s="22" t="inlineStr">
        <is>
          <t>Présentiel</t>
        </is>
      </c>
      <c r="N29" s="22" t="inlineStr">
        <is>
          <t>Distanciel</t>
        </is>
      </c>
      <c r="O29" s="22" t="inlineStr">
        <is>
          <t>Présentiel</t>
        </is>
      </c>
      <c r="P29" s="22" t="inlineStr">
        <is>
          <t>Distanciel</t>
        </is>
      </c>
      <c r="Q29" s="22" t="inlineStr">
        <is>
          <t>Présentiel</t>
        </is>
      </c>
      <c r="R29" s="22" t="inlineStr">
        <is>
          <t>Distanciel</t>
        </is>
      </c>
      <c r="S29" s="22" t="inlineStr">
        <is>
          <t>Présentiel</t>
        </is>
      </c>
      <c r="T29" s="22" t="inlineStr">
        <is>
          <t>Distanciel</t>
        </is>
      </c>
      <c r="U29" s="22" t="inlineStr">
        <is>
          <t>Présentiel</t>
        </is>
      </c>
      <c r="V29" s="22" t="inlineStr">
        <is>
          <t>Distanciel</t>
        </is>
      </c>
      <c r="W29" s="22" t="inlineStr">
        <is>
          <t>Présentiel</t>
        </is>
      </c>
      <c r="X29" s="22" t="inlineStr">
        <is>
          <t>Distanciel</t>
        </is>
      </c>
      <c r="Y29" s="22" t="inlineStr">
        <is>
          <t>Présentiel</t>
        </is>
      </c>
      <c r="Z29" s="22" t="inlineStr">
        <is>
          <t>Distanciel</t>
        </is>
      </c>
      <c r="AA29" s="22" t="inlineStr">
        <is>
          <t>Présentiel</t>
        </is>
      </c>
    </row>
    <row r="30" ht="20.1" customHeight="1" s="62">
      <c r="A30" s="80" t="inlineStr">
        <is>
          <t>Site vitrine</t>
        </is>
      </c>
      <c r="B30" s="73" t="inlineStr">
        <is>
          <t>1-5 pages</t>
        </is>
      </c>
      <c r="C30" s="24" t="inlineStr">
        <is>
          <t>Design standard</t>
        </is>
      </c>
      <c r="D30" s="25">
        <f>ROUND($B$4*$B$8*$B$12*$B$15*$B$18*$B$20*$B$22,0)</f>
        <v/>
      </c>
      <c r="E30" s="25">
        <f>ROUND($B$4*$B$8*$B$12*$B$15*$B$18*$B$20*$B$23,0)</f>
        <v/>
      </c>
      <c r="F30" s="25">
        <f>ROUND($B$4*$B$8*$B$12*$B$15*$B$18*$B$21*$B$22,0)</f>
        <v/>
      </c>
      <c r="G30" s="25">
        <f>ROUND($B$4*$B$8*$B$12*$B$15*$B$18*$B$21*$B$23,0)</f>
        <v/>
      </c>
      <c r="H30" s="25">
        <f>ROUND($B$4*$B$8*$B$12*$B$15*$B$19*$B$20*$B$22,0)</f>
        <v/>
      </c>
      <c r="I30" s="25">
        <f>ROUND($B$4*$B$8*$B$12*$B$15*$B$19*$B$20*$B$23,0)</f>
        <v/>
      </c>
      <c r="J30" s="25">
        <f>ROUND($B$4*$B$8*$B$12*$B$15*$B$19*$B$21*$B$22,0)</f>
        <v/>
      </c>
      <c r="K30" s="25">
        <f>ROUND($B$4*$B$8*$B$12*$B$15*$B$19*$B$21*$B$23,0)</f>
        <v/>
      </c>
      <c r="L30" s="25">
        <f>ROUND($B$4*$B$8*$B$12*$B$16*$B$18*$B$20*$B$22,0)</f>
        <v/>
      </c>
      <c r="M30" s="25">
        <f>ROUND($B$4*$B$8*$B$12*$B$16*$B$18*$B$20*$B$23,0)</f>
        <v/>
      </c>
      <c r="N30" s="25">
        <f>ROUND($B$4*$B$8*$B$12*$B$16*$B$18*$B$21*$B$22,0)</f>
        <v/>
      </c>
      <c r="O30" s="25">
        <f>ROUND($B$4*$B$8*$B$12*$B$16*$B$18*$B$21*$B$23,0)</f>
        <v/>
      </c>
      <c r="P30" s="25">
        <f>ROUND($B$4*$B$8*$B$12*$B$16*$B$19*$B$20*$B$22,0)</f>
        <v/>
      </c>
      <c r="Q30" s="25">
        <f>ROUND($B$4*$B$8*$B$12*$B$16*$B$19*$B$20*$B$23,0)</f>
        <v/>
      </c>
      <c r="R30" s="25">
        <f>ROUND($B$4*$B$8*$B$12*$B$16*$B$19*$B$21*$B$22,0)</f>
        <v/>
      </c>
      <c r="S30" s="25">
        <f>ROUND($B$4*$B$8*$B$12*$B$16*$B$19*$B$21*$B$23,0)</f>
        <v/>
      </c>
      <c r="T30" s="25">
        <f>ROUND($B$4*$B$8*$B$12*$B$17*$B$18*$B$20*$B$22,0)</f>
        <v/>
      </c>
      <c r="U30" s="25">
        <f>ROUND($B$4*$B$8*$B$12*$B$17*$B$18*$B$20*$B$23,0)</f>
        <v/>
      </c>
      <c r="V30" s="25">
        <f>ROUND($B$4*$B$8*$B$12*$B$17*$B$18*$B$21*$B$22,0)</f>
        <v/>
      </c>
      <c r="W30" s="25">
        <f>ROUND($B$4*$B$8*$B$12*$B$17*$B$18*$B$21*$B$23,0)</f>
        <v/>
      </c>
      <c r="X30" s="25">
        <f>ROUND($B$4*$B$8*$B$12*$B$17*$B$19*$B$20*$B$22,0)</f>
        <v/>
      </c>
      <c r="Y30" s="25">
        <f>ROUND($B$4*$B$8*$B$12*$B$17*$B$19*$B$20*$B$23,0)</f>
        <v/>
      </c>
      <c r="Z30" s="25">
        <f>ROUND($B$4*$B$8*$B$12*$B$17*$B$19*$B$21*$B$22,0)</f>
        <v/>
      </c>
      <c r="AA30" s="25">
        <f>ROUND($B$4*$B$8*$B$12*$B$17*$B$19*$B$21*$B$23,0)</f>
        <v/>
      </c>
    </row>
    <row r="31" ht="20.1" customHeight="1" s="62">
      <c r="A31" s="81" t="n"/>
      <c r="B31" s="58" t="n"/>
      <c r="C31" s="73" t="inlineStr">
        <is>
          <t>Design personnalisé</t>
        </is>
      </c>
      <c r="D31" s="25">
        <f>ROUND($B$4*$B$8*$B$13*$B$15*$B$18*$B$20*$B$22,0)</f>
        <v/>
      </c>
      <c r="E31" s="25">
        <f>ROUND($B$4*$B$8*$B$13*$B$15*$B$18*$B$20*$B$23,0)</f>
        <v/>
      </c>
      <c r="F31" s="25">
        <f>ROUND($B$4*$B$8*$B$13*$B$15*$B$18*$B$21*$B$22,0)</f>
        <v/>
      </c>
      <c r="G31" s="25">
        <f>ROUND($B$4*$B$8*$B$13*$B$15*$B$18*$B$21*$B$23,0)</f>
        <v/>
      </c>
      <c r="H31" s="25">
        <f>ROUND($B$4*$B$8*$B$13*$B$15*$B$19*$B$20*$B$22,0)</f>
        <v/>
      </c>
      <c r="I31" s="25">
        <f>ROUND($B$4*$B$8*$B$13*$B$15*$B$19*$B$20*$B$23,0)</f>
        <v/>
      </c>
      <c r="J31" s="25">
        <f>ROUND($B$4*$B$8*$B$13*$B$15*$B$19*$B$21*$B$22,0)</f>
        <v/>
      </c>
      <c r="K31" s="25">
        <f>ROUND($B$4*$B$8*$B$13*$B$15*$B$19*$B$21*$B$23,0)</f>
        <v/>
      </c>
      <c r="L31" s="25">
        <f>ROUND($B$4*$B$8*$B$13*$B$16*$B$18*$B$20*$B$22,0)</f>
        <v/>
      </c>
      <c r="M31" s="25">
        <f>ROUND($B$4*$B$8*$B$13*$B$16*$B$18*$B$20*$B$23,0)</f>
        <v/>
      </c>
      <c r="N31" s="25">
        <f>ROUND($B$4*$B$8*$B$13*$B$16*$B$18*$B$21*$B$22,0)</f>
        <v/>
      </c>
      <c r="O31" s="25">
        <f>ROUND($B$4*$B$8*$B$13*$B$16*$B$18*$B$21*$B$23,0)</f>
        <v/>
      </c>
      <c r="P31" s="25">
        <f>ROUND($B$4*$B$8*$B$13*$B$16*$B$19*$B$20*$B$22,0)</f>
        <v/>
      </c>
      <c r="Q31" s="25">
        <f>ROUND($B$4*$B$8*$B$13*$B$16*$B$19*$B$20*$B$23,0)</f>
        <v/>
      </c>
      <c r="R31" s="25">
        <f>ROUND($B$4*$B$8*$B$13*$B$16*$B$19*$B$21*$B$22,0)</f>
        <v/>
      </c>
      <c r="S31" s="25">
        <f>ROUND($B$4*$B$8*$B$13*$B$16*$B$19*$B$21*$B$23,0)</f>
        <v/>
      </c>
      <c r="T31" s="25">
        <f>ROUND($B$4*$B$8*$B$13*$B$17*$B$18*$B$20*$B$22,0)</f>
        <v/>
      </c>
      <c r="U31" s="25">
        <f>ROUND($B$4*$B$8*$B$13*$B$17*$B$18*$B$20*$B$23,0)</f>
        <v/>
      </c>
      <c r="V31" s="25">
        <f>ROUND($B$4*$B$8*$B$13*$B$17*$B$18*$B$21*$B$22,0)</f>
        <v/>
      </c>
      <c r="W31" s="25">
        <f>ROUND($B$4*$B$8*$B$13*$B$17*$B$18*$B$21*$B$23,0)</f>
        <v/>
      </c>
      <c r="X31" s="25">
        <f>ROUND($B$4*$B$8*$B$13*$B$17*$B$19*$B$20*$B$22,0)</f>
        <v/>
      </c>
      <c r="Y31" s="25">
        <f>ROUND($B$4*$B$8*$B$13*$B$17*$B$19*$B$20*$B$23,0)</f>
        <v/>
      </c>
      <c r="Z31" s="25">
        <f>ROUND($B$4*$B$8*$B$13*$B$17*$B$19*$B$21*$B$22,0)</f>
        <v/>
      </c>
      <c r="AA31" s="25">
        <f>ROUND($B$4*$B$8*$B$13*$B$17*$B$19*$B$21*$B$23,0)</f>
        <v/>
      </c>
    </row>
    <row r="32" ht="20.1" customHeight="1" s="62">
      <c r="A32" s="81" t="n"/>
      <c r="B32" s="59" t="n"/>
      <c r="C32" s="26" t="inlineStr">
        <is>
          <t>Full sur mesure</t>
        </is>
      </c>
      <c r="D32" s="25">
        <f>ROUND($B$4*$B$8*$B$14*$B$15*$B$18*$B$20*$B$22,0)</f>
        <v/>
      </c>
      <c r="E32" s="25">
        <f>ROUND($B$4*$B$8*$B$14*$B$15*$B$18*$B$20*$B$23,0)</f>
        <v/>
      </c>
      <c r="F32" s="25">
        <f>ROUND($B$4*$B$8*$B$14*$B$15*$B$18*$B$21*$B$22,0)</f>
        <v/>
      </c>
      <c r="G32" s="25">
        <f>ROUND($B$4*$B$8*$B$14*$B$15*$B$18*$B$21*$B$23,0)</f>
        <v/>
      </c>
      <c r="H32" s="25">
        <f>ROUND($B$4*$B$8*$B$14*$B$15*$B$19*$B$20*$B$22,0)</f>
        <v/>
      </c>
      <c r="I32" s="25">
        <f>ROUND($B$4*$B$8*$B$14*$B$15*$B$19*$B$20*$B$23,0)</f>
        <v/>
      </c>
      <c r="J32" s="25">
        <f>ROUND($B$4*$B$8*$B$14*$B$15*$B$19*$B$21*$B$22,0)</f>
        <v/>
      </c>
      <c r="K32" s="25">
        <f>ROUND($B$4*$B$8*$B$14*$B$15*$B$19*$B$21*$B$23,0)</f>
        <v/>
      </c>
      <c r="L32" s="25">
        <f>ROUND($B$4*$B$8*$B$14*$B$16*$B$18*$B$20*$B$22,0)</f>
        <v/>
      </c>
      <c r="M32" s="25">
        <f>ROUND($B$4*$B$8*$B$14*$B$16*$B$18*$B$20*$B$23,0)</f>
        <v/>
      </c>
      <c r="N32" s="25">
        <f>ROUND($B$4*$B$8*$B$14*$B$16*$B$18*$B$21*$B$22,0)</f>
        <v/>
      </c>
      <c r="O32" s="25">
        <f>ROUND($B$4*$B$8*$B$14*$B$16*$B$18*$B$21*$B$23,0)</f>
        <v/>
      </c>
      <c r="P32" s="25">
        <f>ROUND($B$4*$B$8*$B$14*$B$16*$B$19*$B$20*$B$22,0)</f>
        <v/>
      </c>
      <c r="Q32" s="25">
        <f>ROUND($B$4*$B$8*$B$14*$B$16*$B$19*$B$20*$B$23,0)</f>
        <v/>
      </c>
      <c r="R32" s="25">
        <f>ROUND($B$4*$B$8*$B$14*$B$16*$B$19*$B$21*$B$22,0)</f>
        <v/>
      </c>
      <c r="S32" s="25">
        <f>ROUND($B$4*$B$8*$B$14*$B$16*$B$19*$B$21*$B$23,0)</f>
        <v/>
      </c>
      <c r="T32" s="25">
        <f>ROUND($B$4*$B$8*$B$14*$B$17*$B$18*$B$20*$B$22,0)</f>
        <v/>
      </c>
      <c r="U32" s="25">
        <f>ROUND($B$4*$B$8*$B$14*$B$17*$B$18*$B$20*$B$23,0)</f>
        <v/>
      </c>
      <c r="V32" s="25">
        <f>ROUND($B$4*$B$8*$B$14*$B$17*$B$18*$B$21*$B$22,0)</f>
        <v/>
      </c>
      <c r="W32" s="25">
        <f>ROUND($B$4*$B$8*$B$14*$B$17*$B$18*$B$21*$B$23,0)</f>
        <v/>
      </c>
      <c r="X32" s="25">
        <f>ROUND($B$4*$B$8*$B$14*$B$17*$B$19*$B$20*$B$22,0)</f>
        <v/>
      </c>
      <c r="Y32" s="25">
        <f>ROUND($B$4*$B$8*$B$14*$B$17*$B$19*$B$20*$B$23,0)</f>
        <v/>
      </c>
      <c r="Z32" s="25">
        <f>ROUND($B$4*$B$8*$B$14*$B$17*$B$19*$B$21*$B$22,0)</f>
        <v/>
      </c>
      <c r="AA32" s="25">
        <f>ROUND($B$4*$B$8*$B$14*$B$17*$B$19*$B$21*$B$23,0)</f>
        <v/>
      </c>
    </row>
    <row r="33" ht="20.1" customHeight="1" s="62">
      <c r="A33" s="81" t="n"/>
      <c r="B33" s="73" t="inlineStr">
        <is>
          <t>6-15 pages</t>
        </is>
      </c>
      <c r="C33" s="24" t="inlineStr">
        <is>
          <t>Design standard</t>
        </is>
      </c>
      <c r="D33" s="25">
        <f>ROUND($B$4*$B$9*$B$12*$B$15*$B$18*$B$20*$B$22,0)</f>
        <v/>
      </c>
      <c r="E33" s="25">
        <f>ROUND($B$4*$B$9*$B$12*$B$15*$B$18*$B$20*$B$23,0)</f>
        <v/>
      </c>
      <c r="F33" s="25">
        <f>ROUND($B$4*$B$9*$B$12*$B$15*$B$18*$B$21*$B$22,0)</f>
        <v/>
      </c>
      <c r="G33" s="25">
        <f>ROUND($B$4*$B$9*$B$12*$B$15*$B$18*$B$21*$B$23,0)</f>
        <v/>
      </c>
      <c r="H33" s="25">
        <f>ROUND($B$4*$B$9*$B$12*$B$15*$B$19*$B$20*$B$22,0)</f>
        <v/>
      </c>
      <c r="I33" s="25">
        <f>ROUND($B$4*$B$9*$B$12*$B$15*$B$19*$B$20*$B$23,0)</f>
        <v/>
      </c>
      <c r="J33" s="25">
        <f>ROUND($B$4*$B$9*$B$12*$B$15*$B$19*$B$21*$B$22,0)</f>
        <v/>
      </c>
      <c r="K33" s="25">
        <f>ROUND($B$4*$B$9*$B$12*$B$15*$B$19*$B$21*$B$23,0)</f>
        <v/>
      </c>
      <c r="L33" s="25">
        <f>ROUND($B$4*$B$9*$B$12*$B$16*$B$18*$B$20*$B$22,0)</f>
        <v/>
      </c>
      <c r="M33" s="25">
        <f>ROUND($B$4*$B$9*$B$12*$B$16*$B$18*$B$20*$B$23,0)</f>
        <v/>
      </c>
      <c r="N33" s="25">
        <f>ROUND($B$4*$B$9*$B$12*$B$16*$B$18*$B$21*$B$22,0)</f>
        <v/>
      </c>
      <c r="O33" s="25">
        <f>ROUND($B$4*$B$9*$B$12*$B$16*$B$18*$B$21*$B$23,0)</f>
        <v/>
      </c>
      <c r="P33" s="25">
        <f>ROUND($B$4*$B$9*$B$12*$B$16*$B$19*$B$20*$B$22,0)</f>
        <v/>
      </c>
      <c r="Q33" s="25">
        <f>ROUND($B$4*$B$9*$B$12*$B$16*$B$19*$B$20*$B$23,0)</f>
        <v/>
      </c>
      <c r="R33" s="25">
        <f>ROUND($B$4*$B$9*$B$12*$B$16*$B$19*$B$21*$B$22,0)</f>
        <v/>
      </c>
      <c r="S33" s="25">
        <f>ROUND($B$4*$B$9*$B$12*$B$16*$B$19*$B$21*$B$23,0)</f>
        <v/>
      </c>
      <c r="T33" s="25">
        <f>ROUND($B$4*$B$9*$B$12*$B$17*$B$18*$B$20*$B$22,0)</f>
        <v/>
      </c>
      <c r="U33" s="25">
        <f>ROUND($B$4*$B$9*$B$12*$B$17*$B$18*$B$20*$B$23,0)</f>
        <v/>
      </c>
      <c r="V33" s="25">
        <f>ROUND($B$4*$B$9*$B$12*$B$17*$B$18*$B$21*$B$22,0)</f>
        <v/>
      </c>
      <c r="W33" s="25">
        <f>ROUND($B$4*$B$9*$B$12*$B$17*$B$18*$B$21*$B$23,0)</f>
        <v/>
      </c>
      <c r="X33" s="25">
        <f>ROUND($B$4*$B$9*$B$12*$B$17*$B$19*$B$20*$B$22,0)</f>
        <v/>
      </c>
      <c r="Y33" s="25">
        <f>ROUND($B$4*$B$9*$B$12*$B$17*$B$19*$B$20*$B$23,0)</f>
        <v/>
      </c>
      <c r="Z33" s="25">
        <f>ROUND($B$4*$B$9*$B$12*$B$17*$B$19*$B$21*$B$22,0)</f>
        <v/>
      </c>
      <c r="AA33" s="25">
        <f>ROUND($B$4*$B$9*$B$12*$B$17*$B$19*$B$21*$B$23,0)</f>
        <v/>
      </c>
    </row>
    <row r="34" ht="20.1" customHeight="1" s="62">
      <c r="A34" s="81" t="n"/>
      <c r="B34" s="58" t="n"/>
      <c r="C34" s="73" t="inlineStr">
        <is>
          <t>Design personnalisé</t>
        </is>
      </c>
      <c r="D34" s="25">
        <f>ROUND($B$4*$B$9*$B$13*$B$15*$B$18*$B$20*$B$22,0)</f>
        <v/>
      </c>
      <c r="E34" s="25">
        <f>ROUND($B$4*$B$9*$B$13*$B$15*$B$18*$B$20*$B$23,0)</f>
        <v/>
      </c>
      <c r="F34" s="25">
        <f>ROUND($B$4*$B$9*$B$13*$B$15*$B$18*$B$21*$B$22,0)</f>
        <v/>
      </c>
      <c r="G34" s="25">
        <f>ROUND($B$4*$B$9*$B$13*$B$15*$B$18*$B$21*$B$23,0)</f>
        <v/>
      </c>
      <c r="H34" s="25">
        <f>ROUND($B$4*$B$9*$B$13*$B$15*$B$19*$B$20*$B$22,0)</f>
        <v/>
      </c>
      <c r="I34" s="25">
        <f>ROUND($B$4*$B$9*$B$13*$B$15*$B$19*$B$20*$B$23,0)</f>
        <v/>
      </c>
      <c r="J34" s="25">
        <f>ROUND($B$4*$B$9*$B$13*$B$15*$B$19*$B$21*$B$22,0)</f>
        <v/>
      </c>
      <c r="K34" s="25">
        <f>ROUND($B$4*$B$9*$B$13*$B$15*$B$19*$B$21*$B$23,0)</f>
        <v/>
      </c>
      <c r="L34" s="25">
        <f>ROUND($B$4*$B$9*$B$13*$B$16*$B$18*$B$20*$B$22,0)</f>
        <v/>
      </c>
      <c r="M34" s="25">
        <f>ROUND($B$4*$B$9*$B$13*$B$16*$B$18*$B$20*$B$23,0)</f>
        <v/>
      </c>
      <c r="N34" s="25">
        <f>ROUND($B$4*$B$9*$B$13*$B$16*$B$18*$B$21*$B$22,0)</f>
        <v/>
      </c>
      <c r="O34" s="25">
        <f>ROUND($B$4*$B$9*$B$13*$B$16*$B$18*$B$21*$B$23,0)</f>
        <v/>
      </c>
      <c r="P34" s="25">
        <f>ROUND($B$4*$B$9*$B$13*$B$16*$B$19*$B$20*$B$22,0)</f>
        <v/>
      </c>
      <c r="Q34" s="25">
        <f>ROUND($B$4*$B$9*$B$13*$B$16*$B$19*$B$20*$B$23,0)</f>
        <v/>
      </c>
      <c r="R34" s="25">
        <f>ROUND($B$4*$B$9*$B$13*$B$16*$B$19*$B$21*$B$22,0)</f>
        <v/>
      </c>
      <c r="S34" s="25">
        <f>ROUND($B$4*$B$9*$B$13*$B$16*$B$19*$B$21*$B$23,0)</f>
        <v/>
      </c>
      <c r="T34" s="25">
        <f>ROUND($B$4*$B$9*$B$13*$B$17*$B$18*$B$20*$B$22,0)</f>
        <v/>
      </c>
      <c r="U34" s="25">
        <f>ROUND($B$4*$B$9*$B$13*$B$17*$B$18*$B$20*$B$23,0)</f>
        <v/>
      </c>
      <c r="V34" s="25">
        <f>ROUND($B$4*$B$9*$B$13*$B$17*$B$18*$B$21*$B$22,0)</f>
        <v/>
      </c>
      <c r="W34" s="25">
        <f>ROUND($B$4*$B$9*$B$13*$B$17*$B$18*$B$21*$B$23,0)</f>
        <v/>
      </c>
      <c r="X34" s="25">
        <f>ROUND($B$4*$B$9*$B$13*$B$17*$B$19*$B$20*$B$22,0)</f>
        <v/>
      </c>
      <c r="Y34" s="25">
        <f>ROUND($B$4*$B$9*$B$13*$B$17*$B$19*$B$20*$B$23,0)</f>
        <v/>
      </c>
      <c r="Z34" s="25">
        <f>ROUND($B$4*$B$9*$B$13*$B$17*$B$19*$B$21*$B$22,0)</f>
        <v/>
      </c>
      <c r="AA34" s="25">
        <f>ROUND($B$4*$B$9*$B$13*$B$17*$B$19*$B$21*$B$23,0)</f>
        <v/>
      </c>
    </row>
    <row r="35" ht="20.1" customHeight="1" s="62">
      <c r="A35" s="81" t="n"/>
      <c r="B35" s="59" t="n"/>
      <c r="C35" s="26" t="inlineStr">
        <is>
          <t>Full sur mesure</t>
        </is>
      </c>
      <c r="D35" s="25">
        <f>ROUND($B$4*$B$9*$B$14*$B$15*$B$18*$B$20*$B$22,0)</f>
        <v/>
      </c>
      <c r="E35" s="25">
        <f>ROUND($B$4*$B$9*$B$14*$B$15*$B$18*$B$20*$B$23,0)</f>
        <v/>
      </c>
      <c r="F35" s="25">
        <f>ROUND($B$4*$B$9*$B$14*$B$15*$B$18*$B$21*$B$22,0)</f>
        <v/>
      </c>
      <c r="G35" s="25">
        <f>ROUND($B$4*$B$9*$B$14*$B$15*$B$18*$B$21*$B$23,0)</f>
        <v/>
      </c>
      <c r="H35" s="25">
        <f>ROUND($B$4*$B$9*$B$14*$B$15*$B$19*$B$20*$B$22,0)</f>
        <v/>
      </c>
      <c r="I35" s="25">
        <f>ROUND($B$4*$B$9*$B$14*$B$15*$B$19*$B$20*$B$23,0)</f>
        <v/>
      </c>
      <c r="J35" s="25">
        <f>ROUND($B$4*$B$9*$B$14*$B$15*$B$19*$B$21*$B$22,0)</f>
        <v/>
      </c>
      <c r="K35" s="25">
        <f>ROUND($B$4*$B$9*$B$14*$B$15*$B$19*$B$21*$B$23,0)</f>
        <v/>
      </c>
      <c r="L35" s="25">
        <f>ROUND($B$4*$B$9*$B$14*$B$16*$B$18*$B$20*$B$22,0)</f>
        <v/>
      </c>
      <c r="M35" s="25">
        <f>ROUND($B$4*$B$9*$B$14*$B$16*$B$18*$B$20*$B$23,0)</f>
        <v/>
      </c>
      <c r="N35" s="25">
        <f>ROUND($B$4*$B$9*$B$14*$B$16*$B$18*$B$21*$B$22,0)</f>
        <v/>
      </c>
      <c r="O35" s="25">
        <f>ROUND($B$4*$B$9*$B$14*$B$16*$B$18*$B$21*$B$23,0)</f>
        <v/>
      </c>
      <c r="P35" s="25">
        <f>ROUND($B$4*$B$9*$B$14*$B$16*$B$19*$B$20*$B$22,0)</f>
        <v/>
      </c>
      <c r="Q35" s="25">
        <f>ROUND($B$4*$B$9*$B$14*$B$16*$B$19*$B$20*$B$23,0)</f>
        <v/>
      </c>
      <c r="R35" s="25">
        <f>ROUND($B$4*$B$9*$B$14*$B$16*$B$19*$B$21*$B$22,0)</f>
        <v/>
      </c>
      <c r="S35" s="25">
        <f>ROUND($B$4*$B$9*$B$14*$B$16*$B$19*$B$21*$B$23,0)</f>
        <v/>
      </c>
      <c r="T35" s="25">
        <f>ROUND($B$4*$B$9*$B$14*$B$17*$B$18*$B$20*$B$22,0)</f>
        <v/>
      </c>
      <c r="U35" s="25">
        <f>ROUND($B$4*$B$9*$B$14*$B$17*$B$18*$B$20*$B$23,0)</f>
        <v/>
      </c>
      <c r="V35" s="25">
        <f>ROUND($B$4*$B$9*$B$14*$B$17*$B$18*$B$21*$B$22,0)</f>
        <v/>
      </c>
      <c r="W35" s="25">
        <f>ROUND($B$4*$B$9*$B$14*$B$17*$B$18*$B$21*$B$23,0)</f>
        <v/>
      </c>
      <c r="X35" s="25">
        <f>ROUND($B$4*$B$9*$B$14*$B$17*$B$19*$B$20*$B$22,0)</f>
        <v/>
      </c>
      <c r="Y35" s="25">
        <f>ROUND($B$4*$B$9*$B$14*$B$17*$B$19*$B$20*$B$23,0)</f>
        <v/>
      </c>
      <c r="Z35" s="25">
        <f>ROUND($B$4*$B$9*$B$14*$B$17*$B$19*$B$21*$B$22,0)</f>
        <v/>
      </c>
      <c r="AA35" s="25">
        <f>ROUND($B$4*$B$9*$B$14*$B$17*$B$19*$B$21*$B$23,0)</f>
        <v/>
      </c>
    </row>
    <row r="36" ht="20.1" customHeight="1" s="62">
      <c r="A36" s="81" t="n"/>
      <c r="B36" s="73" t="inlineStr">
        <is>
          <t>16-30 pages</t>
        </is>
      </c>
      <c r="C36" s="24" t="inlineStr">
        <is>
          <t>Design standard</t>
        </is>
      </c>
      <c r="D36" s="25">
        <f>ROUND($B$4*$B$10*$B$12*$B$15*$B$18*$B$20*$B$22,0)</f>
        <v/>
      </c>
      <c r="E36" s="25">
        <f>ROUND($B$4*$B$10*$B$12*$B$15*$B$18*$B$20*$B$23,0)</f>
        <v/>
      </c>
      <c r="F36" s="25">
        <f>ROUND($B$4*$B$10*$B$12*$B$15*$B$18*$B$21*$B$22,0)</f>
        <v/>
      </c>
      <c r="G36" s="25">
        <f>ROUND($B$4*$B$10*$B$12*$B$15*$B$18*$B$21*$B$23,0)</f>
        <v/>
      </c>
      <c r="H36" s="25">
        <f>ROUND($B$4*$B$10*$B$12*$B$15*$B$19*$B$20*$B$22,0)</f>
        <v/>
      </c>
      <c r="I36" s="25">
        <f>ROUND($B$4*$B$10*$B$12*$B$15*$B$19*$B$20*$B$23,0)</f>
        <v/>
      </c>
      <c r="J36" s="25">
        <f>ROUND($B$4*$B$10*$B$12*$B$15*$B$19*$B$21*$B$22,0)</f>
        <v/>
      </c>
      <c r="K36" s="25">
        <f>ROUND($B$4*$B$10*$B$12*$B$15*$B$19*$B$21*$B$23,0)</f>
        <v/>
      </c>
      <c r="L36" s="25">
        <f>ROUND($B$4*$B$10*$B$12*$B$16*$B$18*$B$20*$B$22,0)</f>
        <v/>
      </c>
      <c r="M36" s="25">
        <f>ROUND($B$4*$B$10*$B$12*$B$16*$B$18*$B$20*$B$23,0)</f>
        <v/>
      </c>
      <c r="N36" s="25">
        <f>ROUND($B$4*$B$10*$B$12*$B$16*$B$18*$B$21*$B$22,0)</f>
        <v/>
      </c>
      <c r="O36" s="25">
        <f>ROUND($B$4*$B$10*$B$12*$B$16*$B$18*$B$21*$B$23,0)</f>
        <v/>
      </c>
      <c r="P36" s="25">
        <f>ROUND($B$4*$B$10*$B$12*$B$16*$B$19*$B$20*$B$22,0)</f>
        <v/>
      </c>
      <c r="Q36" s="25">
        <f>ROUND($B$4*$B$10*$B$12*$B$16*$B$19*$B$20*$B$23,0)</f>
        <v/>
      </c>
      <c r="R36" s="25">
        <f>ROUND($B$4*$B$10*$B$12*$B$16*$B$19*$B$21*$B$22,0)</f>
        <v/>
      </c>
      <c r="S36" s="25">
        <f>ROUND($B$4*$B$10*$B$12*$B$16*$B$19*$B$21*$B$23,0)</f>
        <v/>
      </c>
      <c r="T36" s="25">
        <f>ROUND($B$4*$B$10*$B$12*$B$17*$B$18*$B$20*$B$22,0)</f>
        <v/>
      </c>
      <c r="U36" s="25">
        <f>ROUND($B$4*$B$10*$B$12*$B$17*$B$18*$B$20*$B$23,0)</f>
        <v/>
      </c>
      <c r="V36" s="25">
        <f>ROUND($B$4*$B$10*$B$12*$B$17*$B$18*$B$21*$B$22,0)</f>
        <v/>
      </c>
      <c r="W36" s="25">
        <f>ROUND($B$4*$B$10*$B$12*$B$17*$B$18*$B$21*$B$23,0)</f>
        <v/>
      </c>
      <c r="X36" s="25">
        <f>ROUND($B$4*$B$10*$B$12*$B$17*$B$19*$B$20*$B$22,0)</f>
        <v/>
      </c>
      <c r="Y36" s="25">
        <f>ROUND($B$4*$B$10*$B$12*$B$17*$B$19*$B$20*$B$23,0)</f>
        <v/>
      </c>
      <c r="Z36" s="25">
        <f>ROUND($B$4*$B$10*$B$12*$B$17*$B$19*$B$21*$B$22,0)</f>
        <v/>
      </c>
      <c r="AA36" s="25">
        <f>ROUND($B$4*$B$10*$B$12*$B$17*$B$19*$B$21*$B$23,0)</f>
        <v/>
      </c>
    </row>
    <row r="37" ht="20.1" customHeight="1" s="62">
      <c r="A37" s="81" t="n"/>
      <c r="B37" s="58" t="n"/>
      <c r="C37" s="73" t="inlineStr">
        <is>
          <t>Design personnalisé</t>
        </is>
      </c>
      <c r="D37" s="25">
        <f>ROUND($B$4*$B$10*$B$13*$B$15*$B$18*$B$20*$B$22,0)</f>
        <v/>
      </c>
      <c r="E37" s="25">
        <f>ROUND($B$4*$B$10*$B$13*$B$15*$B$18*$B$20*$B$23,0)</f>
        <v/>
      </c>
      <c r="F37" s="25">
        <f>ROUND($B$4*$B$10*$B$13*$B$15*$B$18*$B$21*$B$22,0)</f>
        <v/>
      </c>
      <c r="G37" s="25">
        <f>ROUND($B$4*$B$10*$B$13*$B$15*$B$18*$B$21*$B$23,0)</f>
        <v/>
      </c>
      <c r="H37" s="25">
        <f>ROUND($B$4*$B$10*$B$13*$B$15*$B$19*$B$20*$B$22,0)</f>
        <v/>
      </c>
      <c r="I37" s="25">
        <f>ROUND($B$4*$B$10*$B$13*$B$15*$B$19*$B$20*$B$23,0)</f>
        <v/>
      </c>
      <c r="J37" s="25">
        <f>ROUND($B$4*$B$10*$B$13*$B$15*$B$19*$B$21*$B$22,0)</f>
        <v/>
      </c>
      <c r="K37" s="25">
        <f>ROUND($B$4*$B$10*$B$13*$B$15*$B$19*$B$21*$B$23,0)</f>
        <v/>
      </c>
      <c r="L37" s="25">
        <f>ROUND($B$4*$B$10*$B$13*$B$16*$B$18*$B$20*$B$22,0)</f>
        <v/>
      </c>
      <c r="M37" s="25">
        <f>ROUND($B$4*$B$10*$B$13*$B$16*$B$18*$B$20*$B$23,0)</f>
        <v/>
      </c>
      <c r="N37" s="25">
        <f>ROUND($B$4*$B$10*$B$13*$B$16*$B$18*$B$21*$B$22,0)</f>
        <v/>
      </c>
      <c r="O37" s="25">
        <f>ROUND($B$4*$B$10*$B$13*$B$16*$B$18*$B$21*$B$23,0)</f>
        <v/>
      </c>
      <c r="P37" s="25">
        <f>ROUND($B$4*$B$10*$B$13*$B$16*$B$19*$B$20*$B$22,0)</f>
        <v/>
      </c>
      <c r="Q37" s="25">
        <f>ROUND($B$4*$B$10*$B$13*$B$16*$B$19*$B$20*$B$23,0)</f>
        <v/>
      </c>
      <c r="R37" s="25">
        <f>ROUND($B$4*$B$10*$B$13*$B$16*$B$19*$B$21*$B$22,0)</f>
        <v/>
      </c>
      <c r="S37" s="25">
        <f>ROUND($B$4*$B$10*$B$13*$B$16*$B$19*$B$21*$B$23,0)</f>
        <v/>
      </c>
      <c r="T37" s="25">
        <f>ROUND($B$4*$B$10*$B$13*$B$17*$B$18*$B$20*$B$22,0)</f>
        <v/>
      </c>
      <c r="U37" s="25">
        <f>ROUND($B$4*$B$10*$B$13*$B$17*$B$18*$B$20*$B$23,0)</f>
        <v/>
      </c>
      <c r="V37" s="25">
        <f>ROUND($B$4*$B$10*$B$13*$B$17*$B$18*$B$21*$B$22,0)</f>
        <v/>
      </c>
      <c r="W37" s="25">
        <f>ROUND($B$4*$B$10*$B$13*$B$17*$B$18*$B$21*$B$23,0)</f>
        <v/>
      </c>
      <c r="X37" s="25">
        <f>ROUND($B$4*$B$10*$B$13*$B$17*$B$19*$B$20*$B$22,0)</f>
        <v/>
      </c>
      <c r="Y37" s="25">
        <f>ROUND($B$4*$B$10*$B$13*$B$17*$B$19*$B$20*$B$23,0)</f>
        <v/>
      </c>
      <c r="Z37" s="25">
        <f>ROUND($B$4*$B$10*$B$13*$B$17*$B$19*$B$21*$B$22,0)</f>
        <v/>
      </c>
      <c r="AA37" s="25">
        <f>ROUND($B$4*$B$10*$B$13*$B$17*$B$19*$B$21*$B$23,0)</f>
        <v/>
      </c>
    </row>
    <row r="38" ht="20.1" customHeight="1" s="62">
      <c r="A38" s="81" t="n"/>
      <c r="B38" s="59" t="n"/>
      <c r="C38" s="26" t="inlineStr">
        <is>
          <t>Full sur mesure</t>
        </is>
      </c>
      <c r="D38" s="25">
        <f>ROUND($B$4*$B$10*$B$14*$B$15*$B$18*$B$20*$B$22,0)</f>
        <v/>
      </c>
      <c r="E38" s="25">
        <f>ROUND($B$4*$B$10*$B$14*$B$15*$B$18*$B$20*$B$23,0)</f>
        <v/>
      </c>
      <c r="F38" s="25">
        <f>ROUND($B$4*$B$10*$B$14*$B$15*$B$18*$B$21*$B$22,0)</f>
        <v/>
      </c>
      <c r="G38" s="25">
        <f>ROUND($B$4*$B$10*$B$14*$B$15*$B$18*$B$21*$B$23,0)</f>
        <v/>
      </c>
      <c r="H38" s="25">
        <f>ROUND($B$4*$B$10*$B$14*$B$15*$B$19*$B$20*$B$22,0)</f>
        <v/>
      </c>
      <c r="I38" s="25">
        <f>ROUND($B$4*$B$10*$B$14*$B$15*$B$19*$B$20*$B$23,0)</f>
        <v/>
      </c>
      <c r="J38" s="25">
        <f>ROUND($B$4*$B$10*$B$14*$B$15*$B$19*$B$21*$B$22,0)</f>
        <v/>
      </c>
      <c r="K38" s="25">
        <f>ROUND($B$4*$B$10*$B$14*$B$15*$B$19*$B$21*$B$23,0)</f>
        <v/>
      </c>
      <c r="L38" s="25">
        <f>ROUND($B$4*$B$10*$B$14*$B$16*$B$18*$B$20*$B$22,0)</f>
        <v/>
      </c>
      <c r="M38" s="25">
        <f>ROUND($B$4*$B$10*$B$14*$B$16*$B$18*$B$20*$B$23,0)</f>
        <v/>
      </c>
      <c r="N38" s="25">
        <f>ROUND($B$4*$B$10*$B$14*$B$16*$B$18*$B$21*$B$22,0)</f>
        <v/>
      </c>
      <c r="O38" s="25">
        <f>ROUND($B$4*$B$10*$B$14*$B$16*$B$18*$B$21*$B$23,0)</f>
        <v/>
      </c>
      <c r="P38" s="25">
        <f>ROUND($B$4*$B$10*$B$14*$B$16*$B$19*$B$20*$B$22,0)</f>
        <v/>
      </c>
      <c r="Q38" s="25">
        <f>ROUND($B$4*$B$10*$B$14*$B$16*$B$19*$B$20*$B$23,0)</f>
        <v/>
      </c>
      <c r="R38" s="25">
        <f>ROUND($B$4*$B$10*$B$14*$B$16*$B$19*$B$21*$B$22,0)</f>
        <v/>
      </c>
      <c r="S38" s="25">
        <f>ROUND($B$4*$B$10*$B$14*$B$16*$B$19*$B$21*$B$23,0)</f>
        <v/>
      </c>
      <c r="T38" s="25">
        <f>ROUND($B$4*$B$10*$B$14*$B$17*$B$18*$B$20*$B$22,0)</f>
        <v/>
      </c>
      <c r="U38" s="25">
        <f>ROUND($B$4*$B$10*$B$14*$B$17*$B$18*$B$20*$B$23,0)</f>
        <v/>
      </c>
      <c r="V38" s="25">
        <f>ROUND($B$4*$B$10*$B$14*$B$17*$B$18*$B$21*$B$22,0)</f>
        <v/>
      </c>
      <c r="W38" s="25">
        <f>ROUND($B$4*$B$10*$B$14*$B$17*$B$18*$B$21*$B$23,0)</f>
        <v/>
      </c>
      <c r="X38" s="25">
        <f>ROUND($B$4*$B$10*$B$14*$B$17*$B$19*$B$20*$B$22,0)</f>
        <v/>
      </c>
      <c r="Y38" s="25">
        <f>ROUND($B$4*$B$10*$B$14*$B$17*$B$19*$B$20*$B$23,0)</f>
        <v/>
      </c>
      <c r="Z38" s="25">
        <f>ROUND($B$4*$B$10*$B$14*$B$17*$B$19*$B$21*$B$22,0)</f>
        <v/>
      </c>
      <c r="AA38" s="25">
        <f>ROUND($B$4*$B$10*$B$14*$B$17*$B$19*$B$21*$B$23,0)</f>
        <v/>
      </c>
    </row>
    <row r="39" ht="20.1" customHeight="1" s="62">
      <c r="A39" s="81" t="n"/>
      <c r="B39" s="73" t="inlineStr">
        <is>
          <t>30+ pages</t>
        </is>
      </c>
      <c r="C39" s="24" t="inlineStr">
        <is>
          <t>Design standard</t>
        </is>
      </c>
      <c r="D39" s="25">
        <f>ROUND($B$4*$B$11*$B$12*$B$15*$B$18*$B$20*$B$22,0)</f>
        <v/>
      </c>
      <c r="E39" s="25">
        <f>ROUND($B$4*$B$11*$B$12*$B$15*$B$18*$B$20*$B$23,0)</f>
        <v/>
      </c>
      <c r="F39" s="25">
        <f>ROUND($B$4*$B$11*$B$12*$B$15*$B$18*$B$21*$B$22,0)</f>
        <v/>
      </c>
      <c r="G39" s="25">
        <f>ROUND($B$4*$B$11*$B$12*$B$15*$B$18*$B$21*$B$23,0)</f>
        <v/>
      </c>
      <c r="H39" s="25">
        <f>ROUND($B$4*$B$11*$B$12*$B$15*$B$19*$B$20*$B$22,0)</f>
        <v/>
      </c>
      <c r="I39" s="25">
        <f>ROUND($B$4*$B$11*$B$12*$B$15*$B$19*$B$20*$B$23,0)</f>
        <v/>
      </c>
      <c r="J39" s="25">
        <f>ROUND($B$4*$B$11*$B$12*$B$15*$B$19*$B$21*$B$22,0)</f>
        <v/>
      </c>
      <c r="K39" s="25">
        <f>ROUND($B$4*$B$11*$B$12*$B$15*$B$19*$B$21*$B$23,0)</f>
        <v/>
      </c>
      <c r="L39" s="25">
        <f>ROUND($B$4*$B$11*$B$12*$B$16*$B$18*$B$20*$B$22,0)</f>
        <v/>
      </c>
      <c r="M39" s="25">
        <f>ROUND($B$4*$B$11*$B$12*$B$16*$B$18*$B$20*$B$23,0)</f>
        <v/>
      </c>
      <c r="N39" s="25">
        <f>ROUND($B$4*$B$11*$B$12*$B$16*$B$18*$B$21*$B$22,0)</f>
        <v/>
      </c>
      <c r="O39" s="25">
        <f>ROUND($B$4*$B$11*$B$12*$B$16*$B$18*$B$21*$B$23,0)</f>
        <v/>
      </c>
      <c r="P39" s="25">
        <f>ROUND($B$4*$B$11*$B$12*$B$16*$B$19*$B$20*$B$22,0)</f>
        <v/>
      </c>
      <c r="Q39" s="25">
        <f>ROUND($B$4*$B$11*$B$12*$B$16*$B$19*$B$20*$B$23,0)</f>
        <v/>
      </c>
      <c r="R39" s="25">
        <f>ROUND($B$4*$B$11*$B$12*$B$16*$B$19*$B$21*$B$22,0)</f>
        <v/>
      </c>
      <c r="S39" s="25">
        <f>ROUND($B$4*$B$11*$B$12*$B$16*$B$19*$B$21*$B$23,0)</f>
        <v/>
      </c>
      <c r="T39" s="25">
        <f>ROUND($B$4*$B$11*$B$12*$B$17*$B$18*$B$20*$B$22,0)</f>
        <v/>
      </c>
      <c r="U39" s="25">
        <f>ROUND($B$4*$B$11*$B$12*$B$17*$B$18*$B$20*$B$23,0)</f>
        <v/>
      </c>
      <c r="V39" s="25">
        <f>ROUND($B$4*$B$11*$B$12*$B$17*$B$18*$B$21*$B$22,0)</f>
        <v/>
      </c>
      <c r="W39" s="25">
        <f>ROUND($B$4*$B$11*$B$12*$B$17*$B$18*$B$21*$B$23,0)</f>
        <v/>
      </c>
      <c r="X39" s="25">
        <f>ROUND($B$4*$B$11*$B$12*$B$17*$B$19*$B$20*$B$22,0)</f>
        <v/>
      </c>
      <c r="Y39" s="25">
        <f>ROUND($B$4*$B$11*$B$12*$B$17*$B$19*$B$20*$B$23,0)</f>
        <v/>
      </c>
      <c r="Z39" s="25">
        <f>ROUND($B$4*$B$11*$B$12*$B$17*$B$19*$B$21*$B$22,0)</f>
        <v/>
      </c>
      <c r="AA39" s="25">
        <f>ROUND($B$4*$B$11*$B$12*$B$17*$B$19*$B$21*$B$23,0)</f>
        <v/>
      </c>
    </row>
    <row r="40" ht="20.1" customHeight="1" s="62">
      <c r="A40" s="81" t="n"/>
      <c r="B40" s="58" t="n"/>
      <c r="C40" s="73" t="inlineStr">
        <is>
          <t>Design personnalisé</t>
        </is>
      </c>
      <c r="D40" s="25">
        <f>ROUND($B$4*$B$11*$B$13*$B$15*$B$18*$B$20*$B$22,0)</f>
        <v/>
      </c>
      <c r="E40" s="25">
        <f>ROUND($B$4*$B$11*$B$13*$B$15*$B$18*$B$20*$B$23,0)</f>
        <v/>
      </c>
      <c r="F40" s="25">
        <f>ROUND($B$4*$B$11*$B$13*$B$15*$B$18*$B$21*$B$22,0)</f>
        <v/>
      </c>
      <c r="G40" s="25">
        <f>ROUND($B$4*$B$11*$B$13*$B$15*$B$18*$B$21*$B$23,0)</f>
        <v/>
      </c>
      <c r="H40" s="25">
        <f>ROUND($B$4*$B$11*$B$13*$B$15*$B$19*$B$20*$B$22,0)</f>
        <v/>
      </c>
      <c r="I40" s="25">
        <f>ROUND($B$4*$B$11*$B$13*$B$15*$B$19*$B$20*$B$23,0)</f>
        <v/>
      </c>
      <c r="J40" s="25">
        <f>ROUND($B$4*$B$11*$B$13*$B$15*$B$19*$B$21*$B$22,0)</f>
        <v/>
      </c>
      <c r="K40" s="25">
        <f>ROUND($B$4*$B$11*$B$13*$B$15*$B$19*$B$21*$B$23,0)</f>
        <v/>
      </c>
      <c r="L40" s="25">
        <f>ROUND($B$4*$B$11*$B$13*$B$16*$B$18*$B$20*$B$22,0)</f>
        <v/>
      </c>
      <c r="M40" s="25">
        <f>ROUND($B$4*$B$11*$B$13*$B$16*$B$18*$B$20*$B$23,0)</f>
        <v/>
      </c>
      <c r="N40" s="25">
        <f>ROUND($B$4*$B$11*$B$13*$B$16*$B$18*$B$21*$B$22,0)</f>
        <v/>
      </c>
      <c r="O40" s="25">
        <f>ROUND($B$4*$B$11*$B$13*$B$16*$B$18*$B$21*$B$23,0)</f>
        <v/>
      </c>
      <c r="P40" s="25">
        <f>ROUND($B$4*$B$11*$B$13*$B$16*$B$19*$B$20*$B$22,0)</f>
        <v/>
      </c>
      <c r="Q40" s="25">
        <f>ROUND($B$4*$B$11*$B$13*$B$16*$B$19*$B$20*$B$23,0)</f>
        <v/>
      </c>
      <c r="R40" s="25">
        <f>ROUND($B$4*$B$11*$B$13*$B$16*$B$19*$B$21*$B$22,0)</f>
        <v/>
      </c>
      <c r="S40" s="25">
        <f>ROUND($B$4*$B$11*$B$13*$B$16*$B$19*$B$21*$B$23,0)</f>
        <v/>
      </c>
      <c r="T40" s="25">
        <f>ROUND($B$4*$B$11*$B$13*$B$17*$B$18*$B$20*$B$22,0)</f>
        <v/>
      </c>
      <c r="U40" s="25">
        <f>ROUND($B$4*$B$11*$B$13*$B$17*$B$18*$B$20*$B$23,0)</f>
        <v/>
      </c>
      <c r="V40" s="25">
        <f>ROUND($B$4*$B$11*$B$13*$B$17*$B$18*$B$21*$B$22,0)</f>
        <v/>
      </c>
      <c r="W40" s="25">
        <f>ROUND($B$4*$B$11*$B$13*$B$17*$B$18*$B$21*$B$23,0)</f>
        <v/>
      </c>
      <c r="X40" s="25">
        <f>ROUND($B$4*$B$11*$B$13*$B$17*$B$19*$B$20*$B$22,0)</f>
        <v/>
      </c>
      <c r="Y40" s="25">
        <f>ROUND($B$4*$B$11*$B$13*$B$17*$B$19*$B$20*$B$23,0)</f>
        <v/>
      </c>
      <c r="Z40" s="25">
        <f>ROUND($B$4*$B$11*$B$13*$B$17*$B$19*$B$21*$B$22,0)</f>
        <v/>
      </c>
      <c r="AA40" s="25">
        <f>ROUND($B$4*$B$11*$B$13*$B$17*$B$19*$B$21*$B$23,0)</f>
        <v/>
      </c>
    </row>
    <row r="41" ht="20.1" customHeight="1" s="62">
      <c r="A41" s="82" t="n"/>
      <c r="B41" s="59" t="n"/>
      <c r="C41" s="26" t="inlineStr">
        <is>
          <t>Full sur mesure</t>
        </is>
      </c>
      <c r="D41" s="25">
        <f>ROUND($B$4*$B$11*$B$14*$B$15*$B$18*$B$20*$B$22,0)</f>
        <v/>
      </c>
      <c r="E41" s="25">
        <f>ROUND($B$4*$B$11*$B$14*$B$15*$B$18*$B$20*$B$23,0)</f>
        <v/>
      </c>
      <c r="F41" s="25">
        <f>ROUND($B$4*$B$11*$B$14*$B$15*$B$18*$B$21*$B$22,0)</f>
        <v/>
      </c>
      <c r="G41" s="25">
        <f>ROUND($B$4*$B$11*$B$14*$B$15*$B$18*$B$21*$B$23,0)</f>
        <v/>
      </c>
      <c r="H41" s="25">
        <f>ROUND($B$4*$B$11*$B$14*$B$15*$B$19*$B$20*$B$22,0)</f>
        <v/>
      </c>
      <c r="I41" s="25">
        <f>ROUND($B$4*$B$11*$B$14*$B$15*$B$19*$B$20*$B$23,0)</f>
        <v/>
      </c>
      <c r="J41" s="25">
        <f>ROUND($B$4*$B$11*$B$14*$B$15*$B$19*$B$21*$B$22,0)</f>
        <v/>
      </c>
      <c r="K41" s="25">
        <f>ROUND($B$4*$B$11*$B$14*$B$15*$B$19*$B$21*$B$23,0)</f>
        <v/>
      </c>
      <c r="L41" s="25">
        <f>ROUND($B$4*$B$11*$B$14*$B$16*$B$18*$B$20*$B$22,0)</f>
        <v/>
      </c>
      <c r="M41" s="25">
        <f>ROUND($B$4*$B$11*$B$14*$B$16*$B$18*$B$20*$B$23,0)</f>
        <v/>
      </c>
      <c r="N41" s="25">
        <f>ROUND($B$4*$B$11*$B$14*$B$16*$B$18*$B$21*$B$22,0)</f>
        <v/>
      </c>
      <c r="O41" s="25">
        <f>ROUND($B$4*$B$11*$B$14*$B$16*$B$18*$B$21*$B$23,0)</f>
        <v/>
      </c>
      <c r="P41" s="25">
        <f>ROUND($B$4*$B$11*$B$14*$B$16*$B$19*$B$20*$B$22,0)</f>
        <v/>
      </c>
      <c r="Q41" s="25">
        <f>ROUND($B$4*$B$11*$B$14*$B$16*$B$19*$B$20*$B$23,0)</f>
        <v/>
      </c>
      <c r="R41" s="25">
        <f>ROUND($B$4*$B$11*$B$14*$B$16*$B$19*$B$21*$B$22,0)</f>
        <v/>
      </c>
      <c r="S41" s="25">
        <f>ROUND($B$4*$B$11*$B$14*$B$16*$B$19*$B$21*$B$23,0)</f>
        <v/>
      </c>
      <c r="T41" s="25">
        <f>ROUND($B$4*$B$11*$B$14*$B$17*$B$18*$B$20*$B$22,0)</f>
        <v/>
      </c>
      <c r="U41" s="25">
        <f>ROUND($B$4*$B$11*$B$14*$B$17*$B$18*$B$20*$B$23,0)</f>
        <v/>
      </c>
      <c r="V41" s="25">
        <f>ROUND($B$4*$B$11*$B$14*$B$17*$B$18*$B$21*$B$22,0)</f>
        <v/>
      </c>
      <c r="W41" s="25">
        <f>ROUND($B$4*$B$11*$B$14*$B$17*$B$18*$B$21*$B$23,0)</f>
        <v/>
      </c>
      <c r="X41" s="25">
        <f>ROUND($B$4*$B$11*$B$14*$B$17*$B$19*$B$20*$B$22,0)</f>
        <v/>
      </c>
      <c r="Y41" s="25">
        <f>ROUND($B$4*$B$11*$B$14*$B$17*$B$19*$B$20*$B$23,0)</f>
        <v/>
      </c>
      <c r="Z41" s="25">
        <f>ROUND($B$4*$B$11*$B$14*$B$17*$B$19*$B$21*$B$22,0)</f>
        <v/>
      </c>
      <c r="AA41" s="25">
        <f>ROUND($B$4*$B$11*$B$14*$B$17*$B$19*$B$21*$B$23,0)</f>
        <v/>
      </c>
    </row>
    <row r="42" ht="20.1" customHeight="1" s="62">
      <c r="A42" s="80" t="inlineStr">
        <is>
          <t>Site institutionnel</t>
        </is>
      </c>
      <c r="B42" s="73" t="inlineStr">
        <is>
          <t>1-5 pages</t>
        </is>
      </c>
      <c r="C42" s="24" t="inlineStr">
        <is>
          <t>Design standard</t>
        </is>
      </c>
      <c r="D42" s="25">
        <f>ROUND($B$5*$B$8*$B$12*$B$15*$B$18*$B$20*$B$22,0)</f>
        <v/>
      </c>
      <c r="E42" s="25">
        <f>ROUND($B$5*$B$8*$B$12*$B$15*$B$18*$B$20*$B$23,0)</f>
        <v/>
      </c>
      <c r="F42" s="25">
        <f>ROUND($B$5*$B$8*$B$12*$B$15*$B$18*$B$21*$B$22,0)</f>
        <v/>
      </c>
      <c r="G42" s="25">
        <f>ROUND($B$5*$B$8*$B$12*$B$15*$B$18*$B$21*$B$23,0)</f>
        <v/>
      </c>
      <c r="H42" s="25">
        <f>ROUND($B$5*$B$8*$B$12*$B$15*$B$19*$B$20*$B$22,0)</f>
        <v/>
      </c>
      <c r="I42" s="25">
        <f>ROUND($B$5*$B$8*$B$12*$B$15*$B$19*$B$20*$B$23,0)</f>
        <v/>
      </c>
      <c r="J42" s="25">
        <f>ROUND($B$5*$B$8*$B$12*$B$15*$B$19*$B$21*$B$22,0)</f>
        <v/>
      </c>
      <c r="K42" s="25">
        <f>ROUND($B$5*$B$8*$B$12*$B$15*$B$19*$B$21*$B$23,0)</f>
        <v/>
      </c>
      <c r="L42" s="25">
        <f>ROUND($B$5*$B$8*$B$12*$B$16*$B$18*$B$20*$B$22,0)</f>
        <v/>
      </c>
      <c r="M42" s="25">
        <f>ROUND($B$5*$B$8*$B$12*$B$16*$B$18*$B$20*$B$23,0)</f>
        <v/>
      </c>
      <c r="N42" s="25">
        <f>ROUND($B$5*$B$8*$B$12*$B$16*$B$18*$B$21*$B$22,0)</f>
        <v/>
      </c>
      <c r="O42" s="25">
        <f>ROUND($B$5*$B$8*$B$12*$B$16*$B$18*$B$21*$B$23,0)</f>
        <v/>
      </c>
      <c r="P42" s="25">
        <f>ROUND($B$5*$B$8*$B$12*$B$16*$B$19*$B$20*$B$22,0)</f>
        <v/>
      </c>
      <c r="Q42" s="25">
        <f>ROUND($B$5*$B$8*$B$12*$B$16*$B$19*$B$20*$B$23,0)</f>
        <v/>
      </c>
      <c r="R42" s="25">
        <f>ROUND($B$5*$B$8*$B$12*$B$16*$B$19*$B$21*$B$22,0)</f>
        <v/>
      </c>
      <c r="S42" s="25">
        <f>ROUND($B$5*$B$8*$B$12*$B$16*$B$19*$B$21*$B$23,0)</f>
        <v/>
      </c>
      <c r="T42" s="25">
        <f>ROUND($B$5*$B$8*$B$12*$B$17*$B$18*$B$20*$B$22,0)</f>
        <v/>
      </c>
      <c r="U42" s="25">
        <f>ROUND($B$5*$B$8*$B$12*$B$17*$B$18*$B$20*$B$23,0)</f>
        <v/>
      </c>
      <c r="V42" s="25">
        <f>ROUND($B$5*$B$8*$B$12*$B$17*$B$18*$B$21*$B$22,0)</f>
        <v/>
      </c>
      <c r="W42" s="25">
        <f>ROUND($B$5*$B$8*$B$12*$B$17*$B$18*$B$21*$B$23,0)</f>
        <v/>
      </c>
      <c r="X42" s="25">
        <f>ROUND($B$5*$B$8*$B$12*$B$17*$B$19*$B$20*$B$22,0)</f>
        <v/>
      </c>
      <c r="Y42" s="25">
        <f>ROUND($B$5*$B$8*$B$12*$B$17*$B$19*$B$20*$B$23,0)</f>
        <v/>
      </c>
      <c r="Z42" s="25">
        <f>ROUND($B$5*$B$8*$B$12*$B$17*$B$19*$B$21*$B$22,0)</f>
        <v/>
      </c>
      <c r="AA42" s="25">
        <f>ROUND($B$5*$B$8*$B$12*$B$17*$B$19*$B$21*$B$23,0)</f>
        <v/>
      </c>
    </row>
    <row r="43" ht="20.1" customHeight="1" s="62">
      <c r="A43" s="81" t="n"/>
      <c r="B43" s="58" t="n"/>
      <c r="C43" s="73" t="inlineStr">
        <is>
          <t>Design personnalisé</t>
        </is>
      </c>
      <c r="D43" s="25">
        <f>ROUND($B$5*$B$8*$B$13*$B$15*$B$18*$B$20*$B$22,0)</f>
        <v/>
      </c>
      <c r="E43" s="25">
        <f>ROUND($B$5*$B$8*$B$13*$B$15*$B$18*$B$20*$B$23,0)</f>
        <v/>
      </c>
      <c r="F43" s="25">
        <f>ROUND($B$5*$B$8*$B$13*$B$15*$B$18*$B$21*$B$22,0)</f>
        <v/>
      </c>
      <c r="G43" s="25">
        <f>ROUND($B$5*$B$8*$B$13*$B$15*$B$18*$B$21*$B$23,0)</f>
        <v/>
      </c>
      <c r="H43" s="25">
        <f>ROUND($B$5*$B$8*$B$13*$B$15*$B$19*$B$20*$B$22,0)</f>
        <v/>
      </c>
      <c r="I43" s="25">
        <f>ROUND($B$5*$B$8*$B$13*$B$15*$B$19*$B$20*$B$23,0)</f>
        <v/>
      </c>
      <c r="J43" s="25">
        <f>ROUND($B$5*$B$8*$B$13*$B$15*$B$19*$B$21*$B$22,0)</f>
        <v/>
      </c>
      <c r="K43" s="25">
        <f>ROUND($B$5*$B$8*$B$13*$B$15*$B$19*$B$21*$B$23,0)</f>
        <v/>
      </c>
      <c r="L43" s="25">
        <f>ROUND($B$5*$B$8*$B$13*$B$16*$B$18*$B$20*$B$22,0)</f>
        <v/>
      </c>
      <c r="M43" s="25">
        <f>ROUND($B$5*$B$8*$B$13*$B$16*$B$18*$B$20*$B$23,0)</f>
        <v/>
      </c>
      <c r="N43" s="25">
        <f>ROUND($B$5*$B$8*$B$13*$B$16*$B$18*$B$21*$B$22,0)</f>
        <v/>
      </c>
      <c r="O43" s="25">
        <f>ROUND($B$5*$B$8*$B$13*$B$16*$B$18*$B$21*$B$23,0)</f>
        <v/>
      </c>
      <c r="P43" s="25">
        <f>ROUND($B$5*$B$8*$B$13*$B$16*$B$19*$B$20*$B$22,0)</f>
        <v/>
      </c>
      <c r="Q43" s="25">
        <f>ROUND($B$5*$B$8*$B$13*$B$16*$B$19*$B$20*$B$23,0)</f>
        <v/>
      </c>
      <c r="R43" s="25">
        <f>ROUND($B$5*$B$8*$B$13*$B$16*$B$19*$B$21*$B$22,0)</f>
        <v/>
      </c>
      <c r="S43" s="25">
        <f>ROUND($B$5*$B$8*$B$13*$B$16*$B$19*$B$21*$B$23,0)</f>
        <v/>
      </c>
      <c r="T43" s="25">
        <f>ROUND($B$5*$B$8*$B$13*$B$17*$B$18*$B$20*$B$22,0)</f>
        <v/>
      </c>
      <c r="U43" s="25">
        <f>ROUND($B$5*$B$8*$B$13*$B$17*$B$18*$B$20*$B$23,0)</f>
        <v/>
      </c>
      <c r="V43" s="25">
        <f>ROUND($B$5*$B$8*$B$13*$B$17*$B$18*$B$21*$B$22,0)</f>
        <v/>
      </c>
      <c r="W43" s="25">
        <f>ROUND($B$5*$B$8*$B$13*$B$17*$B$18*$B$21*$B$23,0)</f>
        <v/>
      </c>
      <c r="X43" s="25">
        <f>ROUND($B$5*$B$8*$B$13*$B$17*$B$19*$B$20*$B$22,0)</f>
        <v/>
      </c>
      <c r="Y43" s="25">
        <f>ROUND($B$5*$B$8*$B$13*$B$17*$B$19*$B$20*$B$23,0)</f>
        <v/>
      </c>
      <c r="Z43" s="25">
        <f>ROUND($B$5*$B$8*$B$13*$B$17*$B$19*$B$21*$B$22,0)</f>
        <v/>
      </c>
      <c r="AA43" s="25">
        <f>ROUND($B$5*$B$8*$B$13*$B$17*$B$19*$B$21*$B$23,0)</f>
        <v/>
      </c>
    </row>
    <row r="44" ht="20.1" customHeight="1" s="62">
      <c r="A44" s="81" t="n"/>
      <c r="B44" s="59" t="n"/>
      <c r="C44" s="26" t="inlineStr">
        <is>
          <t>Full sur mesure</t>
        </is>
      </c>
      <c r="D44" s="25">
        <f>ROUND($B$5*$B$8*$B$14*$B$15*$B$18*$B$20*$B$22,0)</f>
        <v/>
      </c>
      <c r="E44" s="25">
        <f>ROUND($B$5*$B$8*$B$14*$B$15*$B$18*$B$20*$B$23,0)</f>
        <v/>
      </c>
      <c r="F44" s="25">
        <f>ROUND($B$5*$B$8*$B$14*$B$15*$B$18*$B$21*$B$22,0)</f>
        <v/>
      </c>
      <c r="G44" s="25">
        <f>ROUND($B$5*$B$8*$B$14*$B$15*$B$18*$B$21*$B$23,0)</f>
        <v/>
      </c>
      <c r="H44" s="25">
        <f>ROUND($B$5*$B$8*$B$14*$B$15*$B$19*$B$20*$B$22,0)</f>
        <v/>
      </c>
      <c r="I44" s="25">
        <f>ROUND($B$5*$B$8*$B$14*$B$15*$B$19*$B$20*$B$23,0)</f>
        <v/>
      </c>
      <c r="J44" s="25">
        <f>ROUND($B$5*$B$8*$B$14*$B$15*$B$19*$B$21*$B$22,0)</f>
        <v/>
      </c>
      <c r="K44" s="25">
        <f>ROUND($B$5*$B$8*$B$14*$B$15*$B$19*$B$21*$B$23,0)</f>
        <v/>
      </c>
      <c r="L44" s="25">
        <f>ROUND($B$5*$B$8*$B$14*$B$16*$B$18*$B$20*$B$22,0)</f>
        <v/>
      </c>
      <c r="M44" s="25">
        <f>ROUND($B$5*$B$8*$B$14*$B$16*$B$18*$B$20*$B$23,0)</f>
        <v/>
      </c>
      <c r="N44" s="25">
        <f>ROUND($B$5*$B$8*$B$14*$B$16*$B$18*$B$21*$B$22,0)</f>
        <v/>
      </c>
      <c r="O44" s="25">
        <f>ROUND($B$5*$B$8*$B$14*$B$16*$B$18*$B$21*$B$23,0)</f>
        <v/>
      </c>
      <c r="P44" s="25">
        <f>ROUND($B$5*$B$8*$B$14*$B$16*$B$19*$B$20*$B$22,0)</f>
        <v/>
      </c>
      <c r="Q44" s="25">
        <f>ROUND($B$5*$B$8*$B$14*$B$16*$B$19*$B$20*$B$23,0)</f>
        <v/>
      </c>
      <c r="R44" s="25">
        <f>ROUND($B$5*$B$8*$B$14*$B$16*$B$19*$B$21*$B$22,0)</f>
        <v/>
      </c>
      <c r="S44" s="25">
        <f>ROUND($B$5*$B$8*$B$14*$B$16*$B$19*$B$21*$B$23,0)</f>
        <v/>
      </c>
      <c r="T44" s="25">
        <f>ROUND($B$5*$B$8*$B$14*$B$17*$B$18*$B$20*$B$22,0)</f>
        <v/>
      </c>
      <c r="U44" s="25">
        <f>ROUND($B$5*$B$8*$B$14*$B$17*$B$18*$B$20*$B$23,0)</f>
        <v/>
      </c>
      <c r="V44" s="25">
        <f>ROUND($B$5*$B$8*$B$14*$B$17*$B$18*$B$21*$B$22,0)</f>
        <v/>
      </c>
      <c r="W44" s="25">
        <f>ROUND($B$5*$B$8*$B$14*$B$17*$B$18*$B$21*$B$23,0)</f>
        <v/>
      </c>
      <c r="X44" s="25">
        <f>ROUND($B$5*$B$8*$B$14*$B$17*$B$19*$B$20*$B$22,0)</f>
        <v/>
      </c>
      <c r="Y44" s="25">
        <f>ROUND($B$5*$B$8*$B$14*$B$17*$B$19*$B$20*$B$23,0)</f>
        <v/>
      </c>
      <c r="Z44" s="25">
        <f>ROUND($B$5*$B$8*$B$14*$B$17*$B$19*$B$21*$B$22,0)</f>
        <v/>
      </c>
      <c r="AA44" s="25">
        <f>ROUND($B$5*$B$8*$B$14*$B$17*$B$19*$B$21*$B$23,0)</f>
        <v/>
      </c>
    </row>
    <row r="45" ht="20.1" customHeight="1" s="62">
      <c r="A45" s="81" t="n"/>
      <c r="B45" s="73" t="inlineStr">
        <is>
          <t>6-15 pages</t>
        </is>
      </c>
      <c r="C45" s="24" t="inlineStr">
        <is>
          <t>Design standard</t>
        </is>
      </c>
      <c r="D45" s="25">
        <f>ROUND($B$5*$B$9*$B$12*$B$15*$B$18*$B$20*$B$22,0)</f>
        <v/>
      </c>
      <c r="E45" s="25">
        <f>ROUND($B$5*$B$9*$B$12*$B$15*$B$18*$B$20*$B$23,0)</f>
        <v/>
      </c>
      <c r="F45" s="25">
        <f>ROUND($B$5*$B$9*$B$12*$B$15*$B$18*$B$21*$B$22,0)</f>
        <v/>
      </c>
      <c r="G45" s="25">
        <f>ROUND($B$5*$B$9*$B$12*$B$15*$B$18*$B$21*$B$23,0)</f>
        <v/>
      </c>
      <c r="H45" s="25">
        <f>ROUND($B$5*$B$9*$B$12*$B$15*$B$19*$B$20*$B$22,0)</f>
        <v/>
      </c>
      <c r="I45" s="25">
        <f>ROUND($B$5*$B$9*$B$12*$B$15*$B$19*$B$20*$B$23,0)</f>
        <v/>
      </c>
      <c r="J45" s="25">
        <f>ROUND($B$5*$B$9*$B$12*$B$15*$B$19*$B$21*$B$22,0)</f>
        <v/>
      </c>
      <c r="K45" s="25">
        <f>ROUND($B$5*$B$9*$B$12*$B$15*$B$19*$B$21*$B$23,0)</f>
        <v/>
      </c>
      <c r="L45" s="25">
        <f>ROUND($B$5*$B$9*$B$12*$B$16*$B$18*$B$20*$B$22,0)</f>
        <v/>
      </c>
      <c r="M45" s="25">
        <f>ROUND($B$5*$B$9*$B$12*$B$16*$B$18*$B$20*$B$23,0)</f>
        <v/>
      </c>
      <c r="N45" s="25">
        <f>ROUND($B$5*$B$9*$B$12*$B$16*$B$18*$B$21*$B$22,0)</f>
        <v/>
      </c>
      <c r="O45" s="25">
        <f>ROUND($B$5*$B$9*$B$12*$B$16*$B$18*$B$21*$B$23,0)</f>
        <v/>
      </c>
      <c r="P45" s="25">
        <f>ROUND($B$5*$B$9*$B$12*$B$16*$B$19*$B$20*$B$22,0)</f>
        <v/>
      </c>
      <c r="Q45" s="25">
        <f>ROUND($B$5*$B$9*$B$12*$B$16*$B$19*$B$20*$B$23,0)</f>
        <v/>
      </c>
      <c r="R45" s="25">
        <f>ROUND($B$5*$B$9*$B$12*$B$16*$B$19*$B$21*$B$22,0)</f>
        <v/>
      </c>
      <c r="S45" s="25">
        <f>ROUND($B$5*$B$9*$B$12*$B$16*$B$19*$B$21*$B$23,0)</f>
        <v/>
      </c>
      <c r="T45" s="25">
        <f>ROUND($B$5*$B$9*$B$12*$B$17*$B$18*$B$20*$B$22,0)</f>
        <v/>
      </c>
      <c r="U45" s="25">
        <f>ROUND($B$5*$B$9*$B$12*$B$17*$B$18*$B$20*$B$23,0)</f>
        <v/>
      </c>
      <c r="V45" s="25">
        <f>ROUND($B$5*$B$9*$B$12*$B$17*$B$18*$B$21*$B$22,0)</f>
        <v/>
      </c>
      <c r="W45" s="25">
        <f>ROUND($B$5*$B$9*$B$12*$B$17*$B$18*$B$21*$B$23,0)</f>
        <v/>
      </c>
      <c r="X45" s="25">
        <f>ROUND($B$5*$B$9*$B$12*$B$17*$B$19*$B$20*$B$22,0)</f>
        <v/>
      </c>
      <c r="Y45" s="25">
        <f>ROUND($B$5*$B$9*$B$12*$B$17*$B$19*$B$20*$B$23,0)</f>
        <v/>
      </c>
      <c r="Z45" s="25">
        <f>ROUND($B$5*$B$9*$B$12*$B$17*$B$19*$B$21*$B$22,0)</f>
        <v/>
      </c>
      <c r="AA45" s="25">
        <f>ROUND($B$5*$B$9*$B$12*$B$17*$B$19*$B$21*$B$23,0)</f>
        <v/>
      </c>
    </row>
    <row r="46" ht="20.1" customHeight="1" s="62">
      <c r="A46" s="81" t="n"/>
      <c r="B46" s="58" t="n"/>
      <c r="C46" s="73" t="inlineStr">
        <is>
          <t>Design personnalisé</t>
        </is>
      </c>
      <c r="D46" s="25">
        <f>ROUND($B$5*$B$9*$B$13*$B$15*$B$18*$B$20*$B$22,0)</f>
        <v/>
      </c>
      <c r="E46" s="25">
        <f>ROUND($B$5*$B$9*$B$13*$B$15*$B$18*$B$20*$B$23,0)</f>
        <v/>
      </c>
      <c r="F46" s="25">
        <f>ROUND($B$5*$B$9*$B$13*$B$15*$B$18*$B$21*$B$22,0)</f>
        <v/>
      </c>
      <c r="G46" s="25">
        <f>ROUND($B$5*$B$9*$B$13*$B$15*$B$18*$B$21*$B$23,0)</f>
        <v/>
      </c>
      <c r="H46" s="25">
        <f>ROUND($B$5*$B$9*$B$13*$B$15*$B$19*$B$20*$B$22,0)</f>
        <v/>
      </c>
      <c r="I46" s="25">
        <f>ROUND($B$5*$B$9*$B$13*$B$15*$B$19*$B$20*$B$23,0)</f>
        <v/>
      </c>
      <c r="J46" s="25">
        <f>ROUND($B$5*$B$9*$B$13*$B$15*$B$19*$B$21*$B$22,0)</f>
        <v/>
      </c>
      <c r="K46" s="25">
        <f>ROUND($B$5*$B$9*$B$13*$B$15*$B$19*$B$21*$B$23,0)</f>
        <v/>
      </c>
      <c r="L46" s="25">
        <f>ROUND($B$5*$B$9*$B$13*$B$16*$B$18*$B$20*$B$22,0)</f>
        <v/>
      </c>
      <c r="M46" s="25">
        <f>ROUND($B$5*$B$9*$B$13*$B$16*$B$18*$B$20*$B$23,0)</f>
        <v/>
      </c>
      <c r="N46" s="25">
        <f>ROUND($B$5*$B$9*$B$13*$B$16*$B$18*$B$21*$B$22,0)</f>
        <v/>
      </c>
      <c r="O46" s="25">
        <f>ROUND($B$5*$B$9*$B$13*$B$16*$B$18*$B$21*$B$23,0)</f>
        <v/>
      </c>
      <c r="P46" s="25">
        <f>ROUND($B$5*$B$9*$B$13*$B$16*$B$19*$B$20*$B$22,0)</f>
        <v/>
      </c>
      <c r="Q46" s="25">
        <f>ROUND($B$5*$B$9*$B$13*$B$16*$B$19*$B$20*$B$23,0)</f>
        <v/>
      </c>
      <c r="R46" s="25">
        <f>ROUND($B$5*$B$9*$B$13*$B$16*$B$19*$B$21*$B$22,0)</f>
        <v/>
      </c>
      <c r="S46" s="25">
        <f>ROUND($B$5*$B$9*$B$13*$B$16*$B$19*$B$21*$B$23,0)</f>
        <v/>
      </c>
      <c r="T46" s="25">
        <f>ROUND($B$5*$B$9*$B$13*$B$17*$B$18*$B$20*$B$22,0)</f>
        <v/>
      </c>
      <c r="U46" s="25">
        <f>ROUND($B$5*$B$9*$B$13*$B$17*$B$18*$B$20*$B$23,0)</f>
        <v/>
      </c>
      <c r="V46" s="25">
        <f>ROUND($B$5*$B$9*$B$13*$B$17*$B$18*$B$21*$B$22,0)</f>
        <v/>
      </c>
      <c r="W46" s="25">
        <f>ROUND($B$5*$B$9*$B$13*$B$17*$B$18*$B$21*$B$23,0)</f>
        <v/>
      </c>
      <c r="X46" s="25">
        <f>ROUND($B$5*$B$9*$B$13*$B$17*$B$19*$B$20*$B$22,0)</f>
        <v/>
      </c>
      <c r="Y46" s="25">
        <f>ROUND($B$5*$B$9*$B$13*$B$17*$B$19*$B$20*$B$23,0)</f>
        <v/>
      </c>
      <c r="Z46" s="25">
        <f>ROUND($B$5*$B$9*$B$13*$B$17*$B$19*$B$21*$B$22,0)</f>
        <v/>
      </c>
      <c r="AA46" s="25">
        <f>ROUND($B$5*$B$9*$B$13*$B$17*$B$19*$B$21*$B$23,0)</f>
        <v/>
      </c>
    </row>
    <row r="47" ht="20.1" customHeight="1" s="62">
      <c r="A47" s="81" t="n"/>
      <c r="B47" s="59" t="n"/>
      <c r="C47" s="26" t="inlineStr">
        <is>
          <t>Full sur mesure</t>
        </is>
      </c>
      <c r="D47" s="25">
        <f>ROUND($B$5*$B$9*$B$14*$B$15*$B$18*$B$20*$B$22,0)</f>
        <v/>
      </c>
      <c r="E47" s="25">
        <f>ROUND($B$5*$B$9*$B$14*$B$15*$B$18*$B$20*$B$23,0)</f>
        <v/>
      </c>
      <c r="F47" s="25">
        <f>ROUND($B$5*$B$9*$B$14*$B$15*$B$18*$B$21*$B$22,0)</f>
        <v/>
      </c>
      <c r="G47" s="25">
        <f>ROUND($B$5*$B$9*$B$14*$B$15*$B$18*$B$21*$B$23,0)</f>
        <v/>
      </c>
      <c r="H47" s="25">
        <f>ROUND($B$5*$B$9*$B$14*$B$15*$B$19*$B$20*$B$22,0)</f>
        <v/>
      </c>
      <c r="I47" s="25">
        <f>ROUND($B$5*$B$9*$B$14*$B$15*$B$19*$B$20*$B$23,0)</f>
        <v/>
      </c>
      <c r="J47" s="25">
        <f>ROUND($B$5*$B$9*$B$14*$B$15*$B$19*$B$21*$B$22,0)</f>
        <v/>
      </c>
      <c r="K47" s="25">
        <f>ROUND($B$5*$B$9*$B$14*$B$15*$B$19*$B$21*$B$23,0)</f>
        <v/>
      </c>
      <c r="L47" s="25">
        <f>ROUND($B$5*$B$9*$B$14*$B$16*$B$18*$B$20*$B$22,0)</f>
        <v/>
      </c>
      <c r="M47" s="25">
        <f>ROUND($B$5*$B$9*$B$14*$B$16*$B$18*$B$20*$B$23,0)</f>
        <v/>
      </c>
      <c r="N47" s="25">
        <f>ROUND($B$5*$B$9*$B$14*$B$16*$B$18*$B$21*$B$22,0)</f>
        <v/>
      </c>
      <c r="O47" s="25">
        <f>ROUND($B$5*$B$9*$B$14*$B$16*$B$18*$B$21*$B$23,0)</f>
        <v/>
      </c>
      <c r="P47" s="25">
        <f>ROUND($B$5*$B$9*$B$14*$B$16*$B$19*$B$20*$B$22,0)</f>
        <v/>
      </c>
      <c r="Q47" s="25">
        <f>ROUND($B$5*$B$9*$B$14*$B$16*$B$19*$B$20*$B$23,0)</f>
        <v/>
      </c>
      <c r="R47" s="25">
        <f>ROUND($B$5*$B$9*$B$14*$B$16*$B$19*$B$21*$B$22,0)</f>
        <v/>
      </c>
      <c r="S47" s="25">
        <f>ROUND($B$5*$B$9*$B$14*$B$16*$B$19*$B$21*$B$23,0)</f>
        <v/>
      </c>
      <c r="T47" s="25">
        <f>ROUND($B$5*$B$9*$B$14*$B$17*$B$18*$B$20*$B$22,0)</f>
        <v/>
      </c>
      <c r="U47" s="25">
        <f>ROUND($B$5*$B$9*$B$14*$B$17*$B$18*$B$20*$B$23,0)</f>
        <v/>
      </c>
      <c r="V47" s="25">
        <f>ROUND($B$5*$B$9*$B$14*$B$17*$B$18*$B$21*$B$22,0)</f>
        <v/>
      </c>
      <c r="W47" s="25">
        <f>ROUND($B$5*$B$9*$B$14*$B$17*$B$18*$B$21*$B$23,0)</f>
        <v/>
      </c>
      <c r="X47" s="25">
        <f>ROUND($B$5*$B$9*$B$14*$B$17*$B$19*$B$20*$B$22,0)</f>
        <v/>
      </c>
      <c r="Y47" s="25">
        <f>ROUND($B$5*$B$9*$B$14*$B$17*$B$19*$B$20*$B$23,0)</f>
        <v/>
      </c>
      <c r="Z47" s="25">
        <f>ROUND($B$5*$B$9*$B$14*$B$17*$B$19*$B$21*$B$22,0)</f>
        <v/>
      </c>
      <c r="AA47" s="25">
        <f>ROUND($B$5*$B$9*$B$14*$B$17*$B$19*$B$21*$B$23,0)</f>
        <v/>
      </c>
    </row>
    <row r="48" ht="20.1" customHeight="1" s="62">
      <c r="A48" s="81" t="n"/>
      <c r="B48" s="73" t="inlineStr">
        <is>
          <t>16-30 pages</t>
        </is>
      </c>
      <c r="C48" s="24" t="inlineStr">
        <is>
          <t>Design standard</t>
        </is>
      </c>
      <c r="D48" s="25">
        <f>ROUND($B$5*$B$10*$B$12*$B$15*$B$18*$B$20*$B$22,0)</f>
        <v/>
      </c>
      <c r="E48" s="25">
        <f>ROUND($B$5*$B$10*$B$12*$B$15*$B$18*$B$20*$B$23,0)</f>
        <v/>
      </c>
      <c r="F48" s="25">
        <f>ROUND($B$5*$B$10*$B$12*$B$15*$B$18*$B$21*$B$22,0)</f>
        <v/>
      </c>
      <c r="G48" s="25">
        <f>ROUND($B$5*$B$10*$B$12*$B$15*$B$18*$B$21*$B$23,0)</f>
        <v/>
      </c>
      <c r="H48" s="25">
        <f>ROUND($B$5*$B$10*$B$12*$B$15*$B$19*$B$20*$B$22,0)</f>
        <v/>
      </c>
      <c r="I48" s="25">
        <f>ROUND($B$5*$B$10*$B$12*$B$15*$B$19*$B$20*$B$23,0)</f>
        <v/>
      </c>
      <c r="J48" s="25">
        <f>ROUND($B$5*$B$10*$B$12*$B$15*$B$19*$B$21*$B$22,0)</f>
        <v/>
      </c>
      <c r="K48" s="25">
        <f>ROUND($B$5*$B$10*$B$12*$B$15*$B$19*$B$21*$B$23,0)</f>
        <v/>
      </c>
      <c r="L48" s="25">
        <f>ROUND($B$5*$B$10*$B$12*$B$16*$B$18*$B$20*$B$22,0)</f>
        <v/>
      </c>
      <c r="M48" s="25">
        <f>ROUND($B$5*$B$10*$B$12*$B$16*$B$18*$B$20*$B$23,0)</f>
        <v/>
      </c>
      <c r="N48" s="25">
        <f>ROUND($B$5*$B$10*$B$12*$B$16*$B$18*$B$21*$B$22,0)</f>
        <v/>
      </c>
      <c r="O48" s="25">
        <f>ROUND($B$5*$B$10*$B$12*$B$16*$B$18*$B$21*$B$23,0)</f>
        <v/>
      </c>
      <c r="P48" s="25">
        <f>ROUND($B$5*$B$10*$B$12*$B$16*$B$19*$B$20*$B$22,0)</f>
        <v/>
      </c>
      <c r="Q48" s="25">
        <f>ROUND($B$5*$B$10*$B$12*$B$16*$B$19*$B$20*$B$23,0)</f>
        <v/>
      </c>
      <c r="R48" s="25">
        <f>ROUND($B$5*$B$10*$B$12*$B$16*$B$19*$B$21*$B$22,0)</f>
        <v/>
      </c>
      <c r="S48" s="25">
        <f>ROUND($B$5*$B$10*$B$12*$B$16*$B$19*$B$21*$B$23,0)</f>
        <v/>
      </c>
      <c r="T48" s="25">
        <f>ROUND($B$5*$B$10*$B$12*$B$17*$B$18*$B$20*$B$22,0)</f>
        <v/>
      </c>
      <c r="U48" s="25">
        <f>ROUND($B$5*$B$10*$B$12*$B$17*$B$18*$B$20*$B$23,0)</f>
        <v/>
      </c>
      <c r="V48" s="25">
        <f>ROUND($B$5*$B$10*$B$12*$B$17*$B$18*$B$21*$B$22,0)</f>
        <v/>
      </c>
      <c r="W48" s="25">
        <f>ROUND($B$5*$B$10*$B$12*$B$17*$B$18*$B$21*$B$23,0)</f>
        <v/>
      </c>
      <c r="X48" s="25">
        <f>ROUND($B$5*$B$10*$B$12*$B$17*$B$19*$B$20*$B$22,0)</f>
        <v/>
      </c>
      <c r="Y48" s="25">
        <f>ROUND($B$5*$B$10*$B$12*$B$17*$B$19*$B$20*$B$23,0)</f>
        <v/>
      </c>
      <c r="Z48" s="25">
        <f>ROUND($B$5*$B$10*$B$12*$B$17*$B$19*$B$21*$B$22,0)</f>
        <v/>
      </c>
      <c r="AA48" s="25">
        <f>ROUND($B$5*$B$10*$B$12*$B$17*$B$19*$B$21*$B$23,0)</f>
        <v/>
      </c>
    </row>
    <row r="49" ht="20.1" customHeight="1" s="62">
      <c r="A49" s="81" t="n"/>
      <c r="B49" s="58" t="n"/>
      <c r="C49" s="73" t="inlineStr">
        <is>
          <t>Design personnalisé</t>
        </is>
      </c>
      <c r="D49" s="25">
        <f>ROUND($B$5*$B$10*$B$13*$B$15*$B$18*$B$20*$B$22,0)</f>
        <v/>
      </c>
      <c r="E49" s="25">
        <f>ROUND($B$5*$B$10*$B$13*$B$15*$B$18*$B$20*$B$23,0)</f>
        <v/>
      </c>
      <c r="F49" s="25">
        <f>ROUND($B$5*$B$10*$B$13*$B$15*$B$18*$B$21*$B$22,0)</f>
        <v/>
      </c>
      <c r="G49" s="25">
        <f>ROUND($B$5*$B$10*$B$13*$B$15*$B$18*$B$21*$B$23,0)</f>
        <v/>
      </c>
      <c r="H49" s="25">
        <f>ROUND($B$5*$B$10*$B$13*$B$15*$B$19*$B$20*$B$22,0)</f>
        <v/>
      </c>
      <c r="I49" s="25">
        <f>ROUND($B$5*$B$10*$B$13*$B$15*$B$19*$B$20*$B$23,0)</f>
        <v/>
      </c>
      <c r="J49" s="25">
        <f>ROUND($B$5*$B$10*$B$13*$B$15*$B$19*$B$21*$B$22,0)</f>
        <v/>
      </c>
      <c r="K49" s="25">
        <f>ROUND($B$5*$B$10*$B$13*$B$15*$B$19*$B$21*$B$23,0)</f>
        <v/>
      </c>
      <c r="L49" s="25">
        <f>ROUND($B$5*$B$10*$B$13*$B$16*$B$18*$B$20*$B$22,0)</f>
        <v/>
      </c>
      <c r="M49" s="25">
        <f>ROUND($B$5*$B$10*$B$13*$B$16*$B$18*$B$20*$B$23,0)</f>
        <v/>
      </c>
      <c r="N49" s="25">
        <f>ROUND($B$5*$B$10*$B$13*$B$16*$B$18*$B$21*$B$22,0)</f>
        <v/>
      </c>
      <c r="O49" s="25">
        <f>ROUND($B$5*$B$10*$B$13*$B$16*$B$18*$B$21*$B$23,0)</f>
        <v/>
      </c>
      <c r="P49" s="25">
        <f>ROUND($B$5*$B$10*$B$13*$B$16*$B$19*$B$20*$B$22,0)</f>
        <v/>
      </c>
      <c r="Q49" s="25">
        <f>ROUND($B$5*$B$10*$B$13*$B$16*$B$19*$B$20*$B$23,0)</f>
        <v/>
      </c>
      <c r="R49" s="25">
        <f>ROUND($B$5*$B$10*$B$13*$B$16*$B$19*$B$21*$B$22,0)</f>
        <v/>
      </c>
      <c r="S49" s="25">
        <f>ROUND($B$5*$B$10*$B$13*$B$16*$B$19*$B$21*$B$23,0)</f>
        <v/>
      </c>
      <c r="T49" s="25">
        <f>ROUND($B$5*$B$10*$B$13*$B$17*$B$18*$B$20*$B$22,0)</f>
        <v/>
      </c>
      <c r="U49" s="25">
        <f>ROUND($B$5*$B$10*$B$13*$B$17*$B$18*$B$20*$B$23,0)</f>
        <v/>
      </c>
      <c r="V49" s="25">
        <f>ROUND($B$5*$B$10*$B$13*$B$17*$B$18*$B$21*$B$22,0)</f>
        <v/>
      </c>
      <c r="W49" s="25">
        <f>ROUND($B$5*$B$10*$B$13*$B$17*$B$18*$B$21*$B$23,0)</f>
        <v/>
      </c>
      <c r="X49" s="25">
        <f>ROUND($B$5*$B$10*$B$13*$B$17*$B$19*$B$20*$B$22,0)</f>
        <v/>
      </c>
      <c r="Y49" s="25">
        <f>ROUND($B$5*$B$10*$B$13*$B$17*$B$19*$B$20*$B$23,0)</f>
        <v/>
      </c>
      <c r="Z49" s="25">
        <f>ROUND($B$5*$B$10*$B$13*$B$17*$B$19*$B$21*$B$22,0)</f>
        <v/>
      </c>
      <c r="AA49" s="25">
        <f>ROUND($B$5*$B$10*$B$13*$B$17*$B$19*$B$21*$B$23,0)</f>
        <v/>
      </c>
    </row>
    <row r="50" ht="20.1" customHeight="1" s="62">
      <c r="A50" s="81" t="n"/>
      <c r="B50" s="59" t="n"/>
      <c r="C50" s="26" t="inlineStr">
        <is>
          <t>Full sur mesure</t>
        </is>
      </c>
      <c r="D50" s="25">
        <f>ROUND($B$5*$B$10*$B$14*$B$15*$B$18*$B$20*$B$22,0)</f>
        <v/>
      </c>
      <c r="E50" s="25">
        <f>ROUND($B$5*$B$10*$B$14*$B$15*$B$18*$B$20*$B$23,0)</f>
        <v/>
      </c>
      <c r="F50" s="25">
        <f>ROUND($B$5*$B$10*$B$14*$B$15*$B$18*$B$21*$B$22,0)</f>
        <v/>
      </c>
      <c r="G50" s="25">
        <f>ROUND($B$5*$B$10*$B$14*$B$15*$B$18*$B$21*$B$23,0)</f>
        <v/>
      </c>
      <c r="H50" s="25">
        <f>ROUND($B$5*$B$10*$B$14*$B$15*$B$19*$B$20*$B$22,0)</f>
        <v/>
      </c>
      <c r="I50" s="25">
        <f>ROUND($B$5*$B$10*$B$14*$B$15*$B$19*$B$20*$B$23,0)</f>
        <v/>
      </c>
      <c r="J50" s="25">
        <f>ROUND($B$5*$B$10*$B$14*$B$15*$B$19*$B$21*$B$22,0)</f>
        <v/>
      </c>
      <c r="K50" s="25">
        <f>ROUND($B$5*$B$10*$B$14*$B$15*$B$19*$B$21*$B$23,0)</f>
        <v/>
      </c>
      <c r="L50" s="25">
        <f>ROUND($B$5*$B$10*$B$14*$B$16*$B$18*$B$20*$B$22,0)</f>
        <v/>
      </c>
      <c r="M50" s="25">
        <f>ROUND($B$5*$B$10*$B$14*$B$16*$B$18*$B$20*$B$23,0)</f>
        <v/>
      </c>
      <c r="N50" s="25">
        <f>ROUND($B$5*$B$10*$B$14*$B$16*$B$18*$B$21*$B$22,0)</f>
        <v/>
      </c>
      <c r="O50" s="25">
        <f>ROUND($B$5*$B$10*$B$14*$B$16*$B$18*$B$21*$B$23,0)</f>
        <v/>
      </c>
      <c r="P50" s="25">
        <f>ROUND($B$5*$B$10*$B$14*$B$16*$B$19*$B$20*$B$22,0)</f>
        <v/>
      </c>
      <c r="Q50" s="25">
        <f>ROUND($B$5*$B$10*$B$14*$B$16*$B$19*$B$20*$B$23,0)</f>
        <v/>
      </c>
      <c r="R50" s="25">
        <f>ROUND($B$5*$B$10*$B$14*$B$16*$B$19*$B$21*$B$22,0)</f>
        <v/>
      </c>
      <c r="S50" s="25">
        <f>ROUND($B$5*$B$10*$B$14*$B$16*$B$19*$B$21*$B$23,0)</f>
        <v/>
      </c>
      <c r="T50" s="25">
        <f>ROUND($B$5*$B$10*$B$14*$B$17*$B$18*$B$20*$B$22,0)</f>
        <v/>
      </c>
      <c r="U50" s="25">
        <f>ROUND($B$5*$B$10*$B$14*$B$17*$B$18*$B$20*$B$23,0)</f>
        <v/>
      </c>
      <c r="V50" s="25">
        <f>ROUND($B$5*$B$10*$B$14*$B$17*$B$18*$B$21*$B$22,0)</f>
        <v/>
      </c>
      <c r="W50" s="25">
        <f>ROUND($B$5*$B$10*$B$14*$B$17*$B$18*$B$21*$B$23,0)</f>
        <v/>
      </c>
      <c r="X50" s="25">
        <f>ROUND($B$5*$B$10*$B$14*$B$17*$B$19*$B$20*$B$22,0)</f>
        <v/>
      </c>
      <c r="Y50" s="25">
        <f>ROUND($B$5*$B$10*$B$14*$B$17*$B$19*$B$20*$B$23,0)</f>
        <v/>
      </c>
      <c r="Z50" s="25">
        <f>ROUND($B$5*$B$10*$B$14*$B$17*$B$19*$B$21*$B$22,0)</f>
        <v/>
      </c>
      <c r="AA50" s="25">
        <f>ROUND($B$5*$B$10*$B$14*$B$17*$B$19*$B$21*$B$23,0)</f>
        <v/>
      </c>
    </row>
    <row r="51" ht="20.1" customHeight="1" s="62">
      <c r="A51" s="81" t="n"/>
      <c r="B51" s="73" t="inlineStr">
        <is>
          <t>30+ pages</t>
        </is>
      </c>
      <c r="C51" s="24" t="inlineStr">
        <is>
          <t>Design standard</t>
        </is>
      </c>
      <c r="D51" s="25">
        <f>ROUND($B$5*$B$11*$B$12*$B$15*$B$18*$B$20*$B$22,0)</f>
        <v/>
      </c>
      <c r="E51" s="25">
        <f>ROUND($B$5*$B$11*$B$12*$B$15*$B$18*$B$20*$B$23,0)</f>
        <v/>
      </c>
      <c r="F51" s="25">
        <f>ROUND($B$5*$B$11*$B$12*$B$15*$B$18*$B$21*$B$22,0)</f>
        <v/>
      </c>
      <c r="G51" s="25">
        <f>ROUND($B$5*$B$11*$B$12*$B$15*$B$18*$B$21*$B$23,0)</f>
        <v/>
      </c>
      <c r="H51" s="25">
        <f>ROUND($B$5*$B$11*$B$12*$B$15*$B$19*$B$20*$B$22,0)</f>
        <v/>
      </c>
      <c r="I51" s="25">
        <f>ROUND($B$5*$B$11*$B$12*$B$15*$B$19*$B$20*$B$23,0)</f>
        <v/>
      </c>
      <c r="J51" s="25">
        <f>ROUND($B$5*$B$11*$B$12*$B$15*$B$19*$B$21*$B$22,0)</f>
        <v/>
      </c>
      <c r="K51" s="25">
        <f>ROUND($B$5*$B$11*$B$12*$B$15*$B$19*$B$21*$B$23,0)</f>
        <v/>
      </c>
      <c r="L51" s="25">
        <f>ROUND($B$5*$B$11*$B$12*$B$16*$B$18*$B$20*$B$22,0)</f>
        <v/>
      </c>
      <c r="M51" s="25">
        <f>ROUND($B$5*$B$11*$B$12*$B$16*$B$18*$B$20*$B$23,0)</f>
        <v/>
      </c>
      <c r="N51" s="25">
        <f>ROUND($B$5*$B$11*$B$12*$B$16*$B$18*$B$21*$B$22,0)</f>
        <v/>
      </c>
      <c r="O51" s="25">
        <f>ROUND($B$5*$B$11*$B$12*$B$16*$B$18*$B$21*$B$23,0)</f>
        <v/>
      </c>
      <c r="P51" s="25">
        <f>ROUND($B$5*$B$11*$B$12*$B$16*$B$19*$B$20*$B$22,0)</f>
        <v/>
      </c>
      <c r="Q51" s="25">
        <f>ROUND($B$5*$B$11*$B$12*$B$16*$B$19*$B$20*$B$23,0)</f>
        <v/>
      </c>
      <c r="R51" s="25">
        <f>ROUND($B$5*$B$11*$B$12*$B$16*$B$19*$B$21*$B$22,0)</f>
        <v/>
      </c>
      <c r="S51" s="25">
        <f>ROUND($B$5*$B$11*$B$12*$B$16*$B$19*$B$21*$B$23,0)</f>
        <v/>
      </c>
      <c r="T51" s="25">
        <f>ROUND($B$5*$B$11*$B$12*$B$17*$B$18*$B$20*$B$22,0)</f>
        <v/>
      </c>
      <c r="U51" s="25">
        <f>ROUND($B$5*$B$11*$B$12*$B$17*$B$18*$B$20*$B$23,0)</f>
        <v/>
      </c>
      <c r="V51" s="25">
        <f>ROUND($B$5*$B$11*$B$12*$B$17*$B$18*$B$21*$B$22,0)</f>
        <v/>
      </c>
      <c r="W51" s="25">
        <f>ROUND($B$5*$B$11*$B$12*$B$17*$B$18*$B$21*$B$23,0)</f>
        <v/>
      </c>
      <c r="X51" s="25">
        <f>ROUND($B$5*$B$11*$B$12*$B$17*$B$19*$B$20*$B$22,0)</f>
        <v/>
      </c>
      <c r="Y51" s="25">
        <f>ROUND($B$5*$B$11*$B$12*$B$17*$B$19*$B$20*$B$23,0)</f>
        <v/>
      </c>
      <c r="Z51" s="25">
        <f>ROUND($B$5*$B$11*$B$12*$B$17*$B$19*$B$21*$B$22,0)</f>
        <v/>
      </c>
      <c r="AA51" s="25">
        <f>ROUND($B$5*$B$11*$B$12*$B$17*$B$19*$B$21*$B$23,0)</f>
        <v/>
      </c>
    </row>
    <row r="52" ht="20.1" customHeight="1" s="62">
      <c r="A52" s="81" t="n"/>
      <c r="B52" s="58" t="n"/>
      <c r="C52" s="73" t="inlineStr">
        <is>
          <t>Design personnalisé</t>
        </is>
      </c>
      <c r="D52" s="25">
        <f>ROUND($B$5*$B$11*$B$13*$B$15*$B$18*$B$20*$B$22,0)</f>
        <v/>
      </c>
      <c r="E52" s="25">
        <f>ROUND($B$5*$B$11*$B$13*$B$15*$B$18*$B$20*$B$23,0)</f>
        <v/>
      </c>
      <c r="F52" s="25">
        <f>ROUND($B$5*$B$11*$B$13*$B$15*$B$18*$B$21*$B$22,0)</f>
        <v/>
      </c>
      <c r="G52" s="25">
        <f>ROUND($B$5*$B$11*$B$13*$B$15*$B$18*$B$21*$B$23,0)</f>
        <v/>
      </c>
      <c r="H52" s="25">
        <f>ROUND($B$5*$B$11*$B$13*$B$15*$B$19*$B$20*$B$22,0)</f>
        <v/>
      </c>
      <c r="I52" s="25">
        <f>ROUND($B$5*$B$11*$B$13*$B$15*$B$19*$B$20*$B$23,0)</f>
        <v/>
      </c>
      <c r="J52" s="25">
        <f>ROUND($B$5*$B$11*$B$13*$B$15*$B$19*$B$21*$B$22,0)</f>
        <v/>
      </c>
      <c r="K52" s="25">
        <f>ROUND($B$5*$B$11*$B$13*$B$15*$B$19*$B$21*$B$23,0)</f>
        <v/>
      </c>
      <c r="L52" s="25">
        <f>ROUND($B$5*$B$11*$B$13*$B$16*$B$18*$B$20*$B$22,0)</f>
        <v/>
      </c>
      <c r="M52" s="25">
        <f>ROUND($B$5*$B$11*$B$13*$B$16*$B$18*$B$20*$B$23,0)</f>
        <v/>
      </c>
      <c r="N52" s="25">
        <f>ROUND($B$5*$B$11*$B$13*$B$16*$B$18*$B$21*$B$22,0)</f>
        <v/>
      </c>
      <c r="O52" s="25">
        <f>ROUND($B$5*$B$11*$B$13*$B$16*$B$18*$B$21*$B$23,0)</f>
        <v/>
      </c>
      <c r="P52" s="25">
        <f>ROUND($B$5*$B$11*$B$13*$B$16*$B$19*$B$20*$B$22,0)</f>
        <v/>
      </c>
      <c r="Q52" s="25">
        <f>ROUND($B$5*$B$11*$B$13*$B$16*$B$19*$B$20*$B$23,0)</f>
        <v/>
      </c>
      <c r="R52" s="25">
        <f>ROUND($B$5*$B$11*$B$13*$B$16*$B$19*$B$21*$B$22,0)</f>
        <v/>
      </c>
      <c r="S52" s="25">
        <f>ROUND($B$5*$B$11*$B$13*$B$16*$B$19*$B$21*$B$23,0)</f>
        <v/>
      </c>
      <c r="T52" s="25">
        <f>ROUND($B$5*$B$11*$B$13*$B$17*$B$18*$B$20*$B$22,0)</f>
        <v/>
      </c>
      <c r="U52" s="25">
        <f>ROUND($B$5*$B$11*$B$13*$B$17*$B$18*$B$20*$B$23,0)</f>
        <v/>
      </c>
      <c r="V52" s="25">
        <f>ROUND($B$5*$B$11*$B$13*$B$17*$B$18*$B$21*$B$22,0)</f>
        <v/>
      </c>
      <c r="W52" s="25">
        <f>ROUND($B$5*$B$11*$B$13*$B$17*$B$18*$B$21*$B$23,0)</f>
        <v/>
      </c>
      <c r="X52" s="25">
        <f>ROUND($B$5*$B$11*$B$13*$B$17*$B$19*$B$20*$B$22,0)</f>
        <v/>
      </c>
      <c r="Y52" s="25">
        <f>ROUND($B$5*$B$11*$B$13*$B$17*$B$19*$B$20*$B$23,0)</f>
        <v/>
      </c>
      <c r="Z52" s="25">
        <f>ROUND($B$5*$B$11*$B$13*$B$17*$B$19*$B$21*$B$22,0)</f>
        <v/>
      </c>
      <c r="AA52" s="25">
        <f>ROUND($B$5*$B$11*$B$13*$B$17*$B$19*$B$21*$B$23,0)</f>
        <v/>
      </c>
    </row>
    <row r="53" ht="20.1" customHeight="1" s="62">
      <c r="A53" s="82" t="n"/>
      <c r="B53" s="59" t="n"/>
      <c r="C53" s="26" t="inlineStr">
        <is>
          <t>Full sur mesure</t>
        </is>
      </c>
      <c r="D53" s="25">
        <f>ROUND($B$5*$B$11*$B$14*$B$15*$B$18*$B$20*$B$22,0)</f>
        <v/>
      </c>
      <c r="E53" s="25">
        <f>ROUND($B$5*$B$11*$B$14*$B$15*$B$18*$B$20*$B$23,0)</f>
        <v/>
      </c>
      <c r="F53" s="25">
        <f>ROUND($B$5*$B$11*$B$14*$B$15*$B$18*$B$21*$B$22,0)</f>
        <v/>
      </c>
      <c r="G53" s="25">
        <f>ROUND($B$5*$B$11*$B$14*$B$15*$B$18*$B$21*$B$23,0)</f>
        <v/>
      </c>
      <c r="H53" s="25">
        <f>ROUND($B$5*$B$11*$B$14*$B$15*$B$19*$B$20*$B$22,0)</f>
        <v/>
      </c>
      <c r="I53" s="25">
        <f>ROUND($B$5*$B$11*$B$14*$B$15*$B$19*$B$20*$B$23,0)</f>
        <v/>
      </c>
      <c r="J53" s="25">
        <f>ROUND($B$5*$B$11*$B$14*$B$15*$B$19*$B$21*$B$22,0)</f>
        <v/>
      </c>
      <c r="K53" s="25">
        <f>ROUND($B$5*$B$11*$B$14*$B$15*$B$19*$B$21*$B$23,0)</f>
        <v/>
      </c>
      <c r="L53" s="25">
        <f>ROUND($B$5*$B$11*$B$14*$B$16*$B$18*$B$20*$B$22,0)</f>
        <v/>
      </c>
      <c r="M53" s="25">
        <f>ROUND($B$5*$B$11*$B$14*$B$16*$B$18*$B$20*$B$23,0)</f>
        <v/>
      </c>
      <c r="N53" s="25">
        <f>ROUND($B$5*$B$11*$B$14*$B$16*$B$18*$B$21*$B$22,0)</f>
        <v/>
      </c>
      <c r="O53" s="25">
        <f>ROUND($B$5*$B$11*$B$14*$B$16*$B$18*$B$21*$B$23,0)</f>
        <v/>
      </c>
      <c r="P53" s="25">
        <f>ROUND($B$5*$B$11*$B$14*$B$16*$B$19*$B$20*$B$22,0)</f>
        <v/>
      </c>
      <c r="Q53" s="25">
        <f>ROUND($B$5*$B$11*$B$14*$B$16*$B$19*$B$20*$B$23,0)</f>
        <v/>
      </c>
      <c r="R53" s="25">
        <f>ROUND($B$5*$B$11*$B$14*$B$16*$B$19*$B$21*$B$22,0)</f>
        <v/>
      </c>
      <c r="S53" s="25">
        <f>ROUND($B$5*$B$11*$B$14*$B$16*$B$19*$B$21*$B$23,0)</f>
        <v/>
      </c>
      <c r="T53" s="25">
        <f>ROUND($B$5*$B$11*$B$14*$B$17*$B$18*$B$20*$B$22,0)</f>
        <v/>
      </c>
      <c r="U53" s="25">
        <f>ROUND($B$5*$B$11*$B$14*$B$17*$B$18*$B$20*$B$23,0)</f>
        <v/>
      </c>
      <c r="V53" s="25">
        <f>ROUND($B$5*$B$11*$B$14*$B$17*$B$18*$B$21*$B$22,0)</f>
        <v/>
      </c>
      <c r="W53" s="25">
        <f>ROUND($B$5*$B$11*$B$14*$B$17*$B$18*$B$21*$B$23,0)</f>
        <v/>
      </c>
      <c r="X53" s="25">
        <f>ROUND($B$5*$B$11*$B$14*$B$17*$B$19*$B$20*$B$22,0)</f>
        <v/>
      </c>
      <c r="Y53" s="25">
        <f>ROUND($B$5*$B$11*$B$14*$B$17*$B$19*$B$20*$B$23,0)</f>
        <v/>
      </c>
      <c r="Z53" s="25">
        <f>ROUND($B$5*$B$11*$B$14*$B$17*$B$19*$B$21*$B$22,0)</f>
        <v/>
      </c>
      <c r="AA53" s="25">
        <f>ROUND($B$5*$B$11*$B$14*$B$17*$B$19*$B$21*$B$23,0)</f>
        <v/>
      </c>
    </row>
    <row r="54" ht="20.1" customHeight="1" s="62">
      <c r="A54" s="80" t="inlineStr">
        <is>
          <t>Site sur mesure avancé</t>
        </is>
      </c>
      <c r="B54" s="73" t="inlineStr">
        <is>
          <t>1-5 pages</t>
        </is>
      </c>
      <c r="C54" s="24" t="inlineStr">
        <is>
          <t>Design standard</t>
        </is>
      </c>
      <c r="D54" s="25">
        <f>ROUND($B$6*$B$8*$B$12*$B$15*$B$18*$B$20*$B$22,0)</f>
        <v/>
      </c>
      <c r="E54" s="25">
        <f>ROUND($B$6*$B$8*$B$12*$B$15*$B$18*$B$20*$B$23,0)</f>
        <v/>
      </c>
      <c r="F54" s="25">
        <f>ROUND($B$6*$B$8*$B$12*$B$15*$B$18*$B$21*$B$22,0)</f>
        <v/>
      </c>
      <c r="G54" s="25">
        <f>ROUND($B$6*$B$8*$B$12*$B$15*$B$18*$B$21*$B$23,0)</f>
        <v/>
      </c>
      <c r="H54" s="25">
        <f>ROUND($B$6*$B$8*$B$12*$B$15*$B$19*$B$20*$B$22,0)</f>
        <v/>
      </c>
      <c r="I54" s="25">
        <f>ROUND($B$6*$B$8*$B$12*$B$15*$B$19*$B$20*$B$23,0)</f>
        <v/>
      </c>
      <c r="J54" s="25">
        <f>ROUND($B$6*$B$8*$B$12*$B$15*$B$19*$B$21*$B$22,0)</f>
        <v/>
      </c>
      <c r="K54" s="25">
        <f>ROUND($B$6*$B$8*$B$12*$B$15*$B$19*$B$21*$B$23,0)</f>
        <v/>
      </c>
      <c r="L54" s="25">
        <f>ROUND($B$6*$B$8*$B$12*$B$16*$B$18*$B$20*$B$22,0)</f>
        <v/>
      </c>
      <c r="M54" s="25">
        <f>ROUND($B$6*$B$8*$B$12*$B$16*$B$18*$B$20*$B$23,0)</f>
        <v/>
      </c>
      <c r="N54" s="25">
        <f>ROUND($B$6*$B$8*$B$12*$B$16*$B$18*$B$21*$B$22,0)</f>
        <v/>
      </c>
      <c r="O54" s="25">
        <f>ROUND($B$6*$B$8*$B$12*$B$16*$B$18*$B$21*$B$23,0)</f>
        <v/>
      </c>
      <c r="P54" s="25">
        <f>ROUND($B$6*$B$8*$B$12*$B$16*$B$19*$B$20*$B$22,0)</f>
        <v/>
      </c>
      <c r="Q54" s="25">
        <f>ROUND($B$6*$B$8*$B$12*$B$16*$B$19*$B$20*$B$23,0)</f>
        <v/>
      </c>
      <c r="R54" s="25">
        <f>ROUND($B$6*$B$8*$B$12*$B$16*$B$19*$B$21*$B$22,0)</f>
        <v/>
      </c>
      <c r="S54" s="25">
        <f>ROUND($B$6*$B$8*$B$12*$B$16*$B$19*$B$21*$B$23,0)</f>
        <v/>
      </c>
      <c r="T54" s="25">
        <f>ROUND($B$6*$B$8*$B$12*$B$17*$B$18*$B$20*$B$22,0)</f>
        <v/>
      </c>
      <c r="U54" s="25">
        <f>ROUND($B$6*$B$8*$B$12*$B$17*$B$18*$B$20*$B$23,0)</f>
        <v/>
      </c>
      <c r="V54" s="25">
        <f>ROUND($B$6*$B$8*$B$12*$B$17*$B$18*$B$21*$B$22,0)</f>
        <v/>
      </c>
      <c r="W54" s="25">
        <f>ROUND($B$6*$B$8*$B$12*$B$17*$B$18*$B$21*$B$23,0)</f>
        <v/>
      </c>
      <c r="X54" s="25">
        <f>ROUND($B$6*$B$8*$B$12*$B$17*$B$19*$B$20*$B$22,0)</f>
        <v/>
      </c>
      <c r="Y54" s="25">
        <f>ROUND($B$6*$B$8*$B$12*$B$17*$B$19*$B$20*$B$23,0)</f>
        <v/>
      </c>
      <c r="Z54" s="25">
        <f>ROUND($B$6*$B$8*$B$12*$B$17*$B$19*$B$21*$B$22,0)</f>
        <v/>
      </c>
      <c r="AA54" s="25">
        <f>ROUND($B$6*$B$8*$B$12*$B$17*$B$19*$B$21*$B$23,0)</f>
        <v/>
      </c>
    </row>
    <row r="55" ht="20.1" customHeight="1" s="62">
      <c r="A55" s="81" t="n"/>
      <c r="B55" s="58" t="n"/>
      <c r="C55" s="73" t="inlineStr">
        <is>
          <t>Design personnalisé</t>
        </is>
      </c>
      <c r="D55" s="25">
        <f>ROUND($B$6*$B$8*$B$13*$B$15*$B$18*$B$20*$B$22,0)</f>
        <v/>
      </c>
      <c r="E55" s="25">
        <f>ROUND($B$6*$B$8*$B$13*$B$15*$B$18*$B$20*$B$23,0)</f>
        <v/>
      </c>
      <c r="F55" s="25">
        <f>ROUND($B$6*$B$8*$B$13*$B$15*$B$18*$B$21*$B$22,0)</f>
        <v/>
      </c>
      <c r="G55" s="25">
        <f>ROUND($B$6*$B$8*$B$13*$B$15*$B$18*$B$21*$B$23,0)</f>
        <v/>
      </c>
      <c r="H55" s="25">
        <f>ROUND($B$6*$B$8*$B$13*$B$15*$B$19*$B$20*$B$22,0)</f>
        <v/>
      </c>
      <c r="I55" s="25">
        <f>ROUND($B$6*$B$8*$B$13*$B$15*$B$19*$B$20*$B$23,0)</f>
        <v/>
      </c>
      <c r="J55" s="25">
        <f>ROUND($B$6*$B$8*$B$13*$B$15*$B$19*$B$21*$B$22,0)</f>
        <v/>
      </c>
      <c r="K55" s="25">
        <f>ROUND($B$6*$B$8*$B$13*$B$15*$B$19*$B$21*$B$23,0)</f>
        <v/>
      </c>
      <c r="L55" s="25">
        <f>ROUND($B$6*$B$8*$B$13*$B$16*$B$18*$B$20*$B$22,0)</f>
        <v/>
      </c>
      <c r="M55" s="25">
        <f>ROUND($B$6*$B$8*$B$13*$B$16*$B$18*$B$20*$B$23,0)</f>
        <v/>
      </c>
      <c r="N55" s="25">
        <f>ROUND($B$6*$B$8*$B$13*$B$16*$B$18*$B$21*$B$22,0)</f>
        <v/>
      </c>
      <c r="O55" s="25">
        <f>ROUND($B$6*$B$8*$B$13*$B$16*$B$18*$B$21*$B$23,0)</f>
        <v/>
      </c>
      <c r="P55" s="25">
        <f>ROUND($B$6*$B$8*$B$13*$B$16*$B$19*$B$20*$B$22,0)</f>
        <v/>
      </c>
      <c r="Q55" s="25">
        <f>ROUND($B$6*$B$8*$B$13*$B$16*$B$19*$B$20*$B$23,0)</f>
        <v/>
      </c>
      <c r="R55" s="25">
        <f>ROUND($B$6*$B$8*$B$13*$B$16*$B$19*$B$21*$B$22,0)</f>
        <v/>
      </c>
      <c r="S55" s="25">
        <f>ROUND($B$6*$B$8*$B$13*$B$16*$B$19*$B$21*$B$23,0)</f>
        <v/>
      </c>
      <c r="T55" s="25">
        <f>ROUND($B$6*$B$8*$B$13*$B$17*$B$18*$B$20*$B$22,0)</f>
        <v/>
      </c>
      <c r="U55" s="25">
        <f>ROUND($B$6*$B$8*$B$13*$B$17*$B$18*$B$20*$B$23,0)</f>
        <v/>
      </c>
      <c r="V55" s="25">
        <f>ROUND($B$6*$B$8*$B$13*$B$17*$B$18*$B$21*$B$22,0)</f>
        <v/>
      </c>
      <c r="W55" s="25">
        <f>ROUND($B$6*$B$8*$B$13*$B$17*$B$18*$B$21*$B$23,0)</f>
        <v/>
      </c>
      <c r="X55" s="25">
        <f>ROUND($B$6*$B$8*$B$13*$B$17*$B$19*$B$20*$B$22,0)</f>
        <v/>
      </c>
      <c r="Y55" s="25">
        <f>ROUND($B$6*$B$8*$B$13*$B$17*$B$19*$B$20*$B$23,0)</f>
        <v/>
      </c>
      <c r="Z55" s="25">
        <f>ROUND($B$6*$B$8*$B$13*$B$17*$B$19*$B$21*$B$22,0)</f>
        <v/>
      </c>
      <c r="AA55" s="25">
        <f>ROUND($B$6*$B$8*$B$13*$B$17*$B$19*$B$21*$B$23,0)</f>
        <v/>
      </c>
    </row>
    <row r="56" ht="20.1" customHeight="1" s="62">
      <c r="A56" s="81" t="n"/>
      <c r="B56" s="59" t="n"/>
      <c r="C56" s="26" t="inlineStr">
        <is>
          <t>Full sur mesure</t>
        </is>
      </c>
      <c r="D56" s="25">
        <f>ROUND($B$6*$B$8*$B$14*$B$15*$B$18*$B$20*$B$22,0)</f>
        <v/>
      </c>
      <c r="E56" s="25">
        <f>ROUND($B$6*$B$8*$B$14*$B$15*$B$18*$B$20*$B$23,0)</f>
        <v/>
      </c>
      <c r="F56" s="25">
        <f>ROUND($B$6*$B$8*$B$14*$B$15*$B$18*$B$21*$B$22,0)</f>
        <v/>
      </c>
      <c r="G56" s="25">
        <f>ROUND($B$6*$B$8*$B$14*$B$15*$B$18*$B$21*$B$23,0)</f>
        <v/>
      </c>
      <c r="H56" s="25">
        <f>ROUND($B$6*$B$8*$B$14*$B$15*$B$19*$B$20*$B$22,0)</f>
        <v/>
      </c>
      <c r="I56" s="25">
        <f>ROUND($B$6*$B$8*$B$14*$B$15*$B$19*$B$20*$B$23,0)</f>
        <v/>
      </c>
      <c r="J56" s="25">
        <f>ROUND($B$6*$B$8*$B$14*$B$15*$B$19*$B$21*$B$22,0)</f>
        <v/>
      </c>
      <c r="K56" s="25">
        <f>ROUND($B$6*$B$8*$B$14*$B$15*$B$19*$B$21*$B$23,0)</f>
        <v/>
      </c>
      <c r="L56" s="25">
        <f>ROUND($B$6*$B$8*$B$14*$B$16*$B$18*$B$20*$B$22,0)</f>
        <v/>
      </c>
      <c r="M56" s="25">
        <f>ROUND($B$6*$B$8*$B$14*$B$16*$B$18*$B$20*$B$23,0)</f>
        <v/>
      </c>
      <c r="N56" s="25">
        <f>ROUND($B$6*$B$8*$B$14*$B$16*$B$18*$B$21*$B$22,0)</f>
        <v/>
      </c>
      <c r="O56" s="25">
        <f>ROUND($B$6*$B$8*$B$14*$B$16*$B$18*$B$21*$B$23,0)</f>
        <v/>
      </c>
      <c r="P56" s="25">
        <f>ROUND($B$6*$B$8*$B$14*$B$16*$B$19*$B$20*$B$22,0)</f>
        <v/>
      </c>
      <c r="Q56" s="25">
        <f>ROUND($B$6*$B$8*$B$14*$B$16*$B$19*$B$20*$B$23,0)</f>
        <v/>
      </c>
      <c r="R56" s="25">
        <f>ROUND($B$6*$B$8*$B$14*$B$16*$B$19*$B$21*$B$22,0)</f>
        <v/>
      </c>
      <c r="S56" s="25">
        <f>ROUND($B$6*$B$8*$B$14*$B$16*$B$19*$B$21*$B$23,0)</f>
        <v/>
      </c>
      <c r="T56" s="25">
        <f>ROUND($B$6*$B$8*$B$14*$B$17*$B$18*$B$20*$B$22,0)</f>
        <v/>
      </c>
      <c r="U56" s="25">
        <f>ROUND($B$6*$B$8*$B$14*$B$17*$B$18*$B$20*$B$23,0)</f>
        <v/>
      </c>
      <c r="V56" s="25">
        <f>ROUND($B$6*$B$8*$B$14*$B$17*$B$18*$B$21*$B$22,0)</f>
        <v/>
      </c>
      <c r="W56" s="25">
        <f>ROUND($B$6*$B$8*$B$14*$B$17*$B$18*$B$21*$B$23,0)</f>
        <v/>
      </c>
      <c r="X56" s="25">
        <f>ROUND($B$6*$B$8*$B$14*$B$17*$B$19*$B$20*$B$22,0)</f>
        <v/>
      </c>
      <c r="Y56" s="25">
        <f>ROUND($B$6*$B$8*$B$14*$B$17*$B$19*$B$20*$B$23,0)</f>
        <v/>
      </c>
      <c r="Z56" s="25">
        <f>ROUND($B$6*$B$8*$B$14*$B$17*$B$19*$B$21*$B$22,0)</f>
        <v/>
      </c>
      <c r="AA56" s="25">
        <f>ROUND($B$6*$B$8*$B$14*$B$17*$B$19*$B$21*$B$23,0)</f>
        <v/>
      </c>
    </row>
    <row r="57" ht="20.1" customHeight="1" s="62">
      <c r="A57" s="81" t="n"/>
      <c r="B57" s="73" t="inlineStr">
        <is>
          <t>6-15 pages</t>
        </is>
      </c>
      <c r="C57" s="24" t="inlineStr">
        <is>
          <t>Design standard</t>
        </is>
      </c>
      <c r="D57" s="25">
        <f>ROUND($B$6*$B$9*$B$12*$B$15*$B$18*$B$20*$B$22,0)</f>
        <v/>
      </c>
      <c r="E57" s="25">
        <f>ROUND($B$6*$B$9*$B$12*$B$15*$B$18*$B$20*$B$23,0)</f>
        <v/>
      </c>
      <c r="F57" s="25">
        <f>ROUND($B$6*$B$9*$B$12*$B$15*$B$18*$B$21*$B$22,0)</f>
        <v/>
      </c>
      <c r="G57" s="25">
        <f>ROUND($B$6*$B$9*$B$12*$B$15*$B$18*$B$21*$B$23,0)</f>
        <v/>
      </c>
      <c r="H57" s="25">
        <f>ROUND($B$6*$B$9*$B$12*$B$15*$B$19*$B$20*$B$22,0)</f>
        <v/>
      </c>
      <c r="I57" s="25">
        <f>ROUND($B$6*$B$9*$B$12*$B$15*$B$19*$B$20*$B$23,0)</f>
        <v/>
      </c>
      <c r="J57" s="25">
        <f>ROUND($B$6*$B$9*$B$12*$B$15*$B$19*$B$21*$B$22,0)</f>
        <v/>
      </c>
      <c r="K57" s="25">
        <f>ROUND($B$6*$B$9*$B$12*$B$15*$B$19*$B$21*$B$23,0)</f>
        <v/>
      </c>
      <c r="L57" s="25">
        <f>ROUND($B$6*$B$9*$B$12*$B$16*$B$18*$B$20*$B$22,0)</f>
        <v/>
      </c>
      <c r="M57" s="25">
        <f>ROUND($B$6*$B$9*$B$12*$B$16*$B$18*$B$20*$B$23,0)</f>
        <v/>
      </c>
      <c r="N57" s="25">
        <f>ROUND($B$6*$B$9*$B$12*$B$16*$B$18*$B$21*$B$22,0)</f>
        <v/>
      </c>
      <c r="O57" s="25">
        <f>ROUND($B$6*$B$9*$B$12*$B$16*$B$18*$B$21*$B$23,0)</f>
        <v/>
      </c>
      <c r="P57" s="25">
        <f>ROUND($B$6*$B$9*$B$12*$B$16*$B$19*$B$20*$B$22,0)</f>
        <v/>
      </c>
      <c r="Q57" s="25">
        <f>ROUND($B$6*$B$9*$B$12*$B$16*$B$19*$B$20*$B$23,0)</f>
        <v/>
      </c>
      <c r="R57" s="25">
        <f>ROUND($B$6*$B$9*$B$12*$B$16*$B$19*$B$21*$B$22,0)</f>
        <v/>
      </c>
      <c r="S57" s="25">
        <f>ROUND($B$6*$B$9*$B$12*$B$16*$B$19*$B$21*$B$23,0)</f>
        <v/>
      </c>
      <c r="T57" s="25">
        <f>ROUND($B$6*$B$9*$B$12*$B$17*$B$18*$B$20*$B$22,0)</f>
        <v/>
      </c>
      <c r="U57" s="25">
        <f>ROUND($B$6*$B$9*$B$12*$B$17*$B$18*$B$20*$B$23,0)</f>
        <v/>
      </c>
      <c r="V57" s="25">
        <f>ROUND($B$6*$B$9*$B$12*$B$17*$B$18*$B$21*$B$22,0)</f>
        <v/>
      </c>
      <c r="W57" s="25">
        <f>ROUND($B$6*$B$9*$B$12*$B$17*$B$18*$B$21*$B$23,0)</f>
        <v/>
      </c>
      <c r="X57" s="25">
        <f>ROUND($B$6*$B$9*$B$12*$B$17*$B$19*$B$20*$B$22,0)</f>
        <v/>
      </c>
      <c r="Y57" s="25">
        <f>ROUND($B$6*$B$9*$B$12*$B$17*$B$19*$B$20*$B$23,0)</f>
        <v/>
      </c>
      <c r="Z57" s="25">
        <f>ROUND($B$6*$B$9*$B$12*$B$17*$B$19*$B$21*$B$22,0)</f>
        <v/>
      </c>
      <c r="AA57" s="25">
        <f>ROUND($B$6*$B$9*$B$12*$B$17*$B$19*$B$21*$B$23,0)</f>
        <v/>
      </c>
    </row>
    <row r="58" ht="20.1" customHeight="1" s="62">
      <c r="A58" s="81" t="n"/>
      <c r="B58" s="58" t="n"/>
      <c r="C58" s="73" t="inlineStr">
        <is>
          <t>Design personnalisé</t>
        </is>
      </c>
      <c r="D58" s="25">
        <f>ROUND($B$6*$B$9*$B$13*$B$15*$B$18*$B$20*$B$22,0)</f>
        <v/>
      </c>
      <c r="E58" s="25">
        <f>ROUND($B$6*$B$9*$B$13*$B$15*$B$18*$B$20*$B$23,0)</f>
        <v/>
      </c>
      <c r="F58" s="25">
        <f>ROUND($B$6*$B$9*$B$13*$B$15*$B$18*$B$21*$B$22,0)</f>
        <v/>
      </c>
      <c r="G58" s="25">
        <f>ROUND($B$6*$B$9*$B$13*$B$15*$B$18*$B$21*$B$23,0)</f>
        <v/>
      </c>
      <c r="H58" s="25">
        <f>ROUND($B$6*$B$9*$B$13*$B$15*$B$19*$B$20*$B$22,0)</f>
        <v/>
      </c>
      <c r="I58" s="25">
        <f>ROUND($B$6*$B$9*$B$13*$B$15*$B$19*$B$20*$B$23,0)</f>
        <v/>
      </c>
      <c r="J58" s="25">
        <f>ROUND($B$6*$B$9*$B$13*$B$15*$B$19*$B$21*$B$22,0)</f>
        <v/>
      </c>
      <c r="K58" s="25">
        <f>ROUND($B$6*$B$9*$B$13*$B$15*$B$19*$B$21*$B$23,0)</f>
        <v/>
      </c>
      <c r="L58" s="25">
        <f>ROUND($B$6*$B$9*$B$13*$B$16*$B$18*$B$20*$B$22,0)</f>
        <v/>
      </c>
      <c r="M58" s="25">
        <f>ROUND($B$6*$B$9*$B$13*$B$16*$B$18*$B$20*$B$23,0)</f>
        <v/>
      </c>
      <c r="N58" s="25">
        <f>ROUND($B$6*$B$9*$B$13*$B$16*$B$18*$B$21*$B$22,0)</f>
        <v/>
      </c>
      <c r="O58" s="25">
        <f>ROUND($B$6*$B$9*$B$13*$B$16*$B$18*$B$21*$B$23,0)</f>
        <v/>
      </c>
      <c r="P58" s="25">
        <f>ROUND($B$6*$B$9*$B$13*$B$16*$B$19*$B$20*$B$22,0)</f>
        <v/>
      </c>
      <c r="Q58" s="25">
        <f>ROUND($B$6*$B$9*$B$13*$B$16*$B$19*$B$20*$B$23,0)</f>
        <v/>
      </c>
      <c r="R58" s="25">
        <f>ROUND($B$6*$B$9*$B$13*$B$16*$B$19*$B$21*$B$22,0)</f>
        <v/>
      </c>
      <c r="S58" s="25">
        <f>ROUND($B$6*$B$9*$B$13*$B$16*$B$19*$B$21*$B$23,0)</f>
        <v/>
      </c>
      <c r="T58" s="25">
        <f>ROUND($B$6*$B$9*$B$13*$B$17*$B$18*$B$20*$B$22,0)</f>
        <v/>
      </c>
      <c r="U58" s="25">
        <f>ROUND($B$6*$B$9*$B$13*$B$17*$B$18*$B$20*$B$23,0)</f>
        <v/>
      </c>
      <c r="V58" s="25">
        <f>ROUND($B$6*$B$9*$B$13*$B$17*$B$18*$B$21*$B$22,0)</f>
        <v/>
      </c>
      <c r="W58" s="25">
        <f>ROUND($B$6*$B$9*$B$13*$B$17*$B$18*$B$21*$B$23,0)</f>
        <v/>
      </c>
      <c r="X58" s="25">
        <f>ROUND($B$6*$B$9*$B$13*$B$17*$B$19*$B$20*$B$22,0)</f>
        <v/>
      </c>
      <c r="Y58" s="25">
        <f>ROUND($B$6*$B$9*$B$13*$B$17*$B$19*$B$20*$B$23,0)</f>
        <v/>
      </c>
      <c r="Z58" s="25">
        <f>ROUND($B$6*$B$9*$B$13*$B$17*$B$19*$B$21*$B$22,0)</f>
        <v/>
      </c>
      <c r="AA58" s="25">
        <f>ROUND($B$6*$B$9*$B$13*$B$17*$B$19*$B$21*$B$23,0)</f>
        <v/>
      </c>
    </row>
    <row r="59" ht="20.1" customHeight="1" s="62">
      <c r="A59" s="81" t="n"/>
      <c r="B59" s="59" t="n"/>
      <c r="C59" s="26" t="inlineStr">
        <is>
          <t>Full sur mesure</t>
        </is>
      </c>
      <c r="D59" s="25">
        <f>ROUND($B$6*$B$9*$B$14*$B$15*$B$18*$B$20*$B$22,0)</f>
        <v/>
      </c>
      <c r="E59" s="25">
        <f>ROUND($B$6*$B$9*$B$14*$B$15*$B$18*$B$20*$B$23,0)</f>
        <v/>
      </c>
      <c r="F59" s="25">
        <f>ROUND($B$6*$B$9*$B$14*$B$15*$B$18*$B$21*$B$22,0)</f>
        <v/>
      </c>
      <c r="G59" s="25">
        <f>ROUND($B$6*$B$9*$B$14*$B$15*$B$18*$B$21*$B$23,0)</f>
        <v/>
      </c>
      <c r="H59" s="25">
        <f>ROUND($B$6*$B$9*$B$14*$B$15*$B$19*$B$20*$B$22,0)</f>
        <v/>
      </c>
      <c r="I59" s="25">
        <f>ROUND($B$6*$B$9*$B$14*$B$15*$B$19*$B$20*$B$23,0)</f>
        <v/>
      </c>
      <c r="J59" s="25">
        <f>ROUND($B$6*$B$9*$B$14*$B$15*$B$19*$B$21*$B$22,0)</f>
        <v/>
      </c>
      <c r="K59" s="25">
        <f>ROUND($B$6*$B$9*$B$14*$B$15*$B$19*$B$21*$B$23,0)</f>
        <v/>
      </c>
      <c r="L59" s="25">
        <f>ROUND($B$6*$B$9*$B$14*$B$16*$B$18*$B$20*$B$22,0)</f>
        <v/>
      </c>
      <c r="M59" s="25">
        <f>ROUND($B$6*$B$9*$B$14*$B$16*$B$18*$B$20*$B$23,0)</f>
        <v/>
      </c>
      <c r="N59" s="25">
        <f>ROUND($B$6*$B$9*$B$14*$B$16*$B$18*$B$21*$B$22,0)</f>
        <v/>
      </c>
      <c r="O59" s="25">
        <f>ROUND($B$6*$B$9*$B$14*$B$16*$B$18*$B$21*$B$23,0)</f>
        <v/>
      </c>
      <c r="P59" s="25">
        <f>ROUND($B$6*$B$9*$B$14*$B$16*$B$19*$B$20*$B$22,0)</f>
        <v/>
      </c>
      <c r="Q59" s="25">
        <f>ROUND($B$6*$B$9*$B$14*$B$16*$B$19*$B$20*$B$23,0)</f>
        <v/>
      </c>
      <c r="R59" s="25">
        <f>ROUND($B$6*$B$9*$B$14*$B$16*$B$19*$B$21*$B$22,0)</f>
        <v/>
      </c>
      <c r="S59" s="25">
        <f>ROUND($B$6*$B$9*$B$14*$B$16*$B$19*$B$21*$B$23,0)</f>
        <v/>
      </c>
      <c r="T59" s="25">
        <f>ROUND($B$6*$B$9*$B$14*$B$17*$B$18*$B$20*$B$22,0)</f>
        <v/>
      </c>
      <c r="U59" s="25">
        <f>ROUND($B$6*$B$9*$B$14*$B$17*$B$18*$B$20*$B$23,0)</f>
        <v/>
      </c>
      <c r="V59" s="25">
        <f>ROUND($B$6*$B$9*$B$14*$B$17*$B$18*$B$21*$B$22,0)</f>
        <v/>
      </c>
      <c r="W59" s="25">
        <f>ROUND($B$6*$B$9*$B$14*$B$17*$B$18*$B$21*$B$23,0)</f>
        <v/>
      </c>
      <c r="X59" s="25">
        <f>ROUND($B$6*$B$9*$B$14*$B$17*$B$19*$B$20*$B$22,0)</f>
        <v/>
      </c>
      <c r="Y59" s="25">
        <f>ROUND($B$6*$B$9*$B$14*$B$17*$B$19*$B$20*$B$23,0)</f>
        <v/>
      </c>
      <c r="Z59" s="25">
        <f>ROUND($B$6*$B$9*$B$14*$B$17*$B$19*$B$21*$B$22,0)</f>
        <v/>
      </c>
      <c r="AA59" s="25">
        <f>ROUND($B$6*$B$9*$B$14*$B$17*$B$19*$B$21*$B$23,0)</f>
        <v/>
      </c>
    </row>
    <row r="60" ht="20.1" customHeight="1" s="62">
      <c r="A60" s="81" t="n"/>
      <c r="B60" s="73" t="inlineStr">
        <is>
          <t>16-30 pages</t>
        </is>
      </c>
      <c r="C60" s="24" t="inlineStr">
        <is>
          <t>Design standard</t>
        </is>
      </c>
      <c r="D60" s="25">
        <f>ROUND($B$6*$B$10*$B$12*$B$15*$B$18*$B$20*$B$22,0)</f>
        <v/>
      </c>
      <c r="E60" s="25">
        <f>ROUND($B$6*$B$10*$B$12*$B$15*$B$18*$B$20*$B$23,0)</f>
        <v/>
      </c>
      <c r="F60" s="25">
        <f>ROUND($B$6*$B$10*$B$12*$B$15*$B$18*$B$21*$B$22,0)</f>
        <v/>
      </c>
      <c r="G60" s="25">
        <f>ROUND($B$6*$B$10*$B$12*$B$15*$B$18*$B$21*$B$23,0)</f>
        <v/>
      </c>
      <c r="H60" s="25">
        <f>ROUND($B$6*$B$10*$B$12*$B$15*$B$19*$B$20*$B$22,0)</f>
        <v/>
      </c>
      <c r="I60" s="25">
        <f>ROUND($B$6*$B$10*$B$12*$B$15*$B$19*$B$20*$B$23,0)</f>
        <v/>
      </c>
      <c r="J60" s="25">
        <f>ROUND($B$6*$B$10*$B$12*$B$15*$B$19*$B$21*$B$22,0)</f>
        <v/>
      </c>
      <c r="K60" s="25">
        <f>ROUND($B$6*$B$10*$B$12*$B$15*$B$19*$B$21*$B$23,0)</f>
        <v/>
      </c>
      <c r="L60" s="25">
        <f>ROUND($B$6*$B$10*$B$12*$B$16*$B$18*$B$20*$B$22,0)</f>
        <v/>
      </c>
      <c r="M60" s="25">
        <f>ROUND($B$6*$B$10*$B$12*$B$16*$B$18*$B$20*$B$23,0)</f>
        <v/>
      </c>
      <c r="N60" s="25">
        <f>ROUND($B$6*$B$10*$B$12*$B$16*$B$18*$B$21*$B$22,0)</f>
        <v/>
      </c>
      <c r="O60" s="25">
        <f>ROUND($B$6*$B$10*$B$12*$B$16*$B$18*$B$21*$B$23,0)</f>
        <v/>
      </c>
      <c r="P60" s="25">
        <f>ROUND($B$6*$B$10*$B$12*$B$16*$B$19*$B$20*$B$22,0)</f>
        <v/>
      </c>
      <c r="Q60" s="25">
        <f>ROUND($B$6*$B$10*$B$12*$B$16*$B$19*$B$20*$B$23,0)</f>
        <v/>
      </c>
      <c r="R60" s="25">
        <f>ROUND($B$6*$B$10*$B$12*$B$16*$B$19*$B$21*$B$22,0)</f>
        <v/>
      </c>
      <c r="S60" s="25">
        <f>ROUND($B$6*$B$10*$B$12*$B$16*$B$19*$B$21*$B$23,0)</f>
        <v/>
      </c>
      <c r="T60" s="25">
        <f>ROUND($B$6*$B$10*$B$12*$B$17*$B$18*$B$20*$B$22,0)</f>
        <v/>
      </c>
      <c r="U60" s="25">
        <f>ROUND($B$6*$B$10*$B$12*$B$17*$B$18*$B$20*$B$23,0)</f>
        <v/>
      </c>
      <c r="V60" s="25">
        <f>ROUND($B$6*$B$10*$B$12*$B$17*$B$18*$B$21*$B$22,0)</f>
        <v/>
      </c>
      <c r="W60" s="25">
        <f>ROUND($B$6*$B$10*$B$12*$B$17*$B$18*$B$21*$B$23,0)</f>
        <v/>
      </c>
      <c r="X60" s="25">
        <f>ROUND($B$6*$B$10*$B$12*$B$17*$B$19*$B$20*$B$22,0)</f>
        <v/>
      </c>
      <c r="Y60" s="25">
        <f>ROUND($B$6*$B$10*$B$12*$B$17*$B$19*$B$20*$B$23,0)</f>
        <v/>
      </c>
      <c r="Z60" s="25">
        <f>ROUND($B$6*$B$10*$B$12*$B$17*$B$19*$B$21*$B$22,0)</f>
        <v/>
      </c>
      <c r="AA60" s="25">
        <f>ROUND($B$6*$B$10*$B$12*$B$17*$B$19*$B$21*$B$23,0)</f>
        <v/>
      </c>
    </row>
    <row r="61" ht="20.1" customHeight="1" s="62">
      <c r="A61" s="81" t="n"/>
      <c r="B61" s="58" t="n"/>
      <c r="C61" s="73" t="inlineStr">
        <is>
          <t>Design personnalisé</t>
        </is>
      </c>
      <c r="D61" s="25">
        <f>ROUND($B$6*$B$10*$B$13*$B$15*$B$18*$B$20*$B$22,0)</f>
        <v/>
      </c>
      <c r="E61" s="25">
        <f>ROUND($B$6*$B$10*$B$13*$B$15*$B$18*$B$20*$B$23,0)</f>
        <v/>
      </c>
      <c r="F61" s="25">
        <f>ROUND($B$6*$B$10*$B$13*$B$15*$B$18*$B$21*$B$22,0)</f>
        <v/>
      </c>
      <c r="G61" s="25">
        <f>ROUND($B$6*$B$10*$B$13*$B$15*$B$18*$B$21*$B$23,0)</f>
        <v/>
      </c>
      <c r="H61" s="25">
        <f>ROUND($B$6*$B$10*$B$13*$B$15*$B$19*$B$20*$B$22,0)</f>
        <v/>
      </c>
      <c r="I61" s="25">
        <f>ROUND($B$6*$B$10*$B$13*$B$15*$B$19*$B$20*$B$23,0)</f>
        <v/>
      </c>
      <c r="J61" s="25">
        <f>ROUND($B$6*$B$10*$B$13*$B$15*$B$19*$B$21*$B$22,0)</f>
        <v/>
      </c>
      <c r="K61" s="25">
        <f>ROUND($B$6*$B$10*$B$13*$B$15*$B$19*$B$21*$B$23,0)</f>
        <v/>
      </c>
      <c r="L61" s="25">
        <f>ROUND($B$6*$B$10*$B$13*$B$16*$B$18*$B$20*$B$22,0)</f>
        <v/>
      </c>
      <c r="M61" s="25">
        <f>ROUND($B$6*$B$10*$B$13*$B$16*$B$18*$B$20*$B$23,0)</f>
        <v/>
      </c>
      <c r="N61" s="25">
        <f>ROUND($B$6*$B$10*$B$13*$B$16*$B$18*$B$21*$B$22,0)</f>
        <v/>
      </c>
      <c r="O61" s="25">
        <f>ROUND($B$6*$B$10*$B$13*$B$16*$B$18*$B$21*$B$23,0)</f>
        <v/>
      </c>
      <c r="P61" s="25">
        <f>ROUND($B$6*$B$10*$B$13*$B$16*$B$19*$B$20*$B$22,0)</f>
        <v/>
      </c>
      <c r="Q61" s="25">
        <f>ROUND($B$6*$B$10*$B$13*$B$16*$B$19*$B$20*$B$23,0)</f>
        <v/>
      </c>
      <c r="R61" s="25">
        <f>ROUND($B$6*$B$10*$B$13*$B$16*$B$19*$B$21*$B$22,0)</f>
        <v/>
      </c>
      <c r="S61" s="25">
        <f>ROUND($B$6*$B$10*$B$13*$B$16*$B$19*$B$21*$B$23,0)</f>
        <v/>
      </c>
      <c r="T61" s="25">
        <f>ROUND($B$6*$B$10*$B$13*$B$17*$B$18*$B$20*$B$22,0)</f>
        <v/>
      </c>
      <c r="U61" s="25">
        <f>ROUND($B$6*$B$10*$B$13*$B$17*$B$18*$B$20*$B$23,0)</f>
        <v/>
      </c>
      <c r="V61" s="25">
        <f>ROUND($B$6*$B$10*$B$13*$B$17*$B$18*$B$21*$B$22,0)</f>
        <v/>
      </c>
      <c r="W61" s="25">
        <f>ROUND($B$6*$B$10*$B$13*$B$17*$B$18*$B$21*$B$23,0)</f>
        <v/>
      </c>
      <c r="X61" s="25">
        <f>ROUND($B$6*$B$10*$B$13*$B$17*$B$19*$B$20*$B$22,0)</f>
        <v/>
      </c>
      <c r="Y61" s="25">
        <f>ROUND($B$6*$B$10*$B$13*$B$17*$B$19*$B$20*$B$23,0)</f>
        <v/>
      </c>
      <c r="Z61" s="25">
        <f>ROUND($B$6*$B$10*$B$13*$B$17*$B$19*$B$21*$B$22,0)</f>
        <v/>
      </c>
      <c r="AA61" s="25">
        <f>ROUND($B$6*$B$10*$B$13*$B$17*$B$19*$B$21*$B$23,0)</f>
        <v/>
      </c>
    </row>
    <row r="62" ht="20.1" customHeight="1" s="62">
      <c r="A62" s="81" t="n"/>
      <c r="B62" s="59" t="n"/>
      <c r="C62" s="26" t="inlineStr">
        <is>
          <t>Full sur mesure</t>
        </is>
      </c>
      <c r="D62" s="25">
        <f>ROUND($B$6*$B$10*$B$14*$B$15*$B$18*$B$20*$B$22,0)</f>
        <v/>
      </c>
      <c r="E62" s="25">
        <f>ROUND($B$6*$B$10*$B$14*$B$15*$B$18*$B$20*$B$23,0)</f>
        <v/>
      </c>
      <c r="F62" s="25">
        <f>ROUND($B$6*$B$10*$B$14*$B$15*$B$18*$B$21*$B$22,0)</f>
        <v/>
      </c>
      <c r="G62" s="25">
        <f>ROUND($B$6*$B$10*$B$14*$B$15*$B$18*$B$21*$B$23,0)</f>
        <v/>
      </c>
      <c r="H62" s="25">
        <f>ROUND($B$6*$B$10*$B$14*$B$15*$B$19*$B$20*$B$22,0)</f>
        <v/>
      </c>
      <c r="I62" s="25">
        <f>ROUND($B$6*$B$10*$B$14*$B$15*$B$19*$B$20*$B$23,0)</f>
        <v/>
      </c>
      <c r="J62" s="25">
        <f>ROUND($B$6*$B$10*$B$14*$B$15*$B$19*$B$21*$B$22,0)</f>
        <v/>
      </c>
      <c r="K62" s="25">
        <f>ROUND($B$6*$B$10*$B$14*$B$15*$B$19*$B$21*$B$23,0)</f>
        <v/>
      </c>
      <c r="L62" s="25">
        <f>ROUND($B$6*$B$10*$B$14*$B$16*$B$18*$B$20*$B$22,0)</f>
        <v/>
      </c>
      <c r="M62" s="25">
        <f>ROUND($B$6*$B$10*$B$14*$B$16*$B$18*$B$20*$B$23,0)</f>
        <v/>
      </c>
      <c r="N62" s="25">
        <f>ROUND($B$6*$B$10*$B$14*$B$16*$B$18*$B$21*$B$22,0)</f>
        <v/>
      </c>
      <c r="O62" s="25">
        <f>ROUND($B$6*$B$10*$B$14*$B$16*$B$18*$B$21*$B$23,0)</f>
        <v/>
      </c>
      <c r="P62" s="25">
        <f>ROUND($B$6*$B$10*$B$14*$B$16*$B$19*$B$20*$B$22,0)</f>
        <v/>
      </c>
      <c r="Q62" s="25">
        <f>ROUND($B$6*$B$10*$B$14*$B$16*$B$19*$B$20*$B$23,0)</f>
        <v/>
      </c>
      <c r="R62" s="25">
        <f>ROUND($B$6*$B$10*$B$14*$B$16*$B$19*$B$21*$B$22,0)</f>
        <v/>
      </c>
      <c r="S62" s="25">
        <f>ROUND($B$6*$B$10*$B$14*$B$16*$B$19*$B$21*$B$23,0)</f>
        <v/>
      </c>
      <c r="T62" s="25">
        <f>ROUND($B$6*$B$10*$B$14*$B$17*$B$18*$B$20*$B$22,0)</f>
        <v/>
      </c>
      <c r="U62" s="25">
        <f>ROUND($B$6*$B$10*$B$14*$B$17*$B$18*$B$20*$B$23,0)</f>
        <v/>
      </c>
      <c r="V62" s="25">
        <f>ROUND($B$6*$B$10*$B$14*$B$17*$B$18*$B$21*$B$22,0)</f>
        <v/>
      </c>
      <c r="W62" s="25">
        <f>ROUND($B$6*$B$10*$B$14*$B$17*$B$18*$B$21*$B$23,0)</f>
        <v/>
      </c>
      <c r="X62" s="25">
        <f>ROUND($B$6*$B$10*$B$14*$B$17*$B$19*$B$20*$B$22,0)</f>
        <v/>
      </c>
      <c r="Y62" s="25">
        <f>ROUND($B$6*$B$10*$B$14*$B$17*$B$19*$B$20*$B$23,0)</f>
        <v/>
      </c>
      <c r="Z62" s="25">
        <f>ROUND($B$6*$B$10*$B$14*$B$17*$B$19*$B$21*$B$22,0)</f>
        <v/>
      </c>
      <c r="AA62" s="25">
        <f>ROUND($B$6*$B$10*$B$14*$B$17*$B$19*$B$21*$B$23,0)</f>
        <v/>
      </c>
    </row>
    <row r="63" ht="20.1" customHeight="1" s="62">
      <c r="A63" s="81" t="n"/>
      <c r="B63" s="73" t="inlineStr">
        <is>
          <t>30+ pages</t>
        </is>
      </c>
      <c r="C63" s="24" t="inlineStr">
        <is>
          <t>Design standard</t>
        </is>
      </c>
      <c r="D63" s="25">
        <f>ROUND($B$6*$B$11*$B$12*$B$15*$B$18*$B$20*$B$22,0)</f>
        <v/>
      </c>
      <c r="E63" s="25">
        <f>ROUND($B$6*$B$11*$B$12*$B$15*$B$18*$B$20*$B$23,0)</f>
        <v/>
      </c>
      <c r="F63" s="25">
        <f>ROUND($B$6*$B$11*$B$12*$B$15*$B$18*$B$21*$B$22,0)</f>
        <v/>
      </c>
      <c r="G63" s="25">
        <f>ROUND($B$6*$B$11*$B$12*$B$15*$B$18*$B$21*$B$23,0)</f>
        <v/>
      </c>
      <c r="H63" s="25">
        <f>ROUND($B$6*$B$11*$B$12*$B$15*$B$19*$B$20*$B$22,0)</f>
        <v/>
      </c>
      <c r="I63" s="25">
        <f>ROUND($B$6*$B$11*$B$12*$B$15*$B$19*$B$20*$B$23,0)</f>
        <v/>
      </c>
      <c r="J63" s="25">
        <f>ROUND($B$6*$B$11*$B$12*$B$15*$B$19*$B$21*$B$22,0)</f>
        <v/>
      </c>
      <c r="K63" s="25">
        <f>ROUND($B$6*$B$11*$B$12*$B$15*$B$19*$B$21*$B$23,0)</f>
        <v/>
      </c>
      <c r="L63" s="25">
        <f>ROUND($B$6*$B$11*$B$12*$B$16*$B$18*$B$20*$B$22,0)</f>
        <v/>
      </c>
      <c r="M63" s="25">
        <f>ROUND($B$6*$B$11*$B$12*$B$16*$B$18*$B$20*$B$23,0)</f>
        <v/>
      </c>
      <c r="N63" s="25">
        <f>ROUND($B$6*$B$11*$B$12*$B$16*$B$18*$B$21*$B$22,0)</f>
        <v/>
      </c>
      <c r="O63" s="25">
        <f>ROUND($B$6*$B$11*$B$12*$B$16*$B$18*$B$21*$B$23,0)</f>
        <v/>
      </c>
      <c r="P63" s="25">
        <f>ROUND($B$6*$B$11*$B$12*$B$16*$B$19*$B$20*$B$22,0)</f>
        <v/>
      </c>
      <c r="Q63" s="25">
        <f>ROUND($B$6*$B$11*$B$12*$B$16*$B$19*$B$20*$B$23,0)</f>
        <v/>
      </c>
      <c r="R63" s="25">
        <f>ROUND($B$6*$B$11*$B$12*$B$16*$B$19*$B$21*$B$22,0)</f>
        <v/>
      </c>
      <c r="S63" s="25">
        <f>ROUND($B$6*$B$11*$B$12*$B$16*$B$19*$B$21*$B$23,0)</f>
        <v/>
      </c>
      <c r="T63" s="25">
        <f>ROUND($B$6*$B$11*$B$12*$B$17*$B$18*$B$20*$B$22,0)</f>
        <v/>
      </c>
      <c r="U63" s="25">
        <f>ROUND($B$6*$B$11*$B$12*$B$17*$B$18*$B$20*$B$23,0)</f>
        <v/>
      </c>
      <c r="V63" s="25">
        <f>ROUND($B$6*$B$11*$B$12*$B$17*$B$18*$B$21*$B$22,0)</f>
        <v/>
      </c>
      <c r="W63" s="25">
        <f>ROUND($B$6*$B$11*$B$12*$B$17*$B$18*$B$21*$B$23,0)</f>
        <v/>
      </c>
      <c r="X63" s="25">
        <f>ROUND($B$6*$B$11*$B$12*$B$17*$B$19*$B$20*$B$22,0)</f>
        <v/>
      </c>
      <c r="Y63" s="25">
        <f>ROUND($B$6*$B$11*$B$12*$B$17*$B$19*$B$20*$B$23,0)</f>
        <v/>
      </c>
      <c r="Z63" s="25">
        <f>ROUND($B$6*$B$11*$B$12*$B$17*$B$19*$B$21*$B$22,0)</f>
        <v/>
      </c>
      <c r="AA63" s="25">
        <f>ROUND($B$6*$B$11*$B$12*$B$17*$B$19*$B$21*$B$23,0)</f>
        <v/>
      </c>
    </row>
    <row r="64" ht="20.1" customHeight="1" s="62">
      <c r="A64" s="81" t="n"/>
      <c r="B64" s="58" t="n"/>
      <c r="C64" s="73" t="inlineStr">
        <is>
          <t>Design personnalisé</t>
        </is>
      </c>
      <c r="D64" s="25">
        <f>ROUND($B$6*$B$11*$B$13*$B$15*$B$18*$B$20*$B$22,0)</f>
        <v/>
      </c>
      <c r="E64" s="25">
        <f>ROUND($B$6*$B$11*$B$13*$B$15*$B$18*$B$20*$B$23,0)</f>
        <v/>
      </c>
      <c r="F64" s="25">
        <f>ROUND($B$6*$B$11*$B$13*$B$15*$B$18*$B$21*$B$22,0)</f>
        <v/>
      </c>
      <c r="G64" s="25">
        <f>ROUND($B$6*$B$11*$B$13*$B$15*$B$18*$B$21*$B$23,0)</f>
        <v/>
      </c>
      <c r="H64" s="25">
        <f>ROUND($B$6*$B$11*$B$13*$B$15*$B$19*$B$20*$B$22,0)</f>
        <v/>
      </c>
      <c r="I64" s="25">
        <f>ROUND($B$6*$B$11*$B$13*$B$15*$B$19*$B$20*$B$23,0)</f>
        <v/>
      </c>
      <c r="J64" s="25">
        <f>ROUND($B$6*$B$11*$B$13*$B$15*$B$19*$B$21*$B$22,0)</f>
        <v/>
      </c>
      <c r="K64" s="25">
        <f>ROUND($B$6*$B$11*$B$13*$B$15*$B$19*$B$21*$B$23,0)</f>
        <v/>
      </c>
      <c r="L64" s="25">
        <f>ROUND($B$6*$B$11*$B$13*$B$16*$B$18*$B$20*$B$22,0)</f>
        <v/>
      </c>
      <c r="M64" s="25">
        <f>ROUND($B$6*$B$11*$B$13*$B$16*$B$18*$B$20*$B$23,0)</f>
        <v/>
      </c>
      <c r="N64" s="25">
        <f>ROUND($B$6*$B$11*$B$13*$B$16*$B$18*$B$21*$B$22,0)</f>
        <v/>
      </c>
      <c r="O64" s="25">
        <f>ROUND($B$6*$B$11*$B$13*$B$16*$B$18*$B$21*$B$23,0)</f>
        <v/>
      </c>
      <c r="P64" s="25">
        <f>ROUND($B$6*$B$11*$B$13*$B$16*$B$19*$B$20*$B$22,0)</f>
        <v/>
      </c>
      <c r="Q64" s="25">
        <f>ROUND($B$6*$B$11*$B$13*$B$16*$B$19*$B$20*$B$23,0)</f>
        <v/>
      </c>
      <c r="R64" s="25">
        <f>ROUND($B$6*$B$11*$B$13*$B$16*$B$19*$B$21*$B$22,0)</f>
        <v/>
      </c>
      <c r="S64" s="25">
        <f>ROUND($B$6*$B$11*$B$13*$B$16*$B$19*$B$21*$B$23,0)</f>
        <v/>
      </c>
      <c r="T64" s="25">
        <f>ROUND($B$6*$B$11*$B$13*$B$17*$B$18*$B$20*$B$22,0)</f>
        <v/>
      </c>
      <c r="U64" s="25">
        <f>ROUND($B$6*$B$11*$B$13*$B$17*$B$18*$B$20*$B$23,0)</f>
        <v/>
      </c>
      <c r="V64" s="25">
        <f>ROUND($B$6*$B$11*$B$13*$B$17*$B$18*$B$21*$B$22,0)</f>
        <v/>
      </c>
      <c r="W64" s="25">
        <f>ROUND($B$6*$B$11*$B$13*$B$17*$B$18*$B$21*$B$23,0)</f>
        <v/>
      </c>
      <c r="X64" s="25">
        <f>ROUND($B$6*$B$11*$B$13*$B$17*$B$19*$B$20*$B$22,0)</f>
        <v/>
      </c>
      <c r="Y64" s="25">
        <f>ROUND($B$6*$B$11*$B$13*$B$17*$B$19*$B$20*$B$23,0)</f>
        <v/>
      </c>
      <c r="Z64" s="25">
        <f>ROUND($B$6*$B$11*$B$13*$B$17*$B$19*$B$21*$B$22,0)</f>
        <v/>
      </c>
      <c r="AA64" s="25">
        <f>ROUND($B$6*$B$11*$B$13*$B$17*$B$19*$B$21*$B$23,0)</f>
        <v/>
      </c>
    </row>
    <row r="65" ht="20.1" customHeight="1" s="62">
      <c r="A65" s="82" t="n"/>
      <c r="B65" s="59" t="n"/>
      <c r="C65" s="26" t="inlineStr">
        <is>
          <t>Full sur mesure</t>
        </is>
      </c>
      <c r="D65" s="25">
        <f>ROUND($B$6*$B$11*$B$14*$B$15*$B$18*$B$20*$B$22,0)</f>
        <v/>
      </c>
      <c r="E65" s="25">
        <f>ROUND($B$6*$B$11*$B$14*$B$15*$B$18*$B$20*$B$23,0)</f>
        <v/>
      </c>
      <c r="F65" s="25">
        <f>ROUND($B$6*$B$11*$B$14*$B$15*$B$18*$B$21*$B$22,0)</f>
        <v/>
      </c>
      <c r="G65" s="25">
        <f>ROUND($B$6*$B$11*$B$14*$B$15*$B$18*$B$21*$B$23,0)</f>
        <v/>
      </c>
      <c r="H65" s="25">
        <f>ROUND($B$6*$B$11*$B$14*$B$15*$B$19*$B$20*$B$22,0)</f>
        <v/>
      </c>
      <c r="I65" s="25">
        <f>ROUND($B$6*$B$11*$B$14*$B$15*$B$19*$B$20*$B$23,0)</f>
        <v/>
      </c>
      <c r="J65" s="25">
        <f>ROUND($B$6*$B$11*$B$14*$B$15*$B$19*$B$21*$B$22,0)</f>
        <v/>
      </c>
      <c r="K65" s="25">
        <f>ROUND($B$6*$B$11*$B$14*$B$15*$B$19*$B$21*$B$23,0)</f>
        <v/>
      </c>
      <c r="L65" s="25">
        <f>ROUND($B$6*$B$11*$B$14*$B$16*$B$18*$B$20*$B$22,0)</f>
        <v/>
      </c>
      <c r="M65" s="25">
        <f>ROUND($B$6*$B$11*$B$14*$B$16*$B$18*$B$20*$B$23,0)</f>
        <v/>
      </c>
      <c r="N65" s="25">
        <f>ROUND($B$6*$B$11*$B$14*$B$16*$B$18*$B$21*$B$22,0)</f>
        <v/>
      </c>
      <c r="O65" s="25">
        <f>ROUND($B$6*$B$11*$B$14*$B$16*$B$18*$B$21*$B$23,0)</f>
        <v/>
      </c>
      <c r="P65" s="25">
        <f>ROUND($B$6*$B$11*$B$14*$B$16*$B$19*$B$20*$B$22,0)</f>
        <v/>
      </c>
      <c r="Q65" s="25">
        <f>ROUND($B$6*$B$11*$B$14*$B$16*$B$19*$B$20*$B$23,0)</f>
        <v/>
      </c>
      <c r="R65" s="25">
        <f>ROUND($B$6*$B$11*$B$14*$B$16*$B$19*$B$21*$B$22,0)</f>
        <v/>
      </c>
      <c r="S65" s="25">
        <f>ROUND($B$6*$B$11*$B$14*$B$16*$B$19*$B$21*$B$23,0)</f>
        <v/>
      </c>
      <c r="T65" s="25">
        <f>ROUND($B$6*$B$11*$B$14*$B$17*$B$18*$B$20*$B$22,0)</f>
        <v/>
      </c>
      <c r="U65" s="25">
        <f>ROUND($B$6*$B$11*$B$14*$B$17*$B$18*$B$20*$B$23,0)</f>
        <v/>
      </c>
      <c r="V65" s="25">
        <f>ROUND($B$6*$B$11*$B$14*$B$17*$B$18*$B$21*$B$22,0)</f>
        <v/>
      </c>
      <c r="W65" s="25">
        <f>ROUND($B$6*$B$11*$B$14*$B$17*$B$18*$B$21*$B$23,0)</f>
        <v/>
      </c>
      <c r="X65" s="25">
        <f>ROUND($B$6*$B$11*$B$14*$B$17*$B$19*$B$20*$B$22,0)</f>
        <v/>
      </c>
      <c r="Y65" s="25">
        <f>ROUND($B$6*$B$11*$B$14*$B$17*$B$19*$B$20*$B$23,0)</f>
        <v/>
      </c>
      <c r="Z65" s="25">
        <f>ROUND($B$6*$B$11*$B$14*$B$17*$B$19*$B$21*$B$22,0)</f>
        <v/>
      </c>
      <c r="AA65" s="25">
        <f>ROUND($B$6*$B$11*$B$14*$B$17*$B$19*$B$21*$B$23,0)</f>
        <v/>
      </c>
    </row>
  </sheetData>
  <mergeCells count="44">
    <mergeCell ref="D26:K26"/>
    <mergeCell ref="H27:K27"/>
    <mergeCell ref="A7:AA7"/>
    <mergeCell ref="B30:B32"/>
    <mergeCell ref="C26:C29"/>
    <mergeCell ref="B33:B35"/>
    <mergeCell ref="R28:S28"/>
    <mergeCell ref="J28:K28"/>
    <mergeCell ref="L28:M28"/>
    <mergeCell ref="B36:B38"/>
    <mergeCell ref="L27:O27"/>
    <mergeCell ref="B54:B56"/>
    <mergeCell ref="B45:B47"/>
    <mergeCell ref="T27:W27"/>
    <mergeCell ref="A3:AA3"/>
    <mergeCell ref="X27:AA27"/>
    <mergeCell ref="B51:B53"/>
    <mergeCell ref="V28:W28"/>
    <mergeCell ref="X28:Y28"/>
    <mergeCell ref="A2:AA2"/>
    <mergeCell ref="B63:B65"/>
    <mergeCell ref="A54:A65"/>
    <mergeCell ref="A30:A41"/>
    <mergeCell ref="T26:AA26"/>
    <mergeCell ref="L26:S26"/>
    <mergeCell ref="A26:A29"/>
    <mergeCell ref="N28:O28"/>
    <mergeCell ref="D28:E28"/>
    <mergeCell ref="F28:G28"/>
    <mergeCell ref="P28:Q28"/>
    <mergeCell ref="H28:I28"/>
    <mergeCell ref="D27:G27"/>
    <mergeCell ref="B42:B44"/>
    <mergeCell ref="P27:S27"/>
    <mergeCell ref="B39:B41"/>
    <mergeCell ref="B57:B59"/>
    <mergeCell ref="B48:B50"/>
    <mergeCell ref="Z28:AA28"/>
    <mergeCell ref="B26:B29"/>
    <mergeCell ref="A24:AA24"/>
    <mergeCell ref="B60:B62"/>
    <mergeCell ref="T28:U28"/>
    <mergeCell ref="A42:A53"/>
    <mergeCell ref="A1:A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0D3B4F"/>
    <outlinePr summaryBelow="1" summaryRight="1"/>
    <pageSetUpPr/>
  </sheetPr>
  <dimension ref="A1:AA55"/>
  <sheetViews>
    <sheetView topLeftCell="A2" workbookViewId="0">
      <pane xSplit="3" topLeftCell="D1" activePane="topRight" state="frozen"/>
      <selection pane="topRight" activeCell="B22" sqref="B22"/>
    </sheetView>
  </sheetViews>
  <sheetFormatPr baseColWidth="10" defaultColWidth="9.140625" defaultRowHeight="15"/>
  <cols>
    <col width="24" customWidth="1" style="62" min="1" max="1"/>
    <col width="16" customWidth="1" style="62" min="2" max="2"/>
    <col width="28" customWidth="1" style="62" min="3" max="3"/>
    <col width="14" customWidth="1" style="62" min="4" max="27"/>
  </cols>
  <sheetData>
    <row r="1" ht="33.95" customHeight="1" s="62">
      <c r="A1" s="84" t="inlineStr">
        <is>
          <t>GRILLE TARIFAIRE — Hébergement, infrastructure &amp; gestion serveurs  (€/mois)</t>
        </is>
      </c>
    </row>
    <row r="2" ht="26.1" customHeight="1" s="62">
      <c r="A2" s="79" t="inlineStr">
        <is>
          <t>⚙  ZONE DE PARAMÉTRAGE — Remplissez uniquement les cases jaunes. Le tableau se calcule automatiquement.  |  Tarifs en €/MOIS</t>
        </is>
      </c>
    </row>
    <row r="3" ht="21.95" customHeight="1" s="62">
      <c r="A3" s="78" t="inlineStr">
        <is>
          <t>TARIFS DE BASE MENSUELS (€/mois)  —  Par niveau d'infrastructure</t>
        </is>
      </c>
    </row>
    <row r="4" ht="21.95" customHeight="1" s="62">
      <c r="A4" s="16" t="inlineStr">
        <is>
          <t>Tarif de base — Hébergement simple</t>
        </is>
      </c>
      <c r="B4" s="28" t="n">
        <v>125</v>
      </c>
      <c r="C4" s="18" t="inlineStr">
        <is>
          <t>Fourchette indicative : 50 – 200 €/mois</t>
        </is>
      </c>
    </row>
    <row r="5" ht="21.95" customHeight="1" s="62">
      <c r="A5" s="16" t="inlineStr">
        <is>
          <t>Tarif de base — Infrastructure standard</t>
        </is>
      </c>
      <c r="B5" s="28" t="n">
        <v>350</v>
      </c>
      <c r="C5" s="18" t="inlineStr">
        <is>
          <t>Fourchette indicative : 200 – 800 €/mois</t>
        </is>
      </c>
    </row>
    <row r="6" ht="21.95" customHeight="1" s="62">
      <c r="A6" s="16" t="inlineStr">
        <is>
          <t>Tarif de base — Infrastructure avancée</t>
        </is>
      </c>
      <c r="B6" s="28" t="n">
        <v>1500</v>
      </c>
      <c r="C6" s="18" t="inlineStr">
        <is>
          <t>Fourchette indicative : 800 – 3 000 €/mois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serveurs — 1 serveur</t>
        </is>
      </c>
      <c r="B8" s="20" t="n">
        <v>1</v>
      </c>
      <c r="C8" s="21" t="inlineStr">
        <is>
          <t>Référence</t>
        </is>
      </c>
    </row>
    <row r="9" ht="20.1" customHeight="1" s="62">
      <c r="A9" s="19" t="inlineStr">
        <is>
          <t>Coeff. serveurs — 2-5 serveurs</t>
        </is>
      </c>
      <c r="B9" s="20" t="n">
        <v>1.5</v>
      </c>
      <c r="C9" s="21" t="inlineStr">
        <is>
          <t>Infrastructure multi-serveurs</t>
        </is>
      </c>
    </row>
    <row r="10" ht="20.1" customHeight="1" s="62">
      <c r="A10" s="19" t="inlineStr">
        <is>
          <t>Coeff. serveurs — 6+ serveurs</t>
        </is>
      </c>
      <c r="B10" s="20" t="n">
        <v>2</v>
      </c>
      <c r="C10" s="21" t="inlineStr">
        <is>
          <t>Infrastructure large</t>
        </is>
      </c>
    </row>
    <row r="11" ht="20.1" customHeight="1" s="62">
      <c r="A11" s="19" t="inlineStr">
        <is>
          <t>Coeff. complexité — Simple</t>
        </is>
      </c>
      <c r="B11" s="20" t="n">
        <v>0.9</v>
      </c>
      <c r="C11" s="21" t="inlineStr">
        <is>
          <t>Environnement standard</t>
        </is>
      </c>
    </row>
    <row r="12" ht="20.1" customHeight="1" s="62">
      <c r="A12" s="19" t="inlineStr">
        <is>
          <t>Coeff. complexité — Standard</t>
        </is>
      </c>
      <c r="B12" s="20" t="n">
        <v>1</v>
      </c>
      <c r="C12" s="21" t="inlineStr">
        <is>
          <t>Référence</t>
        </is>
      </c>
    </row>
    <row r="13" ht="20.1" customHeight="1" s="62">
      <c r="A13" s="19" t="inlineStr">
        <is>
          <t>Coeff. complexité — Avancée multi-sites</t>
        </is>
      </c>
      <c r="B13" s="20" t="n">
        <v>1.6</v>
      </c>
      <c r="C13" s="21" t="inlineStr">
        <is>
          <t>Architecture distribuée</t>
        </is>
      </c>
    </row>
    <row r="14" ht="20.1" customHeight="1" s="62">
      <c r="A14" s="19" t="inlineStr">
        <is>
          <t>Coeff. sécurité — Standard</t>
        </is>
      </c>
      <c r="B14" s="20" t="n">
        <v>1</v>
      </c>
      <c r="C14" s="21" t="inlineStr">
        <is>
          <t>Référence</t>
        </is>
      </c>
    </row>
    <row r="15" ht="20.1" customHeight="1" s="62">
      <c r="A15" s="19" t="inlineStr">
        <is>
          <t>Coeff. sécurité — Renforcée</t>
        </is>
      </c>
      <c r="B15" s="20" t="n">
        <v>1.4</v>
      </c>
      <c r="C15" s="21" t="inlineStr">
        <is>
          <t>Firewall, WAF, chiffrement</t>
        </is>
      </c>
    </row>
    <row r="16" ht="20.1" customHeight="1" s="62">
      <c r="A16" s="19" t="inlineStr">
        <is>
          <t>Coeff. sécurité — Réglementé (RGPD, santé…)</t>
        </is>
      </c>
      <c r="B16" s="20" t="n">
        <v>1.8</v>
      </c>
      <c r="C16" s="21" t="inlineStr">
        <is>
          <t>Conformité réglementaire stricte</t>
        </is>
      </c>
    </row>
    <row r="17" ht="20.1" customHeight="1" s="62">
      <c r="A17" s="19" t="inlineStr">
        <is>
          <t>Coeff. dispo — Sans haute disponibilité</t>
        </is>
      </c>
      <c r="B17" s="20" t="n">
        <v>1</v>
      </c>
      <c r="C17" s="21" t="inlineStr">
        <is>
          <t>Référence</t>
        </is>
      </c>
    </row>
    <row r="18" ht="20.1" customHeight="1" s="62">
      <c r="A18" s="19" t="inlineStr">
        <is>
          <t>Coeff. dispo — Avec haute disponibilité (SLA)</t>
        </is>
      </c>
      <c r="B18" s="20" t="n">
        <v>1.8</v>
      </c>
      <c r="C18" s="21" t="inlineStr">
        <is>
          <t>Redondance &amp; SLA garanti</t>
        </is>
      </c>
    </row>
    <row r="19" ht="20.1" customHeight="1" s="62">
      <c r="A19" s="19" t="inlineStr">
        <is>
          <t>Coeff. monitoring — De base</t>
        </is>
      </c>
      <c r="B19" s="20" t="n">
        <v>1</v>
      </c>
      <c r="C19" s="21" t="inlineStr">
        <is>
          <t>Référence</t>
        </is>
      </c>
    </row>
    <row r="20" ht="20.1" customHeight="1" s="62">
      <c r="A20" s="19" t="inlineStr">
        <is>
          <t>Coeff. monitoring — Avancé</t>
        </is>
      </c>
      <c r="B20" s="20" t="n">
        <v>1.25</v>
      </c>
      <c r="C20" s="21" t="inlineStr">
        <is>
          <t>Alertes, dashboards, rapports</t>
        </is>
      </c>
    </row>
    <row r="21" ht="20.1" customHeight="1" s="62">
      <c r="A21" s="19" t="inlineStr">
        <is>
          <t>Coeff. gestion — Infogérance partielle</t>
        </is>
      </c>
      <c r="B21" s="20" t="n">
        <v>1</v>
      </c>
      <c r="C21" s="21" t="inlineStr">
        <is>
          <t>Référence</t>
        </is>
      </c>
    </row>
    <row r="22" ht="20.1" customHeight="1" s="62">
      <c r="A22" s="19" t="inlineStr">
        <is>
          <t>Coeff. gestion — Infogérance complète</t>
        </is>
      </c>
      <c r="B22" s="20" t="n">
        <v>1.5</v>
      </c>
      <c r="C22" s="21" t="inlineStr">
        <is>
          <t>Gestion totale externalisée</t>
        </is>
      </c>
    </row>
    <row r="23" ht="24" customHeight="1" s="62">
      <c r="A23" s="83" t="inlineStr">
        <is>
          <t>▼  GRILLE TARIFAIRE CALCULÉE AUTOMATIQUEMENT (€/mois)  — Les cellules bleues sont en lecture seule (formules).</t>
        </is>
      </c>
    </row>
    <row r="24" ht="6" customHeight="1" s="62"/>
    <row r="25" ht="38.1" customHeight="1" s="62">
      <c r="A25" s="77" t="inlineStr">
        <is>
          <t>Type d'hébergement</t>
        </is>
      </c>
      <c r="B25" s="74" t="inlineStr">
        <is>
          <t>Nombre de serveurs</t>
        </is>
      </c>
      <c r="C25" s="76" t="inlineStr">
        <is>
          <t>Complexité infrastructure</t>
        </is>
      </c>
      <c r="D25" s="77" t="inlineStr">
        <is>
          <t>Sécurité standard</t>
        </is>
      </c>
      <c r="E25" s="55" t="n"/>
      <c r="F25" s="55" t="n"/>
      <c r="G25" s="55" t="n"/>
      <c r="H25" s="55" t="n"/>
      <c r="I25" s="55" t="n"/>
      <c r="J25" s="55" t="n"/>
      <c r="K25" s="56" t="n"/>
      <c r="L25" s="77" t="inlineStr">
        <is>
          <t>Sécurité renforcée</t>
        </is>
      </c>
      <c r="M25" s="55" t="n"/>
      <c r="N25" s="55" t="n"/>
      <c r="O25" s="55" t="n"/>
      <c r="P25" s="55" t="n"/>
      <c r="Q25" s="55" t="n"/>
      <c r="R25" s="55" t="n"/>
      <c r="S25" s="56" t="n"/>
      <c r="T25" s="77" t="inlineStr">
        <is>
          <t>Réglementé (RGPD, santé…)</t>
        </is>
      </c>
      <c r="U25" s="55" t="n"/>
      <c r="V25" s="55" t="n"/>
      <c r="W25" s="55" t="n"/>
      <c r="X25" s="55" t="n"/>
      <c r="Y25" s="55" t="n"/>
      <c r="Z25" s="55" t="n"/>
      <c r="AA25" s="56" t="n"/>
    </row>
    <row r="26" ht="38.1" customHeight="1" s="62">
      <c r="A26" s="64" t="n"/>
      <c r="B26" s="64" t="n"/>
      <c r="C26" s="64" t="n"/>
      <c r="D26" s="74" t="inlineStr">
        <is>
          <t>Sans haute disponibilité</t>
        </is>
      </c>
      <c r="E26" s="55" t="n"/>
      <c r="F26" s="55" t="n"/>
      <c r="G26" s="56" t="n"/>
      <c r="H26" s="74" t="inlineStr">
        <is>
          <t>Avec haute disponibilité (SLA)</t>
        </is>
      </c>
      <c r="I26" s="55" t="n"/>
      <c r="J26" s="55" t="n"/>
      <c r="K26" s="56" t="n"/>
      <c r="L26" s="74" t="inlineStr">
        <is>
          <t>Sans haute disponibilité</t>
        </is>
      </c>
      <c r="M26" s="55" t="n"/>
      <c r="N26" s="55" t="n"/>
      <c r="O26" s="56" t="n"/>
      <c r="P26" s="74" t="inlineStr">
        <is>
          <t>Avec haute disponibilité (SLA)</t>
        </is>
      </c>
      <c r="Q26" s="55" t="n"/>
      <c r="R26" s="55" t="n"/>
      <c r="S26" s="56" t="n"/>
      <c r="T26" s="74" t="inlineStr">
        <is>
          <t>Sans haute disponibilité</t>
        </is>
      </c>
      <c r="U26" s="55" t="n"/>
      <c r="V26" s="55" t="n"/>
      <c r="W26" s="56" t="n"/>
      <c r="X26" s="74" t="inlineStr">
        <is>
          <t>Avec haute disponibilité (SLA)</t>
        </is>
      </c>
      <c r="Y26" s="55" t="n"/>
      <c r="Z26" s="55" t="n"/>
      <c r="AA26" s="56" t="n"/>
    </row>
    <row r="27" ht="38.1" customHeight="1" s="62">
      <c r="A27" s="64" t="n"/>
      <c r="B27" s="64" t="n"/>
      <c r="C27" s="64" t="n"/>
      <c r="D27" s="76" t="inlineStr">
        <is>
          <t>Monitoring de base</t>
        </is>
      </c>
      <c r="E27" s="56" t="n"/>
      <c r="F27" s="76" t="inlineStr">
        <is>
          <t>Monitoring avancé</t>
        </is>
      </c>
      <c r="G27" s="56" t="n"/>
      <c r="H27" s="76" t="inlineStr">
        <is>
          <t>Monitoring de base</t>
        </is>
      </c>
      <c r="I27" s="56" t="n"/>
      <c r="J27" s="76" t="inlineStr">
        <is>
          <t>Monitoring avancé</t>
        </is>
      </c>
      <c r="K27" s="56" t="n"/>
      <c r="L27" s="76" t="inlineStr">
        <is>
          <t>Monitoring de base</t>
        </is>
      </c>
      <c r="M27" s="56" t="n"/>
      <c r="N27" s="76" t="inlineStr">
        <is>
          <t>Monitoring avancé</t>
        </is>
      </c>
      <c r="O27" s="56" t="n"/>
      <c r="P27" s="76" t="inlineStr">
        <is>
          <t>Monitoring de base</t>
        </is>
      </c>
      <c r="Q27" s="56" t="n"/>
      <c r="R27" s="76" t="inlineStr">
        <is>
          <t>Monitoring avancé</t>
        </is>
      </c>
      <c r="S27" s="56" t="n"/>
      <c r="T27" s="76" t="inlineStr">
        <is>
          <t>Monitoring de base</t>
        </is>
      </c>
      <c r="U27" s="56" t="n"/>
      <c r="V27" s="76" t="inlineStr">
        <is>
          <t>Monitoring avancé</t>
        </is>
      </c>
      <c r="W27" s="56" t="n"/>
      <c r="X27" s="76" t="inlineStr">
        <is>
          <t>Monitoring de base</t>
        </is>
      </c>
      <c r="Y27" s="56" t="n"/>
      <c r="Z27" s="76" t="inlineStr">
        <is>
          <t>Monitoring avancé</t>
        </is>
      </c>
      <c r="AA27" s="56" t="n"/>
    </row>
    <row r="28" ht="38.1" customHeight="1" s="62">
      <c r="A28" s="65" t="n"/>
      <c r="B28" s="65" t="n"/>
      <c r="C28" s="65" t="n"/>
      <c r="D28" s="22" t="inlineStr">
        <is>
          <t>Infogérance partielle</t>
        </is>
      </c>
      <c r="E28" s="22" t="inlineStr">
        <is>
          <t>Infogérance complète</t>
        </is>
      </c>
      <c r="F28" s="22" t="inlineStr">
        <is>
          <t>Infogérance partielle</t>
        </is>
      </c>
      <c r="G28" s="22" t="inlineStr">
        <is>
          <t>Infogérance complète</t>
        </is>
      </c>
      <c r="H28" s="22" t="inlineStr">
        <is>
          <t>Infogérance partielle</t>
        </is>
      </c>
      <c r="I28" s="22" t="inlineStr">
        <is>
          <t>Infogérance complète</t>
        </is>
      </c>
      <c r="J28" s="22" t="inlineStr">
        <is>
          <t>Infogérance partielle</t>
        </is>
      </c>
      <c r="K28" s="22" t="inlineStr">
        <is>
          <t>Infogérance complète</t>
        </is>
      </c>
      <c r="L28" s="22" t="inlineStr">
        <is>
          <t>Infogérance partielle</t>
        </is>
      </c>
      <c r="M28" s="22" t="inlineStr">
        <is>
          <t>Infogérance complète</t>
        </is>
      </c>
      <c r="N28" s="22" t="inlineStr">
        <is>
          <t>Infogérance partielle</t>
        </is>
      </c>
      <c r="O28" s="22" t="inlineStr">
        <is>
          <t>Infogérance complète</t>
        </is>
      </c>
      <c r="P28" s="22" t="inlineStr">
        <is>
          <t>Infogérance partielle</t>
        </is>
      </c>
      <c r="Q28" s="22" t="inlineStr">
        <is>
          <t>Infogérance complète</t>
        </is>
      </c>
      <c r="R28" s="22" t="inlineStr">
        <is>
          <t>Infogérance partielle</t>
        </is>
      </c>
      <c r="S28" s="22" t="inlineStr">
        <is>
          <t>Infogérance complète</t>
        </is>
      </c>
      <c r="T28" s="22" t="inlineStr">
        <is>
          <t>Infogérance partielle</t>
        </is>
      </c>
      <c r="U28" s="22" t="inlineStr">
        <is>
          <t>Infogérance complète</t>
        </is>
      </c>
      <c r="V28" s="22" t="inlineStr">
        <is>
          <t>Infogérance partielle</t>
        </is>
      </c>
      <c r="W28" s="22" t="inlineStr">
        <is>
          <t>Infogérance complète</t>
        </is>
      </c>
      <c r="X28" s="22" t="inlineStr">
        <is>
          <t>Infogérance partielle</t>
        </is>
      </c>
      <c r="Y28" s="22" t="inlineStr">
        <is>
          <t>Infogérance complète</t>
        </is>
      </c>
      <c r="Z28" s="22" t="inlineStr">
        <is>
          <t>Infogérance partielle</t>
        </is>
      </c>
      <c r="AA28" s="22" t="inlineStr">
        <is>
          <t>Infogérance complète</t>
        </is>
      </c>
    </row>
    <row r="29" ht="20.1" customHeight="1" s="62">
      <c r="A29" s="80" t="inlineStr">
        <is>
          <t>Hébergement mutualisé</t>
        </is>
      </c>
      <c r="B29" s="73" t="inlineStr">
        <is>
          <t>1 serveur</t>
        </is>
      </c>
      <c r="C29" s="24" t="inlineStr">
        <is>
          <t>Infrastructure simple</t>
        </is>
      </c>
      <c r="D29" s="29">
        <f>ROUND($B$4*$B$8*$B$11*$B$14*$B$17*$B$19*$B$21,0)</f>
        <v/>
      </c>
      <c r="E29" s="29">
        <f>ROUND($B$4*$B$8*$B$11*$B$14*$B$17*$B$19*$B$22,0)</f>
        <v/>
      </c>
      <c r="F29" s="29">
        <f>ROUND($B$4*$B$8*$B$11*$B$14*$B$17*$B$20*$B$21,0)</f>
        <v/>
      </c>
      <c r="G29" s="29">
        <f>ROUND($B$4*$B$8*$B$11*$B$14*$B$17*$B$20*$B$22,0)</f>
        <v/>
      </c>
      <c r="H29" s="29">
        <f>ROUND($B$4*$B$8*$B$11*$B$14*$B$18*$B$19*$B$21,0)</f>
        <v/>
      </c>
      <c r="I29" s="29">
        <f>ROUND($B$4*$B$8*$B$11*$B$14*$B$18*$B$19*$B$22,0)</f>
        <v/>
      </c>
      <c r="J29" s="29">
        <f>ROUND($B$4*$B$8*$B$11*$B$14*$B$18*$B$20*$B$21,0)</f>
        <v/>
      </c>
      <c r="K29" s="29">
        <f>ROUND($B$4*$B$8*$B$11*$B$14*$B$18*$B$20*$B$22,0)</f>
        <v/>
      </c>
      <c r="L29" s="29">
        <f>ROUND($B$4*$B$8*$B$11*$B$15*$B$17*$B$19*$B$21,0)</f>
        <v/>
      </c>
      <c r="M29" s="29">
        <f>ROUND($B$4*$B$8*$B$11*$B$15*$B$17*$B$19*$B$22,0)</f>
        <v/>
      </c>
      <c r="N29" s="29">
        <f>ROUND($B$4*$B$8*$B$11*$B$15*$B$17*$B$20*$B$21,0)</f>
        <v/>
      </c>
      <c r="O29" s="29">
        <f>ROUND($B$4*$B$8*$B$11*$B$15*$B$17*$B$20*$B$22,0)</f>
        <v/>
      </c>
      <c r="P29" s="29">
        <f>ROUND($B$4*$B$8*$B$11*$B$15*$B$18*$B$19*$B$21,0)</f>
        <v/>
      </c>
      <c r="Q29" s="29">
        <f>ROUND($B$4*$B$8*$B$11*$B$15*$B$18*$B$19*$B$22,0)</f>
        <v/>
      </c>
      <c r="R29" s="29">
        <f>ROUND($B$4*$B$8*$B$11*$B$15*$B$18*$B$20*$B$21,0)</f>
        <v/>
      </c>
      <c r="S29" s="29">
        <f>ROUND($B$4*$B$8*$B$11*$B$15*$B$18*$B$20*$B$22,0)</f>
        <v/>
      </c>
      <c r="T29" s="29">
        <f>ROUND($B$4*$B$8*$B$11*$B$16*$B$17*$B$19*$B$21,0)</f>
        <v/>
      </c>
      <c r="U29" s="29">
        <f>ROUND($B$4*$B$8*$B$11*$B$16*$B$17*$B$19*$B$22,0)</f>
        <v/>
      </c>
      <c r="V29" s="29">
        <f>ROUND($B$4*$B$8*$B$11*$B$16*$B$17*$B$20*$B$21,0)</f>
        <v/>
      </c>
      <c r="W29" s="29">
        <f>ROUND($B$4*$B$8*$B$11*$B$16*$B$17*$B$20*$B$22,0)</f>
        <v/>
      </c>
      <c r="X29" s="29">
        <f>ROUND($B$4*$B$8*$B$11*$B$16*$B$18*$B$19*$B$21,0)</f>
        <v/>
      </c>
      <c r="Y29" s="29">
        <f>ROUND($B$4*$B$8*$B$11*$B$16*$B$18*$B$19*$B$22,0)</f>
        <v/>
      </c>
      <c r="Z29" s="29">
        <f>ROUND($B$4*$B$8*$B$11*$B$16*$B$18*$B$20*$B$21,0)</f>
        <v/>
      </c>
      <c r="AA29" s="29">
        <f>ROUND($B$4*$B$8*$B$11*$B$16*$B$18*$B$20*$B$22,0)</f>
        <v/>
      </c>
    </row>
    <row r="30" ht="20.1" customHeight="1" s="62">
      <c r="A30" s="81" t="n"/>
      <c r="B30" s="58" t="n"/>
      <c r="C30" s="73" t="inlineStr">
        <is>
          <t>Infrastructure standard</t>
        </is>
      </c>
      <c r="D30" s="29">
        <f>ROUND($B$4*$B$8*$B$12*$B$14*$B$17*$B$19*$B$21,0)</f>
        <v/>
      </c>
      <c r="E30" s="29">
        <f>ROUND($B$4*$B$8*$B$12*$B$14*$B$17*$B$19*$B$22,0)</f>
        <v/>
      </c>
      <c r="F30" s="29">
        <f>ROUND($B$4*$B$8*$B$12*$B$14*$B$17*$B$20*$B$21,0)</f>
        <v/>
      </c>
      <c r="G30" s="29">
        <f>ROUND($B$4*$B$8*$B$12*$B$14*$B$17*$B$20*$B$22,0)</f>
        <v/>
      </c>
      <c r="H30" s="29">
        <f>ROUND($B$4*$B$8*$B$12*$B$14*$B$18*$B$19*$B$21,0)</f>
        <v/>
      </c>
      <c r="I30" s="29">
        <f>ROUND($B$4*$B$8*$B$12*$B$14*$B$18*$B$19*$B$22,0)</f>
        <v/>
      </c>
      <c r="J30" s="29">
        <f>ROUND($B$4*$B$8*$B$12*$B$14*$B$18*$B$20*$B$21,0)</f>
        <v/>
      </c>
      <c r="K30" s="29">
        <f>ROUND($B$4*$B$8*$B$12*$B$14*$B$18*$B$20*$B$22,0)</f>
        <v/>
      </c>
      <c r="L30" s="29">
        <f>ROUND($B$4*$B$8*$B$12*$B$15*$B$17*$B$19*$B$21,0)</f>
        <v/>
      </c>
      <c r="M30" s="29">
        <f>ROUND($B$4*$B$8*$B$12*$B$15*$B$17*$B$19*$B$22,0)</f>
        <v/>
      </c>
      <c r="N30" s="29">
        <f>ROUND($B$4*$B$8*$B$12*$B$15*$B$17*$B$20*$B$21,0)</f>
        <v/>
      </c>
      <c r="O30" s="29">
        <f>ROUND($B$4*$B$8*$B$12*$B$15*$B$17*$B$20*$B$22,0)</f>
        <v/>
      </c>
      <c r="P30" s="29">
        <f>ROUND($B$4*$B$8*$B$12*$B$15*$B$18*$B$19*$B$21,0)</f>
        <v/>
      </c>
      <c r="Q30" s="29">
        <f>ROUND($B$4*$B$8*$B$12*$B$15*$B$18*$B$19*$B$22,0)</f>
        <v/>
      </c>
      <c r="R30" s="29">
        <f>ROUND($B$4*$B$8*$B$12*$B$15*$B$18*$B$20*$B$21,0)</f>
        <v/>
      </c>
      <c r="S30" s="29">
        <f>ROUND($B$4*$B$8*$B$12*$B$15*$B$18*$B$20*$B$22,0)</f>
        <v/>
      </c>
      <c r="T30" s="29">
        <f>ROUND($B$4*$B$8*$B$12*$B$16*$B$17*$B$19*$B$21,0)</f>
        <v/>
      </c>
      <c r="U30" s="29">
        <f>ROUND($B$4*$B$8*$B$12*$B$16*$B$17*$B$19*$B$22,0)</f>
        <v/>
      </c>
      <c r="V30" s="29">
        <f>ROUND($B$4*$B$8*$B$12*$B$16*$B$17*$B$20*$B$21,0)</f>
        <v/>
      </c>
      <c r="W30" s="29">
        <f>ROUND($B$4*$B$8*$B$12*$B$16*$B$17*$B$20*$B$22,0)</f>
        <v/>
      </c>
      <c r="X30" s="29">
        <f>ROUND($B$4*$B$8*$B$12*$B$16*$B$18*$B$19*$B$21,0)</f>
        <v/>
      </c>
      <c r="Y30" s="29">
        <f>ROUND($B$4*$B$8*$B$12*$B$16*$B$18*$B$19*$B$22,0)</f>
        <v/>
      </c>
      <c r="Z30" s="29">
        <f>ROUND($B$4*$B$8*$B$12*$B$16*$B$18*$B$20*$B$21,0)</f>
        <v/>
      </c>
      <c r="AA30" s="29">
        <f>ROUND($B$4*$B$8*$B$12*$B$16*$B$18*$B$20*$B$22,0)</f>
        <v/>
      </c>
    </row>
    <row r="31" ht="20.1" customHeight="1" s="62">
      <c r="A31" s="81" t="n"/>
      <c r="B31" s="59" t="n"/>
      <c r="C31" s="26" t="inlineStr">
        <is>
          <t>Infrastructure avancée multi-sites</t>
        </is>
      </c>
      <c r="D31" s="29">
        <f>ROUND($B$4*$B$8*$B$13*$B$14*$B$17*$B$19*$B$21,0)</f>
        <v/>
      </c>
      <c r="E31" s="29">
        <f>ROUND($B$4*$B$8*$B$13*$B$14*$B$17*$B$19*$B$22,0)</f>
        <v/>
      </c>
      <c r="F31" s="29">
        <f>ROUND($B$4*$B$8*$B$13*$B$14*$B$17*$B$20*$B$21,0)</f>
        <v/>
      </c>
      <c r="G31" s="29">
        <f>ROUND($B$4*$B$8*$B$13*$B$14*$B$17*$B$20*$B$22,0)</f>
        <v/>
      </c>
      <c r="H31" s="29">
        <f>ROUND($B$4*$B$8*$B$13*$B$14*$B$18*$B$19*$B$21,0)</f>
        <v/>
      </c>
      <c r="I31" s="29">
        <f>ROUND($B$4*$B$8*$B$13*$B$14*$B$18*$B$19*$B$22,0)</f>
        <v/>
      </c>
      <c r="J31" s="29">
        <f>ROUND($B$4*$B$8*$B$13*$B$14*$B$18*$B$20*$B$21,0)</f>
        <v/>
      </c>
      <c r="K31" s="29">
        <f>ROUND($B$4*$B$8*$B$13*$B$14*$B$18*$B$20*$B$22,0)</f>
        <v/>
      </c>
      <c r="L31" s="29">
        <f>ROUND($B$4*$B$8*$B$13*$B$15*$B$17*$B$19*$B$21,0)</f>
        <v/>
      </c>
      <c r="M31" s="29">
        <f>ROUND($B$4*$B$8*$B$13*$B$15*$B$17*$B$19*$B$22,0)</f>
        <v/>
      </c>
      <c r="N31" s="29">
        <f>ROUND($B$4*$B$8*$B$13*$B$15*$B$17*$B$20*$B$21,0)</f>
        <v/>
      </c>
      <c r="O31" s="29">
        <f>ROUND($B$4*$B$8*$B$13*$B$15*$B$17*$B$20*$B$22,0)</f>
        <v/>
      </c>
      <c r="P31" s="29">
        <f>ROUND($B$4*$B$8*$B$13*$B$15*$B$18*$B$19*$B$21,0)</f>
        <v/>
      </c>
      <c r="Q31" s="29">
        <f>ROUND($B$4*$B$8*$B$13*$B$15*$B$18*$B$19*$B$22,0)</f>
        <v/>
      </c>
      <c r="R31" s="29">
        <f>ROUND($B$4*$B$8*$B$13*$B$15*$B$18*$B$20*$B$21,0)</f>
        <v/>
      </c>
      <c r="S31" s="29">
        <f>ROUND($B$4*$B$8*$B$13*$B$15*$B$18*$B$20*$B$22,0)</f>
        <v/>
      </c>
      <c r="T31" s="29">
        <f>ROUND($B$4*$B$8*$B$13*$B$16*$B$17*$B$19*$B$21,0)</f>
        <v/>
      </c>
      <c r="U31" s="29">
        <f>ROUND($B$4*$B$8*$B$13*$B$16*$B$17*$B$19*$B$22,0)</f>
        <v/>
      </c>
      <c r="V31" s="29">
        <f>ROUND($B$4*$B$8*$B$13*$B$16*$B$17*$B$20*$B$21,0)</f>
        <v/>
      </c>
      <c r="W31" s="29">
        <f>ROUND($B$4*$B$8*$B$13*$B$16*$B$17*$B$20*$B$22,0)</f>
        <v/>
      </c>
      <c r="X31" s="29">
        <f>ROUND($B$4*$B$8*$B$13*$B$16*$B$18*$B$19*$B$21,0)</f>
        <v/>
      </c>
      <c r="Y31" s="29">
        <f>ROUND($B$4*$B$8*$B$13*$B$16*$B$18*$B$19*$B$22,0)</f>
        <v/>
      </c>
      <c r="Z31" s="29">
        <f>ROUND($B$4*$B$8*$B$13*$B$16*$B$18*$B$20*$B$21,0)</f>
        <v/>
      </c>
      <c r="AA31" s="29">
        <f>ROUND($B$4*$B$8*$B$13*$B$16*$B$18*$B$20*$B$22,0)</f>
        <v/>
      </c>
    </row>
    <row r="32" ht="20.1" customHeight="1" s="62">
      <c r="A32" s="81" t="n"/>
      <c r="B32" s="73" t="inlineStr">
        <is>
          <t>2-5 serveurs</t>
        </is>
      </c>
      <c r="C32" s="24" t="inlineStr">
        <is>
          <t>Infrastructure simple</t>
        </is>
      </c>
      <c r="D32" s="29">
        <f>ROUND($B$4*$B$9*$B$11*$B$14*$B$17*$B$19*$B$21,0)</f>
        <v/>
      </c>
      <c r="E32" s="29">
        <f>ROUND($B$4*$B$9*$B$11*$B$14*$B$17*$B$19*$B$22,0)</f>
        <v/>
      </c>
      <c r="F32" s="29">
        <f>ROUND($B$4*$B$9*$B$11*$B$14*$B$17*$B$20*$B$21,0)</f>
        <v/>
      </c>
      <c r="G32" s="29">
        <f>ROUND($B$4*$B$9*$B$11*$B$14*$B$17*$B$20*$B$22,0)</f>
        <v/>
      </c>
      <c r="H32" s="29">
        <f>ROUND($B$4*$B$9*$B$11*$B$14*$B$18*$B$19*$B$21,0)</f>
        <v/>
      </c>
      <c r="I32" s="29">
        <f>ROUND($B$4*$B$9*$B$11*$B$14*$B$18*$B$19*$B$22,0)</f>
        <v/>
      </c>
      <c r="J32" s="29">
        <f>ROUND($B$4*$B$9*$B$11*$B$14*$B$18*$B$20*$B$21,0)</f>
        <v/>
      </c>
      <c r="K32" s="29">
        <f>ROUND($B$4*$B$9*$B$11*$B$14*$B$18*$B$20*$B$22,0)</f>
        <v/>
      </c>
      <c r="L32" s="29">
        <f>ROUND($B$4*$B$9*$B$11*$B$15*$B$17*$B$19*$B$21,0)</f>
        <v/>
      </c>
      <c r="M32" s="29">
        <f>ROUND($B$4*$B$9*$B$11*$B$15*$B$17*$B$19*$B$22,0)</f>
        <v/>
      </c>
      <c r="N32" s="29">
        <f>ROUND($B$4*$B$9*$B$11*$B$15*$B$17*$B$20*$B$21,0)</f>
        <v/>
      </c>
      <c r="O32" s="29">
        <f>ROUND($B$4*$B$9*$B$11*$B$15*$B$17*$B$20*$B$22,0)</f>
        <v/>
      </c>
      <c r="P32" s="29">
        <f>ROUND($B$4*$B$9*$B$11*$B$15*$B$18*$B$19*$B$21,0)</f>
        <v/>
      </c>
      <c r="Q32" s="29">
        <f>ROUND($B$4*$B$9*$B$11*$B$15*$B$18*$B$19*$B$22,0)</f>
        <v/>
      </c>
      <c r="R32" s="29">
        <f>ROUND($B$4*$B$9*$B$11*$B$15*$B$18*$B$20*$B$21,0)</f>
        <v/>
      </c>
      <c r="S32" s="29">
        <f>ROUND($B$4*$B$9*$B$11*$B$15*$B$18*$B$20*$B$22,0)</f>
        <v/>
      </c>
      <c r="T32" s="29">
        <f>ROUND($B$4*$B$9*$B$11*$B$16*$B$17*$B$19*$B$21,0)</f>
        <v/>
      </c>
      <c r="U32" s="29">
        <f>ROUND($B$4*$B$9*$B$11*$B$16*$B$17*$B$19*$B$22,0)</f>
        <v/>
      </c>
      <c r="V32" s="29">
        <f>ROUND($B$4*$B$9*$B$11*$B$16*$B$17*$B$20*$B$21,0)</f>
        <v/>
      </c>
      <c r="W32" s="29">
        <f>ROUND($B$4*$B$9*$B$11*$B$16*$B$17*$B$20*$B$22,0)</f>
        <v/>
      </c>
      <c r="X32" s="29">
        <f>ROUND($B$4*$B$9*$B$11*$B$16*$B$18*$B$19*$B$21,0)</f>
        <v/>
      </c>
      <c r="Y32" s="29">
        <f>ROUND($B$4*$B$9*$B$11*$B$16*$B$18*$B$19*$B$22,0)</f>
        <v/>
      </c>
      <c r="Z32" s="29">
        <f>ROUND($B$4*$B$9*$B$11*$B$16*$B$18*$B$20*$B$21,0)</f>
        <v/>
      </c>
      <c r="AA32" s="29">
        <f>ROUND($B$4*$B$9*$B$11*$B$16*$B$18*$B$20*$B$22,0)</f>
        <v/>
      </c>
    </row>
    <row r="33" ht="20.1" customHeight="1" s="62">
      <c r="A33" s="81" t="n"/>
      <c r="B33" s="58" t="n"/>
      <c r="C33" s="73" t="inlineStr">
        <is>
          <t>Infrastructure standard</t>
        </is>
      </c>
      <c r="D33" s="29">
        <f>ROUND($B$4*$B$9*$B$12*$B$14*$B$17*$B$19*$B$21,0)</f>
        <v/>
      </c>
      <c r="E33" s="29">
        <f>ROUND($B$4*$B$9*$B$12*$B$14*$B$17*$B$19*$B$22,0)</f>
        <v/>
      </c>
      <c r="F33" s="29">
        <f>ROUND($B$4*$B$9*$B$12*$B$14*$B$17*$B$20*$B$21,0)</f>
        <v/>
      </c>
      <c r="G33" s="29">
        <f>ROUND($B$4*$B$9*$B$12*$B$14*$B$17*$B$20*$B$22,0)</f>
        <v/>
      </c>
      <c r="H33" s="29">
        <f>ROUND($B$4*$B$9*$B$12*$B$14*$B$18*$B$19*$B$21,0)</f>
        <v/>
      </c>
      <c r="I33" s="29">
        <f>ROUND($B$4*$B$9*$B$12*$B$14*$B$18*$B$19*$B$22,0)</f>
        <v/>
      </c>
      <c r="J33" s="29">
        <f>ROUND($B$4*$B$9*$B$12*$B$14*$B$18*$B$20*$B$21,0)</f>
        <v/>
      </c>
      <c r="K33" s="29">
        <f>ROUND($B$4*$B$9*$B$12*$B$14*$B$18*$B$20*$B$22,0)</f>
        <v/>
      </c>
      <c r="L33" s="29">
        <f>ROUND($B$4*$B$9*$B$12*$B$15*$B$17*$B$19*$B$21,0)</f>
        <v/>
      </c>
      <c r="M33" s="29">
        <f>ROUND($B$4*$B$9*$B$12*$B$15*$B$17*$B$19*$B$22,0)</f>
        <v/>
      </c>
      <c r="N33" s="29">
        <f>ROUND($B$4*$B$9*$B$12*$B$15*$B$17*$B$20*$B$21,0)</f>
        <v/>
      </c>
      <c r="O33" s="29">
        <f>ROUND($B$4*$B$9*$B$12*$B$15*$B$17*$B$20*$B$22,0)</f>
        <v/>
      </c>
      <c r="P33" s="29">
        <f>ROUND($B$4*$B$9*$B$12*$B$15*$B$18*$B$19*$B$21,0)</f>
        <v/>
      </c>
      <c r="Q33" s="29">
        <f>ROUND($B$4*$B$9*$B$12*$B$15*$B$18*$B$19*$B$22,0)</f>
        <v/>
      </c>
      <c r="R33" s="29">
        <f>ROUND($B$4*$B$9*$B$12*$B$15*$B$18*$B$20*$B$21,0)</f>
        <v/>
      </c>
      <c r="S33" s="29">
        <f>ROUND($B$4*$B$9*$B$12*$B$15*$B$18*$B$20*$B$22,0)</f>
        <v/>
      </c>
      <c r="T33" s="29">
        <f>ROUND($B$4*$B$9*$B$12*$B$16*$B$17*$B$19*$B$21,0)</f>
        <v/>
      </c>
      <c r="U33" s="29">
        <f>ROUND($B$4*$B$9*$B$12*$B$16*$B$17*$B$19*$B$22,0)</f>
        <v/>
      </c>
      <c r="V33" s="29">
        <f>ROUND($B$4*$B$9*$B$12*$B$16*$B$17*$B$20*$B$21,0)</f>
        <v/>
      </c>
      <c r="W33" s="29">
        <f>ROUND($B$4*$B$9*$B$12*$B$16*$B$17*$B$20*$B$22,0)</f>
        <v/>
      </c>
      <c r="X33" s="29">
        <f>ROUND($B$4*$B$9*$B$12*$B$16*$B$18*$B$19*$B$21,0)</f>
        <v/>
      </c>
      <c r="Y33" s="29">
        <f>ROUND($B$4*$B$9*$B$12*$B$16*$B$18*$B$19*$B$22,0)</f>
        <v/>
      </c>
      <c r="Z33" s="29">
        <f>ROUND($B$4*$B$9*$B$12*$B$16*$B$18*$B$20*$B$21,0)</f>
        <v/>
      </c>
      <c r="AA33" s="29">
        <f>ROUND($B$4*$B$9*$B$12*$B$16*$B$18*$B$20*$B$22,0)</f>
        <v/>
      </c>
    </row>
    <row r="34" ht="20.1" customHeight="1" s="62">
      <c r="A34" s="81" t="n"/>
      <c r="B34" s="59" t="n"/>
      <c r="C34" s="26" t="inlineStr">
        <is>
          <t>Infrastructure avancée multi-sites</t>
        </is>
      </c>
      <c r="D34" s="29">
        <f>ROUND($B$4*$B$9*$B$13*$B$14*$B$17*$B$19*$B$21,0)</f>
        <v/>
      </c>
      <c r="E34" s="29">
        <f>ROUND($B$4*$B$9*$B$13*$B$14*$B$17*$B$19*$B$22,0)</f>
        <v/>
      </c>
      <c r="F34" s="29">
        <f>ROUND($B$4*$B$9*$B$13*$B$14*$B$17*$B$20*$B$21,0)</f>
        <v/>
      </c>
      <c r="G34" s="29">
        <f>ROUND($B$4*$B$9*$B$13*$B$14*$B$17*$B$20*$B$22,0)</f>
        <v/>
      </c>
      <c r="H34" s="29">
        <f>ROUND($B$4*$B$9*$B$13*$B$14*$B$18*$B$19*$B$21,0)</f>
        <v/>
      </c>
      <c r="I34" s="29">
        <f>ROUND($B$4*$B$9*$B$13*$B$14*$B$18*$B$19*$B$22,0)</f>
        <v/>
      </c>
      <c r="J34" s="29">
        <f>ROUND($B$4*$B$9*$B$13*$B$14*$B$18*$B$20*$B$21,0)</f>
        <v/>
      </c>
      <c r="K34" s="29">
        <f>ROUND($B$4*$B$9*$B$13*$B$14*$B$18*$B$20*$B$22,0)</f>
        <v/>
      </c>
      <c r="L34" s="29">
        <f>ROUND($B$4*$B$9*$B$13*$B$15*$B$17*$B$19*$B$21,0)</f>
        <v/>
      </c>
      <c r="M34" s="29">
        <f>ROUND($B$4*$B$9*$B$13*$B$15*$B$17*$B$19*$B$22,0)</f>
        <v/>
      </c>
      <c r="N34" s="29">
        <f>ROUND($B$4*$B$9*$B$13*$B$15*$B$17*$B$20*$B$21,0)</f>
        <v/>
      </c>
      <c r="O34" s="29">
        <f>ROUND($B$4*$B$9*$B$13*$B$15*$B$17*$B$20*$B$22,0)</f>
        <v/>
      </c>
      <c r="P34" s="29">
        <f>ROUND($B$4*$B$9*$B$13*$B$15*$B$18*$B$19*$B$21,0)</f>
        <v/>
      </c>
      <c r="Q34" s="29">
        <f>ROUND($B$4*$B$9*$B$13*$B$15*$B$18*$B$19*$B$22,0)</f>
        <v/>
      </c>
      <c r="R34" s="29">
        <f>ROUND($B$4*$B$9*$B$13*$B$15*$B$18*$B$20*$B$21,0)</f>
        <v/>
      </c>
      <c r="S34" s="29">
        <f>ROUND($B$4*$B$9*$B$13*$B$15*$B$18*$B$20*$B$22,0)</f>
        <v/>
      </c>
      <c r="T34" s="29">
        <f>ROUND($B$4*$B$9*$B$13*$B$16*$B$17*$B$19*$B$21,0)</f>
        <v/>
      </c>
      <c r="U34" s="29">
        <f>ROUND($B$4*$B$9*$B$13*$B$16*$B$17*$B$19*$B$22,0)</f>
        <v/>
      </c>
      <c r="V34" s="29">
        <f>ROUND($B$4*$B$9*$B$13*$B$16*$B$17*$B$20*$B$21,0)</f>
        <v/>
      </c>
      <c r="W34" s="29">
        <f>ROUND($B$4*$B$9*$B$13*$B$16*$B$17*$B$20*$B$22,0)</f>
        <v/>
      </c>
      <c r="X34" s="29">
        <f>ROUND($B$4*$B$9*$B$13*$B$16*$B$18*$B$19*$B$21,0)</f>
        <v/>
      </c>
      <c r="Y34" s="29">
        <f>ROUND($B$4*$B$9*$B$13*$B$16*$B$18*$B$19*$B$22,0)</f>
        <v/>
      </c>
      <c r="Z34" s="29">
        <f>ROUND($B$4*$B$9*$B$13*$B$16*$B$18*$B$20*$B$21,0)</f>
        <v/>
      </c>
      <c r="AA34" s="29">
        <f>ROUND($B$4*$B$9*$B$13*$B$16*$B$18*$B$20*$B$22,0)</f>
        <v/>
      </c>
    </row>
    <row r="35" ht="20.1" customHeight="1" s="62">
      <c r="A35" s="81" t="n"/>
      <c r="B35" s="73" t="inlineStr">
        <is>
          <t>6+ serveurs</t>
        </is>
      </c>
      <c r="C35" s="24" t="inlineStr">
        <is>
          <t>Infrastructure simple</t>
        </is>
      </c>
      <c r="D35" s="29">
        <f>ROUND($B$4*$B$10*$B$11*$B$14*$B$17*$B$19*$B$21,0)</f>
        <v/>
      </c>
      <c r="E35" s="29">
        <f>ROUND($B$4*$B$10*$B$11*$B$14*$B$17*$B$19*$B$22,0)</f>
        <v/>
      </c>
      <c r="F35" s="29">
        <f>ROUND($B$4*$B$10*$B$11*$B$14*$B$17*$B$20*$B$21,0)</f>
        <v/>
      </c>
      <c r="G35" s="29">
        <f>ROUND($B$4*$B$10*$B$11*$B$14*$B$17*$B$20*$B$22,0)</f>
        <v/>
      </c>
      <c r="H35" s="29">
        <f>ROUND($B$4*$B$10*$B$11*$B$14*$B$18*$B$19*$B$21,0)</f>
        <v/>
      </c>
      <c r="I35" s="29">
        <f>ROUND($B$4*$B$10*$B$11*$B$14*$B$18*$B$19*$B$22,0)</f>
        <v/>
      </c>
      <c r="J35" s="29">
        <f>ROUND($B$4*$B$10*$B$11*$B$14*$B$18*$B$20*$B$21,0)</f>
        <v/>
      </c>
      <c r="K35" s="29">
        <f>ROUND($B$4*$B$10*$B$11*$B$14*$B$18*$B$20*$B$22,0)</f>
        <v/>
      </c>
      <c r="L35" s="29">
        <f>ROUND($B$4*$B$10*$B$11*$B$15*$B$17*$B$19*$B$21,0)</f>
        <v/>
      </c>
      <c r="M35" s="29">
        <f>ROUND($B$4*$B$10*$B$11*$B$15*$B$17*$B$19*$B$22,0)</f>
        <v/>
      </c>
      <c r="N35" s="29">
        <f>ROUND($B$4*$B$10*$B$11*$B$15*$B$17*$B$20*$B$21,0)</f>
        <v/>
      </c>
      <c r="O35" s="29">
        <f>ROUND($B$4*$B$10*$B$11*$B$15*$B$17*$B$20*$B$22,0)</f>
        <v/>
      </c>
      <c r="P35" s="29">
        <f>ROUND($B$4*$B$10*$B$11*$B$15*$B$18*$B$19*$B$21,0)</f>
        <v/>
      </c>
      <c r="Q35" s="29">
        <f>ROUND($B$4*$B$10*$B$11*$B$15*$B$18*$B$19*$B$22,0)</f>
        <v/>
      </c>
      <c r="R35" s="29">
        <f>ROUND($B$4*$B$10*$B$11*$B$15*$B$18*$B$20*$B$21,0)</f>
        <v/>
      </c>
      <c r="S35" s="29">
        <f>ROUND($B$4*$B$10*$B$11*$B$15*$B$18*$B$20*$B$22,0)</f>
        <v/>
      </c>
      <c r="T35" s="29">
        <f>ROUND($B$4*$B$10*$B$11*$B$16*$B$17*$B$19*$B$21,0)</f>
        <v/>
      </c>
      <c r="U35" s="29">
        <f>ROUND($B$4*$B$10*$B$11*$B$16*$B$17*$B$19*$B$22,0)</f>
        <v/>
      </c>
      <c r="V35" s="29">
        <f>ROUND($B$4*$B$10*$B$11*$B$16*$B$17*$B$20*$B$21,0)</f>
        <v/>
      </c>
      <c r="W35" s="29">
        <f>ROUND($B$4*$B$10*$B$11*$B$16*$B$17*$B$20*$B$22,0)</f>
        <v/>
      </c>
      <c r="X35" s="29">
        <f>ROUND($B$4*$B$10*$B$11*$B$16*$B$18*$B$19*$B$21,0)</f>
        <v/>
      </c>
      <c r="Y35" s="29">
        <f>ROUND($B$4*$B$10*$B$11*$B$16*$B$18*$B$19*$B$22,0)</f>
        <v/>
      </c>
      <c r="Z35" s="29">
        <f>ROUND($B$4*$B$10*$B$11*$B$16*$B$18*$B$20*$B$21,0)</f>
        <v/>
      </c>
      <c r="AA35" s="29">
        <f>ROUND($B$4*$B$10*$B$11*$B$16*$B$18*$B$20*$B$22,0)</f>
        <v/>
      </c>
    </row>
    <row r="36" ht="20.1" customHeight="1" s="62">
      <c r="A36" s="81" t="n"/>
      <c r="B36" s="58" t="n"/>
      <c r="C36" s="73" t="inlineStr">
        <is>
          <t>Infrastructure standard</t>
        </is>
      </c>
      <c r="D36" s="29">
        <f>ROUND($B$4*$B$10*$B$12*$B$14*$B$17*$B$19*$B$21,0)</f>
        <v/>
      </c>
      <c r="E36" s="29">
        <f>ROUND($B$4*$B$10*$B$12*$B$14*$B$17*$B$19*$B$22,0)</f>
        <v/>
      </c>
      <c r="F36" s="29">
        <f>ROUND($B$4*$B$10*$B$12*$B$14*$B$17*$B$20*$B$21,0)</f>
        <v/>
      </c>
      <c r="G36" s="29">
        <f>ROUND($B$4*$B$10*$B$12*$B$14*$B$17*$B$20*$B$22,0)</f>
        <v/>
      </c>
      <c r="H36" s="29">
        <f>ROUND($B$4*$B$10*$B$12*$B$14*$B$18*$B$19*$B$21,0)</f>
        <v/>
      </c>
      <c r="I36" s="29">
        <f>ROUND($B$4*$B$10*$B$12*$B$14*$B$18*$B$19*$B$22,0)</f>
        <v/>
      </c>
      <c r="J36" s="29">
        <f>ROUND($B$4*$B$10*$B$12*$B$14*$B$18*$B$20*$B$21,0)</f>
        <v/>
      </c>
      <c r="K36" s="29">
        <f>ROUND($B$4*$B$10*$B$12*$B$14*$B$18*$B$20*$B$22,0)</f>
        <v/>
      </c>
      <c r="L36" s="29">
        <f>ROUND($B$4*$B$10*$B$12*$B$15*$B$17*$B$19*$B$21,0)</f>
        <v/>
      </c>
      <c r="M36" s="29">
        <f>ROUND($B$4*$B$10*$B$12*$B$15*$B$17*$B$19*$B$22,0)</f>
        <v/>
      </c>
      <c r="N36" s="29">
        <f>ROUND($B$4*$B$10*$B$12*$B$15*$B$17*$B$20*$B$21,0)</f>
        <v/>
      </c>
      <c r="O36" s="29">
        <f>ROUND($B$4*$B$10*$B$12*$B$15*$B$17*$B$20*$B$22,0)</f>
        <v/>
      </c>
      <c r="P36" s="29">
        <f>ROUND($B$4*$B$10*$B$12*$B$15*$B$18*$B$19*$B$21,0)</f>
        <v/>
      </c>
      <c r="Q36" s="29">
        <f>ROUND($B$4*$B$10*$B$12*$B$15*$B$18*$B$19*$B$22,0)</f>
        <v/>
      </c>
      <c r="R36" s="29">
        <f>ROUND($B$4*$B$10*$B$12*$B$15*$B$18*$B$20*$B$21,0)</f>
        <v/>
      </c>
      <c r="S36" s="29">
        <f>ROUND($B$4*$B$10*$B$12*$B$15*$B$18*$B$20*$B$22,0)</f>
        <v/>
      </c>
      <c r="T36" s="29">
        <f>ROUND($B$4*$B$10*$B$12*$B$16*$B$17*$B$19*$B$21,0)</f>
        <v/>
      </c>
      <c r="U36" s="29">
        <f>ROUND($B$4*$B$10*$B$12*$B$16*$B$17*$B$19*$B$22,0)</f>
        <v/>
      </c>
      <c r="V36" s="29">
        <f>ROUND($B$4*$B$10*$B$12*$B$16*$B$17*$B$20*$B$21,0)</f>
        <v/>
      </c>
      <c r="W36" s="29">
        <f>ROUND($B$4*$B$10*$B$12*$B$16*$B$17*$B$20*$B$22,0)</f>
        <v/>
      </c>
      <c r="X36" s="29">
        <f>ROUND($B$4*$B$10*$B$12*$B$16*$B$18*$B$19*$B$21,0)</f>
        <v/>
      </c>
      <c r="Y36" s="29">
        <f>ROUND($B$4*$B$10*$B$12*$B$16*$B$18*$B$19*$B$22,0)</f>
        <v/>
      </c>
      <c r="Z36" s="29">
        <f>ROUND($B$4*$B$10*$B$12*$B$16*$B$18*$B$20*$B$21,0)</f>
        <v/>
      </c>
      <c r="AA36" s="29">
        <f>ROUND($B$4*$B$10*$B$12*$B$16*$B$18*$B$20*$B$22,0)</f>
        <v/>
      </c>
    </row>
    <row r="37" ht="20.1" customHeight="1" s="62">
      <c r="A37" s="82" t="n"/>
      <c r="B37" s="59" t="n"/>
      <c r="C37" s="26" t="inlineStr">
        <is>
          <t>Infrastructure avancée multi-sites</t>
        </is>
      </c>
      <c r="D37" s="29">
        <f>ROUND($B$4*$B$10*$B$13*$B$14*$B$17*$B$19*$B$21,0)</f>
        <v/>
      </c>
      <c r="E37" s="29">
        <f>ROUND($B$4*$B$10*$B$13*$B$14*$B$17*$B$19*$B$22,0)</f>
        <v/>
      </c>
      <c r="F37" s="29">
        <f>ROUND($B$4*$B$10*$B$13*$B$14*$B$17*$B$20*$B$21,0)</f>
        <v/>
      </c>
      <c r="G37" s="29">
        <f>ROUND($B$4*$B$10*$B$13*$B$14*$B$17*$B$20*$B$22,0)</f>
        <v/>
      </c>
      <c r="H37" s="29">
        <f>ROUND($B$4*$B$10*$B$13*$B$14*$B$18*$B$19*$B$21,0)</f>
        <v/>
      </c>
      <c r="I37" s="29">
        <f>ROUND($B$4*$B$10*$B$13*$B$14*$B$18*$B$19*$B$22,0)</f>
        <v/>
      </c>
      <c r="J37" s="29">
        <f>ROUND($B$4*$B$10*$B$13*$B$14*$B$18*$B$20*$B$21,0)</f>
        <v/>
      </c>
      <c r="K37" s="29">
        <f>ROUND($B$4*$B$10*$B$13*$B$14*$B$18*$B$20*$B$22,0)</f>
        <v/>
      </c>
      <c r="L37" s="29">
        <f>ROUND($B$4*$B$10*$B$13*$B$15*$B$17*$B$19*$B$21,0)</f>
        <v/>
      </c>
      <c r="M37" s="29">
        <f>ROUND($B$4*$B$10*$B$13*$B$15*$B$17*$B$19*$B$22,0)</f>
        <v/>
      </c>
      <c r="N37" s="29">
        <f>ROUND($B$4*$B$10*$B$13*$B$15*$B$17*$B$20*$B$21,0)</f>
        <v/>
      </c>
      <c r="O37" s="29">
        <f>ROUND($B$4*$B$10*$B$13*$B$15*$B$17*$B$20*$B$22,0)</f>
        <v/>
      </c>
      <c r="P37" s="29">
        <f>ROUND($B$4*$B$10*$B$13*$B$15*$B$18*$B$19*$B$21,0)</f>
        <v/>
      </c>
      <c r="Q37" s="29">
        <f>ROUND($B$4*$B$10*$B$13*$B$15*$B$18*$B$19*$B$22,0)</f>
        <v/>
      </c>
      <c r="R37" s="29">
        <f>ROUND($B$4*$B$10*$B$13*$B$15*$B$18*$B$20*$B$21,0)</f>
        <v/>
      </c>
      <c r="S37" s="29">
        <f>ROUND($B$4*$B$10*$B$13*$B$15*$B$18*$B$20*$B$22,0)</f>
        <v/>
      </c>
      <c r="T37" s="29">
        <f>ROUND($B$4*$B$10*$B$13*$B$16*$B$17*$B$19*$B$21,0)</f>
        <v/>
      </c>
      <c r="U37" s="29">
        <f>ROUND($B$4*$B$10*$B$13*$B$16*$B$17*$B$19*$B$22,0)</f>
        <v/>
      </c>
      <c r="V37" s="29">
        <f>ROUND($B$4*$B$10*$B$13*$B$16*$B$17*$B$20*$B$21,0)</f>
        <v/>
      </c>
      <c r="W37" s="29">
        <f>ROUND($B$4*$B$10*$B$13*$B$16*$B$17*$B$20*$B$22,0)</f>
        <v/>
      </c>
      <c r="X37" s="29">
        <f>ROUND($B$4*$B$10*$B$13*$B$16*$B$18*$B$19*$B$21,0)</f>
        <v/>
      </c>
      <c r="Y37" s="29">
        <f>ROUND($B$4*$B$10*$B$13*$B$16*$B$18*$B$19*$B$22,0)</f>
        <v/>
      </c>
      <c r="Z37" s="29">
        <f>ROUND($B$4*$B$10*$B$13*$B$16*$B$18*$B$20*$B$21,0)</f>
        <v/>
      </c>
      <c r="AA37" s="29">
        <f>ROUND($B$4*$B$10*$B$13*$B$16*$B$18*$B$20*$B$22,0)</f>
        <v/>
      </c>
    </row>
    <row r="38" ht="20.1" customHeight="1" s="62">
      <c r="A38" s="80" t="inlineStr">
        <is>
          <t>Serveur dédié</t>
        </is>
      </c>
      <c r="B38" s="73" t="inlineStr">
        <is>
          <t>1 serveur</t>
        </is>
      </c>
      <c r="C38" s="24" t="inlineStr">
        <is>
          <t>Infrastructure simple</t>
        </is>
      </c>
      <c r="D38" s="29">
        <f>ROUND($B$5*$B$8*$B$11*$B$14*$B$17*$B$19*$B$21,0)</f>
        <v/>
      </c>
      <c r="E38" s="29">
        <f>ROUND($B$5*$B$8*$B$11*$B$14*$B$17*$B$19*$B$22,0)</f>
        <v/>
      </c>
      <c r="F38" s="29">
        <f>ROUND($B$5*$B$8*$B$11*$B$14*$B$17*$B$20*$B$21,0)</f>
        <v/>
      </c>
      <c r="G38" s="29">
        <f>ROUND($B$5*$B$8*$B$11*$B$14*$B$17*$B$20*$B$22,0)</f>
        <v/>
      </c>
      <c r="H38" s="29">
        <f>ROUND($B$5*$B$8*$B$11*$B$14*$B$18*$B$19*$B$21,0)</f>
        <v/>
      </c>
      <c r="I38" s="29">
        <f>ROUND($B$5*$B$8*$B$11*$B$14*$B$18*$B$19*$B$22,0)</f>
        <v/>
      </c>
      <c r="J38" s="29">
        <f>ROUND($B$5*$B$8*$B$11*$B$14*$B$18*$B$20*$B$21,0)</f>
        <v/>
      </c>
      <c r="K38" s="29">
        <f>ROUND($B$5*$B$8*$B$11*$B$14*$B$18*$B$20*$B$22,0)</f>
        <v/>
      </c>
      <c r="L38" s="29">
        <f>ROUND($B$5*$B$8*$B$11*$B$15*$B$17*$B$19*$B$21,0)</f>
        <v/>
      </c>
      <c r="M38" s="29">
        <f>ROUND($B$5*$B$8*$B$11*$B$15*$B$17*$B$19*$B$22,0)</f>
        <v/>
      </c>
      <c r="N38" s="29">
        <f>ROUND($B$5*$B$8*$B$11*$B$15*$B$17*$B$20*$B$21,0)</f>
        <v/>
      </c>
      <c r="O38" s="29">
        <f>ROUND($B$5*$B$8*$B$11*$B$15*$B$17*$B$20*$B$22,0)</f>
        <v/>
      </c>
      <c r="P38" s="29">
        <f>ROUND($B$5*$B$8*$B$11*$B$15*$B$18*$B$19*$B$21,0)</f>
        <v/>
      </c>
      <c r="Q38" s="29">
        <f>ROUND($B$5*$B$8*$B$11*$B$15*$B$18*$B$19*$B$22,0)</f>
        <v/>
      </c>
      <c r="R38" s="29">
        <f>ROUND($B$5*$B$8*$B$11*$B$15*$B$18*$B$20*$B$21,0)</f>
        <v/>
      </c>
      <c r="S38" s="29">
        <f>ROUND($B$5*$B$8*$B$11*$B$15*$B$18*$B$20*$B$22,0)</f>
        <v/>
      </c>
      <c r="T38" s="29">
        <f>ROUND($B$5*$B$8*$B$11*$B$16*$B$17*$B$19*$B$21,0)</f>
        <v/>
      </c>
      <c r="U38" s="29">
        <f>ROUND($B$5*$B$8*$B$11*$B$16*$B$17*$B$19*$B$22,0)</f>
        <v/>
      </c>
      <c r="V38" s="29">
        <f>ROUND($B$5*$B$8*$B$11*$B$16*$B$17*$B$20*$B$21,0)</f>
        <v/>
      </c>
      <c r="W38" s="29">
        <f>ROUND($B$5*$B$8*$B$11*$B$16*$B$17*$B$20*$B$22,0)</f>
        <v/>
      </c>
      <c r="X38" s="29">
        <f>ROUND($B$5*$B$8*$B$11*$B$16*$B$18*$B$19*$B$21,0)</f>
        <v/>
      </c>
      <c r="Y38" s="29">
        <f>ROUND($B$5*$B$8*$B$11*$B$16*$B$18*$B$19*$B$22,0)</f>
        <v/>
      </c>
      <c r="Z38" s="29">
        <f>ROUND($B$5*$B$8*$B$11*$B$16*$B$18*$B$20*$B$21,0)</f>
        <v/>
      </c>
      <c r="AA38" s="29">
        <f>ROUND($B$5*$B$8*$B$11*$B$16*$B$18*$B$20*$B$22,0)</f>
        <v/>
      </c>
    </row>
    <row r="39" ht="20.1" customHeight="1" s="62">
      <c r="A39" s="81" t="n"/>
      <c r="B39" s="58" t="n"/>
      <c r="C39" s="73" t="inlineStr">
        <is>
          <t>Infrastructure standard</t>
        </is>
      </c>
      <c r="D39" s="29">
        <f>ROUND($B$5*$B$8*$B$12*$B$14*$B$17*$B$19*$B$21,0)</f>
        <v/>
      </c>
      <c r="E39" s="29">
        <f>ROUND($B$5*$B$8*$B$12*$B$14*$B$17*$B$19*$B$22,0)</f>
        <v/>
      </c>
      <c r="F39" s="29">
        <f>ROUND($B$5*$B$8*$B$12*$B$14*$B$17*$B$20*$B$21,0)</f>
        <v/>
      </c>
      <c r="G39" s="29">
        <f>ROUND($B$5*$B$8*$B$12*$B$14*$B$17*$B$20*$B$22,0)</f>
        <v/>
      </c>
      <c r="H39" s="29">
        <f>ROUND($B$5*$B$8*$B$12*$B$14*$B$18*$B$19*$B$21,0)</f>
        <v/>
      </c>
      <c r="I39" s="29">
        <f>ROUND($B$5*$B$8*$B$12*$B$14*$B$18*$B$19*$B$22,0)</f>
        <v/>
      </c>
      <c r="J39" s="29">
        <f>ROUND($B$5*$B$8*$B$12*$B$14*$B$18*$B$20*$B$21,0)</f>
        <v/>
      </c>
      <c r="K39" s="29">
        <f>ROUND($B$5*$B$8*$B$12*$B$14*$B$18*$B$20*$B$22,0)</f>
        <v/>
      </c>
      <c r="L39" s="29">
        <f>ROUND($B$5*$B$8*$B$12*$B$15*$B$17*$B$19*$B$21,0)</f>
        <v/>
      </c>
      <c r="M39" s="29">
        <f>ROUND($B$5*$B$8*$B$12*$B$15*$B$17*$B$19*$B$22,0)</f>
        <v/>
      </c>
      <c r="N39" s="29">
        <f>ROUND($B$5*$B$8*$B$12*$B$15*$B$17*$B$20*$B$21,0)</f>
        <v/>
      </c>
      <c r="O39" s="29">
        <f>ROUND($B$5*$B$8*$B$12*$B$15*$B$17*$B$20*$B$22,0)</f>
        <v/>
      </c>
      <c r="P39" s="29">
        <f>ROUND($B$5*$B$8*$B$12*$B$15*$B$18*$B$19*$B$21,0)</f>
        <v/>
      </c>
      <c r="Q39" s="29">
        <f>ROUND($B$5*$B$8*$B$12*$B$15*$B$18*$B$19*$B$22,0)</f>
        <v/>
      </c>
      <c r="R39" s="29">
        <f>ROUND($B$5*$B$8*$B$12*$B$15*$B$18*$B$20*$B$21,0)</f>
        <v/>
      </c>
      <c r="S39" s="29">
        <f>ROUND($B$5*$B$8*$B$12*$B$15*$B$18*$B$20*$B$22,0)</f>
        <v/>
      </c>
      <c r="T39" s="29">
        <f>ROUND($B$5*$B$8*$B$12*$B$16*$B$17*$B$19*$B$21,0)</f>
        <v/>
      </c>
      <c r="U39" s="29">
        <f>ROUND($B$5*$B$8*$B$12*$B$16*$B$17*$B$19*$B$22,0)</f>
        <v/>
      </c>
      <c r="V39" s="29">
        <f>ROUND($B$5*$B$8*$B$12*$B$16*$B$17*$B$20*$B$21,0)</f>
        <v/>
      </c>
      <c r="W39" s="29">
        <f>ROUND($B$5*$B$8*$B$12*$B$16*$B$17*$B$20*$B$22,0)</f>
        <v/>
      </c>
      <c r="X39" s="29">
        <f>ROUND($B$5*$B$8*$B$12*$B$16*$B$18*$B$19*$B$21,0)</f>
        <v/>
      </c>
      <c r="Y39" s="29">
        <f>ROUND($B$5*$B$8*$B$12*$B$16*$B$18*$B$19*$B$22,0)</f>
        <v/>
      </c>
      <c r="Z39" s="29">
        <f>ROUND($B$5*$B$8*$B$12*$B$16*$B$18*$B$20*$B$21,0)</f>
        <v/>
      </c>
      <c r="AA39" s="29">
        <f>ROUND($B$5*$B$8*$B$12*$B$16*$B$18*$B$20*$B$22,0)</f>
        <v/>
      </c>
    </row>
    <row r="40" ht="20.1" customHeight="1" s="62">
      <c r="A40" s="81" t="n"/>
      <c r="B40" s="59" t="n"/>
      <c r="C40" s="26" t="inlineStr">
        <is>
          <t>Infrastructure avancée multi-sites</t>
        </is>
      </c>
      <c r="D40" s="29">
        <f>ROUND($B$5*$B$8*$B$13*$B$14*$B$17*$B$19*$B$21,0)</f>
        <v/>
      </c>
      <c r="E40" s="29">
        <f>ROUND($B$5*$B$8*$B$13*$B$14*$B$17*$B$19*$B$22,0)</f>
        <v/>
      </c>
      <c r="F40" s="29">
        <f>ROUND($B$5*$B$8*$B$13*$B$14*$B$17*$B$20*$B$21,0)</f>
        <v/>
      </c>
      <c r="G40" s="29">
        <f>ROUND($B$5*$B$8*$B$13*$B$14*$B$17*$B$20*$B$22,0)</f>
        <v/>
      </c>
      <c r="H40" s="29">
        <f>ROUND($B$5*$B$8*$B$13*$B$14*$B$18*$B$19*$B$21,0)</f>
        <v/>
      </c>
      <c r="I40" s="29">
        <f>ROUND($B$5*$B$8*$B$13*$B$14*$B$18*$B$19*$B$22,0)</f>
        <v/>
      </c>
      <c r="J40" s="29">
        <f>ROUND($B$5*$B$8*$B$13*$B$14*$B$18*$B$20*$B$21,0)</f>
        <v/>
      </c>
      <c r="K40" s="29">
        <f>ROUND($B$5*$B$8*$B$13*$B$14*$B$18*$B$20*$B$22,0)</f>
        <v/>
      </c>
      <c r="L40" s="29">
        <f>ROUND($B$5*$B$8*$B$13*$B$15*$B$17*$B$19*$B$21,0)</f>
        <v/>
      </c>
      <c r="M40" s="29">
        <f>ROUND($B$5*$B$8*$B$13*$B$15*$B$17*$B$19*$B$22,0)</f>
        <v/>
      </c>
      <c r="N40" s="29">
        <f>ROUND($B$5*$B$8*$B$13*$B$15*$B$17*$B$20*$B$21,0)</f>
        <v/>
      </c>
      <c r="O40" s="29">
        <f>ROUND($B$5*$B$8*$B$13*$B$15*$B$17*$B$20*$B$22,0)</f>
        <v/>
      </c>
      <c r="P40" s="29">
        <f>ROUND($B$5*$B$8*$B$13*$B$15*$B$18*$B$19*$B$21,0)</f>
        <v/>
      </c>
      <c r="Q40" s="29">
        <f>ROUND($B$5*$B$8*$B$13*$B$15*$B$18*$B$19*$B$22,0)</f>
        <v/>
      </c>
      <c r="R40" s="29">
        <f>ROUND($B$5*$B$8*$B$13*$B$15*$B$18*$B$20*$B$21,0)</f>
        <v/>
      </c>
      <c r="S40" s="29">
        <f>ROUND($B$5*$B$8*$B$13*$B$15*$B$18*$B$20*$B$22,0)</f>
        <v/>
      </c>
      <c r="T40" s="29">
        <f>ROUND($B$5*$B$8*$B$13*$B$16*$B$17*$B$19*$B$21,0)</f>
        <v/>
      </c>
      <c r="U40" s="29">
        <f>ROUND($B$5*$B$8*$B$13*$B$16*$B$17*$B$19*$B$22,0)</f>
        <v/>
      </c>
      <c r="V40" s="29">
        <f>ROUND($B$5*$B$8*$B$13*$B$16*$B$17*$B$20*$B$21,0)</f>
        <v/>
      </c>
      <c r="W40" s="29">
        <f>ROUND($B$5*$B$8*$B$13*$B$16*$B$17*$B$20*$B$22,0)</f>
        <v/>
      </c>
      <c r="X40" s="29">
        <f>ROUND($B$5*$B$8*$B$13*$B$16*$B$18*$B$19*$B$21,0)</f>
        <v/>
      </c>
      <c r="Y40" s="29">
        <f>ROUND($B$5*$B$8*$B$13*$B$16*$B$18*$B$19*$B$22,0)</f>
        <v/>
      </c>
      <c r="Z40" s="29">
        <f>ROUND($B$5*$B$8*$B$13*$B$16*$B$18*$B$20*$B$21,0)</f>
        <v/>
      </c>
      <c r="AA40" s="29">
        <f>ROUND($B$5*$B$8*$B$13*$B$16*$B$18*$B$20*$B$22,0)</f>
        <v/>
      </c>
    </row>
    <row r="41" ht="20.1" customHeight="1" s="62">
      <c r="A41" s="81" t="n"/>
      <c r="B41" s="73" t="inlineStr">
        <is>
          <t>2-5 serveurs</t>
        </is>
      </c>
      <c r="C41" s="24" t="inlineStr">
        <is>
          <t>Infrastructure simple</t>
        </is>
      </c>
      <c r="D41" s="29">
        <f>ROUND($B$5*$B$9*$B$11*$B$14*$B$17*$B$19*$B$21,0)</f>
        <v/>
      </c>
      <c r="E41" s="29">
        <f>ROUND($B$5*$B$9*$B$11*$B$14*$B$17*$B$19*$B$22,0)</f>
        <v/>
      </c>
      <c r="F41" s="29">
        <f>ROUND($B$5*$B$9*$B$11*$B$14*$B$17*$B$20*$B$21,0)</f>
        <v/>
      </c>
      <c r="G41" s="29">
        <f>ROUND($B$5*$B$9*$B$11*$B$14*$B$17*$B$20*$B$22,0)</f>
        <v/>
      </c>
      <c r="H41" s="29">
        <f>ROUND($B$5*$B$9*$B$11*$B$14*$B$18*$B$19*$B$21,0)</f>
        <v/>
      </c>
      <c r="I41" s="29">
        <f>ROUND($B$5*$B$9*$B$11*$B$14*$B$18*$B$19*$B$22,0)</f>
        <v/>
      </c>
      <c r="J41" s="29">
        <f>ROUND($B$5*$B$9*$B$11*$B$14*$B$18*$B$20*$B$21,0)</f>
        <v/>
      </c>
      <c r="K41" s="29">
        <f>ROUND($B$5*$B$9*$B$11*$B$14*$B$18*$B$20*$B$22,0)</f>
        <v/>
      </c>
      <c r="L41" s="29">
        <f>ROUND($B$5*$B$9*$B$11*$B$15*$B$17*$B$19*$B$21,0)</f>
        <v/>
      </c>
      <c r="M41" s="29">
        <f>ROUND($B$5*$B$9*$B$11*$B$15*$B$17*$B$19*$B$22,0)</f>
        <v/>
      </c>
      <c r="N41" s="29">
        <f>ROUND($B$5*$B$9*$B$11*$B$15*$B$17*$B$20*$B$21,0)</f>
        <v/>
      </c>
      <c r="O41" s="29">
        <f>ROUND($B$5*$B$9*$B$11*$B$15*$B$17*$B$20*$B$22,0)</f>
        <v/>
      </c>
      <c r="P41" s="29">
        <f>ROUND($B$5*$B$9*$B$11*$B$15*$B$18*$B$19*$B$21,0)</f>
        <v/>
      </c>
      <c r="Q41" s="29">
        <f>ROUND($B$5*$B$9*$B$11*$B$15*$B$18*$B$19*$B$22,0)</f>
        <v/>
      </c>
      <c r="R41" s="29">
        <f>ROUND($B$5*$B$9*$B$11*$B$15*$B$18*$B$20*$B$21,0)</f>
        <v/>
      </c>
      <c r="S41" s="29">
        <f>ROUND($B$5*$B$9*$B$11*$B$15*$B$18*$B$20*$B$22,0)</f>
        <v/>
      </c>
      <c r="T41" s="29">
        <f>ROUND($B$5*$B$9*$B$11*$B$16*$B$17*$B$19*$B$21,0)</f>
        <v/>
      </c>
      <c r="U41" s="29">
        <f>ROUND($B$5*$B$9*$B$11*$B$16*$B$17*$B$19*$B$22,0)</f>
        <v/>
      </c>
      <c r="V41" s="29">
        <f>ROUND($B$5*$B$9*$B$11*$B$16*$B$17*$B$20*$B$21,0)</f>
        <v/>
      </c>
      <c r="W41" s="29">
        <f>ROUND($B$5*$B$9*$B$11*$B$16*$B$17*$B$20*$B$22,0)</f>
        <v/>
      </c>
      <c r="X41" s="29">
        <f>ROUND($B$5*$B$9*$B$11*$B$16*$B$18*$B$19*$B$21,0)</f>
        <v/>
      </c>
      <c r="Y41" s="29">
        <f>ROUND($B$5*$B$9*$B$11*$B$16*$B$18*$B$19*$B$22,0)</f>
        <v/>
      </c>
      <c r="Z41" s="29">
        <f>ROUND($B$5*$B$9*$B$11*$B$16*$B$18*$B$20*$B$21,0)</f>
        <v/>
      </c>
      <c r="AA41" s="29">
        <f>ROUND($B$5*$B$9*$B$11*$B$16*$B$18*$B$20*$B$22,0)</f>
        <v/>
      </c>
    </row>
    <row r="42" ht="20.1" customHeight="1" s="62">
      <c r="A42" s="81" t="n"/>
      <c r="B42" s="58" t="n"/>
      <c r="C42" s="73" t="inlineStr">
        <is>
          <t>Infrastructure standard</t>
        </is>
      </c>
      <c r="D42" s="29">
        <f>ROUND($B$5*$B$9*$B$12*$B$14*$B$17*$B$19*$B$21,0)</f>
        <v/>
      </c>
      <c r="E42" s="29">
        <f>ROUND($B$5*$B$9*$B$12*$B$14*$B$17*$B$19*$B$22,0)</f>
        <v/>
      </c>
      <c r="F42" s="29">
        <f>ROUND($B$5*$B$9*$B$12*$B$14*$B$17*$B$20*$B$21,0)</f>
        <v/>
      </c>
      <c r="G42" s="29">
        <f>ROUND($B$5*$B$9*$B$12*$B$14*$B$17*$B$20*$B$22,0)</f>
        <v/>
      </c>
      <c r="H42" s="29">
        <f>ROUND($B$5*$B$9*$B$12*$B$14*$B$18*$B$19*$B$21,0)</f>
        <v/>
      </c>
      <c r="I42" s="29">
        <f>ROUND($B$5*$B$9*$B$12*$B$14*$B$18*$B$19*$B$22,0)</f>
        <v/>
      </c>
      <c r="J42" s="29">
        <f>ROUND($B$5*$B$9*$B$12*$B$14*$B$18*$B$20*$B$21,0)</f>
        <v/>
      </c>
      <c r="K42" s="29">
        <f>ROUND($B$5*$B$9*$B$12*$B$14*$B$18*$B$20*$B$22,0)</f>
        <v/>
      </c>
      <c r="L42" s="29">
        <f>ROUND($B$5*$B$9*$B$12*$B$15*$B$17*$B$19*$B$21,0)</f>
        <v/>
      </c>
      <c r="M42" s="29">
        <f>ROUND($B$5*$B$9*$B$12*$B$15*$B$17*$B$19*$B$22,0)</f>
        <v/>
      </c>
      <c r="N42" s="29">
        <f>ROUND($B$5*$B$9*$B$12*$B$15*$B$17*$B$20*$B$21,0)</f>
        <v/>
      </c>
      <c r="O42" s="29">
        <f>ROUND($B$5*$B$9*$B$12*$B$15*$B$17*$B$20*$B$22,0)</f>
        <v/>
      </c>
      <c r="P42" s="29">
        <f>ROUND($B$5*$B$9*$B$12*$B$15*$B$18*$B$19*$B$21,0)</f>
        <v/>
      </c>
      <c r="Q42" s="29">
        <f>ROUND($B$5*$B$9*$B$12*$B$15*$B$18*$B$19*$B$22,0)</f>
        <v/>
      </c>
      <c r="R42" s="29">
        <f>ROUND($B$5*$B$9*$B$12*$B$15*$B$18*$B$20*$B$21,0)</f>
        <v/>
      </c>
      <c r="S42" s="29">
        <f>ROUND($B$5*$B$9*$B$12*$B$15*$B$18*$B$20*$B$22,0)</f>
        <v/>
      </c>
      <c r="T42" s="29">
        <f>ROUND($B$5*$B$9*$B$12*$B$16*$B$17*$B$19*$B$21,0)</f>
        <v/>
      </c>
      <c r="U42" s="29">
        <f>ROUND($B$5*$B$9*$B$12*$B$16*$B$17*$B$19*$B$22,0)</f>
        <v/>
      </c>
      <c r="V42" s="29">
        <f>ROUND($B$5*$B$9*$B$12*$B$16*$B$17*$B$20*$B$21,0)</f>
        <v/>
      </c>
      <c r="W42" s="29">
        <f>ROUND($B$5*$B$9*$B$12*$B$16*$B$17*$B$20*$B$22,0)</f>
        <v/>
      </c>
      <c r="X42" s="29">
        <f>ROUND($B$5*$B$9*$B$12*$B$16*$B$18*$B$19*$B$21,0)</f>
        <v/>
      </c>
      <c r="Y42" s="29">
        <f>ROUND($B$5*$B$9*$B$12*$B$16*$B$18*$B$19*$B$22,0)</f>
        <v/>
      </c>
      <c r="Z42" s="29">
        <f>ROUND($B$5*$B$9*$B$12*$B$16*$B$18*$B$20*$B$21,0)</f>
        <v/>
      </c>
      <c r="AA42" s="29">
        <f>ROUND($B$5*$B$9*$B$12*$B$16*$B$18*$B$20*$B$22,0)</f>
        <v/>
      </c>
    </row>
    <row r="43" ht="20.1" customHeight="1" s="62">
      <c r="A43" s="81" t="n"/>
      <c r="B43" s="59" t="n"/>
      <c r="C43" s="26" t="inlineStr">
        <is>
          <t>Infrastructure avancée multi-sites</t>
        </is>
      </c>
      <c r="D43" s="29">
        <f>ROUND($B$5*$B$9*$B$13*$B$14*$B$17*$B$19*$B$21,0)</f>
        <v/>
      </c>
      <c r="E43" s="29">
        <f>ROUND($B$5*$B$9*$B$13*$B$14*$B$17*$B$19*$B$22,0)</f>
        <v/>
      </c>
      <c r="F43" s="29">
        <f>ROUND($B$5*$B$9*$B$13*$B$14*$B$17*$B$20*$B$21,0)</f>
        <v/>
      </c>
      <c r="G43" s="29">
        <f>ROUND($B$5*$B$9*$B$13*$B$14*$B$17*$B$20*$B$22,0)</f>
        <v/>
      </c>
      <c r="H43" s="29">
        <f>ROUND($B$5*$B$9*$B$13*$B$14*$B$18*$B$19*$B$21,0)</f>
        <v/>
      </c>
      <c r="I43" s="29">
        <f>ROUND($B$5*$B$9*$B$13*$B$14*$B$18*$B$19*$B$22,0)</f>
        <v/>
      </c>
      <c r="J43" s="29">
        <f>ROUND($B$5*$B$9*$B$13*$B$14*$B$18*$B$20*$B$21,0)</f>
        <v/>
      </c>
      <c r="K43" s="29">
        <f>ROUND($B$5*$B$9*$B$13*$B$14*$B$18*$B$20*$B$22,0)</f>
        <v/>
      </c>
      <c r="L43" s="29">
        <f>ROUND($B$5*$B$9*$B$13*$B$15*$B$17*$B$19*$B$21,0)</f>
        <v/>
      </c>
      <c r="M43" s="29">
        <f>ROUND($B$5*$B$9*$B$13*$B$15*$B$17*$B$19*$B$22,0)</f>
        <v/>
      </c>
      <c r="N43" s="29">
        <f>ROUND($B$5*$B$9*$B$13*$B$15*$B$17*$B$20*$B$21,0)</f>
        <v/>
      </c>
      <c r="O43" s="29">
        <f>ROUND($B$5*$B$9*$B$13*$B$15*$B$17*$B$20*$B$22,0)</f>
        <v/>
      </c>
      <c r="P43" s="29">
        <f>ROUND($B$5*$B$9*$B$13*$B$15*$B$18*$B$19*$B$21,0)</f>
        <v/>
      </c>
      <c r="Q43" s="29">
        <f>ROUND($B$5*$B$9*$B$13*$B$15*$B$18*$B$19*$B$22,0)</f>
        <v/>
      </c>
      <c r="R43" s="29">
        <f>ROUND($B$5*$B$9*$B$13*$B$15*$B$18*$B$20*$B$21,0)</f>
        <v/>
      </c>
      <c r="S43" s="29">
        <f>ROUND($B$5*$B$9*$B$13*$B$15*$B$18*$B$20*$B$22,0)</f>
        <v/>
      </c>
      <c r="T43" s="29">
        <f>ROUND($B$5*$B$9*$B$13*$B$16*$B$17*$B$19*$B$21,0)</f>
        <v/>
      </c>
      <c r="U43" s="29">
        <f>ROUND($B$5*$B$9*$B$13*$B$16*$B$17*$B$19*$B$22,0)</f>
        <v/>
      </c>
      <c r="V43" s="29">
        <f>ROUND($B$5*$B$9*$B$13*$B$16*$B$17*$B$20*$B$21,0)</f>
        <v/>
      </c>
      <c r="W43" s="29">
        <f>ROUND($B$5*$B$9*$B$13*$B$16*$B$17*$B$20*$B$22,0)</f>
        <v/>
      </c>
      <c r="X43" s="29">
        <f>ROUND($B$5*$B$9*$B$13*$B$16*$B$18*$B$19*$B$21,0)</f>
        <v/>
      </c>
      <c r="Y43" s="29">
        <f>ROUND($B$5*$B$9*$B$13*$B$16*$B$18*$B$19*$B$22,0)</f>
        <v/>
      </c>
      <c r="Z43" s="29">
        <f>ROUND($B$5*$B$9*$B$13*$B$16*$B$18*$B$20*$B$21,0)</f>
        <v/>
      </c>
      <c r="AA43" s="29">
        <f>ROUND($B$5*$B$9*$B$13*$B$16*$B$18*$B$20*$B$22,0)</f>
        <v/>
      </c>
    </row>
    <row r="44" ht="20.1" customHeight="1" s="62">
      <c r="A44" s="81" t="n"/>
      <c r="B44" s="73" t="inlineStr">
        <is>
          <t>6+ serveurs</t>
        </is>
      </c>
      <c r="C44" s="24" t="inlineStr">
        <is>
          <t>Infrastructure simple</t>
        </is>
      </c>
      <c r="D44" s="29">
        <f>ROUND($B$5*$B$10*$B$11*$B$14*$B$17*$B$19*$B$21,0)</f>
        <v/>
      </c>
      <c r="E44" s="29">
        <f>ROUND($B$5*$B$10*$B$11*$B$14*$B$17*$B$19*$B$22,0)</f>
        <v/>
      </c>
      <c r="F44" s="29">
        <f>ROUND($B$5*$B$10*$B$11*$B$14*$B$17*$B$20*$B$21,0)</f>
        <v/>
      </c>
      <c r="G44" s="29">
        <f>ROUND($B$5*$B$10*$B$11*$B$14*$B$17*$B$20*$B$22,0)</f>
        <v/>
      </c>
      <c r="H44" s="29">
        <f>ROUND($B$5*$B$10*$B$11*$B$14*$B$18*$B$19*$B$21,0)</f>
        <v/>
      </c>
      <c r="I44" s="29">
        <f>ROUND($B$5*$B$10*$B$11*$B$14*$B$18*$B$19*$B$22,0)</f>
        <v/>
      </c>
      <c r="J44" s="29">
        <f>ROUND($B$5*$B$10*$B$11*$B$14*$B$18*$B$20*$B$21,0)</f>
        <v/>
      </c>
      <c r="K44" s="29">
        <f>ROUND($B$5*$B$10*$B$11*$B$14*$B$18*$B$20*$B$22,0)</f>
        <v/>
      </c>
      <c r="L44" s="29">
        <f>ROUND($B$5*$B$10*$B$11*$B$15*$B$17*$B$19*$B$21,0)</f>
        <v/>
      </c>
      <c r="M44" s="29">
        <f>ROUND($B$5*$B$10*$B$11*$B$15*$B$17*$B$19*$B$22,0)</f>
        <v/>
      </c>
      <c r="N44" s="29">
        <f>ROUND($B$5*$B$10*$B$11*$B$15*$B$17*$B$20*$B$21,0)</f>
        <v/>
      </c>
      <c r="O44" s="29">
        <f>ROUND($B$5*$B$10*$B$11*$B$15*$B$17*$B$20*$B$22,0)</f>
        <v/>
      </c>
      <c r="P44" s="29">
        <f>ROUND($B$5*$B$10*$B$11*$B$15*$B$18*$B$19*$B$21,0)</f>
        <v/>
      </c>
      <c r="Q44" s="29">
        <f>ROUND($B$5*$B$10*$B$11*$B$15*$B$18*$B$19*$B$22,0)</f>
        <v/>
      </c>
      <c r="R44" s="29">
        <f>ROUND($B$5*$B$10*$B$11*$B$15*$B$18*$B$20*$B$21,0)</f>
        <v/>
      </c>
      <c r="S44" s="29">
        <f>ROUND($B$5*$B$10*$B$11*$B$15*$B$18*$B$20*$B$22,0)</f>
        <v/>
      </c>
      <c r="T44" s="29">
        <f>ROUND($B$5*$B$10*$B$11*$B$16*$B$17*$B$19*$B$21,0)</f>
        <v/>
      </c>
      <c r="U44" s="29">
        <f>ROUND($B$5*$B$10*$B$11*$B$16*$B$17*$B$19*$B$22,0)</f>
        <v/>
      </c>
      <c r="V44" s="29">
        <f>ROUND($B$5*$B$10*$B$11*$B$16*$B$17*$B$20*$B$21,0)</f>
        <v/>
      </c>
      <c r="W44" s="29">
        <f>ROUND($B$5*$B$10*$B$11*$B$16*$B$17*$B$20*$B$22,0)</f>
        <v/>
      </c>
      <c r="X44" s="29">
        <f>ROUND($B$5*$B$10*$B$11*$B$16*$B$18*$B$19*$B$21,0)</f>
        <v/>
      </c>
      <c r="Y44" s="29">
        <f>ROUND($B$5*$B$10*$B$11*$B$16*$B$18*$B$19*$B$22,0)</f>
        <v/>
      </c>
      <c r="Z44" s="29">
        <f>ROUND($B$5*$B$10*$B$11*$B$16*$B$18*$B$20*$B$21,0)</f>
        <v/>
      </c>
      <c r="AA44" s="29">
        <f>ROUND($B$5*$B$10*$B$11*$B$16*$B$18*$B$20*$B$22,0)</f>
        <v/>
      </c>
    </row>
    <row r="45" ht="20.1" customHeight="1" s="62">
      <c r="A45" s="81" t="n"/>
      <c r="B45" s="58" t="n"/>
      <c r="C45" s="73" t="inlineStr">
        <is>
          <t>Infrastructure standard</t>
        </is>
      </c>
      <c r="D45" s="29">
        <f>ROUND($B$5*$B$10*$B$12*$B$14*$B$17*$B$19*$B$21,0)</f>
        <v/>
      </c>
      <c r="E45" s="29">
        <f>ROUND($B$5*$B$10*$B$12*$B$14*$B$17*$B$19*$B$22,0)</f>
        <v/>
      </c>
      <c r="F45" s="29">
        <f>ROUND($B$5*$B$10*$B$12*$B$14*$B$17*$B$20*$B$21,0)</f>
        <v/>
      </c>
      <c r="G45" s="29">
        <f>ROUND($B$5*$B$10*$B$12*$B$14*$B$17*$B$20*$B$22,0)</f>
        <v/>
      </c>
      <c r="H45" s="29">
        <f>ROUND($B$5*$B$10*$B$12*$B$14*$B$18*$B$19*$B$21,0)</f>
        <v/>
      </c>
      <c r="I45" s="29">
        <f>ROUND($B$5*$B$10*$B$12*$B$14*$B$18*$B$19*$B$22,0)</f>
        <v/>
      </c>
      <c r="J45" s="29">
        <f>ROUND($B$5*$B$10*$B$12*$B$14*$B$18*$B$20*$B$21,0)</f>
        <v/>
      </c>
      <c r="K45" s="29">
        <f>ROUND($B$5*$B$10*$B$12*$B$14*$B$18*$B$20*$B$22,0)</f>
        <v/>
      </c>
      <c r="L45" s="29">
        <f>ROUND($B$5*$B$10*$B$12*$B$15*$B$17*$B$19*$B$21,0)</f>
        <v/>
      </c>
      <c r="M45" s="29">
        <f>ROUND($B$5*$B$10*$B$12*$B$15*$B$17*$B$19*$B$22,0)</f>
        <v/>
      </c>
      <c r="N45" s="29">
        <f>ROUND($B$5*$B$10*$B$12*$B$15*$B$17*$B$20*$B$21,0)</f>
        <v/>
      </c>
      <c r="O45" s="29">
        <f>ROUND($B$5*$B$10*$B$12*$B$15*$B$17*$B$20*$B$22,0)</f>
        <v/>
      </c>
      <c r="P45" s="29">
        <f>ROUND($B$5*$B$10*$B$12*$B$15*$B$18*$B$19*$B$21,0)</f>
        <v/>
      </c>
      <c r="Q45" s="29">
        <f>ROUND($B$5*$B$10*$B$12*$B$15*$B$18*$B$19*$B$22,0)</f>
        <v/>
      </c>
      <c r="R45" s="29">
        <f>ROUND($B$5*$B$10*$B$12*$B$15*$B$18*$B$20*$B$21,0)</f>
        <v/>
      </c>
      <c r="S45" s="29">
        <f>ROUND($B$5*$B$10*$B$12*$B$15*$B$18*$B$20*$B$22,0)</f>
        <v/>
      </c>
      <c r="T45" s="29">
        <f>ROUND($B$5*$B$10*$B$12*$B$16*$B$17*$B$19*$B$21,0)</f>
        <v/>
      </c>
      <c r="U45" s="29">
        <f>ROUND($B$5*$B$10*$B$12*$B$16*$B$17*$B$19*$B$22,0)</f>
        <v/>
      </c>
      <c r="V45" s="29">
        <f>ROUND($B$5*$B$10*$B$12*$B$16*$B$17*$B$20*$B$21,0)</f>
        <v/>
      </c>
      <c r="W45" s="29">
        <f>ROUND($B$5*$B$10*$B$12*$B$16*$B$17*$B$20*$B$22,0)</f>
        <v/>
      </c>
      <c r="X45" s="29">
        <f>ROUND($B$5*$B$10*$B$12*$B$16*$B$18*$B$19*$B$21,0)</f>
        <v/>
      </c>
      <c r="Y45" s="29">
        <f>ROUND($B$5*$B$10*$B$12*$B$16*$B$18*$B$19*$B$22,0)</f>
        <v/>
      </c>
      <c r="Z45" s="29">
        <f>ROUND($B$5*$B$10*$B$12*$B$16*$B$18*$B$20*$B$21,0)</f>
        <v/>
      </c>
      <c r="AA45" s="29">
        <f>ROUND($B$5*$B$10*$B$12*$B$16*$B$18*$B$20*$B$22,0)</f>
        <v/>
      </c>
    </row>
    <row r="46" ht="20.1" customHeight="1" s="62">
      <c r="A46" s="82" t="n"/>
      <c r="B46" s="59" t="n"/>
      <c r="C46" s="26" t="inlineStr">
        <is>
          <t>Infrastructure avancée multi-sites</t>
        </is>
      </c>
      <c r="D46" s="29">
        <f>ROUND($B$5*$B$10*$B$13*$B$14*$B$17*$B$19*$B$21,0)</f>
        <v/>
      </c>
      <c r="E46" s="29">
        <f>ROUND($B$5*$B$10*$B$13*$B$14*$B$17*$B$19*$B$22,0)</f>
        <v/>
      </c>
      <c r="F46" s="29">
        <f>ROUND($B$5*$B$10*$B$13*$B$14*$B$17*$B$20*$B$21,0)</f>
        <v/>
      </c>
      <c r="G46" s="29">
        <f>ROUND($B$5*$B$10*$B$13*$B$14*$B$17*$B$20*$B$22,0)</f>
        <v/>
      </c>
      <c r="H46" s="29">
        <f>ROUND($B$5*$B$10*$B$13*$B$14*$B$18*$B$19*$B$21,0)</f>
        <v/>
      </c>
      <c r="I46" s="29">
        <f>ROUND($B$5*$B$10*$B$13*$B$14*$B$18*$B$19*$B$22,0)</f>
        <v/>
      </c>
      <c r="J46" s="29">
        <f>ROUND($B$5*$B$10*$B$13*$B$14*$B$18*$B$20*$B$21,0)</f>
        <v/>
      </c>
      <c r="K46" s="29">
        <f>ROUND($B$5*$B$10*$B$13*$B$14*$B$18*$B$20*$B$22,0)</f>
        <v/>
      </c>
      <c r="L46" s="29">
        <f>ROUND($B$5*$B$10*$B$13*$B$15*$B$17*$B$19*$B$21,0)</f>
        <v/>
      </c>
      <c r="M46" s="29">
        <f>ROUND($B$5*$B$10*$B$13*$B$15*$B$17*$B$19*$B$22,0)</f>
        <v/>
      </c>
      <c r="N46" s="29">
        <f>ROUND($B$5*$B$10*$B$13*$B$15*$B$17*$B$20*$B$21,0)</f>
        <v/>
      </c>
      <c r="O46" s="29">
        <f>ROUND($B$5*$B$10*$B$13*$B$15*$B$17*$B$20*$B$22,0)</f>
        <v/>
      </c>
      <c r="P46" s="29">
        <f>ROUND($B$5*$B$10*$B$13*$B$15*$B$18*$B$19*$B$21,0)</f>
        <v/>
      </c>
      <c r="Q46" s="29">
        <f>ROUND($B$5*$B$10*$B$13*$B$15*$B$18*$B$19*$B$22,0)</f>
        <v/>
      </c>
      <c r="R46" s="29">
        <f>ROUND($B$5*$B$10*$B$13*$B$15*$B$18*$B$20*$B$21,0)</f>
        <v/>
      </c>
      <c r="S46" s="29">
        <f>ROUND($B$5*$B$10*$B$13*$B$15*$B$18*$B$20*$B$22,0)</f>
        <v/>
      </c>
      <c r="T46" s="29">
        <f>ROUND($B$5*$B$10*$B$13*$B$16*$B$17*$B$19*$B$21,0)</f>
        <v/>
      </c>
      <c r="U46" s="29">
        <f>ROUND($B$5*$B$10*$B$13*$B$16*$B$17*$B$19*$B$22,0)</f>
        <v/>
      </c>
      <c r="V46" s="29">
        <f>ROUND($B$5*$B$10*$B$13*$B$16*$B$17*$B$20*$B$21,0)</f>
        <v/>
      </c>
      <c r="W46" s="29">
        <f>ROUND($B$5*$B$10*$B$13*$B$16*$B$17*$B$20*$B$22,0)</f>
        <v/>
      </c>
      <c r="X46" s="29">
        <f>ROUND($B$5*$B$10*$B$13*$B$16*$B$18*$B$19*$B$21,0)</f>
        <v/>
      </c>
      <c r="Y46" s="29">
        <f>ROUND($B$5*$B$10*$B$13*$B$16*$B$18*$B$19*$B$22,0)</f>
        <v/>
      </c>
      <c r="Z46" s="29">
        <f>ROUND($B$5*$B$10*$B$13*$B$16*$B$18*$B$20*$B$21,0)</f>
        <v/>
      </c>
      <c r="AA46" s="29">
        <f>ROUND($B$5*$B$10*$B$13*$B$16*$B$18*$B$20*$B$22,0)</f>
        <v/>
      </c>
    </row>
    <row r="47" ht="20.1" customHeight="1" s="62">
      <c r="A47" s="80" t="inlineStr">
        <is>
          <t>Cloud</t>
        </is>
      </c>
      <c r="B47" s="73" t="inlineStr">
        <is>
          <t>1 serveur</t>
        </is>
      </c>
      <c r="C47" s="24" t="inlineStr">
        <is>
          <t>Infrastructure simple</t>
        </is>
      </c>
      <c r="D47" s="29">
        <f>ROUND($B$6*$B$8*$B$11*$B$14*$B$17*$B$19*$B$21,0)</f>
        <v/>
      </c>
      <c r="E47" s="29">
        <f>ROUND($B$6*$B$8*$B$11*$B$14*$B$17*$B$19*$B$22,0)</f>
        <v/>
      </c>
      <c r="F47" s="29">
        <f>ROUND($B$6*$B$8*$B$11*$B$14*$B$17*$B$20*$B$21,0)</f>
        <v/>
      </c>
      <c r="G47" s="29">
        <f>ROUND($B$6*$B$8*$B$11*$B$14*$B$17*$B$20*$B$22,0)</f>
        <v/>
      </c>
      <c r="H47" s="29">
        <f>ROUND($B$6*$B$8*$B$11*$B$14*$B$18*$B$19*$B$21,0)</f>
        <v/>
      </c>
      <c r="I47" s="29">
        <f>ROUND($B$6*$B$8*$B$11*$B$14*$B$18*$B$19*$B$22,0)</f>
        <v/>
      </c>
      <c r="J47" s="29">
        <f>ROUND($B$6*$B$8*$B$11*$B$14*$B$18*$B$20*$B$21,0)</f>
        <v/>
      </c>
      <c r="K47" s="29">
        <f>ROUND($B$6*$B$8*$B$11*$B$14*$B$18*$B$20*$B$22,0)</f>
        <v/>
      </c>
      <c r="L47" s="29">
        <f>ROUND($B$6*$B$8*$B$11*$B$15*$B$17*$B$19*$B$21,0)</f>
        <v/>
      </c>
      <c r="M47" s="29">
        <f>ROUND($B$6*$B$8*$B$11*$B$15*$B$17*$B$19*$B$22,0)</f>
        <v/>
      </c>
      <c r="N47" s="29">
        <f>ROUND($B$6*$B$8*$B$11*$B$15*$B$17*$B$20*$B$21,0)</f>
        <v/>
      </c>
      <c r="O47" s="29">
        <f>ROUND($B$6*$B$8*$B$11*$B$15*$B$17*$B$20*$B$22,0)</f>
        <v/>
      </c>
      <c r="P47" s="29">
        <f>ROUND($B$6*$B$8*$B$11*$B$15*$B$18*$B$19*$B$21,0)</f>
        <v/>
      </c>
      <c r="Q47" s="29">
        <f>ROUND($B$6*$B$8*$B$11*$B$15*$B$18*$B$19*$B$22,0)</f>
        <v/>
      </c>
      <c r="R47" s="29">
        <f>ROUND($B$6*$B$8*$B$11*$B$15*$B$18*$B$20*$B$21,0)</f>
        <v/>
      </c>
      <c r="S47" s="29">
        <f>ROUND($B$6*$B$8*$B$11*$B$15*$B$18*$B$20*$B$22,0)</f>
        <v/>
      </c>
      <c r="T47" s="29">
        <f>ROUND($B$6*$B$8*$B$11*$B$16*$B$17*$B$19*$B$21,0)</f>
        <v/>
      </c>
      <c r="U47" s="29">
        <f>ROUND($B$6*$B$8*$B$11*$B$16*$B$17*$B$19*$B$22,0)</f>
        <v/>
      </c>
      <c r="V47" s="29">
        <f>ROUND($B$6*$B$8*$B$11*$B$16*$B$17*$B$20*$B$21,0)</f>
        <v/>
      </c>
      <c r="W47" s="29">
        <f>ROUND($B$6*$B$8*$B$11*$B$16*$B$17*$B$20*$B$22,0)</f>
        <v/>
      </c>
      <c r="X47" s="29">
        <f>ROUND($B$6*$B$8*$B$11*$B$16*$B$18*$B$19*$B$21,0)</f>
        <v/>
      </c>
      <c r="Y47" s="29">
        <f>ROUND($B$6*$B$8*$B$11*$B$16*$B$18*$B$19*$B$22,0)</f>
        <v/>
      </c>
      <c r="Z47" s="29">
        <f>ROUND($B$6*$B$8*$B$11*$B$16*$B$18*$B$20*$B$21,0)</f>
        <v/>
      </c>
      <c r="AA47" s="29">
        <f>ROUND($B$6*$B$8*$B$11*$B$16*$B$18*$B$20*$B$22,0)</f>
        <v/>
      </c>
    </row>
    <row r="48" ht="20.1" customHeight="1" s="62">
      <c r="A48" s="81" t="n"/>
      <c r="B48" s="58" t="n"/>
      <c r="C48" s="73" t="inlineStr">
        <is>
          <t>Infrastructure standard</t>
        </is>
      </c>
      <c r="D48" s="29">
        <f>ROUND($B$6*$B$8*$B$12*$B$14*$B$17*$B$19*$B$21,0)</f>
        <v/>
      </c>
      <c r="E48" s="29">
        <f>ROUND($B$6*$B$8*$B$12*$B$14*$B$17*$B$19*$B$22,0)</f>
        <v/>
      </c>
      <c r="F48" s="29">
        <f>ROUND($B$6*$B$8*$B$12*$B$14*$B$17*$B$20*$B$21,0)</f>
        <v/>
      </c>
      <c r="G48" s="29">
        <f>ROUND($B$6*$B$8*$B$12*$B$14*$B$17*$B$20*$B$22,0)</f>
        <v/>
      </c>
      <c r="H48" s="29">
        <f>ROUND($B$6*$B$8*$B$12*$B$14*$B$18*$B$19*$B$21,0)</f>
        <v/>
      </c>
      <c r="I48" s="29">
        <f>ROUND($B$6*$B$8*$B$12*$B$14*$B$18*$B$19*$B$22,0)</f>
        <v/>
      </c>
      <c r="J48" s="29">
        <f>ROUND($B$6*$B$8*$B$12*$B$14*$B$18*$B$20*$B$21,0)</f>
        <v/>
      </c>
      <c r="K48" s="29">
        <f>ROUND($B$6*$B$8*$B$12*$B$14*$B$18*$B$20*$B$22,0)</f>
        <v/>
      </c>
      <c r="L48" s="29">
        <f>ROUND($B$6*$B$8*$B$12*$B$15*$B$17*$B$19*$B$21,0)</f>
        <v/>
      </c>
      <c r="M48" s="29">
        <f>ROUND($B$6*$B$8*$B$12*$B$15*$B$17*$B$19*$B$22,0)</f>
        <v/>
      </c>
      <c r="N48" s="29">
        <f>ROUND($B$6*$B$8*$B$12*$B$15*$B$17*$B$20*$B$21,0)</f>
        <v/>
      </c>
      <c r="O48" s="29">
        <f>ROUND($B$6*$B$8*$B$12*$B$15*$B$17*$B$20*$B$22,0)</f>
        <v/>
      </c>
      <c r="P48" s="29">
        <f>ROUND($B$6*$B$8*$B$12*$B$15*$B$18*$B$19*$B$21,0)</f>
        <v/>
      </c>
      <c r="Q48" s="29">
        <f>ROUND($B$6*$B$8*$B$12*$B$15*$B$18*$B$19*$B$22,0)</f>
        <v/>
      </c>
      <c r="R48" s="29">
        <f>ROUND($B$6*$B$8*$B$12*$B$15*$B$18*$B$20*$B$21,0)</f>
        <v/>
      </c>
      <c r="S48" s="29">
        <f>ROUND($B$6*$B$8*$B$12*$B$15*$B$18*$B$20*$B$22,0)</f>
        <v/>
      </c>
      <c r="T48" s="29">
        <f>ROUND($B$6*$B$8*$B$12*$B$16*$B$17*$B$19*$B$21,0)</f>
        <v/>
      </c>
      <c r="U48" s="29">
        <f>ROUND($B$6*$B$8*$B$12*$B$16*$B$17*$B$19*$B$22,0)</f>
        <v/>
      </c>
      <c r="V48" s="29">
        <f>ROUND($B$6*$B$8*$B$12*$B$16*$B$17*$B$20*$B$21,0)</f>
        <v/>
      </c>
      <c r="W48" s="29">
        <f>ROUND($B$6*$B$8*$B$12*$B$16*$B$17*$B$20*$B$22,0)</f>
        <v/>
      </c>
      <c r="X48" s="29">
        <f>ROUND($B$6*$B$8*$B$12*$B$16*$B$18*$B$19*$B$21,0)</f>
        <v/>
      </c>
      <c r="Y48" s="29">
        <f>ROUND($B$6*$B$8*$B$12*$B$16*$B$18*$B$19*$B$22,0)</f>
        <v/>
      </c>
      <c r="Z48" s="29">
        <f>ROUND($B$6*$B$8*$B$12*$B$16*$B$18*$B$20*$B$21,0)</f>
        <v/>
      </c>
      <c r="AA48" s="29">
        <f>ROUND($B$6*$B$8*$B$12*$B$16*$B$18*$B$20*$B$22,0)</f>
        <v/>
      </c>
    </row>
    <row r="49" ht="20.1" customHeight="1" s="62">
      <c r="A49" s="81" t="n"/>
      <c r="B49" s="59" t="n"/>
      <c r="C49" s="26" t="inlineStr">
        <is>
          <t>Infrastructure avancée multi-sites</t>
        </is>
      </c>
      <c r="D49" s="29">
        <f>ROUND($B$6*$B$8*$B$13*$B$14*$B$17*$B$19*$B$21,0)</f>
        <v/>
      </c>
      <c r="E49" s="29">
        <f>ROUND($B$6*$B$8*$B$13*$B$14*$B$17*$B$19*$B$22,0)</f>
        <v/>
      </c>
      <c r="F49" s="29">
        <f>ROUND($B$6*$B$8*$B$13*$B$14*$B$17*$B$20*$B$21,0)</f>
        <v/>
      </c>
      <c r="G49" s="29">
        <f>ROUND($B$6*$B$8*$B$13*$B$14*$B$17*$B$20*$B$22,0)</f>
        <v/>
      </c>
      <c r="H49" s="29">
        <f>ROUND($B$6*$B$8*$B$13*$B$14*$B$18*$B$19*$B$21,0)</f>
        <v/>
      </c>
      <c r="I49" s="29">
        <f>ROUND($B$6*$B$8*$B$13*$B$14*$B$18*$B$19*$B$22,0)</f>
        <v/>
      </c>
      <c r="J49" s="29">
        <f>ROUND($B$6*$B$8*$B$13*$B$14*$B$18*$B$20*$B$21,0)</f>
        <v/>
      </c>
      <c r="K49" s="29">
        <f>ROUND($B$6*$B$8*$B$13*$B$14*$B$18*$B$20*$B$22,0)</f>
        <v/>
      </c>
      <c r="L49" s="29">
        <f>ROUND($B$6*$B$8*$B$13*$B$15*$B$17*$B$19*$B$21,0)</f>
        <v/>
      </c>
      <c r="M49" s="29">
        <f>ROUND($B$6*$B$8*$B$13*$B$15*$B$17*$B$19*$B$22,0)</f>
        <v/>
      </c>
      <c r="N49" s="29">
        <f>ROUND($B$6*$B$8*$B$13*$B$15*$B$17*$B$20*$B$21,0)</f>
        <v/>
      </c>
      <c r="O49" s="29">
        <f>ROUND($B$6*$B$8*$B$13*$B$15*$B$17*$B$20*$B$22,0)</f>
        <v/>
      </c>
      <c r="P49" s="29">
        <f>ROUND($B$6*$B$8*$B$13*$B$15*$B$18*$B$19*$B$21,0)</f>
        <v/>
      </c>
      <c r="Q49" s="29">
        <f>ROUND($B$6*$B$8*$B$13*$B$15*$B$18*$B$19*$B$22,0)</f>
        <v/>
      </c>
      <c r="R49" s="29">
        <f>ROUND($B$6*$B$8*$B$13*$B$15*$B$18*$B$20*$B$21,0)</f>
        <v/>
      </c>
      <c r="S49" s="29">
        <f>ROUND($B$6*$B$8*$B$13*$B$15*$B$18*$B$20*$B$22,0)</f>
        <v/>
      </c>
      <c r="T49" s="29">
        <f>ROUND($B$6*$B$8*$B$13*$B$16*$B$17*$B$19*$B$21,0)</f>
        <v/>
      </c>
      <c r="U49" s="29">
        <f>ROUND($B$6*$B$8*$B$13*$B$16*$B$17*$B$19*$B$22,0)</f>
        <v/>
      </c>
      <c r="V49" s="29">
        <f>ROUND($B$6*$B$8*$B$13*$B$16*$B$17*$B$20*$B$21,0)</f>
        <v/>
      </c>
      <c r="W49" s="29">
        <f>ROUND($B$6*$B$8*$B$13*$B$16*$B$17*$B$20*$B$22,0)</f>
        <v/>
      </c>
      <c r="X49" s="29">
        <f>ROUND($B$6*$B$8*$B$13*$B$16*$B$18*$B$19*$B$21,0)</f>
        <v/>
      </c>
      <c r="Y49" s="29">
        <f>ROUND($B$6*$B$8*$B$13*$B$16*$B$18*$B$19*$B$22,0)</f>
        <v/>
      </c>
      <c r="Z49" s="29">
        <f>ROUND($B$6*$B$8*$B$13*$B$16*$B$18*$B$20*$B$21,0)</f>
        <v/>
      </c>
      <c r="AA49" s="29">
        <f>ROUND($B$6*$B$8*$B$13*$B$16*$B$18*$B$20*$B$22,0)</f>
        <v/>
      </c>
    </row>
    <row r="50" ht="20.1" customHeight="1" s="62">
      <c r="A50" s="81" t="n"/>
      <c r="B50" s="73" t="inlineStr">
        <is>
          <t>2-5 serveurs</t>
        </is>
      </c>
      <c r="C50" s="24" t="inlineStr">
        <is>
          <t>Infrastructure simple</t>
        </is>
      </c>
      <c r="D50" s="29">
        <f>ROUND($B$6*$B$9*$B$11*$B$14*$B$17*$B$19*$B$21,0)</f>
        <v/>
      </c>
      <c r="E50" s="29">
        <f>ROUND($B$6*$B$9*$B$11*$B$14*$B$17*$B$19*$B$22,0)</f>
        <v/>
      </c>
      <c r="F50" s="29">
        <f>ROUND($B$6*$B$9*$B$11*$B$14*$B$17*$B$20*$B$21,0)</f>
        <v/>
      </c>
      <c r="G50" s="29">
        <f>ROUND($B$6*$B$9*$B$11*$B$14*$B$17*$B$20*$B$22,0)</f>
        <v/>
      </c>
      <c r="H50" s="29">
        <f>ROUND($B$6*$B$9*$B$11*$B$14*$B$18*$B$19*$B$21,0)</f>
        <v/>
      </c>
      <c r="I50" s="29">
        <f>ROUND($B$6*$B$9*$B$11*$B$14*$B$18*$B$19*$B$22,0)</f>
        <v/>
      </c>
      <c r="J50" s="29">
        <f>ROUND($B$6*$B$9*$B$11*$B$14*$B$18*$B$20*$B$21,0)</f>
        <v/>
      </c>
      <c r="K50" s="29">
        <f>ROUND($B$6*$B$9*$B$11*$B$14*$B$18*$B$20*$B$22,0)</f>
        <v/>
      </c>
      <c r="L50" s="29">
        <f>ROUND($B$6*$B$9*$B$11*$B$15*$B$17*$B$19*$B$21,0)</f>
        <v/>
      </c>
      <c r="M50" s="29">
        <f>ROUND($B$6*$B$9*$B$11*$B$15*$B$17*$B$19*$B$22,0)</f>
        <v/>
      </c>
      <c r="N50" s="29">
        <f>ROUND($B$6*$B$9*$B$11*$B$15*$B$17*$B$20*$B$21,0)</f>
        <v/>
      </c>
      <c r="O50" s="29">
        <f>ROUND($B$6*$B$9*$B$11*$B$15*$B$17*$B$20*$B$22,0)</f>
        <v/>
      </c>
      <c r="P50" s="29">
        <f>ROUND($B$6*$B$9*$B$11*$B$15*$B$18*$B$19*$B$21,0)</f>
        <v/>
      </c>
      <c r="Q50" s="29">
        <f>ROUND($B$6*$B$9*$B$11*$B$15*$B$18*$B$19*$B$22,0)</f>
        <v/>
      </c>
      <c r="R50" s="29">
        <f>ROUND($B$6*$B$9*$B$11*$B$15*$B$18*$B$20*$B$21,0)</f>
        <v/>
      </c>
      <c r="S50" s="29">
        <f>ROUND($B$6*$B$9*$B$11*$B$15*$B$18*$B$20*$B$22,0)</f>
        <v/>
      </c>
      <c r="T50" s="29">
        <f>ROUND($B$6*$B$9*$B$11*$B$16*$B$17*$B$19*$B$21,0)</f>
        <v/>
      </c>
      <c r="U50" s="29">
        <f>ROUND($B$6*$B$9*$B$11*$B$16*$B$17*$B$19*$B$22,0)</f>
        <v/>
      </c>
      <c r="V50" s="29">
        <f>ROUND($B$6*$B$9*$B$11*$B$16*$B$17*$B$20*$B$21,0)</f>
        <v/>
      </c>
      <c r="W50" s="29">
        <f>ROUND($B$6*$B$9*$B$11*$B$16*$B$17*$B$20*$B$22,0)</f>
        <v/>
      </c>
      <c r="X50" s="29">
        <f>ROUND($B$6*$B$9*$B$11*$B$16*$B$18*$B$19*$B$21,0)</f>
        <v/>
      </c>
      <c r="Y50" s="29">
        <f>ROUND($B$6*$B$9*$B$11*$B$16*$B$18*$B$19*$B$22,0)</f>
        <v/>
      </c>
      <c r="Z50" s="29">
        <f>ROUND($B$6*$B$9*$B$11*$B$16*$B$18*$B$20*$B$21,0)</f>
        <v/>
      </c>
      <c r="AA50" s="29">
        <f>ROUND($B$6*$B$9*$B$11*$B$16*$B$18*$B$20*$B$22,0)</f>
        <v/>
      </c>
    </row>
    <row r="51" ht="20.1" customHeight="1" s="62">
      <c r="A51" s="81" t="n"/>
      <c r="B51" s="58" t="n"/>
      <c r="C51" s="73" t="inlineStr">
        <is>
          <t>Infrastructure standard</t>
        </is>
      </c>
      <c r="D51" s="29">
        <f>ROUND($B$6*$B$9*$B$12*$B$14*$B$17*$B$19*$B$21,0)</f>
        <v/>
      </c>
      <c r="E51" s="29">
        <f>ROUND($B$6*$B$9*$B$12*$B$14*$B$17*$B$19*$B$22,0)</f>
        <v/>
      </c>
      <c r="F51" s="29">
        <f>ROUND($B$6*$B$9*$B$12*$B$14*$B$17*$B$20*$B$21,0)</f>
        <v/>
      </c>
      <c r="G51" s="29">
        <f>ROUND($B$6*$B$9*$B$12*$B$14*$B$17*$B$20*$B$22,0)</f>
        <v/>
      </c>
      <c r="H51" s="29">
        <f>ROUND($B$6*$B$9*$B$12*$B$14*$B$18*$B$19*$B$21,0)</f>
        <v/>
      </c>
      <c r="I51" s="29">
        <f>ROUND($B$6*$B$9*$B$12*$B$14*$B$18*$B$19*$B$22,0)</f>
        <v/>
      </c>
      <c r="J51" s="29">
        <f>ROUND($B$6*$B$9*$B$12*$B$14*$B$18*$B$20*$B$21,0)</f>
        <v/>
      </c>
      <c r="K51" s="29">
        <f>ROUND($B$6*$B$9*$B$12*$B$14*$B$18*$B$20*$B$22,0)</f>
        <v/>
      </c>
      <c r="L51" s="29">
        <f>ROUND($B$6*$B$9*$B$12*$B$15*$B$17*$B$19*$B$21,0)</f>
        <v/>
      </c>
      <c r="M51" s="29">
        <f>ROUND($B$6*$B$9*$B$12*$B$15*$B$17*$B$19*$B$22,0)</f>
        <v/>
      </c>
      <c r="N51" s="29">
        <f>ROUND($B$6*$B$9*$B$12*$B$15*$B$17*$B$20*$B$21,0)</f>
        <v/>
      </c>
      <c r="O51" s="29">
        <f>ROUND($B$6*$B$9*$B$12*$B$15*$B$17*$B$20*$B$22,0)</f>
        <v/>
      </c>
      <c r="P51" s="29">
        <f>ROUND($B$6*$B$9*$B$12*$B$15*$B$18*$B$19*$B$21,0)</f>
        <v/>
      </c>
      <c r="Q51" s="29">
        <f>ROUND($B$6*$B$9*$B$12*$B$15*$B$18*$B$19*$B$22,0)</f>
        <v/>
      </c>
      <c r="R51" s="29">
        <f>ROUND($B$6*$B$9*$B$12*$B$15*$B$18*$B$20*$B$21,0)</f>
        <v/>
      </c>
      <c r="S51" s="29">
        <f>ROUND($B$6*$B$9*$B$12*$B$15*$B$18*$B$20*$B$22,0)</f>
        <v/>
      </c>
      <c r="T51" s="29">
        <f>ROUND($B$6*$B$9*$B$12*$B$16*$B$17*$B$19*$B$21,0)</f>
        <v/>
      </c>
      <c r="U51" s="29">
        <f>ROUND($B$6*$B$9*$B$12*$B$16*$B$17*$B$19*$B$22,0)</f>
        <v/>
      </c>
      <c r="V51" s="29">
        <f>ROUND($B$6*$B$9*$B$12*$B$16*$B$17*$B$20*$B$21,0)</f>
        <v/>
      </c>
      <c r="W51" s="29">
        <f>ROUND($B$6*$B$9*$B$12*$B$16*$B$17*$B$20*$B$22,0)</f>
        <v/>
      </c>
      <c r="X51" s="29">
        <f>ROUND($B$6*$B$9*$B$12*$B$16*$B$18*$B$19*$B$21,0)</f>
        <v/>
      </c>
      <c r="Y51" s="29">
        <f>ROUND($B$6*$B$9*$B$12*$B$16*$B$18*$B$19*$B$22,0)</f>
        <v/>
      </c>
      <c r="Z51" s="29">
        <f>ROUND($B$6*$B$9*$B$12*$B$16*$B$18*$B$20*$B$21,0)</f>
        <v/>
      </c>
      <c r="AA51" s="29">
        <f>ROUND($B$6*$B$9*$B$12*$B$16*$B$18*$B$20*$B$22,0)</f>
        <v/>
      </c>
    </row>
    <row r="52" ht="20.1" customHeight="1" s="62">
      <c r="A52" s="81" t="n"/>
      <c r="B52" s="59" t="n"/>
      <c r="C52" s="26" t="inlineStr">
        <is>
          <t>Infrastructure avancée multi-sites</t>
        </is>
      </c>
      <c r="D52" s="29">
        <f>ROUND($B$6*$B$9*$B$13*$B$14*$B$17*$B$19*$B$21,0)</f>
        <v/>
      </c>
      <c r="E52" s="29">
        <f>ROUND($B$6*$B$9*$B$13*$B$14*$B$17*$B$19*$B$22,0)</f>
        <v/>
      </c>
      <c r="F52" s="29">
        <f>ROUND($B$6*$B$9*$B$13*$B$14*$B$17*$B$20*$B$21,0)</f>
        <v/>
      </c>
      <c r="G52" s="29">
        <f>ROUND($B$6*$B$9*$B$13*$B$14*$B$17*$B$20*$B$22,0)</f>
        <v/>
      </c>
      <c r="H52" s="29">
        <f>ROUND($B$6*$B$9*$B$13*$B$14*$B$18*$B$19*$B$21,0)</f>
        <v/>
      </c>
      <c r="I52" s="29">
        <f>ROUND($B$6*$B$9*$B$13*$B$14*$B$18*$B$19*$B$22,0)</f>
        <v/>
      </c>
      <c r="J52" s="29">
        <f>ROUND($B$6*$B$9*$B$13*$B$14*$B$18*$B$20*$B$21,0)</f>
        <v/>
      </c>
      <c r="K52" s="29">
        <f>ROUND($B$6*$B$9*$B$13*$B$14*$B$18*$B$20*$B$22,0)</f>
        <v/>
      </c>
      <c r="L52" s="29">
        <f>ROUND($B$6*$B$9*$B$13*$B$15*$B$17*$B$19*$B$21,0)</f>
        <v/>
      </c>
      <c r="M52" s="29">
        <f>ROUND($B$6*$B$9*$B$13*$B$15*$B$17*$B$19*$B$22,0)</f>
        <v/>
      </c>
      <c r="N52" s="29">
        <f>ROUND($B$6*$B$9*$B$13*$B$15*$B$17*$B$20*$B$21,0)</f>
        <v/>
      </c>
      <c r="O52" s="29">
        <f>ROUND($B$6*$B$9*$B$13*$B$15*$B$17*$B$20*$B$22,0)</f>
        <v/>
      </c>
      <c r="P52" s="29">
        <f>ROUND($B$6*$B$9*$B$13*$B$15*$B$18*$B$19*$B$21,0)</f>
        <v/>
      </c>
      <c r="Q52" s="29">
        <f>ROUND($B$6*$B$9*$B$13*$B$15*$B$18*$B$19*$B$22,0)</f>
        <v/>
      </c>
      <c r="R52" s="29">
        <f>ROUND($B$6*$B$9*$B$13*$B$15*$B$18*$B$20*$B$21,0)</f>
        <v/>
      </c>
      <c r="S52" s="29">
        <f>ROUND($B$6*$B$9*$B$13*$B$15*$B$18*$B$20*$B$22,0)</f>
        <v/>
      </c>
      <c r="T52" s="29">
        <f>ROUND($B$6*$B$9*$B$13*$B$16*$B$17*$B$19*$B$21,0)</f>
        <v/>
      </c>
      <c r="U52" s="29">
        <f>ROUND($B$6*$B$9*$B$13*$B$16*$B$17*$B$19*$B$22,0)</f>
        <v/>
      </c>
      <c r="V52" s="29">
        <f>ROUND($B$6*$B$9*$B$13*$B$16*$B$17*$B$20*$B$21,0)</f>
        <v/>
      </c>
      <c r="W52" s="29">
        <f>ROUND($B$6*$B$9*$B$13*$B$16*$B$17*$B$20*$B$22,0)</f>
        <v/>
      </c>
      <c r="X52" s="29">
        <f>ROUND($B$6*$B$9*$B$13*$B$16*$B$18*$B$19*$B$21,0)</f>
        <v/>
      </c>
      <c r="Y52" s="29">
        <f>ROUND($B$6*$B$9*$B$13*$B$16*$B$18*$B$19*$B$22,0)</f>
        <v/>
      </c>
      <c r="Z52" s="29">
        <f>ROUND($B$6*$B$9*$B$13*$B$16*$B$18*$B$20*$B$21,0)</f>
        <v/>
      </c>
      <c r="AA52" s="29">
        <f>ROUND($B$6*$B$9*$B$13*$B$16*$B$18*$B$20*$B$22,0)</f>
        <v/>
      </c>
    </row>
    <row r="53" ht="20.1" customHeight="1" s="62">
      <c r="A53" s="81" t="n"/>
      <c r="B53" s="73" t="inlineStr">
        <is>
          <t>6+ serveurs</t>
        </is>
      </c>
      <c r="C53" s="24" t="inlineStr">
        <is>
          <t>Infrastructure simple</t>
        </is>
      </c>
      <c r="D53" s="29">
        <f>ROUND($B$6*$B$10*$B$11*$B$14*$B$17*$B$19*$B$21,0)</f>
        <v/>
      </c>
      <c r="E53" s="29">
        <f>ROUND($B$6*$B$10*$B$11*$B$14*$B$17*$B$19*$B$22,0)</f>
        <v/>
      </c>
      <c r="F53" s="29">
        <f>ROUND($B$6*$B$10*$B$11*$B$14*$B$17*$B$20*$B$21,0)</f>
        <v/>
      </c>
      <c r="G53" s="29">
        <f>ROUND($B$6*$B$10*$B$11*$B$14*$B$17*$B$20*$B$22,0)</f>
        <v/>
      </c>
      <c r="H53" s="29">
        <f>ROUND($B$6*$B$10*$B$11*$B$14*$B$18*$B$19*$B$21,0)</f>
        <v/>
      </c>
      <c r="I53" s="29">
        <f>ROUND($B$6*$B$10*$B$11*$B$14*$B$18*$B$19*$B$22,0)</f>
        <v/>
      </c>
      <c r="J53" s="29">
        <f>ROUND($B$6*$B$10*$B$11*$B$14*$B$18*$B$20*$B$21,0)</f>
        <v/>
      </c>
      <c r="K53" s="29">
        <f>ROUND($B$6*$B$10*$B$11*$B$14*$B$18*$B$20*$B$22,0)</f>
        <v/>
      </c>
      <c r="L53" s="29">
        <f>ROUND($B$6*$B$10*$B$11*$B$15*$B$17*$B$19*$B$21,0)</f>
        <v/>
      </c>
      <c r="M53" s="29">
        <f>ROUND($B$6*$B$10*$B$11*$B$15*$B$17*$B$19*$B$22,0)</f>
        <v/>
      </c>
      <c r="N53" s="29">
        <f>ROUND($B$6*$B$10*$B$11*$B$15*$B$17*$B$20*$B$21,0)</f>
        <v/>
      </c>
      <c r="O53" s="29">
        <f>ROUND($B$6*$B$10*$B$11*$B$15*$B$17*$B$20*$B$22,0)</f>
        <v/>
      </c>
      <c r="P53" s="29">
        <f>ROUND($B$6*$B$10*$B$11*$B$15*$B$18*$B$19*$B$21,0)</f>
        <v/>
      </c>
      <c r="Q53" s="29">
        <f>ROUND($B$6*$B$10*$B$11*$B$15*$B$18*$B$19*$B$22,0)</f>
        <v/>
      </c>
      <c r="R53" s="29">
        <f>ROUND($B$6*$B$10*$B$11*$B$15*$B$18*$B$20*$B$21,0)</f>
        <v/>
      </c>
      <c r="S53" s="29">
        <f>ROUND($B$6*$B$10*$B$11*$B$15*$B$18*$B$20*$B$22,0)</f>
        <v/>
      </c>
      <c r="T53" s="29">
        <f>ROUND($B$6*$B$10*$B$11*$B$16*$B$17*$B$19*$B$21,0)</f>
        <v/>
      </c>
      <c r="U53" s="29">
        <f>ROUND($B$6*$B$10*$B$11*$B$16*$B$17*$B$19*$B$22,0)</f>
        <v/>
      </c>
      <c r="V53" s="29">
        <f>ROUND($B$6*$B$10*$B$11*$B$16*$B$17*$B$20*$B$21,0)</f>
        <v/>
      </c>
      <c r="W53" s="29">
        <f>ROUND($B$6*$B$10*$B$11*$B$16*$B$17*$B$20*$B$22,0)</f>
        <v/>
      </c>
      <c r="X53" s="29">
        <f>ROUND($B$6*$B$10*$B$11*$B$16*$B$18*$B$19*$B$21,0)</f>
        <v/>
      </c>
      <c r="Y53" s="29">
        <f>ROUND($B$6*$B$10*$B$11*$B$16*$B$18*$B$19*$B$22,0)</f>
        <v/>
      </c>
      <c r="Z53" s="29">
        <f>ROUND($B$6*$B$10*$B$11*$B$16*$B$18*$B$20*$B$21,0)</f>
        <v/>
      </c>
      <c r="AA53" s="29">
        <f>ROUND($B$6*$B$10*$B$11*$B$16*$B$18*$B$20*$B$22,0)</f>
        <v/>
      </c>
    </row>
    <row r="54" ht="20.1" customHeight="1" s="62">
      <c r="A54" s="81" t="n"/>
      <c r="B54" s="58" t="n"/>
      <c r="C54" s="73" t="inlineStr">
        <is>
          <t>Infrastructure standard</t>
        </is>
      </c>
      <c r="D54" s="29">
        <f>ROUND($B$6*$B$10*$B$12*$B$14*$B$17*$B$19*$B$21,0)</f>
        <v/>
      </c>
      <c r="E54" s="29">
        <f>ROUND($B$6*$B$10*$B$12*$B$14*$B$17*$B$19*$B$22,0)</f>
        <v/>
      </c>
      <c r="F54" s="29">
        <f>ROUND($B$6*$B$10*$B$12*$B$14*$B$17*$B$20*$B$21,0)</f>
        <v/>
      </c>
      <c r="G54" s="29">
        <f>ROUND($B$6*$B$10*$B$12*$B$14*$B$17*$B$20*$B$22,0)</f>
        <v/>
      </c>
      <c r="H54" s="29">
        <f>ROUND($B$6*$B$10*$B$12*$B$14*$B$18*$B$19*$B$21,0)</f>
        <v/>
      </c>
      <c r="I54" s="29">
        <f>ROUND($B$6*$B$10*$B$12*$B$14*$B$18*$B$19*$B$22,0)</f>
        <v/>
      </c>
      <c r="J54" s="29">
        <f>ROUND($B$6*$B$10*$B$12*$B$14*$B$18*$B$20*$B$21,0)</f>
        <v/>
      </c>
      <c r="K54" s="29">
        <f>ROUND($B$6*$B$10*$B$12*$B$14*$B$18*$B$20*$B$22,0)</f>
        <v/>
      </c>
      <c r="L54" s="29">
        <f>ROUND($B$6*$B$10*$B$12*$B$15*$B$17*$B$19*$B$21,0)</f>
        <v/>
      </c>
      <c r="M54" s="29">
        <f>ROUND($B$6*$B$10*$B$12*$B$15*$B$17*$B$19*$B$22,0)</f>
        <v/>
      </c>
      <c r="N54" s="29">
        <f>ROUND($B$6*$B$10*$B$12*$B$15*$B$17*$B$20*$B$21,0)</f>
        <v/>
      </c>
      <c r="O54" s="29">
        <f>ROUND($B$6*$B$10*$B$12*$B$15*$B$17*$B$20*$B$22,0)</f>
        <v/>
      </c>
      <c r="P54" s="29">
        <f>ROUND($B$6*$B$10*$B$12*$B$15*$B$18*$B$19*$B$21,0)</f>
        <v/>
      </c>
      <c r="Q54" s="29">
        <f>ROUND($B$6*$B$10*$B$12*$B$15*$B$18*$B$19*$B$22,0)</f>
        <v/>
      </c>
      <c r="R54" s="29">
        <f>ROUND($B$6*$B$10*$B$12*$B$15*$B$18*$B$20*$B$21,0)</f>
        <v/>
      </c>
      <c r="S54" s="29">
        <f>ROUND($B$6*$B$10*$B$12*$B$15*$B$18*$B$20*$B$22,0)</f>
        <v/>
      </c>
      <c r="T54" s="29">
        <f>ROUND($B$6*$B$10*$B$12*$B$16*$B$17*$B$19*$B$21,0)</f>
        <v/>
      </c>
      <c r="U54" s="29">
        <f>ROUND($B$6*$B$10*$B$12*$B$16*$B$17*$B$19*$B$22,0)</f>
        <v/>
      </c>
      <c r="V54" s="29">
        <f>ROUND($B$6*$B$10*$B$12*$B$16*$B$17*$B$20*$B$21,0)</f>
        <v/>
      </c>
      <c r="W54" s="29">
        <f>ROUND($B$6*$B$10*$B$12*$B$16*$B$17*$B$20*$B$22,0)</f>
        <v/>
      </c>
      <c r="X54" s="29">
        <f>ROUND($B$6*$B$10*$B$12*$B$16*$B$18*$B$19*$B$21,0)</f>
        <v/>
      </c>
      <c r="Y54" s="29">
        <f>ROUND($B$6*$B$10*$B$12*$B$16*$B$18*$B$19*$B$22,0)</f>
        <v/>
      </c>
      <c r="Z54" s="29">
        <f>ROUND($B$6*$B$10*$B$12*$B$16*$B$18*$B$20*$B$21,0)</f>
        <v/>
      </c>
      <c r="AA54" s="29">
        <f>ROUND($B$6*$B$10*$B$12*$B$16*$B$18*$B$20*$B$22,0)</f>
        <v/>
      </c>
    </row>
    <row r="55" ht="20.1" customHeight="1" s="62">
      <c r="A55" s="82" t="n"/>
      <c r="B55" s="59" t="n"/>
      <c r="C55" s="26" t="inlineStr">
        <is>
          <t>Infrastructure avancée multi-sites</t>
        </is>
      </c>
      <c r="D55" s="29">
        <f>ROUND($B$6*$B$10*$B$13*$B$14*$B$17*$B$19*$B$21,0)</f>
        <v/>
      </c>
      <c r="E55" s="29">
        <f>ROUND($B$6*$B$10*$B$13*$B$14*$B$17*$B$19*$B$22,0)</f>
        <v/>
      </c>
      <c r="F55" s="29">
        <f>ROUND($B$6*$B$10*$B$13*$B$14*$B$17*$B$20*$B$21,0)</f>
        <v/>
      </c>
      <c r="G55" s="29">
        <f>ROUND($B$6*$B$10*$B$13*$B$14*$B$17*$B$20*$B$22,0)</f>
        <v/>
      </c>
      <c r="H55" s="29">
        <f>ROUND($B$6*$B$10*$B$13*$B$14*$B$18*$B$19*$B$21,0)</f>
        <v/>
      </c>
      <c r="I55" s="29">
        <f>ROUND($B$6*$B$10*$B$13*$B$14*$B$18*$B$19*$B$22,0)</f>
        <v/>
      </c>
      <c r="J55" s="29">
        <f>ROUND($B$6*$B$10*$B$13*$B$14*$B$18*$B$20*$B$21,0)</f>
        <v/>
      </c>
      <c r="K55" s="29">
        <f>ROUND($B$6*$B$10*$B$13*$B$14*$B$18*$B$20*$B$22,0)</f>
        <v/>
      </c>
      <c r="L55" s="29">
        <f>ROUND($B$6*$B$10*$B$13*$B$15*$B$17*$B$19*$B$21,0)</f>
        <v/>
      </c>
      <c r="M55" s="29">
        <f>ROUND($B$6*$B$10*$B$13*$B$15*$B$17*$B$19*$B$22,0)</f>
        <v/>
      </c>
      <c r="N55" s="29">
        <f>ROUND($B$6*$B$10*$B$13*$B$15*$B$17*$B$20*$B$21,0)</f>
        <v/>
      </c>
      <c r="O55" s="29">
        <f>ROUND($B$6*$B$10*$B$13*$B$15*$B$17*$B$20*$B$22,0)</f>
        <v/>
      </c>
      <c r="P55" s="29">
        <f>ROUND($B$6*$B$10*$B$13*$B$15*$B$18*$B$19*$B$21,0)</f>
        <v/>
      </c>
      <c r="Q55" s="29">
        <f>ROUND($B$6*$B$10*$B$13*$B$15*$B$18*$B$19*$B$22,0)</f>
        <v/>
      </c>
      <c r="R55" s="29">
        <f>ROUND($B$6*$B$10*$B$13*$B$15*$B$18*$B$20*$B$21,0)</f>
        <v/>
      </c>
      <c r="S55" s="29">
        <f>ROUND($B$6*$B$10*$B$13*$B$15*$B$18*$B$20*$B$22,0)</f>
        <v/>
      </c>
      <c r="T55" s="29">
        <f>ROUND($B$6*$B$10*$B$13*$B$16*$B$17*$B$19*$B$21,0)</f>
        <v/>
      </c>
      <c r="U55" s="29">
        <f>ROUND($B$6*$B$10*$B$13*$B$16*$B$17*$B$19*$B$22,0)</f>
        <v/>
      </c>
      <c r="V55" s="29">
        <f>ROUND($B$6*$B$10*$B$13*$B$16*$B$17*$B$20*$B$21,0)</f>
        <v/>
      </c>
      <c r="W55" s="29">
        <f>ROUND($B$6*$B$10*$B$13*$B$16*$B$17*$B$20*$B$22,0)</f>
        <v/>
      </c>
      <c r="X55" s="29">
        <f>ROUND($B$6*$B$10*$B$13*$B$16*$B$18*$B$19*$B$21,0)</f>
        <v/>
      </c>
      <c r="Y55" s="29">
        <f>ROUND($B$6*$B$10*$B$13*$B$16*$B$18*$B$19*$B$22,0)</f>
        <v/>
      </c>
      <c r="Z55" s="29">
        <f>ROUND($B$6*$B$10*$B$13*$B$16*$B$18*$B$20*$B$21,0)</f>
        <v/>
      </c>
      <c r="AA55" s="29">
        <f>ROUND($B$6*$B$10*$B$13*$B$16*$B$18*$B$20*$B$22,0)</f>
        <v/>
      </c>
    </row>
  </sheetData>
  <mergeCells count="41">
    <mergeCell ref="B53:B55"/>
    <mergeCell ref="X26:AA26"/>
    <mergeCell ref="A7:AA7"/>
    <mergeCell ref="Z27:AA27"/>
    <mergeCell ref="A25:A28"/>
    <mergeCell ref="D26:G26"/>
    <mergeCell ref="A3:AA3"/>
    <mergeCell ref="B35:B37"/>
    <mergeCell ref="H26:K26"/>
    <mergeCell ref="C25:C28"/>
    <mergeCell ref="D27:E27"/>
    <mergeCell ref="T25:AA25"/>
    <mergeCell ref="A2:AA2"/>
    <mergeCell ref="P26:S26"/>
    <mergeCell ref="N27:O27"/>
    <mergeCell ref="A29:A37"/>
    <mergeCell ref="J27:K27"/>
    <mergeCell ref="P27:Q27"/>
    <mergeCell ref="B41:B43"/>
    <mergeCell ref="B47:B49"/>
    <mergeCell ref="R27:S27"/>
    <mergeCell ref="B32:B34"/>
    <mergeCell ref="A23:AA23"/>
    <mergeCell ref="B50:B52"/>
    <mergeCell ref="A47:A55"/>
    <mergeCell ref="A38:A46"/>
    <mergeCell ref="V27:W27"/>
    <mergeCell ref="L25:S25"/>
    <mergeCell ref="F27:G27"/>
    <mergeCell ref="H27:I27"/>
    <mergeCell ref="D25:K25"/>
    <mergeCell ref="L26:O26"/>
    <mergeCell ref="B44:B46"/>
    <mergeCell ref="T26:W26"/>
    <mergeCell ref="B29:B31"/>
    <mergeCell ref="L27:M27"/>
    <mergeCell ref="B38:B40"/>
    <mergeCell ref="B25:B28"/>
    <mergeCell ref="T27:U27"/>
    <mergeCell ref="A1:AA1"/>
    <mergeCell ref="X27:Y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0D3B4F"/>
    <outlinePr summaryBelow="1" summaryRight="1"/>
    <pageSetUpPr/>
  </sheetPr>
  <dimension ref="A1:AM62"/>
  <sheetViews>
    <sheetView workbookViewId="0">
      <pane xSplit="3" topLeftCell="D1" activePane="topRight" state="frozen"/>
      <selection pane="topRight" activeCell="B16" sqref="B16"/>
    </sheetView>
  </sheetViews>
  <sheetFormatPr baseColWidth="10" defaultColWidth="9.140625" defaultRowHeight="15"/>
  <cols>
    <col width="24" customWidth="1" style="62" min="1" max="1"/>
    <col width="14" customWidth="1" style="62" min="2" max="2"/>
    <col width="28" customWidth="1" style="62" min="3" max="3"/>
    <col width="13" customWidth="1" style="62" min="4" max="39"/>
  </cols>
  <sheetData>
    <row r="1" ht="33.95" customHeight="1" s="62">
      <c r="A1" s="85" t="inlineStr">
        <is>
          <t>GRILLE TARIFAIRE — Maintenance, support &amp; évolutions  (€/intervention ou €/mois selon mode)</t>
        </is>
      </c>
    </row>
    <row r="2" ht="26.1" customHeight="1" s="62">
      <c r="A2" s="79" t="inlineStr">
        <is>
          <t>⚙  ZONE DE PARAMÉTRAGE — Remplissez uniquement les cases jaunes.  |  Ponctuel = €/intervention  |  Forfaits = €/mois</t>
        </is>
      </c>
    </row>
    <row r="3" ht="21.95" customHeight="1" s="62">
      <c r="A3" s="78" t="inlineStr">
        <is>
          <t>TARIFS DE BASE  —  Par niveau de service</t>
        </is>
      </c>
    </row>
    <row r="4" ht="21.95" customHeight="1" s="62">
      <c r="A4" s="16" t="inlineStr">
        <is>
          <t>Tarif de base — Support ponctuel</t>
        </is>
      </c>
      <c r="B4" s="30" t="n">
        <v>400</v>
      </c>
      <c r="C4" s="18" t="inlineStr">
        <is>
          <t>Fourchette indicative : 300 – 800 €/intervention</t>
        </is>
      </c>
    </row>
    <row r="5" ht="21.95" customHeight="1" s="62">
      <c r="A5" s="16" t="inlineStr">
        <is>
          <t>Tarif de base — Maintenance mensuelle</t>
        </is>
      </c>
      <c r="B5" s="28" t="n">
        <v>600</v>
      </c>
      <c r="C5" s="18" t="inlineStr">
        <is>
          <t>Fourchette indicative : 200 – 1 000 €/mois</t>
        </is>
      </c>
    </row>
    <row r="6" ht="21.95" customHeight="1" s="62">
      <c r="A6" s="16" t="inlineStr">
        <is>
          <t>Tarif de base — Maintenance avancée</t>
        </is>
      </c>
      <c r="B6" s="28" t="n">
        <v>1500</v>
      </c>
      <c r="C6" s="18" t="inlineStr">
        <is>
          <t>Fourchette indicative : 1 000 – 3 000 €/mois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outils — 1 outil</t>
        </is>
      </c>
      <c r="B8" s="20" t="n">
        <v>1</v>
      </c>
      <c r="C8" s="21" t="inlineStr">
        <is>
          <t>Référence</t>
        </is>
      </c>
    </row>
    <row r="9" ht="20.1" customHeight="1" s="62">
      <c r="A9" s="19" t="inlineStr">
        <is>
          <t>Coeff. outils — 2-5 outils</t>
        </is>
      </c>
      <c r="B9" s="20" t="n">
        <v>1.4</v>
      </c>
      <c r="C9" s="21" t="inlineStr">
        <is>
          <t>Périmètre élargi</t>
        </is>
      </c>
    </row>
    <row r="10" ht="20.1" customHeight="1" s="62">
      <c r="A10" s="19" t="inlineStr">
        <is>
          <t>Coeff. outils — 6+ outils</t>
        </is>
      </c>
      <c r="B10" s="20" t="n">
        <v>2</v>
      </c>
      <c r="C10" s="21" t="inlineStr">
        <is>
          <t>Périmètre large</t>
        </is>
      </c>
    </row>
    <row r="11" ht="20.1" customHeight="1" s="62">
      <c r="A11" s="19" t="inlineStr">
        <is>
          <t>Coeff. complexité — Simple</t>
        </is>
      </c>
      <c r="B11" s="20" t="n">
        <v>0.9</v>
      </c>
      <c r="C11" s="21" t="inlineStr">
        <is>
          <t>Environnement standard</t>
        </is>
      </c>
    </row>
    <row r="12" ht="20.1" customHeight="1" s="62">
      <c r="A12" s="19" t="inlineStr">
        <is>
          <t>Coeff. complexité — Modérée</t>
        </is>
      </c>
      <c r="B12" s="20" t="n">
        <v>1</v>
      </c>
      <c r="C12" s="21" t="inlineStr">
        <is>
          <t>Référence</t>
        </is>
      </c>
    </row>
    <row r="13" ht="20.1" customHeight="1" s="62">
      <c r="A13" s="19" t="inlineStr">
        <is>
          <t>Coeff. complexité — Critique haute disponibilité</t>
        </is>
      </c>
      <c r="B13" s="20" t="n">
        <v>1.7</v>
      </c>
      <c r="C13" s="21" t="inlineStr">
        <is>
          <t>Systèmes critiques</t>
        </is>
      </c>
    </row>
    <row r="14" ht="20.1" customHeight="1" s="62">
      <c r="A14" s="19" t="inlineStr">
        <is>
          <t>Coeff. réactivité — Standard (J+2)</t>
        </is>
      </c>
      <c r="B14" s="20" t="n">
        <v>1</v>
      </c>
      <c r="C14" s="21" t="inlineStr">
        <is>
          <t>Référence</t>
        </is>
      </c>
    </row>
    <row r="15" ht="20.1" customHeight="1" s="62">
      <c r="A15" s="19" t="inlineStr">
        <is>
          <t>Coeff. réactivité — Prioritaire (J+1)</t>
        </is>
      </c>
      <c r="B15" s="20" t="n">
        <v>1.3</v>
      </c>
      <c r="C15" s="21" t="inlineStr">
        <is>
          <t>Traitement accéléré</t>
        </is>
      </c>
    </row>
    <row r="16" ht="20.1" customHeight="1" s="62">
      <c r="A16" s="19" t="inlineStr">
        <is>
          <t>Coeff. réactivité — Critique (H+4)</t>
        </is>
      </c>
      <c r="B16" s="20" t="n">
        <v>1.7</v>
      </c>
      <c r="C16" s="21" t="inlineStr">
        <is>
          <t>Intervention d'urgence</t>
        </is>
      </c>
    </row>
    <row r="17" ht="20.1" customHeight="1" s="62">
      <c r="A17" s="19" t="inlineStr">
        <is>
          <t>Coeff. criticité — Système standard</t>
        </is>
      </c>
      <c r="B17" s="20" t="n">
        <v>1</v>
      </c>
      <c r="C17" s="21" t="inlineStr">
        <is>
          <t>Référence</t>
        </is>
      </c>
    </row>
    <row r="18" ht="20.1" customHeight="1" s="62">
      <c r="A18" s="19" t="inlineStr">
        <is>
          <t>Coeff. criticité — Système critique (SLA)</t>
        </is>
      </c>
      <c r="B18" s="20" t="n">
        <v>1.6</v>
      </c>
      <c r="C18" s="21" t="inlineStr">
        <is>
          <t>SLA contractuel élevé</t>
        </is>
      </c>
    </row>
    <row r="19" ht="20.1" customHeight="1" s="62">
      <c r="A19" s="19" t="inlineStr">
        <is>
          <t>Coeff. dispo — Heures ouvrées</t>
        </is>
      </c>
      <c r="B19" s="20" t="n">
        <v>1</v>
      </c>
      <c r="C19" s="21" t="inlineStr">
        <is>
          <t>Référence</t>
        </is>
      </c>
    </row>
    <row r="20" ht="20.1" customHeight="1" s="62">
      <c r="A20" s="19" t="inlineStr">
        <is>
          <t>Coeff. dispo — 24/7</t>
        </is>
      </c>
      <c r="B20" s="20" t="n">
        <v>2</v>
      </c>
      <c r="C20" s="21" t="inlineStr">
        <is>
          <t>Astreinte permanente</t>
        </is>
      </c>
    </row>
    <row r="21" ht="24" customHeight="1" s="62">
      <c r="A21" s="83" t="inlineStr">
        <is>
          <t>▼  GRILLE TARIFAIRE CALCULÉE AUTOMATIQUEMENT  — Les cellules bleues sont en lecture seule (formules).</t>
        </is>
      </c>
    </row>
    <row r="22" ht="6" customHeight="1" s="62"/>
    <row r="23" ht="38.1" customHeight="1" s="62">
      <c r="A23" s="77" t="inlineStr">
        <is>
          <t>Type d'outils</t>
        </is>
      </c>
      <c r="B23" s="74" t="inlineStr">
        <is>
          <t>Nombre d'outils</t>
        </is>
      </c>
      <c r="C23" s="76" t="inlineStr">
        <is>
          <t>Complexité technique</t>
        </is>
      </c>
      <c r="D23" s="77" t="inlineStr">
        <is>
          <t>Ponctuel</t>
        </is>
      </c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6" t="n"/>
      <c r="P23" s="77" t="inlineStr">
        <is>
          <t>Forfait mensuel</t>
        </is>
      </c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6" t="n"/>
      <c r="AB23" s="77" t="inlineStr">
        <is>
          <t>Forfait évolutif</t>
        </is>
      </c>
      <c r="AC23" s="55" t="n"/>
      <c r="AD23" s="55" t="n"/>
      <c r="AE23" s="55" t="n"/>
      <c r="AF23" s="55" t="n"/>
      <c r="AG23" s="55" t="n"/>
      <c r="AH23" s="55" t="n"/>
      <c r="AI23" s="55" t="n"/>
      <c r="AJ23" s="55" t="n"/>
      <c r="AK23" s="55" t="n"/>
      <c r="AL23" s="55" t="n"/>
      <c r="AM23" s="56" t="n"/>
    </row>
    <row r="24" ht="38.1" customHeight="1" s="62">
      <c r="A24" s="64" t="n"/>
      <c r="B24" s="64" t="n"/>
      <c r="C24" s="64" t="n"/>
      <c r="D24" s="74" t="inlineStr">
        <is>
          <t>Standard (J+2)</t>
        </is>
      </c>
      <c r="E24" s="55" t="n"/>
      <c r="F24" s="55" t="n"/>
      <c r="G24" s="56" t="n"/>
      <c r="H24" s="74" t="inlineStr">
        <is>
          <t>Prioritaire (J+1)</t>
        </is>
      </c>
      <c r="I24" s="55" t="n"/>
      <c r="J24" s="55" t="n"/>
      <c r="K24" s="56" t="n"/>
      <c r="L24" s="74" t="inlineStr">
        <is>
          <t>Critique (H+4)</t>
        </is>
      </c>
      <c r="M24" s="55" t="n"/>
      <c r="N24" s="55" t="n"/>
      <c r="O24" s="56" t="n"/>
      <c r="P24" s="74" t="inlineStr">
        <is>
          <t>Standard (J+2)</t>
        </is>
      </c>
      <c r="Q24" s="55" t="n"/>
      <c r="R24" s="55" t="n"/>
      <c r="S24" s="56" t="n"/>
      <c r="T24" s="74" t="inlineStr">
        <is>
          <t>Prioritaire (J+1)</t>
        </is>
      </c>
      <c r="U24" s="55" t="n"/>
      <c r="V24" s="55" t="n"/>
      <c r="W24" s="56" t="n"/>
      <c r="X24" s="74" t="inlineStr">
        <is>
          <t>Critique (H+4)</t>
        </is>
      </c>
      <c r="Y24" s="55" t="n"/>
      <c r="Z24" s="55" t="n"/>
      <c r="AA24" s="56" t="n"/>
      <c r="AB24" s="74" t="inlineStr">
        <is>
          <t>Standard (J+2)</t>
        </is>
      </c>
      <c r="AC24" s="55" t="n"/>
      <c r="AD24" s="55" t="n"/>
      <c r="AE24" s="56" t="n"/>
      <c r="AF24" s="74" t="inlineStr">
        <is>
          <t>Prioritaire (J+1)</t>
        </is>
      </c>
      <c r="AG24" s="55" t="n"/>
      <c r="AH24" s="55" t="n"/>
      <c r="AI24" s="56" t="n"/>
      <c r="AJ24" s="74" t="inlineStr">
        <is>
          <t>Critique (H+4)</t>
        </is>
      </c>
      <c r="AK24" s="55" t="n"/>
      <c r="AL24" s="55" t="n"/>
      <c r="AM24" s="56" t="n"/>
    </row>
    <row r="25" ht="38.1" customHeight="1" s="62">
      <c r="A25" s="64" t="n"/>
      <c r="B25" s="64" t="n"/>
      <c r="C25" s="64" t="n"/>
      <c r="D25" s="76" t="inlineStr">
        <is>
          <t>Système standard</t>
        </is>
      </c>
      <c r="E25" s="56" t="n"/>
      <c r="F25" s="76" t="inlineStr">
        <is>
          <t>Système critique (SLA)</t>
        </is>
      </c>
      <c r="G25" s="56" t="n"/>
      <c r="H25" s="76" t="inlineStr">
        <is>
          <t>Système standard</t>
        </is>
      </c>
      <c r="I25" s="56" t="n"/>
      <c r="J25" s="76" t="inlineStr">
        <is>
          <t>Système critique (SLA)</t>
        </is>
      </c>
      <c r="K25" s="56" t="n"/>
      <c r="L25" s="76" t="inlineStr">
        <is>
          <t>Système standard</t>
        </is>
      </c>
      <c r="M25" s="56" t="n"/>
      <c r="N25" s="76" t="inlineStr">
        <is>
          <t>Système critique (SLA)</t>
        </is>
      </c>
      <c r="O25" s="56" t="n"/>
      <c r="P25" s="76" t="inlineStr">
        <is>
          <t>Système standard</t>
        </is>
      </c>
      <c r="Q25" s="56" t="n"/>
      <c r="R25" s="76" t="inlineStr">
        <is>
          <t>Système critique (SLA)</t>
        </is>
      </c>
      <c r="S25" s="56" t="n"/>
      <c r="T25" s="76" t="inlineStr">
        <is>
          <t>Système standard</t>
        </is>
      </c>
      <c r="U25" s="56" t="n"/>
      <c r="V25" s="76" t="inlineStr">
        <is>
          <t>Système critique (SLA)</t>
        </is>
      </c>
      <c r="W25" s="56" t="n"/>
      <c r="X25" s="76" t="inlineStr">
        <is>
          <t>Système standard</t>
        </is>
      </c>
      <c r="Y25" s="56" t="n"/>
      <c r="Z25" s="76" t="inlineStr">
        <is>
          <t>Système critique (SLA)</t>
        </is>
      </c>
      <c r="AA25" s="56" t="n"/>
      <c r="AB25" s="76" t="inlineStr">
        <is>
          <t>Système standard</t>
        </is>
      </c>
      <c r="AC25" s="56" t="n"/>
      <c r="AD25" s="76" t="inlineStr">
        <is>
          <t>Système critique (SLA)</t>
        </is>
      </c>
      <c r="AE25" s="56" t="n"/>
      <c r="AF25" s="76" t="inlineStr">
        <is>
          <t>Système standard</t>
        </is>
      </c>
      <c r="AG25" s="56" t="n"/>
      <c r="AH25" s="76" t="inlineStr">
        <is>
          <t>Système critique (SLA)</t>
        </is>
      </c>
      <c r="AI25" s="56" t="n"/>
      <c r="AJ25" s="76" t="inlineStr">
        <is>
          <t>Système standard</t>
        </is>
      </c>
      <c r="AK25" s="56" t="n"/>
      <c r="AL25" s="76" t="inlineStr">
        <is>
          <t>Système critique (SLA)</t>
        </is>
      </c>
      <c r="AM25" s="56" t="n"/>
    </row>
    <row r="26" ht="38.1" customHeight="1" s="62">
      <c r="A26" s="65" t="n"/>
      <c r="B26" s="65" t="n"/>
      <c r="C26" s="65" t="n"/>
      <c r="D26" s="22" t="inlineStr">
        <is>
          <t>Heures ouvrées</t>
        </is>
      </c>
      <c r="E26" s="22" t="inlineStr">
        <is>
          <t>24/7</t>
        </is>
      </c>
      <c r="F26" s="22" t="inlineStr">
        <is>
          <t>Heures ouvrées</t>
        </is>
      </c>
      <c r="G26" s="22" t="inlineStr">
        <is>
          <t>24/7</t>
        </is>
      </c>
      <c r="H26" s="22" t="inlineStr">
        <is>
          <t>Heures ouvrées</t>
        </is>
      </c>
      <c r="I26" s="22" t="inlineStr">
        <is>
          <t>24/7</t>
        </is>
      </c>
      <c r="J26" s="22" t="inlineStr">
        <is>
          <t>Heures ouvrées</t>
        </is>
      </c>
      <c r="K26" s="22" t="inlineStr">
        <is>
          <t>24/7</t>
        </is>
      </c>
      <c r="L26" s="22" t="inlineStr">
        <is>
          <t>Heures ouvrées</t>
        </is>
      </c>
      <c r="M26" s="22" t="inlineStr">
        <is>
          <t>24/7</t>
        </is>
      </c>
      <c r="N26" s="22" t="inlineStr">
        <is>
          <t>Heures ouvrées</t>
        </is>
      </c>
      <c r="O26" s="22" t="inlineStr">
        <is>
          <t>24/7</t>
        </is>
      </c>
      <c r="P26" s="22" t="inlineStr">
        <is>
          <t>Heures ouvrées</t>
        </is>
      </c>
      <c r="Q26" s="22" t="inlineStr">
        <is>
          <t>24/7</t>
        </is>
      </c>
      <c r="R26" s="22" t="inlineStr">
        <is>
          <t>Heures ouvrées</t>
        </is>
      </c>
      <c r="S26" s="22" t="inlineStr">
        <is>
          <t>24/7</t>
        </is>
      </c>
      <c r="T26" s="22" t="inlineStr">
        <is>
          <t>Heures ouvrées</t>
        </is>
      </c>
      <c r="U26" s="22" t="inlineStr">
        <is>
          <t>24/7</t>
        </is>
      </c>
      <c r="V26" s="22" t="inlineStr">
        <is>
          <t>Heures ouvrées</t>
        </is>
      </c>
      <c r="W26" s="22" t="inlineStr">
        <is>
          <t>24/7</t>
        </is>
      </c>
      <c r="X26" s="22" t="inlineStr">
        <is>
          <t>Heures ouvrées</t>
        </is>
      </c>
      <c r="Y26" s="22" t="inlineStr">
        <is>
          <t>24/7</t>
        </is>
      </c>
      <c r="Z26" s="22" t="inlineStr">
        <is>
          <t>Heures ouvrées</t>
        </is>
      </c>
      <c r="AA26" s="22" t="inlineStr">
        <is>
          <t>24/7</t>
        </is>
      </c>
      <c r="AB26" s="22" t="inlineStr">
        <is>
          <t>Heures ouvrées</t>
        </is>
      </c>
      <c r="AC26" s="22" t="inlineStr">
        <is>
          <t>24/7</t>
        </is>
      </c>
      <c r="AD26" s="22" t="inlineStr">
        <is>
          <t>Heures ouvrées</t>
        </is>
      </c>
      <c r="AE26" s="22" t="inlineStr">
        <is>
          <t>24/7</t>
        </is>
      </c>
      <c r="AF26" s="22" t="inlineStr">
        <is>
          <t>Heures ouvrées</t>
        </is>
      </c>
      <c r="AG26" s="22" t="inlineStr">
        <is>
          <t>24/7</t>
        </is>
      </c>
      <c r="AH26" s="22" t="inlineStr">
        <is>
          <t>Heures ouvrées</t>
        </is>
      </c>
      <c r="AI26" s="22" t="inlineStr">
        <is>
          <t>24/7</t>
        </is>
      </c>
      <c r="AJ26" s="22" t="inlineStr">
        <is>
          <t>Heures ouvrées</t>
        </is>
      </c>
      <c r="AK26" s="22" t="inlineStr">
        <is>
          <t>24/7</t>
        </is>
      </c>
      <c r="AL26" s="22" t="inlineStr">
        <is>
          <t>Heures ouvrées</t>
        </is>
      </c>
      <c r="AM26" s="22" t="inlineStr">
        <is>
          <t>24/7</t>
        </is>
      </c>
    </row>
    <row r="27" ht="20.1" customHeight="1" s="62">
      <c r="A27" s="80" t="inlineStr">
        <is>
          <t>Site web</t>
        </is>
      </c>
      <c r="B27" s="73" t="inlineStr">
        <is>
          <t>1 outil</t>
        </is>
      </c>
      <c r="C27" s="24" t="inlineStr">
        <is>
          <t>Complexité simple</t>
        </is>
      </c>
      <c r="D27" s="31">
        <f>ROUND($B$4*$B$8*$B$11*$B$14*$B$17*$B$19,0)</f>
        <v/>
      </c>
      <c r="E27" s="31">
        <f>ROUND($B$4*$B$8*$B$11*$B$14*$B$17*$B$20,0)</f>
        <v/>
      </c>
      <c r="F27" s="31">
        <f>ROUND($B$4*$B$8*$B$11*$B$14*$B$18*$B$19,0)</f>
        <v/>
      </c>
      <c r="G27" s="31">
        <f>ROUND($B$4*$B$8*$B$11*$B$14*$B$18*$B$20,0)</f>
        <v/>
      </c>
      <c r="H27" s="31">
        <f>ROUND($B$4*$B$8*$B$11*$B$15*$B$17*$B$19,0)</f>
        <v/>
      </c>
      <c r="I27" s="31">
        <f>ROUND($B$4*$B$8*$B$11*$B$15*$B$17*$B$20,0)</f>
        <v/>
      </c>
      <c r="J27" s="31">
        <f>ROUND($B$4*$B$8*$B$11*$B$15*$B$18*$B$19,0)</f>
        <v/>
      </c>
      <c r="K27" s="31">
        <f>ROUND($B$4*$B$8*$B$11*$B$15*$B$18*$B$20,0)</f>
        <v/>
      </c>
      <c r="L27" s="31">
        <f>ROUND($B$4*$B$8*$B$11*$B$16*$B$17*$B$19,0)</f>
        <v/>
      </c>
      <c r="M27" s="31">
        <f>ROUND($B$4*$B$8*$B$11*$B$16*$B$17*$B$20,0)</f>
        <v/>
      </c>
      <c r="N27" s="31">
        <f>ROUND($B$4*$B$8*$B$11*$B$16*$B$18*$B$19,0)</f>
        <v/>
      </c>
      <c r="O27" s="31">
        <f>ROUND($B$4*$B$8*$B$11*$B$16*$B$18*$B$20,0)</f>
        <v/>
      </c>
      <c r="P27" s="29">
        <f>ROUND($B$5*$B$8*$B$11*$B$14*$B$17*$B$19,0)</f>
        <v/>
      </c>
      <c r="Q27" s="29">
        <f>ROUND($B$5*$B$8*$B$11*$B$14*$B$17*$B$20,0)</f>
        <v/>
      </c>
      <c r="R27" s="29">
        <f>ROUND($B$5*$B$8*$B$11*$B$14*$B$18*$B$19,0)</f>
        <v/>
      </c>
      <c r="S27" s="29">
        <f>ROUND($B$5*$B$8*$B$11*$B$14*$B$18*$B$20,0)</f>
        <v/>
      </c>
      <c r="T27" s="29">
        <f>ROUND($B$5*$B$8*$B$11*$B$15*$B$17*$B$19,0)</f>
        <v/>
      </c>
      <c r="U27" s="29">
        <f>ROUND($B$5*$B$8*$B$11*$B$15*$B$17*$B$20,0)</f>
        <v/>
      </c>
      <c r="V27" s="29">
        <f>ROUND($B$5*$B$8*$B$11*$B$15*$B$18*$B$19,0)</f>
        <v/>
      </c>
      <c r="W27" s="29">
        <f>ROUND($B$5*$B$8*$B$11*$B$15*$B$18*$B$20,0)</f>
        <v/>
      </c>
      <c r="X27" s="29">
        <f>ROUND($B$5*$B$8*$B$11*$B$16*$B$17*$B$19,0)</f>
        <v/>
      </c>
      <c r="Y27" s="29">
        <f>ROUND($B$5*$B$8*$B$11*$B$16*$B$17*$B$20,0)</f>
        <v/>
      </c>
      <c r="Z27" s="29">
        <f>ROUND($B$5*$B$8*$B$11*$B$16*$B$18*$B$19,0)</f>
        <v/>
      </c>
      <c r="AA27" s="29">
        <f>ROUND($B$5*$B$8*$B$11*$B$16*$B$18*$B$20,0)</f>
        <v/>
      </c>
      <c r="AB27" s="29">
        <f>ROUND($B$6*$B$8*$B$11*$B$14*$B$17*$B$19,0)</f>
        <v/>
      </c>
      <c r="AC27" s="29">
        <f>ROUND($B$6*$B$8*$B$11*$B$14*$B$17*$B$20,0)</f>
        <v/>
      </c>
      <c r="AD27" s="29">
        <f>ROUND($B$6*$B$8*$B$11*$B$14*$B$18*$B$19,0)</f>
        <v/>
      </c>
      <c r="AE27" s="29">
        <f>ROUND($B$6*$B$8*$B$11*$B$14*$B$18*$B$20,0)</f>
        <v/>
      </c>
      <c r="AF27" s="29">
        <f>ROUND($B$6*$B$8*$B$11*$B$15*$B$17*$B$19,0)</f>
        <v/>
      </c>
      <c r="AG27" s="29">
        <f>ROUND($B$6*$B$8*$B$11*$B$15*$B$17*$B$20,0)</f>
        <v/>
      </c>
      <c r="AH27" s="29">
        <f>ROUND($B$6*$B$8*$B$11*$B$15*$B$18*$B$19,0)</f>
        <v/>
      </c>
      <c r="AI27" s="29">
        <f>ROUND($B$6*$B$8*$B$11*$B$15*$B$18*$B$20,0)</f>
        <v/>
      </c>
      <c r="AJ27" s="29">
        <f>ROUND($B$6*$B$8*$B$11*$B$16*$B$17*$B$19,0)</f>
        <v/>
      </c>
      <c r="AK27" s="29">
        <f>ROUND($B$6*$B$8*$B$11*$B$16*$B$17*$B$20,0)</f>
        <v/>
      </c>
      <c r="AL27" s="29">
        <f>ROUND($B$6*$B$8*$B$11*$B$16*$B$18*$B$19,0)</f>
        <v/>
      </c>
      <c r="AM27" s="29">
        <f>ROUND($B$6*$B$8*$B$11*$B$16*$B$18*$B$20,0)</f>
        <v/>
      </c>
    </row>
    <row r="28" ht="20.1" customHeight="1" s="62">
      <c r="A28" s="81" t="n"/>
      <c r="B28" s="58" t="n"/>
      <c r="C28" s="73" t="inlineStr">
        <is>
          <t>Complexité modérée</t>
        </is>
      </c>
      <c r="D28" s="31">
        <f>ROUND($B$4*$B$8*$B$12*$B$14*$B$17*$B$19,0)</f>
        <v/>
      </c>
      <c r="E28" s="31">
        <f>ROUND($B$4*$B$8*$B$12*$B$14*$B$17*$B$20,0)</f>
        <v/>
      </c>
      <c r="F28" s="31">
        <f>ROUND($B$4*$B$8*$B$12*$B$14*$B$18*$B$19,0)</f>
        <v/>
      </c>
      <c r="G28" s="31">
        <f>ROUND($B$4*$B$8*$B$12*$B$14*$B$18*$B$20,0)</f>
        <v/>
      </c>
      <c r="H28" s="31">
        <f>ROUND($B$4*$B$8*$B$12*$B$15*$B$17*$B$19,0)</f>
        <v/>
      </c>
      <c r="I28" s="31">
        <f>ROUND($B$4*$B$8*$B$12*$B$15*$B$17*$B$20,0)</f>
        <v/>
      </c>
      <c r="J28" s="31">
        <f>ROUND($B$4*$B$8*$B$12*$B$15*$B$18*$B$19,0)</f>
        <v/>
      </c>
      <c r="K28" s="31">
        <f>ROUND($B$4*$B$8*$B$12*$B$15*$B$18*$B$20,0)</f>
        <v/>
      </c>
      <c r="L28" s="31">
        <f>ROUND($B$4*$B$8*$B$12*$B$16*$B$17*$B$19,0)</f>
        <v/>
      </c>
      <c r="M28" s="31">
        <f>ROUND($B$4*$B$8*$B$12*$B$16*$B$17*$B$20,0)</f>
        <v/>
      </c>
      <c r="N28" s="31">
        <f>ROUND($B$4*$B$8*$B$12*$B$16*$B$18*$B$19,0)</f>
        <v/>
      </c>
      <c r="O28" s="31">
        <f>ROUND($B$4*$B$8*$B$12*$B$16*$B$18*$B$20,0)</f>
        <v/>
      </c>
      <c r="P28" s="29">
        <f>ROUND($B$5*$B$8*$B$12*$B$14*$B$17*$B$19,0)</f>
        <v/>
      </c>
      <c r="Q28" s="29">
        <f>ROUND($B$5*$B$8*$B$12*$B$14*$B$17*$B$20,0)</f>
        <v/>
      </c>
      <c r="R28" s="29">
        <f>ROUND($B$5*$B$8*$B$12*$B$14*$B$18*$B$19,0)</f>
        <v/>
      </c>
      <c r="S28" s="29">
        <f>ROUND($B$5*$B$8*$B$12*$B$14*$B$18*$B$20,0)</f>
        <v/>
      </c>
      <c r="T28" s="29">
        <f>ROUND($B$5*$B$8*$B$12*$B$15*$B$17*$B$19,0)</f>
        <v/>
      </c>
      <c r="U28" s="29">
        <f>ROUND($B$5*$B$8*$B$12*$B$15*$B$17*$B$20,0)</f>
        <v/>
      </c>
      <c r="V28" s="29">
        <f>ROUND($B$5*$B$8*$B$12*$B$15*$B$18*$B$19,0)</f>
        <v/>
      </c>
      <c r="W28" s="29">
        <f>ROUND($B$5*$B$8*$B$12*$B$15*$B$18*$B$20,0)</f>
        <v/>
      </c>
      <c r="X28" s="29">
        <f>ROUND($B$5*$B$8*$B$12*$B$16*$B$17*$B$19,0)</f>
        <v/>
      </c>
      <c r="Y28" s="29">
        <f>ROUND($B$5*$B$8*$B$12*$B$16*$B$17*$B$20,0)</f>
        <v/>
      </c>
      <c r="Z28" s="29">
        <f>ROUND($B$5*$B$8*$B$12*$B$16*$B$18*$B$19,0)</f>
        <v/>
      </c>
      <c r="AA28" s="29">
        <f>ROUND($B$5*$B$8*$B$12*$B$16*$B$18*$B$20,0)</f>
        <v/>
      </c>
      <c r="AB28" s="29">
        <f>ROUND($B$6*$B$8*$B$12*$B$14*$B$17*$B$19,0)</f>
        <v/>
      </c>
      <c r="AC28" s="29">
        <f>ROUND($B$6*$B$8*$B$12*$B$14*$B$17*$B$20,0)</f>
        <v/>
      </c>
      <c r="AD28" s="29">
        <f>ROUND($B$6*$B$8*$B$12*$B$14*$B$18*$B$19,0)</f>
        <v/>
      </c>
      <c r="AE28" s="29">
        <f>ROUND($B$6*$B$8*$B$12*$B$14*$B$18*$B$20,0)</f>
        <v/>
      </c>
      <c r="AF28" s="29">
        <f>ROUND($B$6*$B$8*$B$12*$B$15*$B$17*$B$19,0)</f>
        <v/>
      </c>
      <c r="AG28" s="29">
        <f>ROUND($B$6*$B$8*$B$12*$B$15*$B$17*$B$20,0)</f>
        <v/>
      </c>
      <c r="AH28" s="29">
        <f>ROUND($B$6*$B$8*$B$12*$B$15*$B$18*$B$19,0)</f>
        <v/>
      </c>
      <c r="AI28" s="29">
        <f>ROUND($B$6*$B$8*$B$12*$B$15*$B$18*$B$20,0)</f>
        <v/>
      </c>
      <c r="AJ28" s="29">
        <f>ROUND($B$6*$B$8*$B$12*$B$16*$B$17*$B$19,0)</f>
        <v/>
      </c>
      <c r="AK28" s="29">
        <f>ROUND($B$6*$B$8*$B$12*$B$16*$B$17*$B$20,0)</f>
        <v/>
      </c>
      <c r="AL28" s="29">
        <f>ROUND($B$6*$B$8*$B$12*$B$16*$B$18*$B$19,0)</f>
        <v/>
      </c>
      <c r="AM28" s="29">
        <f>ROUND($B$6*$B$8*$B$12*$B$16*$B$18*$B$20,0)</f>
        <v/>
      </c>
    </row>
    <row r="29" ht="20.1" customHeight="1" s="62">
      <c r="A29" s="81" t="n"/>
      <c r="B29" s="59" t="n"/>
      <c r="C29" s="26" t="inlineStr">
        <is>
          <t>Critique haute disponibilité</t>
        </is>
      </c>
      <c r="D29" s="31">
        <f>ROUND($B$4*$B$8*$B$13*$B$14*$B$17*$B$19,0)</f>
        <v/>
      </c>
      <c r="E29" s="31">
        <f>ROUND($B$4*$B$8*$B$13*$B$14*$B$17*$B$20,0)</f>
        <v/>
      </c>
      <c r="F29" s="31">
        <f>ROUND($B$4*$B$8*$B$13*$B$14*$B$18*$B$19,0)</f>
        <v/>
      </c>
      <c r="G29" s="31">
        <f>ROUND($B$4*$B$8*$B$13*$B$14*$B$18*$B$20,0)</f>
        <v/>
      </c>
      <c r="H29" s="31">
        <f>ROUND($B$4*$B$8*$B$13*$B$15*$B$17*$B$19,0)</f>
        <v/>
      </c>
      <c r="I29" s="31">
        <f>ROUND($B$4*$B$8*$B$13*$B$15*$B$17*$B$20,0)</f>
        <v/>
      </c>
      <c r="J29" s="31">
        <f>ROUND($B$4*$B$8*$B$13*$B$15*$B$18*$B$19,0)</f>
        <v/>
      </c>
      <c r="K29" s="31">
        <f>ROUND($B$4*$B$8*$B$13*$B$15*$B$18*$B$20,0)</f>
        <v/>
      </c>
      <c r="L29" s="31">
        <f>ROUND($B$4*$B$8*$B$13*$B$16*$B$17*$B$19,0)</f>
        <v/>
      </c>
      <c r="M29" s="31">
        <f>ROUND($B$4*$B$8*$B$13*$B$16*$B$17*$B$20,0)</f>
        <v/>
      </c>
      <c r="N29" s="31">
        <f>ROUND($B$4*$B$8*$B$13*$B$16*$B$18*$B$19,0)</f>
        <v/>
      </c>
      <c r="O29" s="31">
        <f>ROUND($B$4*$B$8*$B$13*$B$16*$B$18*$B$20,0)</f>
        <v/>
      </c>
      <c r="P29" s="29">
        <f>ROUND($B$5*$B$8*$B$13*$B$14*$B$17*$B$19,0)</f>
        <v/>
      </c>
      <c r="Q29" s="29">
        <f>ROUND($B$5*$B$8*$B$13*$B$14*$B$17*$B$20,0)</f>
        <v/>
      </c>
      <c r="R29" s="29">
        <f>ROUND($B$5*$B$8*$B$13*$B$14*$B$18*$B$19,0)</f>
        <v/>
      </c>
      <c r="S29" s="29">
        <f>ROUND($B$5*$B$8*$B$13*$B$14*$B$18*$B$20,0)</f>
        <v/>
      </c>
      <c r="T29" s="29">
        <f>ROUND($B$5*$B$8*$B$13*$B$15*$B$17*$B$19,0)</f>
        <v/>
      </c>
      <c r="U29" s="29">
        <f>ROUND($B$5*$B$8*$B$13*$B$15*$B$17*$B$20,0)</f>
        <v/>
      </c>
      <c r="V29" s="29">
        <f>ROUND($B$5*$B$8*$B$13*$B$15*$B$18*$B$19,0)</f>
        <v/>
      </c>
      <c r="W29" s="29">
        <f>ROUND($B$5*$B$8*$B$13*$B$15*$B$18*$B$20,0)</f>
        <v/>
      </c>
      <c r="X29" s="29">
        <f>ROUND($B$5*$B$8*$B$13*$B$16*$B$17*$B$19,0)</f>
        <v/>
      </c>
      <c r="Y29" s="29">
        <f>ROUND($B$5*$B$8*$B$13*$B$16*$B$17*$B$20,0)</f>
        <v/>
      </c>
      <c r="Z29" s="29">
        <f>ROUND($B$5*$B$8*$B$13*$B$16*$B$18*$B$19,0)</f>
        <v/>
      </c>
      <c r="AA29" s="29">
        <f>ROUND($B$5*$B$8*$B$13*$B$16*$B$18*$B$20,0)</f>
        <v/>
      </c>
      <c r="AB29" s="29">
        <f>ROUND($B$6*$B$8*$B$13*$B$14*$B$17*$B$19,0)</f>
        <v/>
      </c>
      <c r="AC29" s="29">
        <f>ROUND($B$6*$B$8*$B$13*$B$14*$B$17*$B$20,0)</f>
        <v/>
      </c>
      <c r="AD29" s="29">
        <f>ROUND($B$6*$B$8*$B$13*$B$14*$B$18*$B$19,0)</f>
        <v/>
      </c>
      <c r="AE29" s="29">
        <f>ROUND($B$6*$B$8*$B$13*$B$14*$B$18*$B$20,0)</f>
        <v/>
      </c>
      <c r="AF29" s="29">
        <f>ROUND($B$6*$B$8*$B$13*$B$15*$B$17*$B$19,0)</f>
        <v/>
      </c>
      <c r="AG29" s="29">
        <f>ROUND($B$6*$B$8*$B$13*$B$15*$B$17*$B$20,0)</f>
        <v/>
      </c>
      <c r="AH29" s="29">
        <f>ROUND($B$6*$B$8*$B$13*$B$15*$B$18*$B$19,0)</f>
        <v/>
      </c>
      <c r="AI29" s="29">
        <f>ROUND($B$6*$B$8*$B$13*$B$15*$B$18*$B$20,0)</f>
        <v/>
      </c>
      <c r="AJ29" s="29">
        <f>ROUND($B$6*$B$8*$B$13*$B$16*$B$17*$B$19,0)</f>
        <v/>
      </c>
      <c r="AK29" s="29">
        <f>ROUND($B$6*$B$8*$B$13*$B$16*$B$17*$B$20,0)</f>
        <v/>
      </c>
      <c r="AL29" s="29">
        <f>ROUND($B$6*$B$8*$B$13*$B$16*$B$18*$B$19,0)</f>
        <v/>
      </c>
      <c r="AM29" s="29">
        <f>ROUND($B$6*$B$8*$B$13*$B$16*$B$18*$B$20,0)</f>
        <v/>
      </c>
    </row>
    <row r="30" ht="20.1" customHeight="1" s="62">
      <c r="A30" s="81" t="n"/>
      <c r="B30" s="73" t="inlineStr">
        <is>
          <t>2-5 outils</t>
        </is>
      </c>
      <c r="C30" s="24" t="inlineStr">
        <is>
          <t>Complexité simple</t>
        </is>
      </c>
      <c r="D30" s="31">
        <f>ROUND($B$4*$B$9*$B$11*$B$14*$B$17*$B$19,0)</f>
        <v/>
      </c>
      <c r="E30" s="31">
        <f>ROUND($B$4*$B$9*$B$11*$B$14*$B$17*$B$20,0)</f>
        <v/>
      </c>
      <c r="F30" s="31">
        <f>ROUND($B$4*$B$9*$B$11*$B$14*$B$18*$B$19,0)</f>
        <v/>
      </c>
      <c r="G30" s="31">
        <f>ROUND($B$4*$B$9*$B$11*$B$14*$B$18*$B$20,0)</f>
        <v/>
      </c>
      <c r="H30" s="31">
        <f>ROUND($B$4*$B$9*$B$11*$B$15*$B$17*$B$19,0)</f>
        <v/>
      </c>
      <c r="I30" s="31">
        <f>ROUND($B$4*$B$9*$B$11*$B$15*$B$17*$B$20,0)</f>
        <v/>
      </c>
      <c r="J30" s="31">
        <f>ROUND($B$4*$B$9*$B$11*$B$15*$B$18*$B$19,0)</f>
        <v/>
      </c>
      <c r="K30" s="31">
        <f>ROUND($B$4*$B$9*$B$11*$B$15*$B$18*$B$20,0)</f>
        <v/>
      </c>
      <c r="L30" s="31">
        <f>ROUND($B$4*$B$9*$B$11*$B$16*$B$17*$B$19,0)</f>
        <v/>
      </c>
      <c r="M30" s="31">
        <f>ROUND($B$4*$B$9*$B$11*$B$16*$B$17*$B$20,0)</f>
        <v/>
      </c>
      <c r="N30" s="31">
        <f>ROUND($B$4*$B$9*$B$11*$B$16*$B$18*$B$19,0)</f>
        <v/>
      </c>
      <c r="O30" s="31">
        <f>ROUND($B$4*$B$9*$B$11*$B$16*$B$18*$B$20,0)</f>
        <v/>
      </c>
      <c r="P30" s="29">
        <f>ROUND($B$5*$B$9*$B$11*$B$14*$B$17*$B$19,0)</f>
        <v/>
      </c>
      <c r="Q30" s="29">
        <f>ROUND($B$5*$B$9*$B$11*$B$14*$B$17*$B$20,0)</f>
        <v/>
      </c>
      <c r="R30" s="29">
        <f>ROUND($B$5*$B$9*$B$11*$B$14*$B$18*$B$19,0)</f>
        <v/>
      </c>
      <c r="S30" s="29">
        <f>ROUND($B$5*$B$9*$B$11*$B$14*$B$18*$B$20,0)</f>
        <v/>
      </c>
      <c r="T30" s="29">
        <f>ROUND($B$5*$B$9*$B$11*$B$15*$B$17*$B$19,0)</f>
        <v/>
      </c>
      <c r="U30" s="29">
        <f>ROUND($B$5*$B$9*$B$11*$B$15*$B$17*$B$20,0)</f>
        <v/>
      </c>
      <c r="V30" s="29">
        <f>ROUND($B$5*$B$9*$B$11*$B$15*$B$18*$B$19,0)</f>
        <v/>
      </c>
      <c r="W30" s="29">
        <f>ROUND($B$5*$B$9*$B$11*$B$15*$B$18*$B$20,0)</f>
        <v/>
      </c>
      <c r="X30" s="29">
        <f>ROUND($B$5*$B$9*$B$11*$B$16*$B$17*$B$19,0)</f>
        <v/>
      </c>
      <c r="Y30" s="29">
        <f>ROUND($B$5*$B$9*$B$11*$B$16*$B$17*$B$20,0)</f>
        <v/>
      </c>
      <c r="Z30" s="29">
        <f>ROUND($B$5*$B$9*$B$11*$B$16*$B$18*$B$19,0)</f>
        <v/>
      </c>
      <c r="AA30" s="29">
        <f>ROUND($B$5*$B$9*$B$11*$B$16*$B$18*$B$20,0)</f>
        <v/>
      </c>
      <c r="AB30" s="29">
        <f>ROUND($B$6*$B$9*$B$11*$B$14*$B$17*$B$19,0)</f>
        <v/>
      </c>
      <c r="AC30" s="29">
        <f>ROUND($B$6*$B$9*$B$11*$B$14*$B$17*$B$20,0)</f>
        <v/>
      </c>
      <c r="AD30" s="29">
        <f>ROUND($B$6*$B$9*$B$11*$B$14*$B$18*$B$19,0)</f>
        <v/>
      </c>
      <c r="AE30" s="29">
        <f>ROUND($B$6*$B$9*$B$11*$B$14*$B$18*$B$20,0)</f>
        <v/>
      </c>
      <c r="AF30" s="29">
        <f>ROUND($B$6*$B$9*$B$11*$B$15*$B$17*$B$19,0)</f>
        <v/>
      </c>
      <c r="AG30" s="29">
        <f>ROUND($B$6*$B$9*$B$11*$B$15*$B$17*$B$20,0)</f>
        <v/>
      </c>
      <c r="AH30" s="29">
        <f>ROUND($B$6*$B$9*$B$11*$B$15*$B$18*$B$19,0)</f>
        <v/>
      </c>
      <c r="AI30" s="29">
        <f>ROUND($B$6*$B$9*$B$11*$B$15*$B$18*$B$20,0)</f>
        <v/>
      </c>
      <c r="AJ30" s="29">
        <f>ROUND($B$6*$B$9*$B$11*$B$16*$B$17*$B$19,0)</f>
        <v/>
      </c>
      <c r="AK30" s="29">
        <f>ROUND($B$6*$B$9*$B$11*$B$16*$B$17*$B$20,0)</f>
        <v/>
      </c>
      <c r="AL30" s="29">
        <f>ROUND($B$6*$B$9*$B$11*$B$16*$B$18*$B$19,0)</f>
        <v/>
      </c>
      <c r="AM30" s="29">
        <f>ROUND($B$6*$B$9*$B$11*$B$16*$B$18*$B$20,0)</f>
        <v/>
      </c>
    </row>
    <row r="31" ht="20.1" customHeight="1" s="62">
      <c r="A31" s="81" t="n"/>
      <c r="B31" s="58" t="n"/>
      <c r="C31" s="73" t="inlineStr">
        <is>
          <t>Complexité modérée</t>
        </is>
      </c>
      <c r="D31" s="31">
        <f>ROUND($B$4*$B$9*$B$12*$B$14*$B$17*$B$19,0)</f>
        <v/>
      </c>
      <c r="E31" s="31">
        <f>ROUND($B$4*$B$9*$B$12*$B$14*$B$17*$B$20,0)</f>
        <v/>
      </c>
      <c r="F31" s="31">
        <f>ROUND($B$4*$B$9*$B$12*$B$14*$B$18*$B$19,0)</f>
        <v/>
      </c>
      <c r="G31" s="31">
        <f>ROUND($B$4*$B$9*$B$12*$B$14*$B$18*$B$20,0)</f>
        <v/>
      </c>
      <c r="H31" s="31">
        <f>ROUND($B$4*$B$9*$B$12*$B$15*$B$17*$B$19,0)</f>
        <v/>
      </c>
      <c r="I31" s="31">
        <f>ROUND($B$4*$B$9*$B$12*$B$15*$B$17*$B$20,0)</f>
        <v/>
      </c>
      <c r="J31" s="31">
        <f>ROUND($B$4*$B$9*$B$12*$B$15*$B$18*$B$19,0)</f>
        <v/>
      </c>
      <c r="K31" s="31">
        <f>ROUND($B$4*$B$9*$B$12*$B$15*$B$18*$B$20,0)</f>
        <v/>
      </c>
      <c r="L31" s="31">
        <f>ROUND($B$4*$B$9*$B$12*$B$16*$B$17*$B$19,0)</f>
        <v/>
      </c>
      <c r="M31" s="31">
        <f>ROUND($B$4*$B$9*$B$12*$B$16*$B$17*$B$20,0)</f>
        <v/>
      </c>
      <c r="N31" s="31">
        <f>ROUND($B$4*$B$9*$B$12*$B$16*$B$18*$B$19,0)</f>
        <v/>
      </c>
      <c r="O31" s="31">
        <f>ROUND($B$4*$B$9*$B$12*$B$16*$B$18*$B$20,0)</f>
        <v/>
      </c>
      <c r="P31" s="29">
        <f>ROUND($B$5*$B$9*$B$12*$B$14*$B$17*$B$19,0)</f>
        <v/>
      </c>
      <c r="Q31" s="29">
        <f>ROUND($B$5*$B$9*$B$12*$B$14*$B$17*$B$20,0)</f>
        <v/>
      </c>
      <c r="R31" s="29">
        <f>ROUND($B$5*$B$9*$B$12*$B$14*$B$18*$B$19,0)</f>
        <v/>
      </c>
      <c r="S31" s="29">
        <f>ROUND($B$5*$B$9*$B$12*$B$14*$B$18*$B$20,0)</f>
        <v/>
      </c>
      <c r="T31" s="29">
        <f>ROUND($B$5*$B$9*$B$12*$B$15*$B$17*$B$19,0)</f>
        <v/>
      </c>
      <c r="U31" s="29">
        <f>ROUND($B$5*$B$9*$B$12*$B$15*$B$17*$B$20,0)</f>
        <v/>
      </c>
      <c r="V31" s="29">
        <f>ROUND($B$5*$B$9*$B$12*$B$15*$B$18*$B$19,0)</f>
        <v/>
      </c>
      <c r="W31" s="29">
        <f>ROUND($B$5*$B$9*$B$12*$B$15*$B$18*$B$20,0)</f>
        <v/>
      </c>
      <c r="X31" s="29">
        <f>ROUND($B$5*$B$9*$B$12*$B$16*$B$17*$B$19,0)</f>
        <v/>
      </c>
      <c r="Y31" s="29">
        <f>ROUND($B$5*$B$9*$B$12*$B$16*$B$17*$B$20,0)</f>
        <v/>
      </c>
      <c r="Z31" s="29">
        <f>ROUND($B$5*$B$9*$B$12*$B$16*$B$18*$B$19,0)</f>
        <v/>
      </c>
      <c r="AA31" s="29">
        <f>ROUND($B$5*$B$9*$B$12*$B$16*$B$18*$B$20,0)</f>
        <v/>
      </c>
      <c r="AB31" s="29">
        <f>ROUND($B$6*$B$9*$B$12*$B$14*$B$17*$B$19,0)</f>
        <v/>
      </c>
      <c r="AC31" s="29">
        <f>ROUND($B$6*$B$9*$B$12*$B$14*$B$17*$B$20,0)</f>
        <v/>
      </c>
      <c r="AD31" s="29">
        <f>ROUND($B$6*$B$9*$B$12*$B$14*$B$18*$B$19,0)</f>
        <v/>
      </c>
      <c r="AE31" s="29">
        <f>ROUND($B$6*$B$9*$B$12*$B$14*$B$18*$B$20,0)</f>
        <v/>
      </c>
      <c r="AF31" s="29">
        <f>ROUND($B$6*$B$9*$B$12*$B$15*$B$17*$B$19,0)</f>
        <v/>
      </c>
      <c r="AG31" s="29">
        <f>ROUND($B$6*$B$9*$B$12*$B$15*$B$17*$B$20,0)</f>
        <v/>
      </c>
      <c r="AH31" s="29">
        <f>ROUND($B$6*$B$9*$B$12*$B$15*$B$18*$B$19,0)</f>
        <v/>
      </c>
      <c r="AI31" s="29">
        <f>ROUND($B$6*$B$9*$B$12*$B$15*$B$18*$B$20,0)</f>
        <v/>
      </c>
      <c r="AJ31" s="29">
        <f>ROUND($B$6*$B$9*$B$12*$B$16*$B$17*$B$19,0)</f>
        <v/>
      </c>
      <c r="AK31" s="29">
        <f>ROUND($B$6*$B$9*$B$12*$B$16*$B$17*$B$20,0)</f>
        <v/>
      </c>
      <c r="AL31" s="29">
        <f>ROUND($B$6*$B$9*$B$12*$B$16*$B$18*$B$19,0)</f>
        <v/>
      </c>
      <c r="AM31" s="29">
        <f>ROUND($B$6*$B$9*$B$12*$B$16*$B$18*$B$20,0)</f>
        <v/>
      </c>
    </row>
    <row r="32" ht="20.1" customHeight="1" s="62">
      <c r="A32" s="81" t="n"/>
      <c r="B32" s="59" t="n"/>
      <c r="C32" s="26" t="inlineStr">
        <is>
          <t>Critique haute disponibilité</t>
        </is>
      </c>
      <c r="D32" s="31">
        <f>ROUND($B$4*$B$9*$B$13*$B$14*$B$17*$B$19,0)</f>
        <v/>
      </c>
      <c r="E32" s="31">
        <f>ROUND($B$4*$B$9*$B$13*$B$14*$B$17*$B$20,0)</f>
        <v/>
      </c>
      <c r="F32" s="31">
        <f>ROUND($B$4*$B$9*$B$13*$B$14*$B$18*$B$19,0)</f>
        <v/>
      </c>
      <c r="G32" s="31">
        <f>ROUND($B$4*$B$9*$B$13*$B$14*$B$18*$B$20,0)</f>
        <v/>
      </c>
      <c r="H32" s="31">
        <f>ROUND($B$4*$B$9*$B$13*$B$15*$B$17*$B$19,0)</f>
        <v/>
      </c>
      <c r="I32" s="31">
        <f>ROUND($B$4*$B$9*$B$13*$B$15*$B$17*$B$20,0)</f>
        <v/>
      </c>
      <c r="J32" s="31">
        <f>ROUND($B$4*$B$9*$B$13*$B$15*$B$18*$B$19,0)</f>
        <v/>
      </c>
      <c r="K32" s="31">
        <f>ROUND($B$4*$B$9*$B$13*$B$15*$B$18*$B$20,0)</f>
        <v/>
      </c>
      <c r="L32" s="31">
        <f>ROUND($B$4*$B$9*$B$13*$B$16*$B$17*$B$19,0)</f>
        <v/>
      </c>
      <c r="M32" s="31">
        <f>ROUND($B$4*$B$9*$B$13*$B$16*$B$17*$B$20,0)</f>
        <v/>
      </c>
      <c r="N32" s="31">
        <f>ROUND($B$4*$B$9*$B$13*$B$16*$B$18*$B$19,0)</f>
        <v/>
      </c>
      <c r="O32" s="31">
        <f>ROUND($B$4*$B$9*$B$13*$B$16*$B$18*$B$20,0)</f>
        <v/>
      </c>
      <c r="P32" s="29">
        <f>ROUND($B$5*$B$9*$B$13*$B$14*$B$17*$B$19,0)</f>
        <v/>
      </c>
      <c r="Q32" s="29">
        <f>ROUND($B$5*$B$9*$B$13*$B$14*$B$17*$B$20,0)</f>
        <v/>
      </c>
      <c r="R32" s="29">
        <f>ROUND($B$5*$B$9*$B$13*$B$14*$B$18*$B$19,0)</f>
        <v/>
      </c>
      <c r="S32" s="29">
        <f>ROUND($B$5*$B$9*$B$13*$B$14*$B$18*$B$20,0)</f>
        <v/>
      </c>
      <c r="T32" s="29">
        <f>ROUND($B$5*$B$9*$B$13*$B$15*$B$17*$B$19,0)</f>
        <v/>
      </c>
      <c r="U32" s="29">
        <f>ROUND($B$5*$B$9*$B$13*$B$15*$B$17*$B$20,0)</f>
        <v/>
      </c>
      <c r="V32" s="29">
        <f>ROUND($B$5*$B$9*$B$13*$B$15*$B$18*$B$19,0)</f>
        <v/>
      </c>
      <c r="W32" s="29">
        <f>ROUND($B$5*$B$9*$B$13*$B$15*$B$18*$B$20,0)</f>
        <v/>
      </c>
      <c r="X32" s="29">
        <f>ROUND($B$5*$B$9*$B$13*$B$16*$B$17*$B$19,0)</f>
        <v/>
      </c>
      <c r="Y32" s="29">
        <f>ROUND($B$5*$B$9*$B$13*$B$16*$B$17*$B$20,0)</f>
        <v/>
      </c>
      <c r="Z32" s="29">
        <f>ROUND($B$5*$B$9*$B$13*$B$16*$B$18*$B$19,0)</f>
        <v/>
      </c>
      <c r="AA32" s="29">
        <f>ROUND($B$5*$B$9*$B$13*$B$16*$B$18*$B$20,0)</f>
        <v/>
      </c>
      <c r="AB32" s="29">
        <f>ROUND($B$6*$B$9*$B$13*$B$14*$B$17*$B$19,0)</f>
        <v/>
      </c>
      <c r="AC32" s="29">
        <f>ROUND($B$6*$B$9*$B$13*$B$14*$B$17*$B$20,0)</f>
        <v/>
      </c>
      <c r="AD32" s="29">
        <f>ROUND($B$6*$B$9*$B$13*$B$14*$B$18*$B$19,0)</f>
        <v/>
      </c>
      <c r="AE32" s="29">
        <f>ROUND($B$6*$B$9*$B$13*$B$14*$B$18*$B$20,0)</f>
        <v/>
      </c>
      <c r="AF32" s="29">
        <f>ROUND($B$6*$B$9*$B$13*$B$15*$B$17*$B$19,0)</f>
        <v/>
      </c>
      <c r="AG32" s="29">
        <f>ROUND($B$6*$B$9*$B$13*$B$15*$B$17*$B$20,0)</f>
        <v/>
      </c>
      <c r="AH32" s="29">
        <f>ROUND($B$6*$B$9*$B$13*$B$15*$B$18*$B$19,0)</f>
        <v/>
      </c>
      <c r="AI32" s="29">
        <f>ROUND($B$6*$B$9*$B$13*$B$15*$B$18*$B$20,0)</f>
        <v/>
      </c>
      <c r="AJ32" s="29">
        <f>ROUND($B$6*$B$9*$B$13*$B$16*$B$17*$B$19,0)</f>
        <v/>
      </c>
      <c r="AK32" s="29">
        <f>ROUND($B$6*$B$9*$B$13*$B$16*$B$17*$B$20,0)</f>
        <v/>
      </c>
      <c r="AL32" s="29">
        <f>ROUND($B$6*$B$9*$B$13*$B$16*$B$18*$B$19,0)</f>
        <v/>
      </c>
      <c r="AM32" s="29">
        <f>ROUND($B$6*$B$9*$B$13*$B$16*$B$18*$B$20,0)</f>
        <v/>
      </c>
    </row>
    <row r="33" ht="20.1" customHeight="1" s="62">
      <c r="A33" s="81" t="n"/>
      <c r="B33" s="73" t="inlineStr">
        <is>
          <t>6+ outils</t>
        </is>
      </c>
      <c r="C33" s="24" t="inlineStr">
        <is>
          <t>Complexité simple</t>
        </is>
      </c>
      <c r="D33" s="31">
        <f>ROUND($B$4*$B$10*$B$11*$B$14*$B$17*$B$19,0)</f>
        <v/>
      </c>
      <c r="E33" s="31">
        <f>ROUND($B$4*$B$10*$B$11*$B$14*$B$17*$B$20,0)</f>
        <v/>
      </c>
      <c r="F33" s="31">
        <f>ROUND($B$4*$B$10*$B$11*$B$14*$B$18*$B$19,0)</f>
        <v/>
      </c>
      <c r="G33" s="31">
        <f>ROUND($B$4*$B$10*$B$11*$B$14*$B$18*$B$20,0)</f>
        <v/>
      </c>
      <c r="H33" s="31">
        <f>ROUND($B$4*$B$10*$B$11*$B$15*$B$17*$B$19,0)</f>
        <v/>
      </c>
      <c r="I33" s="31">
        <f>ROUND($B$4*$B$10*$B$11*$B$15*$B$17*$B$20,0)</f>
        <v/>
      </c>
      <c r="J33" s="31">
        <f>ROUND($B$4*$B$10*$B$11*$B$15*$B$18*$B$19,0)</f>
        <v/>
      </c>
      <c r="K33" s="31">
        <f>ROUND($B$4*$B$10*$B$11*$B$15*$B$18*$B$20,0)</f>
        <v/>
      </c>
      <c r="L33" s="31">
        <f>ROUND($B$4*$B$10*$B$11*$B$16*$B$17*$B$19,0)</f>
        <v/>
      </c>
      <c r="M33" s="31">
        <f>ROUND($B$4*$B$10*$B$11*$B$16*$B$17*$B$20,0)</f>
        <v/>
      </c>
      <c r="N33" s="31">
        <f>ROUND($B$4*$B$10*$B$11*$B$16*$B$18*$B$19,0)</f>
        <v/>
      </c>
      <c r="O33" s="31">
        <f>ROUND($B$4*$B$10*$B$11*$B$16*$B$18*$B$20,0)</f>
        <v/>
      </c>
      <c r="P33" s="29">
        <f>ROUND($B$5*$B$10*$B$11*$B$14*$B$17*$B$19,0)</f>
        <v/>
      </c>
      <c r="Q33" s="29">
        <f>ROUND($B$5*$B$10*$B$11*$B$14*$B$17*$B$20,0)</f>
        <v/>
      </c>
      <c r="R33" s="29">
        <f>ROUND($B$5*$B$10*$B$11*$B$14*$B$18*$B$19,0)</f>
        <v/>
      </c>
      <c r="S33" s="29">
        <f>ROUND($B$5*$B$10*$B$11*$B$14*$B$18*$B$20,0)</f>
        <v/>
      </c>
      <c r="T33" s="29">
        <f>ROUND($B$5*$B$10*$B$11*$B$15*$B$17*$B$19,0)</f>
        <v/>
      </c>
      <c r="U33" s="29">
        <f>ROUND($B$5*$B$10*$B$11*$B$15*$B$17*$B$20,0)</f>
        <v/>
      </c>
      <c r="V33" s="29">
        <f>ROUND($B$5*$B$10*$B$11*$B$15*$B$18*$B$19,0)</f>
        <v/>
      </c>
      <c r="W33" s="29">
        <f>ROUND($B$5*$B$10*$B$11*$B$15*$B$18*$B$20,0)</f>
        <v/>
      </c>
      <c r="X33" s="29">
        <f>ROUND($B$5*$B$10*$B$11*$B$16*$B$17*$B$19,0)</f>
        <v/>
      </c>
      <c r="Y33" s="29">
        <f>ROUND($B$5*$B$10*$B$11*$B$16*$B$17*$B$20,0)</f>
        <v/>
      </c>
      <c r="Z33" s="29">
        <f>ROUND($B$5*$B$10*$B$11*$B$16*$B$18*$B$19,0)</f>
        <v/>
      </c>
      <c r="AA33" s="29">
        <f>ROUND($B$5*$B$10*$B$11*$B$16*$B$18*$B$20,0)</f>
        <v/>
      </c>
      <c r="AB33" s="29">
        <f>ROUND($B$6*$B$10*$B$11*$B$14*$B$17*$B$19,0)</f>
        <v/>
      </c>
      <c r="AC33" s="29">
        <f>ROUND($B$6*$B$10*$B$11*$B$14*$B$17*$B$20,0)</f>
        <v/>
      </c>
      <c r="AD33" s="29">
        <f>ROUND($B$6*$B$10*$B$11*$B$14*$B$18*$B$19,0)</f>
        <v/>
      </c>
      <c r="AE33" s="29">
        <f>ROUND($B$6*$B$10*$B$11*$B$14*$B$18*$B$20,0)</f>
        <v/>
      </c>
      <c r="AF33" s="29">
        <f>ROUND($B$6*$B$10*$B$11*$B$15*$B$17*$B$19,0)</f>
        <v/>
      </c>
      <c r="AG33" s="29">
        <f>ROUND($B$6*$B$10*$B$11*$B$15*$B$17*$B$20,0)</f>
        <v/>
      </c>
      <c r="AH33" s="29">
        <f>ROUND($B$6*$B$10*$B$11*$B$15*$B$18*$B$19,0)</f>
        <v/>
      </c>
      <c r="AI33" s="29">
        <f>ROUND($B$6*$B$10*$B$11*$B$15*$B$18*$B$20,0)</f>
        <v/>
      </c>
      <c r="AJ33" s="29">
        <f>ROUND($B$6*$B$10*$B$11*$B$16*$B$17*$B$19,0)</f>
        <v/>
      </c>
      <c r="AK33" s="29">
        <f>ROUND($B$6*$B$10*$B$11*$B$16*$B$17*$B$20,0)</f>
        <v/>
      </c>
      <c r="AL33" s="29">
        <f>ROUND($B$6*$B$10*$B$11*$B$16*$B$18*$B$19,0)</f>
        <v/>
      </c>
      <c r="AM33" s="29">
        <f>ROUND($B$6*$B$10*$B$11*$B$16*$B$18*$B$20,0)</f>
        <v/>
      </c>
    </row>
    <row r="34" ht="20.1" customHeight="1" s="62">
      <c r="A34" s="81" t="n"/>
      <c r="B34" s="58" t="n"/>
      <c r="C34" s="73" t="inlineStr">
        <is>
          <t>Complexité modérée</t>
        </is>
      </c>
      <c r="D34" s="31">
        <f>ROUND($B$4*$B$10*$B$12*$B$14*$B$17*$B$19,0)</f>
        <v/>
      </c>
      <c r="E34" s="31">
        <f>ROUND($B$4*$B$10*$B$12*$B$14*$B$17*$B$20,0)</f>
        <v/>
      </c>
      <c r="F34" s="31">
        <f>ROUND($B$4*$B$10*$B$12*$B$14*$B$18*$B$19,0)</f>
        <v/>
      </c>
      <c r="G34" s="31">
        <f>ROUND($B$4*$B$10*$B$12*$B$14*$B$18*$B$20,0)</f>
        <v/>
      </c>
      <c r="H34" s="31">
        <f>ROUND($B$4*$B$10*$B$12*$B$15*$B$17*$B$19,0)</f>
        <v/>
      </c>
      <c r="I34" s="31">
        <f>ROUND($B$4*$B$10*$B$12*$B$15*$B$17*$B$20,0)</f>
        <v/>
      </c>
      <c r="J34" s="31">
        <f>ROUND($B$4*$B$10*$B$12*$B$15*$B$18*$B$19,0)</f>
        <v/>
      </c>
      <c r="K34" s="31">
        <f>ROUND($B$4*$B$10*$B$12*$B$15*$B$18*$B$20,0)</f>
        <v/>
      </c>
      <c r="L34" s="31">
        <f>ROUND($B$4*$B$10*$B$12*$B$16*$B$17*$B$19,0)</f>
        <v/>
      </c>
      <c r="M34" s="31">
        <f>ROUND($B$4*$B$10*$B$12*$B$16*$B$17*$B$20,0)</f>
        <v/>
      </c>
      <c r="N34" s="31">
        <f>ROUND($B$4*$B$10*$B$12*$B$16*$B$18*$B$19,0)</f>
        <v/>
      </c>
      <c r="O34" s="31">
        <f>ROUND($B$4*$B$10*$B$12*$B$16*$B$18*$B$20,0)</f>
        <v/>
      </c>
      <c r="P34" s="29">
        <f>ROUND($B$5*$B$10*$B$12*$B$14*$B$17*$B$19,0)</f>
        <v/>
      </c>
      <c r="Q34" s="29">
        <f>ROUND($B$5*$B$10*$B$12*$B$14*$B$17*$B$20,0)</f>
        <v/>
      </c>
      <c r="R34" s="29">
        <f>ROUND($B$5*$B$10*$B$12*$B$14*$B$18*$B$19,0)</f>
        <v/>
      </c>
      <c r="S34" s="29">
        <f>ROUND($B$5*$B$10*$B$12*$B$14*$B$18*$B$20,0)</f>
        <v/>
      </c>
      <c r="T34" s="29">
        <f>ROUND($B$5*$B$10*$B$12*$B$15*$B$17*$B$19,0)</f>
        <v/>
      </c>
      <c r="U34" s="29">
        <f>ROUND($B$5*$B$10*$B$12*$B$15*$B$17*$B$20,0)</f>
        <v/>
      </c>
      <c r="V34" s="29">
        <f>ROUND($B$5*$B$10*$B$12*$B$15*$B$18*$B$19,0)</f>
        <v/>
      </c>
      <c r="W34" s="29">
        <f>ROUND($B$5*$B$10*$B$12*$B$15*$B$18*$B$20,0)</f>
        <v/>
      </c>
      <c r="X34" s="29">
        <f>ROUND($B$5*$B$10*$B$12*$B$16*$B$17*$B$19,0)</f>
        <v/>
      </c>
      <c r="Y34" s="29">
        <f>ROUND($B$5*$B$10*$B$12*$B$16*$B$17*$B$20,0)</f>
        <v/>
      </c>
      <c r="Z34" s="29">
        <f>ROUND($B$5*$B$10*$B$12*$B$16*$B$18*$B$19,0)</f>
        <v/>
      </c>
      <c r="AA34" s="29">
        <f>ROUND($B$5*$B$10*$B$12*$B$16*$B$18*$B$20,0)</f>
        <v/>
      </c>
      <c r="AB34" s="29">
        <f>ROUND($B$6*$B$10*$B$12*$B$14*$B$17*$B$19,0)</f>
        <v/>
      </c>
      <c r="AC34" s="29">
        <f>ROUND($B$6*$B$10*$B$12*$B$14*$B$17*$B$20,0)</f>
        <v/>
      </c>
      <c r="AD34" s="29">
        <f>ROUND($B$6*$B$10*$B$12*$B$14*$B$18*$B$19,0)</f>
        <v/>
      </c>
      <c r="AE34" s="29">
        <f>ROUND($B$6*$B$10*$B$12*$B$14*$B$18*$B$20,0)</f>
        <v/>
      </c>
      <c r="AF34" s="29">
        <f>ROUND($B$6*$B$10*$B$12*$B$15*$B$17*$B$19,0)</f>
        <v/>
      </c>
      <c r="AG34" s="29">
        <f>ROUND($B$6*$B$10*$B$12*$B$15*$B$17*$B$20,0)</f>
        <v/>
      </c>
      <c r="AH34" s="29">
        <f>ROUND($B$6*$B$10*$B$12*$B$15*$B$18*$B$19,0)</f>
        <v/>
      </c>
      <c r="AI34" s="29">
        <f>ROUND($B$6*$B$10*$B$12*$B$15*$B$18*$B$20,0)</f>
        <v/>
      </c>
      <c r="AJ34" s="29">
        <f>ROUND($B$6*$B$10*$B$12*$B$16*$B$17*$B$19,0)</f>
        <v/>
      </c>
      <c r="AK34" s="29">
        <f>ROUND($B$6*$B$10*$B$12*$B$16*$B$17*$B$20,0)</f>
        <v/>
      </c>
      <c r="AL34" s="29">
        <f>ROUND($B$6*$B$10*$B$12*$B$16*$B$18*$B$19,0)</f>
        <v/>
      </c>
      <c r="AM34" s="29">
        <f>ROUND($B$6*$B$10*$B$12*$B$16*$B$18*$B$20,0)</f>
        <v/>
      </c>
    </row>
    <row r="35" ht="20.1" customHeight="1" s="62">
      <c r="A35" s="82" t="n"/>
      <c r="B35" s="59" t="n"/>
      <c r="C35" s="26" t="inlineStr">
        <is>
          <t>Critique haute disponibilité</t>
        </is>
      </c>
      <c r="D35" s="31">
        <f>ROUND($B$4*$B$10*$B$13*$B$14*$B$17*$B$19,0)</f>
        <v/>
      </c>
      <c r="E35" s="31">
        <f>ROUND($B$4*$B$10*$B$13*$B$14*$B$17*$B$20,0)</f>
        <v/>
      </c>
      <c r="F35" s="31">
        <f>ROUND($B$4*$B$10*$B$13*$B$14*$B$18*$B$19,0)</f>
        <v/>
      </c>
      <c r="G35" s="31">
        <f>ROUND($B$4*$B$10*$B$13*$B$14*$B$18*$B$20,0)</f>
        <v/>
      </c>
      <c r="H35" s="31">
        <f>ROUND($B$4*$B$10*$B$13*$B$15*$B$17*$B$19,0)</f>
        <v/>
      </c>
      <c r="I35" s="31">
        <f>ROUND($B$4*$B$10*$B$13*$B$15*$B$17*$B$20,0)</f>
        <v/>
      </c>
      <c r="J35" s="31">
        <f>ROUND($B$4*$B$10*$B$13*$B$15*$B$18*$B$19,0)</f>
        <v/>
      </c>
      <c r="K35" s="31">
        <f>ROUND($B$4*$B$10*$B$13*$B$15*$B$18*$B$20,0)</f>
        <v/>
      </c>
      <c r="L35" s="31">
        <f>ROUND($B$4*$B$10*$B$13*$B$16*$B$17*$B$19,0)</f>
        <v/>
      </c>
      <c r="M35" s="31">
        <f>ROUND($B$4*$B$10*$B$13*$B$16*$B$17*$B$20,0)</f>
        <v/>
      </c>
      <c r="N35" s="31">
        <f>ROUND($B$4*$B$10*$B$13*$B$16*$B$18*$B$19,0)</f>
        <v/>
      </c>
      <c r="O35" s="31">
        <f>ROUND($B$4*$B$10*$B$13*$B$16*$B$18*$B$20,0)</f>
        <v/>
      </c>
      <c r="P35" s="29">
        <f>ROUND($B$5*$B$10*$B$13*$B$14*$B$17*$B$19,0)</f>
        <v/>
      </c>
      <c r="Q35" s="29">
        <f>ROUND($B$5*$B$10*$B$13*$B$14*$B$17*$B$20,0)</f>
        <v/>
      </c>
      <c r="R35" s="29">
        <f>ROUND($B$5*$B$10*$B$13*$B$14*$B$18*$B$19,0)</f>
        <v/>
      </c>
      <c r="S35" s="29">
        <f>ROUND($B$5*$B$10*$B$13*$B$14*$B$18*$B$20,0)</f>
        <v/>
      </c>
      <c r="T35" s="29">
        <f>ROUND($B$5*$B$10*$B$13*$B$15*$B$17*$B$19,0)</f>
        <v/>
      </c>
      <c r="U35" s="29">
        <f>ROUND($B$5*$B$10*$B$13*$B$15*$B$17*$B$20,0)</f>
        <v/>
      </c>
      <c r="V35" s="29">
        <f>ROUND($B$5*$B$10*$B$13*$B$15*$B$18*$B$19,0)</f>
        <v/>
      </c>
      <c r="W35" s="29">
        <f>ROUND($B$5*$B$10*$B$13*$B$15*$B$18*$B$20,0)</f>
        <v/>
      </c>
      <c r="X35" s="29">
        <f>ROUND($B$5*$B$10*$B$13*$B$16*$B$17*$B$19,0)</f>
        <v/>
      </c>
      <c r="Y35" s="29">
        <f>ROUND($B$5*$B$10*$B$13*$B$16*$B$17*$B$20,0)</f>
        <v/>
      </c>
      <c r="Z35" s="29">
        <f>ROUND($B$5*$B$10*$B$13*$B$16*$B$18*$B$19,0)</f>
        <v/>
      </c>
      <c r="AA35" s="29">
        <f>ROUND($B$5*$B$10*$B$13*$B$16*$B$18*$B$20,0)</f>
        <v/>
      </c>
      <c r="AB35" s="29">
        <f>ROUND($B$6*$B$10*$B$13*$B$14*$B$17*$B$19,0)</f>
        <v/>
      </c>
      <c r="AC35" s="29">
        <f>ROUND($B$6*$B$10*$B$13*$B$14*$B$17*$B$20,0)</f>
        <v/>
      </c>
      <c r="AD35" s="29">
        <f>ROUND($B$6*$B$10*$B$13*$B$14*$B$18*$B$19,0)</f>
        <v/>
      </c>
      <c r="AE35" s="29">
        <f>ROUND($B$6*$B$10*$B$13*$B$14*$B$18*$B$20,0)</f>
        <v/>
      </c>
      <c r="AF35" s="29">
        <f>ROUND($B$6*$B$10*$B$13*$B$15*$B$17*$B$19,0)</f>
        <v/>
      </c>
      <c r="AG35" s="29">
        <f>ROUND($B$6*$B$10*$B$13*$B$15*$B$17*$B$20,0)</f>
        <v/>
      </c>
      <c r="AH35" s="29">
        <f>ROUND($B$6*$B$10*$B$13*$B$15*$B$18*$B$19,0)</f>
        <v/>
      </c>
      <c r="AI35" s="29">
        <f>ROUND($B$6*$B$10*$B$13*$B$15*$B$18*$B$20,0)</f>
        <v/>
      </c>
      <c r="AJ35" s="29">
        <f>ROUND($B$6*$B$10*$B$13*$B$16*$B$17*$B$19,0)</f>
        <v/>
      </c>
      <c r="AK35" s="29">
        <f>ROUND($B$6*$B$10*$B$13*$B$16*$B$17*$B$20,0)</f>
        <v/>
      </c>
      <c r="AL35" s="29">
        <f>ROUND($B$6*$B$10*$B$13*$B$16*$B$18*$B$19,0)</f>
        <v/>
      </c>
      <c r="AM35" s="29">
        <f>ROUND($B$6*$B$10*$B$13*$B$16*$B$18*$B$20,0)</f>
        <v/>
      </c>
    </row>
    <row r="36" ht="20.1" customHeight="1" s="62">
      <c r="A36" s="80" t="inlineStr">
        <is>
          <t>Logiciel / Application</t>
        </is>
      </c>
      <c r="B36" s="73" t="inlineStr">
        <is>
          <t>1 outil</t>
        </is>
      </c>
      <c r="C36" s="24" t="inlineStr">
        <is>
          <t>Complexité simple</t>
        </is>
      </c>
      <c r="D36" s="31">
        <f>ROUND($B$4*$B$8*$B$11*$B$14*$B$17*$B$19,0)</f>
        <v/>
      </c>
      <c r="E36" s="31">
        <f>ROUND($B$4*$B$8*$B$11*$B$14*$B$17*$B$20,0)</f>
        <v/>
      </c>
      <c r="F36" s="31">
        <f>ROUND($B$4*$B$8*$B$11*$B$14*$B$18*$B$19,0)</f>
        <v/>
      </c>
      <c r="G36" s="31">
        <f>ROUND($B$4*$B$8*$B$11*$B$14*$B$18*$B$20,0)</f>
        <v/>
      </c>
      <c r="H36" s="31">
        <f>ROUND($B$4*$B$8*$B$11*$B$15*$B$17*$B$19,0)</f>
        <v/>
      </c>
      <c r="I36" s="31">
        <f>ROUND($B$4*$B$8*$B$11*$B$15*$B$17*$B$20,0)</f>
        <v/>
      </c>
      <c r="J36" s="31">
        <f>ROUND($B$4*$B$8*$B$11*$B$15*$B$18*$B$19,0)</f>
        <v/>
      </c>
      <c r="K36" s="31">
        <f>ROUND($B$4*$B$8*$B$11*$B$15*$B$18*$B$20,0)</f>
        <v/>
      </c>
      <c r="L36" s="31">
        <f>ROUND($B$4*$B$8*$B$11*$B$16*$B$17*$B$19,0)</f>
        <v/>
      </c>
      <c r="M36" s="31">
        <f>ROUND($B$4*$B$8*$B$11*$B$16*$B$17*$B$20,0)</f>
        <v/>
      </c>
      <c r="N36" s="31">
        <f>ROUND($B$4*$B$8*$B$11*$B$16*$B$18*$B$19,0)</f>
        <v/>
      </c>
      <c r="O36" s="31">
        <f>ROUND($B$4*$B$8*$B$11*$B$16*$B$18*$B$20,0)</f>
        <v/>
      </c>
      <c r="P36" s="29">
        <f>ROUND($B$5*$B$8*$B$11*$B$14*$B$17*$B$19,0)</f>
        <v/>
      </c>
      <c r="Q36" s="29">
        <f>ROUND($B$5*$B$8*$B$11*$B$14*$B$17*$B$20,0)</f>
        <v/>
      </c>
      <c r="R36" s="29">
        <f>ROUND($B$5*$B$8*$B$11*$B$14*$B$18*$B$19,0)</f>
        <v/>
      </c>
      <c r="S36" s="29">
        <f>ROUND($B$5*$B$8*$B$11*$B$14*$B$18*$B$20,0)</f>
        <v/>
      </c>
      <c r="T36" s="29">
        <f>ROUND($B$5*$B$8*$B$11*$B$15*$B$17*$B$19,0)</f>
        <v/>
      </c>
      <c r="U36" s="29">
        <f>ROUND($B$5*$B$8*$B$11*$B$15*$B$17*$B$20,0)</f>
        <v/>
      </c>
      <c r="V36" s="29">
        <f>ROUND($B$5*$B$8*$B$11*$B$15*$B$18*$B$19,0)</f>
        <v/>
      </c>
      <c r="W36" s="29">
        <f>ROUND($B$5*$B$8*$B$11*$B$15*$B$18*$B$20,0)</f>
        <v/>
      </c>
      <c r="X36" s="29">
        <f>ROUND($B$5*$B$8*$B$11*$B$16*$B$17*$B$19,0)</f>
        <v/>
      </c>
      <c r="Y36" s="29">
        <f>ROUND($B$5*$B$8*$B$11*$B$16*$B$17*$B$20,0)</f>
        <v/>
      </c>
      <c r="Z36" s="29">
        <f>ROUND($B$5*$B$8*$B$11*$B$16*$B$18*$B$19,0)</f>
        <v/>
      </c>
      <c r="AA36" s="29">
        <f>ROUND($B$5*$B$8*$B$11*$B$16*$B$18*$B$20,0)</f>
        <v/>
      </c>
      <c r="AB36" s="29">
        <f>ROUND($B$6*$B$8*$B$11*$B$14*$B$17*$B$19,0)</f>
        <v/>
      </c>
      <c r="AC36" s="29">
        <f>ROUND($B$6*$B$8*$B$11*$B$14*$B$17*$B$20,0)</f>
        <v/>
      </c>
      <c r="AD36" s="29">
        <f>ROUND($B$6*$B$8*$B$11*$B$14*$B$18*$B$19,0)</f>
        <v/>
      </c>
      <c r="AE36" s="29">
        <f>ROUND($B$6*$B$8*$B$11*$B$14*$B$18*$B$20,0)</f>
        <v/>
      </c>
      <c r="AF36" s="29">
        <f>ROUND($B$6*$B$8*$B$11*$B$15*$B$17*$B$19,0)</f>
        <v/>
      </c>
      <c r="AG36" s="29">
        <f>ROUND($B$6*$B$8*$B$11*$B$15*$B$17*$B$20,0)</f>
        <v/>
      </c>
      <c r="AH36" s="29">
        <f>ROUND($B$6*$B$8*$B$11*$B$15*$B$18*$B$19,0)</f>
        <v/>
      </c>
      <c r="AI36" s="29">
        <f>ROUND($B$6*$B$8*$B$11*$B$15*$B$18*$B$20,0)</f>
        <v/>
      </c>
      <c r="AJ36" s="29">
        <f>ROUND($B$6*$B$8*$B$11*$B$16*$B$17*$B$19,0)</f>
        <v/>
      </c>
      <c r="AK36" s="29">
        <f>ROUND($B$6*$B$8*$B$11*$B$16*$B$17*$B$20,0)</f>
        <v/>
      </c>
      <c r="AL36" s="29">
        <f>ROUND($B$6*$B$8*$B$11*$B$16*$B$18*$B$19,0)</f>
        <v/>
      </c>
      <c r="AM36" s="29">
        <f>ROUND($B$6*$B$8*$B$11*$B$16*$B$18*$B$20,0)</f>
        <v/>
      </c>
    </row>
    <row r="37" ht="20.1" customHeight="1" s="62">
      <c r="A37" s="81" t="n"/>
      <c r="B37" s="58" t="n"/>
      <c r="C37" s="73" t="inlineStr">
        <is>
          <t>Complexité modérée</t>
        </is>
      </c>
      <c r="D37" s="31">
        <f>ROUND($B$4*$B$8*$B$12*$B$14*$B$17*$B$19,0)</f>
        <v/>
      </c>
      <c r="E37" s="31">
        <f>ROUND($B$4*$B$8*$B$12*$B$14*$B$17*$B$20,0)</f>
        <v/>
      </c>
      <c r="F37" s="31">
        <f>ROUND($B$4*$B$8*$B$12*$B$14*$B$18*$B$19,0)</f>
        <v/>
      </c>
      <c r="G37" s="31">
        <f>ROUND($B$4*$B$8*$B$12*$B$14*$B$18*$B$20,0)</f>
        <v/>
      </c>
      <c r="H37" s="31">
        <f>ROUND($B$4*$B$8*$B$12*$B$15*$B$17*$B$19,0)</f>
        <v/>
      </c>
      <c r="I37" s="31">
        <f>ROUND($B$4*$B$8*$B$12*$B$15*$B$17*$B$20,0)</f>
        <v/>
      </c>
      <c r="J37" s="31">
        <f>ROUND($B$4*$B$8*$B$12*$B$15*$B$18*$B$19,0)</f>
        <v/>
      </c>
      <c r="K37" s="31">
        <f>ROUND($B$4*$B$8*$B$12*$B$15*$B$18*$B$20,0)</f>
        <v/>
      </c>
      <c r="L37" s="31">
        <f>ROUND($B$4*$B$8*$B$12*$B$16*$B$17*$B$19,0)</f>
        <v/>
      </c>
      <c r="M37" s="31">
        <f>ROUND($B$4*$B$8*$B$12*$B$16*$B$17*$B$20,0)</f>
        <v/>
      </c>
      <c r="N37" s="31">
        <f>ROUND($B$4*$B$8*$B$12*$B$16*$B$18*$B$19,0)</f>
        <v/>
      </c>
      <c r="O37" s="31">
        <f>ROUND($B$4*$B$8*$B$12*$B$16*$B$18*$B$20,0)</f>
        <v/>
      </c>
      <c r="P37" s="29">
        <f>ROUND($B$5*$B$8*$B$12*$B$14*$B$17*$B$19,0)</f>
        <v/>
      </c>
      <c r="Q37" s="29">
        <f>ROUND($B$5*$B$8*$B$12*$B$14*$B$17*$B$20,0)</f>
        <v/>
      </c>
      <c r="R37" s="29">
        <f>ROUND($B$5*$B$8*$B$12*$B$14*$B$18*$B$19,0)</f>
        <v/>
      </c>
      <c r="S37" s="29">
        <f>ROUND($B$5*$B$8*$B$12*$B$14*$B$18*$B$20,0)</f>
        <v/>
      </c>
      <c r="T37" s="29">
        <f>ROUND($B$5*$B$8*$B$12*$B$15*$B$17*$B$19,0)</f>
        <v/>
      </c>
      <c r="U37" s="29">
        <f>ROUND($B$5*$B$8*$B$12*$B$15*$B$17*$B$20,0)</f>
        <v/>
      </c>
      <c r="V37" s="29">
        <f>ROUND($B$5*$B$8*$B$12*$B$15*$B$18*$B$19,0)</f>
        <v/>
      </c>
      <c r="W37" s="29">
        <f>ROUND($B$5*$B$8*$B$12*$B$15*$B$18*$B$20,0)</f>
        <v/>
      </c>
      <c r="X37" s="29">
        <f>ROUND($B$5*$B$8*$B$12*$B$16*$B$17*$B$19,0)</f>
        <v/>
      </c>
      <c r="Y37" s="29">
        <f>ROUND($B$5*$B$8*$B$12*$B$16*$B$17*$B$20,0)</f>
        <v/>
      </c>
      <c r="Z37" s="29">
        <f>ROUND($B$5*$B$8*$B$12*$B$16*$B$18*$B$19,0)</f>
        <v/>
      </c>
      <c r="AA37" s="29">
        <f>ROUND($B$5*$B$8*$B$12*$B$16*$B$18*$B$20,0)</f>
        <v/>
      </c>
      <c r="AB37" s="29">
        <f>ROUND($B$6*$B$8*$B$12*$B$14*$B$17*$B$19,0)</f>
        <v/>
      </c>
      <c r="AC37" s="29">
        <f>ROUND($B$6*$B$8*$B$12*$B$14*$B$17*$B$20,0)</f>
        <v/>
      </c>
      <c r="AD37" s="29">
        <f>ROUND($B$6*$B$8*$B$12*$B$14*$B$18*$B$19,0)</f>
        <v/>
      </c>
      <c r="AE37" s="29">
        <f>ROUND($B$6*$B$8*$B$12*$B$14*$B$18*$B$20,0)</f>
        <v/>
      </c>
      <c r="AF37" s="29">
        <f>ROUND($B$6*$B$8*$B$12*$B$15*$B$17*$B$19,0)</f>
        <v/>
      </c>
      <c r="AG37" s="29">
        <f>ROUND($B$6*$B$8*$B$12*$B$15*$B$17*$B$20,0)</f>
        <v/>
      </c>
      <c r="AH37" s="29">
        <f>ROUND($B$6*$B$8*$B$12*$B$15*$B$18*$B$19,0)</f>
        <v/>
      </c>
      <c r="AI37" s="29">
        <f>ROUND($B$6*$B$8*$B$12*$B$15*$B$18*$B$20,0)</f>
        <v/>
      </c>
      <c r="AJ37" s="29">
        <f>ROUND($B$6*$B$8*$B$12*$B$16*$B$17*$B$19,0)</f>
        <v/>
      </c>
      <c r="AK37" s="29">
        <f>ROUND($B$6*$B$8*$B$12*$B$16*$B$17*$B$20,0)</f>
        <v/>
      </c>
      <c r="AL37" s="29">
        <f>ROUND($B$6*$B$8*$B$12*$B$16*$B$18*$B$19,0)</f>
        <v/>
      </c>
      <c r="AM37" s="29">
        <f>ROUND($B$6*$B$8*$B$12*$B$16*$B$18*$B$20,0)</f>
        <v/>
      </c>
    </row>
    <row r="38" ht="20.1" customHeight="1" s="62">
      <c r="A38" s="81" t="n"/>
      <c r="B38" s="59" t="n"/>
      <c r="C38" s="26" t="inlineStr">
        <is>
          <t>Critique haute disponibilité</t>
        </is>
      </c>
      <c r="D38" s="31">
        <f>ROUND($B$4*$B$8*$B$13*$B$14*$B$17*$B$19,0)</f>
        <v/>
      </c>
      <c r="E38" s="31">
        <f>ROUND($B$4*$B$8*$B$13*$B$14*$B$17*$B$20,0)</f>
        <v/>
      </c>
      <c r="F38" s="31">
        <f>ROUND($B$4*$B$8*$B$13*$B$14*$B$18*$B$19,0)</f>
        <v/>
      </c>
      <c r="G38" s="31">
        <f>ROUND($B$4*$B$8*$B$13*$B$14*$B$18*$B$20,0)</f>
        <v/>
      </c>
      <c r="H38" s="31">
        <f>ROUND($B$4*$B$8*$B$13*$B$15*$B$17*$B$19,0)</f>
        <v/>
      </c>
      <c r="I38" s="31">
        <f>ROUND($B$4*$B$8*$B$13*$B$15*$B$17*$B$20,0)</f>
        <v/>
      </c>
      <c r="J38" s="31">
        <f>ROUND($B$4*$B$8*$B$13*$B$15*$B$18*$B$19,0)</f>
        <v/>
      </c>
      <c r="K38" s="31">
        <f>ROUND($B$4*$B$8*$B$13*$B$15*$B$18*$B$20,0)</f>
        <v/>
      </c>
      <c r="L38" s="31">
        <f>ROUND($B$4*$B$8*$B$13*$B$16*$B$17*$B$19,0)</f>
        <v/>
      </c>
      <c r="M38" s="31">
        <f>ROUND($B$4*$B$8*$B$13*$B$16*$B$17*$B$20,0)</f>
        <v/>
      </c>
      <c r="N38" s="31">
        <f>ROUND($B$4*$B$8*$B$13*$B$16*$B$18*$B$19,0)</f>
        <v/>
      </c>
      <c r="O38" s="31">
        <f>ROUND($B$4*$B$8*$B$13*$B$16*$B$18*$B$20,0)</f>
        <v/>
      </c>
      <c r="P38" s="29">
        <f>ROUND($B$5*$B$8*$B$13*$B$14*$B$17*$B$19,0)</f>
        <v/>
      </c>
      <c r="Q38" s="29">
        <f>ROUND($B$5*$B$8*$B$13*$B$14*$B$17*$B$20,0)</f>
        <v/>
      </c>
      <c r="R38" s="29">
        <f>ROUND($B$5*$B$8*$B$13*$B$14*$B$18*$B$19,0)</f>
        <v/>
      </c>
      <c r="S38" s="29">
        <f>ROUND($B$5*$B$8*$B$13*$B$14*$B$18*$B$20,0)</f>
        <v/>
      </c>
      <c r="T38" s="29">
        <f>ROUND($B$5*$B$8*$B$13*$B$15*$B$17*$B$19,0)</f>
        <v/>
      </c>
      <c r="U38" s="29">
        <f>ROUND($B$5*$B$8*$B$13*$B$15*$B$17*$B$20,0)</f>
        <v/>
      </c>
      <c r="V38" s="29">
        <f>ROUND($B$5*$B$8*$B$13*$B$15*$B$18*$B$19,0)</f>
        <v/>
      </c>
      <c r="W38" s="29">
        <f>ROUND($B$5*$B$8*$B$13*$B$15*$B$18*$B$20,0)</f>
        <v/>
      </c>
      <c r="X38" s="29">
        <f>ROUND($B$5*$B$8*$B$13*$B$16*$B$17*$B$19,0)</f>
        <v/>
      </c>
      <c r="Y38" s="29">
        <f>ROUND($B$5*$B$8*$B$13*$B$16*$B$17*$B$20,0)</f>
        <v/>
      </c>
      <c r="Z38" s="29">
        <f>ROUND($B$5*$B$8*$B$13*$B$16*$B$18*$B$19,0)</f>
        <v/>
      </c>
      <c r="AA38" s="29">
        <f>ROUND($B$5*$B$8*$B$13*$B$16*$B$18*$B$20,0)</f>
        <v/>
      </c>
      <c r="AB38" s="29">
        <f>ROUND($B$6*$B$8*$B$13*$B$14*$B$17*$B$19,0)</f>
        <v/>
      </c>
      <c r="AC38" s="29">
        <f>ROUND($B$6*$B$8*$B$13*$B$14*$B$17*$B$20,0)</f>
        <v/>
      </c>
      <c r="AD38" s="29">
        <f>ROUND($B$6*$B$8*$B$13*$B$14*$B$18*$B$19,0)</f>
        <v/>
      </c>
      <c r="AE38" s="29">
        <f>ROUND($B$6*$B$8*$B$13*$B$14*$B$18*$B$20,0)</f>
        <v/>
      </c>
      <c r="AF38" s="29">
        <f>ROUND($B$6*$B$8*$B$13*$B$15*$B$17*$B$19,0)</f>
        <v/>
      </c>
      <c r="AG38" s="29">
        <f>ROUND($B$6*$B$8*$B$13*$B$15*$B$17*$B$20,0)</f>
        <v/>
      </c>
      <c r="AH38" s="29">
        <f>ROUND($B$6*$B$8*$B$13*$B$15*$B$18*$B$19,0)</f>
        <v/>
      </c>
      <c r="AI38" s="29">
        <f>ROUND($B$6*$B$8*$B$13*$B$15*$B$18*$B$20,0)</f>
        <v/>
      </c>
      <c r="AJ38" s="29">
        <f>ROUND($B$6*$B$8*$B$13*$B$16*$B$17*$B$19,0)</f>
        <v/>
      </c>
      <c r="AK38" s="29">
        <f>ROUND($B$6*$B$8*$B$13*$B$16*$B$17*$B$20,0)</f>
        <v/>
      </c>
      <c r="AL38" s="29">
        <f>ROUND($B$6*$B$8*$B$13*$B$16*$B$18*$B$19,0)</f>
        <v/>
      </c>
      <c r="AM38" s="29">
        <f>ROUND($B$6*$B$8*$B$13*$B$16*$B$18*$B$20,0)</f>
        <v/>
      </c>
    </row>
    <row r="39" ht="20.1" customHeight="1" s="62">
      <c r="A39" s="81" t="n"/>
      <c r="B39" s="73" t="inlineStr">
        <is>
          <t>2-5 outils</t>
        </is>
      </c>
      <c r="C39" s="24" t="inlineStr">
        <is>
          <t>Complexité simple</t>
        </is>
      </c>
      <c r="D39" s="31">
        <f>ROUND($B$4*$B$9*$B$11*$B$14*$B$17*$B$19,0)</f>
        <v/>
      </c>
      <c r="E39" s="31">
        <f>ROUND($B$4*$B$9*$B$11*$B$14*$B$17*$B$20,0)</f>
        <v/>
      </c>
      <c r="F39" s="31">
        <f>ROUND($B$4*$B$9*$B$11*$B$14*$B$18*$B$19,0)</f>
        <v/>
      </c>
      <c r="G39" s="31">
        <f>ROUND($B$4*$B$9*$B$11*$B$14*$B$18*$B$20,0)</f>
        <v/>
      </c>
      <c r="H39" s="31">
        <f>ROUND($B$4*$B$9*$B$11*$B$15*$B$17*$B$19,0)</f>
        <v/>
      </c>
      <c r="I39" s="31">
        <f>ROUND($B$4*$B$9*$B$11*$B$15*$B$17*$B$20,0)</f>
        <v/>
      </c>
      <c r="J39" s="31">
        <f>ROUND($B$4*$B$9*$B$11*$B$15*$B$18*$B$19,0)</f>
        <v/>
      </c>
      <c r="K39" s="31">
        <f>ROUND($B$4*$B$9*$B$11*$B$15*$B$18*$B$20,0)</f>
        <v/>
      </c>
      <c r="L39" s="31">
        <f>ROUND($B$4*$B$9*$B$11*$B$16*$B$17*$B$19,0)</f>
        <v/>
      </c>
      <c r="M39" s="31">
        <f>ROUND($B$4*$B$9*$B$11*$B$16*$B$17*$B$20,0)</f>
        <v/>
      </c>
      <c r="N39" s="31">
        <f>ROUND($B$4*$B$9*$B$11*$B$16*$B$18*$B$19,0)</f>
        <v/>
      </c>
      <c r="O39" s="31">
        <f>ROUND($B$4*$B$9*$B$11*$B$16*$B$18*$B$20,0)</f>
        <v/>
      </c>
      <c r="P39" s="29">
        <f>ROUND($B$5*$B$9*$B$11*$B$14*$B$17*$B$19,0)</f>
        <v/>
      </c>
      <c r="Q39" s="29">
        <f>ROUND($B$5*$B$9*$B$11*$B$14*$B$17*$B$20,0)</f>
        <v/>
      </c>
      <c r="R39" s="29">
        <f>ROUND($B$5*$B$9*$B$11*$B$14*$B$18*$B$19,0)</f>
        <v/>
      </c>
      <c r="S39" s="29">
        <f>ROUND($B$5*$B$9*$B$11*$B$14*$B$18*$B$20,0)</f>
        <v/>
      </c>
      <c r="T39" s="29">
        <f>ROUND($B$5*$B$9*$B$11*$B$15*$B$17*$B$19,0)</f>
        <v/>
      </c>
      <c r="U39" s="29">
        <f>ROUND($B$5*$B$9*$B$11*$B$15*$B$17*$B$20,0)</f>
        <v/>
      </c>
      <c r="V39" s="29">
        <f>ROUND($B$5*$B$9*$B$11*$B$15*$B$18*$B$19,0)</f>
        <v/>
      </c>
      <c r="W39" s="29">
        <f>ROUND($B$5*$B$9*$B$11*$B$15*$B$18*$B$20,0)</f>
        <v/>
      </c>
      <c r="X39" s="29">
        <f>ROUND($B$5*$B$9*$B$11*$B$16*$B$17*$B$19,0)</f>
        <v/>
      </c>
      <c r="Y39" s="29">
        <f>ROUND($B$5*$B$9*$B$11*$B$16*$B$17*$B$20,0)</f>
        <v/>
      </c>
      <c r="Z39" s="29">
        <f>ROUND($B$5*$B$9*$B$11*$B$16*$B$18*$B$19,0)</f>
        <v/>
      </c>
      <c r="AA39" s="29">
        <f>ROUND($B$5*$B$9*$B$11*$B$16*$B$18*$B$20,0)</f>
        <v/>
      </c>
      <c r="AB39" s="29">
        <f>ROUND($B$6*$B$9*$B$11*$B$14*$B$17*$B$19,0)</f>
        <v/>
      </c>
      <c r="AC39" s="29">
        <f>ROUND($B$6*$B$9*$B$11*$B$14*$B$17*$B$20,0)</f>
        <v/>
      </c>
      <c r="AD39" s="29">
        <f>ROUND($B$6*$B$9*$B$11*$B$14*$B$18*$B$19,0)</f>
        <v/>
      </c>
      <c r="AE39" s="29">
        <f>ROUND($B$6*$B$9*$B$11*$B$14*$B$18*$B$20,0)</f>
        <v/>
      </c>
      <c r="AF39" s="29">
        <f>ROUND($B$6*$B$9*$B$11*$B$15*$B$17*$B$19,0)</f>
        <v/>
      </c>
      <c r="AG39" s="29">
        <f>ROUND($B$6*$B$9*$B$11*$B$15*$B$17*$B$20,0)</f>
        <v/>
      </c>
      <c r="AH39" s="29">
        <f>ROUND($B$6*$B$9*$B$11*$B$15*$B$18*$B$19,0)</f>
        <v/>
      </c>
      <c r="AI39" s="29">
        <f>ROUND($B$6*$B$9*$B$11*$B$15*$B$18*$B$20,0)</f>
        <v/>
      </c>
      <c r="AJ39" s="29">
        <f>ROUND($B$6*$B$9*$B$11*$B$16*$B$17*$B$19,0)</f>
        <v/>
      </c>
      <c r="AK39" s="29">
        <f>ROUND($B$6*$B$9*$B$11*$B$16*$B$17*$B$20,0)</f>
        <v/>
      </c>
      <c r="AL39" s="29">
        <f>ROUND($B$6*$B$9*$B$11*$B$16*$B$18*$B$19,0)</f>
        <v/>
      </c>
      <c r="AM39" s="29">
        <f>ROUND($B$6*$B$9*$B$11*$B$16*$B$18*$B$20,0)</f>
        <v/>
      </c>
    </row>
    <row r="40" ht="20.1" customHeight="1" s="62">
      <c r="A40" s="81" t="n"/>
      <c r="B40" s="58" t="n"/>
      <c r="C40" s="73" t="inlineStr">
        <is>
          <t>Complexité modérée</t>
        </is>
      </c>
      <c r="D40" s="31">
        <f>ROUND($B$4*$B$9*$B$12*$B$14*$B$17*$B$19,0)</f>
        <v/>
      </c>
      <c r="E40" s="31">
        <f>ROUND($B$4*$B$9*$B$12*$B$14*$B$17*$B$20,0)</f>
        <v/>
      </c>
      <c r="F40" s="31">
        <f>ROUND($B$4*$B$9*$B$12*$B$14*$B$18*$B$19,0)</f>
        <v/>
      </c>
      <c r="G40" s="31">
        <f>ROUND($B$4*$B$9*$B$12*$B$14*$B$18*$B$20,0)</f>
        <v/>
      </c>
      <c r="H40" s="31">
        <f>ROUND($B$4*$B$9*$B$12*$B$15*$B$17*$B$19,0)</f>
        <v/>
      </c>
      <c r="I40" s="31">
        <f>ROUND($B$4*$B$9*$B$12*$B$15*$B$17*$B$20,0)</f>
        <v/>
      </c>
      <c r="J40" s="31">
        <f>ROUND($B$4*$B$9*$B$12*$B$15*$B$18*$B$19,0)</f>
        <v/>
      </c>
      <c r="K40" s="31">
        <f>ROUND($B$4*$B$9*$B$12*$B$15*$B$18*$B$20,0)</f>
        <v/>
      </c>
      <c r="L40" s="31">
        <f>ROUND($B$4*$B$9*$B$12*$B$16*$B$17*$B$19,0)</f>
        <v/>
      </c>
      <c r="M40" s="31">
        <f>ROUND($B$4*$B$9*$B$12*$B$16*$B$17*$B$20,0)</f>
        <v/>
      </c>
      <c r="N40" s="31">
        <f>ROUND($B$4*$B$9*$B$12*$B$16*$B$18*$B$19,0)</f>
        <v/>
      </c>
      <c r="O40" s="31">
        <f>ROUND($B$4*$B$9*$B$12*$B$16*$B$18*$B$20,0)</f>
        <v/>
      </c>
      <c r="P40" s="29">
        <f>ROUND($B$5*$B$9*$B$12*$B$14*$B$17*$B$19,0)</f>
        <v/>
      </c>
      <c r="Q40" s="29">
        <f>ROUND($B$5*$B$9*$B$12*$B$14*$B$17*$B$20,0)</f>
        <v/>
      </c>
      <c r="R40" s="29">
        <f>ROUND($B$5*$B$9*$B$12*$B$14*$B$18*$B$19,0)</f>
        <v/>
      </c>
      <c r="S40" s="29">
        <f>ROUND($B$5*$B$9*$B$12*$B$14*$B$18*$B$20,0)</f>
        <v/>
      </c>
      <c r="T40" s="29">
        <f>ROUND($B$5*$B$9*$B$12*$B$15*$B$17*$B$19,0)</f>
        <v/>
      </c>
      <c r="U40" s="29">
        <f>ROUND($B$5*$B$9*$B$12*$B$15*$B$17*$B$20,0)</f>
        <v/>
      </c>
      <c r="V40" s="29">
        <f>ROUND($B$5*$B$9*$B$12*$B$15*$B$18*$B$19,0)</f>
        <v/>
      </c>
      <c r="W40" s="29">
        <f>ROUND($B$5*$B$9*$B$12*$B$15*$B$18*$B$20,0)</f>
        <v/>
      </c>
      <c r="X40" s="29">
        <f>ROUND($B$5*$B$9*$B$12*$B$16*$B$17*$B$19,0)</f>
        <v/>
      </c>
      <c r="Y40" s="29">
        <f>ROUND($B$5*$B$9*$B$12*$B$16*$B$17*$B$20,0)</f>
        <v/>
      </c>
      <c r="Z40" s="29">
        <f>ROUND($B$5*$B$9*$B$12*$B$16*$B$18*$B$19,0)</f>
        <v/>
      </c>
      <c r="AA40" s="29">
        <f>ROUND($B$5*$B$9*$B$12*$B$16*$B$18*$B$20,0)</f>
        <v/>
      </c>
      <c r="AB40" s="29">
        <f>ROUND($B$6*$B$9*$B$12*$B$14*$B$17*$B$19,0)</f>
        <v/>
      </c>
      <c r="AC40" s="29">
        <f>ROUND($B$6*$B$9*$B$12*$B$14*$B$17*$B$20,0)</f>
        <v/>
      </c>
      <c r="AD40" s="29">
        <f>ROUND($B$6*$B$9*$B$12*$B$14*$B$18*$B$19,0)</f>
        <v/>
      </c>
      <c r="AE40" s="29">
        <f>ROUND($B$6*$B$9*$B$12*$B$14*$B$18*$B$20,0)</f>
        <v/>
      </c>
      <c r="AF40" s="29">
        <f>ROUND($B$6*$B$9*$B$12*$B$15*$B$17*$B$19,0)</f>
        <v/>
      </c>
      <c r="AG40" s="29">
        <f>ROUND($B$6*$B$9*$B$12*$B$15*$B$17*$B$20,0)</f>
        <v/>
      </c>
      <c r="AH40" s="29">
        <f>ROUND($B$6*$B$9*$B$12*$B$15*$B$18*$B$19,0)</f>
        <v/>
      </c>
      <c r="AI40" s="29">
        <f>ROUND($B$6*$B$9*$B$12*$B$15*$B$18*$B$20,0)</f>
        <v/>
      </c>
      <c r="AJ40" s="29">
        <f>ROUND($B$6*$B$9*$B$12*$B$16*$B$17*$B$19,0)</f>
        <v/>
      </c>
      <c r="AK40" s="29">
        <f>ROUND($B$6*$B$9*$B$12*$B$16*$B$17*$B$20,0)</f>
        <v/>
      </c>
      <c r="AL40" s="29">
        <f>ROUND($B$6*$B$9*$B$12*$B$16*$B$18*$B$19,0)</f>
        <v/>
      </c>
      <c r="AM40" s="29">
        <f>ROUND($B$6*$B$9*$B$12*$B$16*$B$18*$B$20,0)</f>
        <v/>
      </c>
    </row>
    <row r="41" ht="20.1" customHeight="1" s="62">
      <c r="A41" s="81" t="n"/>
      <c r="B41" s="59" t="n"/>
      <c r="C41" s="26" t="inlineStr">
        <is>
          <t>Critique haute disponibilité</t>
        </is>
      </c>
      <c r="D41" s="31">
        <f>ROUND($B$4*$B$9*$B$13*$B$14*$B$17*$B$19,0)</f>
        <v/>
      </c>
      <c r="E41" s="31">
        <f>ROUND($B$4*$B$9*$B$13*$B$14*$B$17*$B$20,0)</f>
        <v/>
      </c>
      <c r="F41" s="31">
        <f>ROUND($B$4*$B$9*$B$13*$B$14*$B$18*$B$19,0)</f>
        <v/>
      </c>
      <c r="G41" s="31">
        <f>ROUND($B$4*$B$9*$B$13*$B$14*$B$18*$B$20,0)</f>
        <v/>
      </c>
      <c r="H41" s="31">
        <f>ROUND($B$4*$B$9*$B$13*$B$15*$B$17*$B$19,0)</f>
        <v/>
      </c>
      <c r="I41" s="31">
        <f>ROUND($B$4*$B$9*$B$13*$B$15*$B$17*$B$20,0)</f>
        <v/>
      </c>
      <c r="J41" s="31">
        <f>ROUND($B$4*$B$9*$B$13*$B$15*$B$18*$B$19,0)</f>
        <v/>
      </c>
      <c r="K41" s="31">
        <f>ROUND($B$4*$B$9*$B$13*$B$15*$B$18*$B$20,0)</f>
        <v/>
      </c>
      <c r="L41" s="31">
        <f>ROUND($B$4*$B$9*$B$13*$B$16*$B$17*$B$19,0)</f>
        <v/>
      </c>
      <c r="M41" s="31">
        <f>ROUND($B$4*$B$9*$B$13*$B$16*$B$17*$B$20,0)</f>
        <v/>
      </c>
      <c r="N41" s="31">
        <f>ROUND($B$4*$B$9*$B$13*$B$16*$B$18*$B$19,0)</f>
        <v/>
      </c>
      <c r="O41" s="31">
        <f>ROUND($B$4*$B$9*$B$13*$B$16*$B$18*$B$20,0)</f>
        <v/>
      </c>
      <c r="P41" s="29">
        <f>ROUND($B$5*$B$9*$B$13*$B$14*$B$17*$B$19,0)</f>
        <v/>
      </c>
      <c r="Q41" s="29">
        <f>ROUND($B$5*$B$9*$B$13*$B$14*$B$17*$B$20,0)</f>
        <v/>
      </c>
      <c r="R41" s="29">
        <f>ROUND($B$5*$B$9*$B$13*$B$14*$B$18*$B$19,0)</f>
        <v/>
      </c>
      <c r="S41" s="29">
        <f>ROUND($B$5*$B$9*$B$13*$B$14*$B$18*$B$20,0)</f>
        <v/>
      </c>
      <c r="T41" s="29">
        <f>ROUND($B$5*$B$9*$B$13*$B$15*$B$17*$B$19,0)</f>
        <v/>
      </c>
      <c r="U41" s="29">
        <f>ROUND($B$5*$B$9*$B$13*$B$15*$B$17*$B$20,0)</f>
        <v/>
      </c>
      <c r="V41" s="29">
        <f>ROUND($B$5*$B$9*$B$13*$B$15*$B$18*$B$19,0)</f>
        <v/>
      </c>
      <c r="W41" s="29">
        <f>ROUND($B$5*$B$9*$B$13*$B$15*$B$18*$B$20,0)</f>
        <v/>
      </c>
      <c r="X41" s="29">
        <f>ROUND($B$5*$B$9*$B$13*$B$16*$B$17*$B$19,0)</f>
        <v/>
      </c>
      <c r="Y41" s="29">
        <f>ROUND($B$5*$B$9*$B$13*$B$16*$B$17*$B$20,0)</f>
        <v/>
      </c>
      <c r="Z41" s="29">
        <f>ROUND($B$5*$B$9*$B$13*$B$16*$B$18*$B$19,0)</f>
        <v/>
      </c>
      <c r="AA41" s="29">
        <f>ROUND($B$5*$B$9*$B$13*$B$16*$B$18*$B$20,0)</f>
        <v/>
      </c>
      <c r="AB41" s="29">
        <f>ROUND($B$6*$B$9*$B$13*$B$14*$B$17*$B$19,0)</f>
        <v/>
      </c>
      <c r="AC41" s="29">
        <f>ROUND($B$6*$B$9*$B$13*$B$14*$B$17*$B$20,0)</f>
        <v/>
      </c>
      <c r="AD41" s="29">
        <f>ROUND($B$6*$B$9*$B$13*$B$14*$B$18*$B$19,0)</f>
        <v/>
      </c>
      <c r="AE41" s="29">
        <f>ROUND($B$6*$B$9*$B$13*$B$14*$B$18*$B$20,0)</f>
        <v/>
      </c>
      <c r="AF41" s="29">
        <f>ROUND($B$6*$B$9*$B$13*$B$15*$B$17*$B$19,0)</f>
        <v/>
      </c>
      <c r="AG41" s="29">
        <f>ROUND($B$6*$B$9*$B$13*$B$15*$B$17*$B$20,0)</f>
        <v/>
      </c>
      <c r="AH41" s="29">
        <f>ROUND($B$6*$B$9*$B$13*$B$15*$B$18*$B$19,0)</f>
        <v/>
      </c>
      <c r="AI41" s="29">
        <f>ROUND($B$6*$B$9*$B$13*$B$15*$B$18*$B$20,0)</f>
        <v/>
      </c>
      <c r="AJ41" s="29">
        <f>ROUND($B$6*$B$9*$B$13*$B$16*$B$17*$B$19,0)</f>
        <v/>
      </c>
      <c r="AK41" s="29">
        <f>ROUND($B$6*$B$9*$B$13*$B$16*$B$17*$B$20,0)</f>
        <v/>
      </c>
      <c r="AL41" s="29">
        <f>ROUND($B$6*$B$9*$B$13*$B$16*$B$18*$B$19,0)</f>
        <v/>
      </c>
      <c r="AM41" s="29">
        <f>ROUND($B$6*$B$9*$B$13*$B$16*$B$18*$B$20,0)</f>
        <v/>
      </c>
    </row>
    <row r="42" ht="20.1" customHeight="1" s="62">
      <c r="A42" s="81" t="n"/>
      <c r="B42" s="73" t="inlineStr">
        <is>
          <t>6+ outils</t>
        </is>
      </c>
      <c r="C42" s="24" t="inlineStr">
        <is>
          <t>Complexité simple</t>
        </is>
      </c>
      <c r="D42" s="31">
        <f>ROUND($B$4*$B$10*$B$11*$B$14*$B$17*$B$19,0)</f>
        <v/>
      </c>
      <c r="E42" s="31">
        <f>ROUND($B$4*$B$10*$B$11*$B$14*$B$17*$B$20,0)</f>
        <v/>
      </c>
      <c r="F42" s="31">
        <f>ROUND($B$4*$B$10*$B$11*$B$14*$B$18*$B$19,0)</f>
        <v/>
      </c>
      <c r="G42" s="31">
        <f>ROUND($B$4*$B$10*$B$11*$B$14*$B$18*$B$20,0)</f>
        <v/>
      </c>
      <c r="H42" s="31">
        <f>ROUND($B$4*$B$10*$B$11*$B$15*$B$17*$B$19,0)</f>
        <v/>
      </c>
      <c r="I42" s="31">
        <f>ROUND($B$4*$B$10*$B$11*$B$15*$B$17*$B$20,0)</f>
        <v/>
      </c>
      <c r="J42" s="31">
        <f>ROUND($B$4*$B$10*$B$11*$B$15*$B$18*$B$19,0)</f>
        <v/>
      </c>
      <c r="K42" s="31">
        <f>ROUND($B$4*$B$10*$B$11*$B$15*$B$18*$B$20,0)</f>
        <v/>
      </c>
      <c r="L42" s="31">
        <f>ROUND($B$4*$B$10*$B$11*$B$16*$B$17*$B$19,0)</f>
        <v/>
      </c>
      <c r="M42" s="31">
        <f>ROUND($B$4*$B$10*$B$11*$B$16*$B$17*$B$20,0)</f>
        <v/>
      </c>
      <c r="N42" s="31">
        <f>ROUND($B$4*$B$10*$B$11*$B$16*$B$18*$B$19,0)</f>
        <v/>
      </c>
      <c r="O42" s="31">
        <f>ROUND($B$4*$B$10*$B$11*$B$16*$B$18*$B$20,0)</f>
        <v/>
      </c>
      <c r="P42" s="29">
        <f>ROUND($B$5*$B$10*$B$11*$B$14*$B$17*$B$19,0)</f>
        <v/>
      </c>
      <c r="Q42" s="29">
        <f>ROUND($B$5*$B$10*$B$11*$B$14*$B$17*$B$20,0)</f>
        <v/>
      </c>
      <c r="R42" s="29">
        <f>ROUND($B$5*$B$10*$B$11*$B$14*$B$18*$B$19,0)</f>
        <v/>
      </c>
      <c r="S42" s="29">
        <f>ROUND($B$5*$B$10*$B$11*$B$14*$B$18*$B$20,0)</f>
        <v/>
      </c>
      <c r="T42" s="29">
        <f>ROUND($B$5*$B$10*$B$11*$B$15*$B$17*$B$19,0)</f>
        <v/>
      </c>
      <c r="U42" s="29">
        <f>ROUND($B$5*$B$10*$B$11*$B$15*$B$17*$B$20,0)</f>
        <v/>
      </c>
      <c r="V42" s="29">
        <f>ROUND($B$5*$B$10*$B$11*$B$15*$B$18*$B$19,0)</f>
        <v/>
      </c>
      <c r="W42" s="29">
        <f>ROUND($B$5*$B$10*$B$11*$B$15*$B$18*$B$20,0)</f>
        <v/>
      </c>
      <c r="X42" s="29">
        <f>ROUND($B$5*$B$10*$B$11*$B$16*$B$17*$B$19,0)</f>
        <v/>
      </c>
      <c r="Y42" s="29">
        <f>ROUND($B$5*$B$10*$B$11*$B$16*$B$17*$B$20,0)</f>
        <v/>
      </c>
      <c r="Z42" s="29">
        <f>ROUND($B$5*$B$10*$B$11*$B$16*$B$18*$B$19,0)</f>
        <v/>
      </c>
      <c r="AA42" s="29">
        <f>ROUND($B$5*$B$10*$B$11*$B$16*$B$18*$B$20,0)</f>
        <v/>
      </c>
      <c r="AB42" s="29">
        <f>ROUND($B$6*$B$10*$B$11*$B$14*$B$17*$B$19,0)</f>
        <v/>
      </c>
      <c r="AC42" s="29">
        <f>ROUND($B$6*$B$10*$B$11*$B$14*$B$17*$B$20,0)</f>
        <v/>
      </c>
      <c r="AD42" s="29">
        <f>ROUND($B$6*$B$10*$B$11*$B$14*$B$18*$B$19,0)</f>
        <v/>
      </c>
      <c r="AE42" s="29">
        <f>ROUND($B$6*$B$10*$B$11*$B$14*$B$18*$B$20,0)</f>
        <v/>
      </c>
      <c r="AF42" s="29">
        <f>ROUND($B$6*$B$10*$B$11*$B$15*$B$17*$B$19,0)</f>
        <v/>
      </c>
      <c r="AG42" s="29">
        <f>ROUND($B$6*$B$10*$B$11*$B$15*$B$17*$B$20,0)</f>
        <v/>
      </c>
      <c r="AH42" s="29">
        <f>ROUND($B$6*$B$10*$B$11*$B$15*$B$18*$B$19,0)</f>
        <v/>
      </c>
      <c r="AI42" s="29">
        <f>ROUND($B$6*$B$10*$B$11*$B$15*$B$18*$B$20,0)</f>
        <v/>
      </c>
      <c r="AJ42" s="29">
        <f>ROUND($B$6*$B$10*$B$11*$B$16*$B$17*$B$19,0)</f>
        <v/>
      </c>
      <c r="AK42" s="29">
        <f>ROUND($B$6*$B$10*$B$11*$B$16*$B$17*$B$20,0)</f>
        <v/>
      </c>
      <c r="AL42" s="29">
        <f>ROUND($B$6*$B$10*$B$11*$B$16*$B$18*$B$19,0)</f>
        <v/>
      </c>
      <c r="AM42" s="29">
        <f>ROUND($B$6*$B$10*$B$11*$B$16*$B$18*$B$20,0)</f>
        <v/>
      </c>
    </row>
    <row r="43" ht="20.1" customHeight="1" s="62">
      <c r="A43" s="81" t="n"/>
      <c r="B43" s="58" t="n"/>
      <c r="C43" s="73" t="inlineStr">
        <is>
          <t>Complexité modérée</t>
        </is>
      </c>
      <c r="D43" s="31">
        <f>ROUND($B$4*$B$10*$B$12*$B$14*$B$17*$B$19,0)</f>
        <v/>
      </c>
      <c r="E43" s="31">
        <f>ROUND($B$4*$B$10*$B$12*$B$14*$B$17*$B$20,0)</f>
        <v/>
      </c>
      <c r="F43" s="31">
        <f>ROUND($B$4*$B$10*$B$12*$B$14*$B$18*$B$19,0)</f>
        <v/>
      </c>
      <c r="G43" s="31">
        <f>ROUND($B$4*$B$10*$B$12*$B$14*$B$18*$B$20,0)</f>
        <v/>
      </c>
      <c r="H43" s="31">
        <f>ROUND($B$4*$B$10*$B$12*$B$15*$B$17*$B$19,0)</f>
        <v/>
      </c>
      <c r="I43" s="31">
        <f>ROUND($B$4*$B$10*$B$12*$B$15*$B$17*$B$20,0)</f>
        <v/>
      </c>
      <c r="J43" s="31">
        <f>ROUND($B$4*$B$10*$B$12*$B$15*$B$18*$B$19,0)</f>
        <v/>
      </c>
      <c r="K43" s="31">
        <f>ROUND($B$4*$B$10*$B$12*$B$15*$B$18*$B$20,0)</f>
        <v/>
      </c>
      <c r="L43" s="31">
        <f>ROUND($B$4*$B$10*$B$12*$B$16*$B$17*$B$19,0)</f>
        <v/>
      </c>
      <c r="M43" s="31">
        <f>ROUND($B$4*$B$10*$B$12*$B$16*$B$17*$B$20,0)</f>
        <v/>
      </c>
      <c r="N43" s="31">
        <f>ROUND($B$4*$B$10*$B$12*$B$16*$B$18*$B$19,0)</f>
        <v/>
      </c>
      <c r="O43" s="31">
        <f>ROUND($B$4*$B$10*$B$12*$B$16*$B$18*$B$20,0)</f>
        <v/>
      </c>
      <c r="P43" s="29">
        <f>ROUND($B$5*$B$10*$B$12*$B$14*$B$17*$B$19,0)</f>
        <v/>
      </c>
      <c r="Q43" s="29">
        <f>ROUND($B$5*$B$10*$B$12*$B$14*$B$17*$B$20,0)</f>
        <v/>
      </c>
      <c r="R43" s="29">
        <f>ROUND($B$5*$B$10*$B$12*$B$14*$B$18*$B$19,0)</f>
        <v/>
      </c>
      <c r="S43" s="29">
        <f>ROUND($B$5*$B$10*$B$12*$B$14*$B$18*$B$20,0)</f>
        <v/>
      </c>
      <c r="T43" s="29">
        <f>ROUND($B$5*$B$10*$B$12*$B$15*$B$17*$B$19,0)</f>
        <v/>
      </c>
      <c r="U43" s="29">
        <f>ROUND($B$5*$B$10*$B$12*$B$15*$B$17*$B$20,0)</f>
        <v/>
      </c>
      <c r="V43" s="29">
        <f>ROUND($B$5*$B$10*$B$12*$B$15*$B$18*$B$19,0)</f>
        <v/>
      </c>
      <c r="W43" s="29">
        <f>ROUND($B$5*$B$10*$B$12*$B$15*$B$18*$B$20,0)</f>
        <v/>
      </c>
      <c r="X43" s="29">
        <f>ROUND($B$5*$B$10*$B$12*$B$16*$B$17*$B$19,0)</f>
        <v/>
      </c>
      <c r="Y43" s="29">
        <f>ROUND($B$5*$B$10*$B$12*$B$16*$B$17*$B$20,0)</f>
        <v/>
      </c>
      <c r="Z43" s="29">
        <f>ROUND($B$5*$B$10*$B$12*$B$16*$B$18*$B$19,0)</f>
        <v/>
      </c>
      <c r="AA43" s="29">
        <f>ROUND($B$5*$B$10*$B$12*$B$16*$B$18*$B$20,0)</f>
        <v/>
      </c>
      <c r="AB43" s="29">
        <f>ROUND($B$6*$B$10*$B$12*$B$14*$B$17*$B$19,0)</f>
        <v/>
      </c>
      <c r="AC43" s="29">
        <f>ROUND($B$6*$B$10*$B$12*$B$14*$B$17*$B$20,0)</f>
        <v/>
      </c>
      <c r="AD43" s="29">
        <f>ROUND($B$6*$B$10*$B$12*$B$14*$B$18*$B$19,0)</f>
        <v/>
      </c>
      <c r="AE43" s="29">
        <f>ROUND($B$6*$B$10*$B$12*$B$14*$B$18*$B$20,0)</f>
        <v/>
      </c>
      <c r="AF43" s="29">
        <f>ROUND($B$6*$B$10*$B$12*$B$15*$B$17*$B$19,0)</f>
        <v/>
      </c>
      <c r="AG43" s="29">
        <f>ROUND($B$6*$B$10*$B$12*$B$15*$B$17*$B$20,0)</f>
        <v/>
      </c>
      <c r="AH43" s="29">
        <f>ROUND($B$6*$B$10*$B$12*$B$15*$B$18*$B$19,0)</f>
        <v/>
      </c>
      <c r="AI43" s="29">
        <f>ROUND($B$6*$B$10*$B$12*$B$15*$B$18*$B$20,0)</f>
        <v/>
      </c>
      <c r="AJ43" s="29">
        <f>ROUND($B$6*$B$10*$B$12*$B$16*$B$17*$B$19,0)</f>
        <v/>
      </c>
      <c r="AK43" s="29">
        <f>ROUND($B$6*$B$10*$B$12*$B$16*$B$17*$B$20,0)</f>
        <v/>
      </c>
      <c r="AL43" s="29">
        <f>ROUND($B$6*$B$10*$B$12*$B$16*$B$18*$B$19,0)</f>
        <v/>
      </c>
      <c r="AM43" s="29">
        <f>ROUND($B$6*$B$10*$B$12*$B$16*$B$18*$B$20,0)</f>
        <v/>
      </c>
    </row>
    <row r="44" ht="20.1" customHeight="1" s="62">
      <c r="A44" s="82" t="n"/>
      <c r="B44" s="59" t="n"/>
      <c r="C44" s="26" t="inlineStr">
        <is>
          <t>Critique haute disponibilité</t>
        </is>
      </c>
      <c r="D44" s="31">
        <f>ROUND($B$4*$B$10*$B$13*$B$14*$B$17*$B$19,0)</f>
        <v/>
      </c>
      <c r="E44" s="31">
        <f>ROUND($B$4*$B$10*$B$13*$B$14*$B$17*$B$20,0)</f>
        <v/>
      </c>
      <c r="F44" s="31">
        <f>ROUND($B$4*$B$10*$B$13*$B$14*$B$18*$B$19,0)</f>
        <v/>
      </c>
      <c r="G44" s="31">
        <f>ROUND($B$4*$B$10*$B$13*$B$14*$B$18*$B$20,0)</f>
        <v/>
      </c>
      <c r="H44" s="31">
        <f>ROUND($B$4*$B$10*$B$13*$B$15*$B$17*$B$19,0)</f>
        <v/>
      </c>
      <c r="I44" s="31">
        <f>ROUND($B$4*$B$10*$B$13*$B$15*$B$17*$B$20,0)</f>
        <v/>
      </c>
      <c r="J44" s="31">
        <f>ROUND($B$4*$B$10*$B$13*$B$15*$B$18*$B$19,0)</f>
        <v/>
      </c>
      <c r="K44" s="31">
        <f>ROUND($B$4*$B$10*$B$13*$B$15*$B$18*$B$20,0)</f>
        <v/>
      </c>
      <c r="L44" s="31">
        <f>ROUND($B$4*$B$10*$B$13*$B$16*$B$17*$B$19,0)</f>
        <v/>
      </c>
      <c r="M44" s="31">
        <f>ROUND($B$4*$B$10*$B$13*$B$16*$B$17*$B$20,0)</f>
        <v/>
      </c>
      <c r="N44" s="31">
        <f>ROUND($B$4*$B$10*$B$13*$B$16*$B$18*$B$19,0)</f>
        <v/>
      </c>
      <c r="O44" s="31">
        <f>ROUND($B$4*$B$10*$B$13*$B$16*$B$18*$B$20,0)</f>
        <v/>
      </c>
      <c r="P44" s="29">
        <f>ROUND($B$5*$B$10*$B$13*$B$14*$B$17*$B$19,0)</f>
        <v/>
      </c>
      <c r="Q44" s="29">
        <f>ROUND($B$5*$B$10*$B$13*$B$14*$B$17*$B$20,0)</f>
        <v/>
      </c>
      <c r="R44" s="29">
        <f>ROUND($B$5*$B$10*$B$13*$B$14*$B$18*$B$19,0)</f>
        <v/>
      </c>
      <c r="S44" s="29">
        <f>ROUND($B$5*$B$10*$B$13*$B$14*$B$18*$B$20,0)</f>
        <v/>
      </c>
      <c r="T44" s="29">
        <f>ROUND($B$5*$B$10*$B$13*$B$15*$B$17*$B$19,0)</f>
        <v/>
      </c>
      <c r="U44" s="29">
        <f>ROUND($B$5*$B$10*$B$13*$B$15*$B$17*$B$20,0)</f>
        <v/>
      </c>
      <c r="V44" s="29">
        <f>ROUND($B$5*$B$10*$B$13*$B$15*$B$18*$B$19,0)</f>
        <v/>
      </c>
      <c r="W44" s="29">
        <f>ROUND($B$5*$B$10*$B$13*$B$15*$B$18*$B$20,0)</f>
        <v/>
      </c>
      <c r="X44" s="29">
        <f>ROUND($B$5*$B$10*$B$13*$B$16*$B$17*$B$19,0)</f>
        <v/>
      </c>
      <c r="Y44" s="29">
        <f>ROUND($B$5*$B$10*$B$13*$B$16*$B$17*$B$20,0)</f>
        <v/>
      </c>
      <c r="Z44" s="29">
        <f>ROUND($B$5*$B$10*$B$13*$B$16*$B$18*$B$19,0)</f>
        <v/>
      </c>
      <c r="AA44" s="29">
        <f>ROUND($B$5*$B$10*$B$13*$B$16*$B$18*$B$20,0)</f>
        <v/>
      </c>
      <c r="AB44" s="29">
        <f>ROUND($B$6*$B$10*$B$13*$B$14*$B$17*$B$19,0)</f>
        <v/>
      </c>
      <c r="AC44" s="29">
        <f>ROUND($B$6*$B$10*$B$13*$B$14*$B$17*$B$20,0)</f>
        <v/>
      </c>
      <c r="AD44" s="29">
        <f>ROUND($B$6*$B$10*$B$13*$B$14*$B$18*$B$19,0)</f>
        <v/>
      </c>
      <c r="AE44" s="29">
        <f>ROUND($B$6*$B$10*$B$13*$B$14*$B$18*$B$20,0)</f>
        <v/>
      </c>
      <c r="AF44" s="29">
        <f>ROUND($B$6*$B$10*$B$13*$B$15*$B$17*$B$19,0)</f>
        <v/>
      </c>
      <c r="AG44" s="29">
        <f>ROUND($B$6*$B$10*$B$13*$B$15*$B$17*$B$20,0)</f>
        <v/>
      </c>
      <c r="AH44" s="29">
        <f>ROUND($B$6*$B$10*$B$13*$B$15*$B$18*$B$19,0)</f>
        <v/>
      </c>
      <c r="AI44" s="29">
        <f>ROUND($B$6*$B$10*$B$13*$B$15*$B$18*$B$20,0)</f>
        <v/>
      </c>
      <c r="AJ44" s="29">
        <f>ROUND($B$6*$B$10*$B$13*$B$16*$B$17*$B$19,0)</f>
        <v/>
      </c>
      <c r="AK44" s="29">
        <f>ROUND($B$6*$B$10*$B$13*$B$16*$B$17*$B$20,0)</f>
        <v/>
      </c>
      <c r="AL44" s="29">
        <f>ROUND($B$6*$B$10*$B$13*$B$16*$B$18*$B$19,0)</f>
        <v/>
      </c>
      <c r="AM44" s="29">
        <f>ROUND($B$6*$B$10*$B$13*$B$16*$B$18*$B$20,0)</f>
        <v/>
      </c>
    </row>
    <row r="45" ht="20.1" customHeight="1" s="62">
      <c r="A45" s="80" t="inlineStr">
        <is>
          <t>Serveur / Infrastructure</t>
        </is>
      </c>
      <c r="B45" s="73" t="inlineStr">
        <is>
          <t>1 outil</t>
        </is>
      </c>
      <c r="C45" s="24" t="inlineStr">
        <is>
          <t>Complexité simple</t>
        </is>
      </c>
      <c r="D45" s="31">
        <f>ROUND($B$4*$B$8*$B$11*$B$14*$B$17*$B$19,0)</f>
        <v/>
      </c>
      <c r="E45" s="31">
        <f>ROUND($B$4*$B$8*$B$11*$B$14*$B$17*$B$20,0)</f>
        <v/>
      </c>
      <c r="F45" s="31">
        <f>ROUND($B$4*$B$8*$B$11*$B$14*$B$18*$B$19,0)</f>
        <v/>
      </c>
      <c r="G45" s="31">
        <f>ROUND($B$4*$B$8*$B$11*$B$14*$B$18*$B$20,0)</f>
        <v/>
      </c>
      <c r="H45" s="31">
        <f>ROUND($B$4*$B$8*$B$11*$B$15*$B$17*$B$19,0)</f>
        <v/>
      </c>
      <c r="I45" s="31">
        <f>ROUND($B$4*$B$8*$B$11*$B$15*$B$17*$B$20,0)</f>
        <v/>
      </c>
      <c r="J45" s="31">
        <f>ROUND($B$4*$B$8*$B$11*$B$15*$B$18*$B$19,0)</f>
        <v/>
      </c>
      <c r="K45" s="31">
        <f>ROUND($B$4*$B$8*$B$11*$B$15*$B$18*$B$20,0)</f>
        <v/>
      </c>
      <c r="L45" s="31">
        <f>ROUND($B$4*$B$8*$B$11*$B$16*$B$17*$B$19,0)</f>
        <v/>
      </c>
      <c r="M45" s="31">
        <f>ROUND($B$4*$B$8*$B$11*$B$16*$B$17*$B$20,0)</f>
        <v/>
      </c>
      <c r="N45" s="31">
        <f>ROUND($B$4*$B$8*$B$11*$B$16*$B$18*$B$19,0)</f>
        <v/>
      </c>
      <c r="O45" s="31">
        <f>ROUND($B$4*$B$8*$B$11*$B$16*$B$18*$B$20,0)</f>
        <v/>
      </c>
      <c r="P45" s="29">
        <f>ROUND($B$5*$B$8*$B$11*$B$14*$B$17*$B$19,0)</f>
        <v/>
      </c>
      <c r="Q45" s="29">
        <f>ROUND($B$5*$B$8*$B$11*$B$14*$B$17*$B$20,0)</f>
        <v/>
      </c>
      <c r="R45" s="29">
        <f>ROUND($B$5*$B$8*$B$11*$B$14*$B$18*$B$19,0)</f>
        <v/>
      </c>
      <c r="S45" s="29">
        <f>ROUND($B$5*$B$8*$B$11*$B$14*$B$18*$B$20,0)</f>
        <v/>
      </c>
      <c r="T45" s="29">
        <f>ROUND($B$5*$B$8*$B$11*$B$15*$B$17*$B$19,0)</f>
        <v/>
      </c>
      <c r="U45" s="29">
        <f>ROUND($B$5*$B$8*$B$11*$B$15*$B$17*$B$20,0)</f>
        <v/>
      </c>
      <c r="V45" s="29">
        <f>ROUND($B$5*$B$8*$B$11*$B$15*$B$18*$B$19,0)</f>
        <v/>
      </c>
      <c r="W45" s="29">
        <f>ROUND($B$5*$B$8*$B$11*$B$15*$B$18*$B$20,0)</f>
        <v/>
      </c>
      <c r="X45" s="29">
        <f>ROUND($B$5*$B$8*$B$11*$B$16*$B$17*$B$19,0)</f>
        <v/>
      </c>
      <c r="Y45" s="29">
        <f>ROUND($B$5*$B$8*$B$11*$B$16*$B$17*$B$20,0)</f>
        <v/>
      </c>
      <c r="Z45" s="29">
        <f>ROUND($B$5*$B$8*$B$11*$B$16*$B$18*$B$19,0)</f>
        <v/>
      </c>
      <c r="AA45" s="29">
        <f>ROUND($B$5*$B$8*$B$11*$B$16*$B$18*$B$20,0)</f>
        <v/>
      </c>
      <c r="AB45" s="29">
        <f>ROUND($B$6*$B$8*$B$11*$B$14*$B$17*$B$19,0)</f>
        <v/>
      </c>
      <c r="AC45" s="29">
        <f>ROUND($B$6*$B$8*$B$11*$B$14*$B$17*$B$20,0)</f>
        <v/>
      </c>
      <c r="AD45" s="29">
        <f>ROUND($B$6*$B$8*$B$11*$B$14*$B$18*$B$19,0)</f>
        <v/>
      </c>
      <c r="AE45" s="29">
        <f>ROUND($B$6*$B$8*$B$11*$B$14*$B$18*$B$20,0)</f>
        <v/>
      </c>
      <c r="AF45" s="29">
        <f>ROUND($B$6*$B$8*$B$11*$B$15*$B$17*$B$19,0)</f>
        <v/>
      </c>
      <c r="AG45" s="29">
        <f>ROUND($B$6*$B$8*$B$11*$B$15*$B$17*$B$20,0)</f>
        <v/>
      </c>
      <c r="AH45" s="29">
        <f>ROUND($B$6*$B$8*$B$11*$B$15*$B$18*$B$19,0)</f>
        <v/>
      </c>
      <c r="AI45" s="29">
        <f>ROUND($B$6*$B$8*$B$11*$B$15*$B$18*$B$20,0)</f>
        <v/>
      </c>
      <c r="AJ45" s="29">
        <f>ROUND($B$6*$B$8*$B$11*$B$16*$B$17*$B$19,0)</f>
        <v/>
      </c>
      <c r="AK45" s="29">
        <f>ROUND($B$6*$B$8*$B$11*$B$16*$B$17*$B$20,0)</f>
        <v/>
      </c>
      <c r="AL45" s="29">
        <f>ROUND($B$6*$B$8*$B$11*$B$16*$B$18*$B$19,0)</f>
        <v/>
      </c>
      <c r="AM45" s="29">
        <f>ROUND($B$6*$B$8*$B$11*$B$16*$B$18*$B$20,0)</f>
        <v/>
      </c>
    </row>
    <row r="46" ht="20.1" customHeight="1" s="62">
      <c r="A46" s="81" t="n"/>
      <c r="B46" s="58" t="n"/>
      <c r="C46" s="73" t="inlineStr">
        <is>
          <t>Complexité modérée</t>
        </is>
      </c>
      <c r="D46" s="31">
        <f>ROUND($B$4*$B$8*$B$12*$B$14*$B$17*$B$19,0)</f>
        <v/>
      </c>
      <c r="E46" s="31">
        <f>ROUND($B$4*$B$8*$B$12*$B$14*$B$17*$B$20,0)</f>
        <v/>
      </c>
      <c r="F46" s="31">
        <f>ROUND($B$4*$B$8*$B$12*$B$14*$B$18*$B$19,0)</f>
        <v/>
      </c>
      <c r="G46" s="31">
        <f>ROUND($B$4*$B$8*$B$12*$B$14*$B$18*$B$20,0)</f>
        <v/>
      </c>
      <c r="H46" s="31">
        <f>ROUND($B$4*$B$8*$B$12*$B$15*$B$17*$B$19,0)</f>
        <v/>
      </c>
      <c r="I46" s="31">
        <f>ROUND($B$4*$B$8*$B$12*$B$15*$B$17*$B$20,0)</f>
        <v/>
      </c>
      <c r="J46" s="31">
        <f>ROUND($B$4*$B$8*$B$12*$B$15*$B$18*$B$19,0)</f>
        <v/>
      </c>
      <c r="K46" s="31">
        <f>ROUND($B$4*$B$8*$B$12*$B$15*$B$18*$B$20,0)</f>
        <v/>
      </c>
      <c r="L46" s="31">
        <f>ROUND($B$4*$B$8*$B$12*$B$16*$B$17*$B$19,0)</f>
        <v/>
      </c>
      <c r="M46" s="31">
        <f>ROUND($B$4*$B$8*$B$12*$B$16*$B$17*$B$20,0)</f>
        <v/>
      </c>
      <c r="N46" s="31">
        <f>ROUND($B$4*$B$8*$B$12*$B$16*$B$18*$B$19,0)</f>
        <v/>
      </c>
      <c r="O46" s="31">
        <f>ROUND($B$4*$B$8*$B$12*$B$16*$B$18*$B$20,0)</f>
        <v/>
      </c>
      <c r="P46" s="29">
        <f>ROUND($B$5*$B$8*$B$12*$B$14*$B$17*$B$19,0)</f>
        <v/>
      </c>
      <c r="Q46" s="29">
        <f>ROUND($B$5*$B$8*$B$12*$B$14*$B$17*$B$20,0)</f>
        <v/>
      </c>
      <c r="R46" s="29">
        <f>ROUND($B$5*$B$8*$B$12*$B$14*$B$18*$B$19,0)</f>
        <v/>
      </c>
      <c r="S46" s="29">
        <f>ROUND($B$5*$B$8*$B$12*$B$14*$B$18*$B$20,0)</f>
        <v/>
      </c>
      <c r="T46" s="29">
        <f>ROUND($B$5*$B$8*$B$12*$B$15*$B$17*$B$19,0)</f>
        <v/>
      </c>
      <c r="U46" s="29">
        <f>ROUND($B$5*$B$8*$B$12*$B$15*$B$17*$B$20,0)</f>
        <v/>
      </c>
      <c r="V46" s="29">
        <f>ROUND($B$5*$B$8*$B$12*$B$15*$B$18*$B$19,0)</f>
        <v/>
      </c>
      <c r="W46" s="29">
        <f>ROUND($B$5*$B$8*$B$12*$B$15*$B$18*$B$20,0)</f>
        <v/>
      </c>
      <c r="X46" s="29">
        <f>ROUND($B$5*$B$8*$B$12*$B$16*$B$17*$B$19,0)</f>
        <v/>
      </c>
      <c r="Y46" s="29">
        <f>ROUND($B$5*$B$8*$B$12*$B$16*$B$17*$B$20,0)</f>
        <v/>
      </c>
      <c r="Z46" s="29">
        <f>ROUND($B$5*$B$8*$B$12*$B$16*$B$18*$B$19,0)</f>
        <v/>
      </c>
      <c r="AA46" s="29">
        <f>ROUND($B$5*$B$8*$B$12*$B$16*$B$18*$B$20,0)</f>
        <v/>
      </c>
      <c r="AB46" s="29">
        <f>ROUND($B$6*$B$8*$B$12*$B$14*$B$17*$B$19,0)</f>
        <v/>
      </c>
      <c r="AC46" s="29">
        <f>ROUND($B$6*$B$8*$B$12*$B$14*$B$17*$B$20,0)</f>
        <v/>
      </c>
      <c r="AD46" s="29">
        <f>ROUND($B$6*$B$8*$B$12*$B$14*$B$18*$B$19,0)</f>
        <v/>
      </c>
      <c r="AE46" s="29">
        <f>ROUND($B$6*$B$8*$B$12*$B$14*$B$18*$B$20,0)</f>
        <v/>
      </c>
      <c r="AF46" s="29">
        <f>ROUND($B$6*$B$8*$B$12*$B$15*$B$17*$B$19,0)</f>
        <v/>
      </c>
      <c r="AG46" s="29">
        <f>ROUND($B$6*$B$8*$B$12*$B$15*$B$17*$B$20,0)</f>
        <v/>
      </c>
      <c r="AH46" s="29">
        <f>ROUND($B$6*$B$8*$B$12*$B$15*$B$18*$B$19,0)</f>
        <v/>
      </c>
      <c r="AI46" s="29">
        <f>ROUND($B$6*$B$8*$B$12*$B$15*$B$18*$B$20,0)</f>
        <v/>
      </c>
      <c r="AJ46" s="29">
        <f>ROUND($B$6*$B$8*$B$12*$B$16*$B$17*$B$19,0)</f>
        <v/>
      </c>
      <c r="AK46" s="29">
        <f>ROUND($B$6*$B$8*$B$12*$B$16*$B$17*$B$20,0)</f>
        <v/>
      </c>
      <c r="AL46" s="29">
        <f>ROUND($B$6*$B$8*$B$12*$B$16*$B$18*$B$19,0)</f>
        <v/>
      </c>
      <c r="AM46" s="29">
        <f>ROUND($B$6*$B$8*$B$12*$B$16*$B$18*$B$20,0)</f>
        <v/>
      </c>
    </row>
    <row r="47" ht="20.1" customHeight="1" s="62">
      <c r="A47" s="81" t="n"/>
      <c r="B47" s="59" t="n"/>
      <c r="C47" s="26" t="inlineStr">
        <is>
          <t>Critique haute disponibilité</t>
        </is>
      </c>
      <c r="D47" s="31">
        <f>ROUND($B$4*$B$8*$B$13*$B$14*$B$17*$B$19,0)</f>
        <v/>
      </c>
      <c r="E47" s="31">
        <f>ROUND($B$4*$B$8*$B$13*$B$14*$B$17*$B$20,0)</f>
        <v/>
      </c>
      <c r="F47" s="31">
        <f>ROUND($B$4*$B$8*$B$13*$B$14*$B$18*$B$19,0)</f>
        <v/>
      </c>
      <c r="G47" s="31">
        <f>ROUND($B$4*$B$8*$B$13*$B$14*$B$18*$B$20,0)</f>
        <v/>
      </c>
      <c r="H47" s="31">
        <f>ROUND($B$4*$B$8*$B$13*$B$15*$B$17*$B$19,0)</f>
        <v/>
      </c>
      <c r="I47" s="31">
        <f>ROUND($B$4*$B$8*$B$13*$B$15*$B$17*$B$20,0)</f>
        <v/>
      </c>
      <c r="J47" s="31">
        <f>ROUND($B$4*$B$8*$B$13*$B$15*$B$18*$B$19,0)</f>
        <v/>
      </c>
      <c r="K47" s="31">
        <f>ROUND($B$4*$B$8*$B$13*$B$15*$B$18*$B$20,0)</f>
        <v/>
      </c>
      <c r="L47" s="31">
        <f>ROUND($B$4*$B$8*$B$13*$B$16*$B$17*$B$19,0)</f>
        <v/>
      </c>
      <c r="M47" s="31">
        <f>ROUND($B$4*$B$8*$B$13*$B$16*$B$17*$B$20,0)</f>
        <v/>
      </c>
      <c r="N47" s="31">
        <f>ROUND($B$4*$B$8*$B$13*$B$16*$B$18*$B$19,0)</f>
        <v/>
      </c>
      <c r="O47" s="31">
        <f>ROUND($B$4*$B$8*$B$13*$B$16*$B$18*$B$20,0)</f>
        <v/>
      </c>
      <c r="P47" s="29">
        <f>ROUND($B$5*$B$8*$B$13*$B$14*$B$17*$B$19,0)</f>
        <v/>
      </c>
      <c r="Q47" s="29">
        <f>ROUND($B$5*$B$8*$B$13*$B$14*$B$17*$B$20,0)</f>
        <v/>
      </c>
      <c r="R47" s="29">
        <f>ROUND($B$5*$B$8*$B$13*$B$14*$B$18*$B$19,0)</f>
        <v/>
      </c>
      <c r="S47" s="29">
        <f>ROUND($B$5*$B$8*$B$13*$B$14*$B$18*$B$20,0)</f>
        <v/>
      </c>
      <c r="T47" s="29">
        <f>ROUND($B$5*$B$8*$B$13*$B$15*$B$17*$B$19,0)</f>
        <v/>
      </c>
      <c r="U47" s="29">
        <f>ROUND($B$5*$B$8*$B$13*$B$15*$B$17*$B$20,0)</f>
        <v/>
      </c>
      <c r="V47" s="29">
        <f>ROUND($B$5*$B$8*$B$13*$B$15*$B$18*$B$19,0)</f>
        <v/>
      </c>
      <c r="W47" s="29">
        <f>ROUND($B$5*$B$8*$B$13*$B$15*$B$18*$B$20,0)</f>
        <v/>
      </c>
      <c r="X47" s="29">
        <f>ROUND($B$5*$B$8*$B$13*$B$16*$B$17*$B$19,0)</f>
        <v/>
      </c>
      <c r="Y47" s="29">
        <f>ROUND($B$5*$B$8*$B$13*$B$16*$B$17*$B$20,0)</f>
        <v/>
      </c>
      <c r="Z47" s="29">
        <f>ROUND($B$5*$B$8*$B$13*$B$16*$B$18*$B$19,0)</f>
        <v/>
      </c>
      <c r="AA47" s="29">
        <f>ROUND($B$5*$B$8*$B$13*$B$16*$B$18*$B$20,0)</f>
        <v/>
      </c>
      <c r="AB47" s="29">
        <f>ROUND($B$6*$B$8*$B$13*$B$14*$B$17*$B$19,0)</f>
        <v/>
      </c>
      <c r="AC47" s="29">
        <f>ROUND($B$6*$B$8*$B$13*$B$14*$B$17*$B$20,0)</f>
        <v/>
      </c>
      <c r="AD47" s="29">
        <f>ROUND($B$6*$B$8*$B$13*$B$14*$B$18*$B$19,0)</f>
        <v/>
      </c>
      <c r="AE47" s="29">
        <f>ROUND($B$6*$B$8*$B$13*$B$14*$B$18*$B$20,0)</f>
        <v/>
      </c>
      <c r="AF47" s="29">
        <f>ROUND($B$6*$B$8*$B$13*$B$15*$B$17*$B$19,0)</f>
        <v/>
      </c>
      <c r="AG47" s="29">
        <f>ROUND($B$6*$B$8*$B$13*$B$15*$B$17*$B$20,0)</f>
        <v/>
      </c>
      <c r="AH47" s="29">
        <f>ROUND($B$6*$B$8*$B$13*$B$15*$B$18*$B$19,0)</f>
        <v/>
      </c>
      <c r="AI47" s="29">
        <f>ROUND($B$6*$B$8*$B$13*$B$15*$B$18*$B$20,0)</f>
        <v/>
      </c>
      <c r="AJ47" s="29">
        <f>ROUND($B$6*$B$8*$B$13*$B$16*$B$17*$B$19,0)</f>
        <v/>
      </c>
      <c r="AK47" s="29">
        <f>ROUND($B$6*$B$8*$B$13*$B$16*$B$17*$B$20,0)</f>
        <v/>
      </c>
      <c r="AL47" s="29">
        <f>ROUND($B$6*$B$8*$B$13*$B$16*$B$18*$B$19,0)</f>
        <v/>
      </c>
      <c r="AM47" s="29">
        <f>ROUND($B$6*$B$8*$B$13*$B$16*$B$18*$B$20,0)</f>
        <v/>
      </c>
    </row>
    <row r="48" ht="20.1" customHeight="1" s="62">
      <c r="A48" s="81" t="n"/>
      <c r="B48" s="73" t="inlineStr">
        <is>
          <t>2-5 outils</t>
        </is>
      </c>
      <c r="C48" s="24" t="inlineStr">
        <is>
          <t>Complexité simple</t>
        </is>
      </c>
      <c r="D48" s="31">
        <f>ROUND($B$4*$B$9*$B$11*$B$14*$B$17*$B$19,0)</f>
        <v/>
      </c>
      <c r="E48" s="31">
        <f>ROUND($B$4*$B$9*$B$11*$B$14*$B$17*$B$20,0)</f>
        <v/>
      </c>
      <c r="F48" s="31">
        <f>ROUND($B$4*$B$9*$B$11*$B$14*$B$18*$B$19,0)</f>
        <v/>
      </c>
      <c r="G48" s="31">
        <f>ROUND($B$4*$B$9*$B$11*$B$14*$B$18*$B$20,0)</f>
        <v/>
      </c>
      <c r="H48" s="31">
        <f>ROUND($B$4*$B$9*$B$11*$B$15*$B$17*$B$19,0)</f>
        <v/>
      </c>
      <c r="I48" s="31">
        <f>ROUND($B$4*$B$9*$B$11*$B$15*$B$17*$B$20,0)</f>
        <v/>
      </c>
      <c r="J48" s="31">
        <f>ROUND($B$4*$B$9*$B$11*$B$15*$B$18*$B$19,0)</f>
        <v/>
      </c>
      <c r="K48" s="31">
        <f>ROUND($B$4*$B$9*$B$11*$B$15*$B$18*$B$20,0)</f>
        <v/>
      </c>
      <c r="L48" s="31">
        <f>ROUND($B$4*$B$9*$B$11*$B$16*$B$17*$B$19,0)</f>
        <v/>
      </c>
      <c r="M48" s="31">
        <f>ROUND($B$4*$B$9*$B$11*$B$16*$B$17*$B$20,0)</f>
        <v/>
      </c>
      <c r="N48" s="31">
        <f>ROUND($B$4*$B$9*$B$11*$B$16*$B$18*$B$19,0)</f>
        <v/>
      </c>
      <c r="O48" s="31">
        <f>ROUND($B$4*$B$9*$B$11*$B$16*$B$18*$B$20,0)</f>
        <v/>
      </c>
      <c r="P48" s="29">
        <f>ROUND($B$5*$B$9*$B$11*$B$14*$B$17*$B$19,0)</f>
        <v/>
      </c>
      <c r="Q48" s="29">
        <f>ROUND($B$5*$B$9*$B$11*$B$14*$B$17*$B$20,0)</f>
        <v/>
      </c>
      <c r="R48" s="29">
        <f>ROUND($B$5*$B$9*$B$11*$B$14*$B$18*$B$19,0)</f>
        <v/>
      </c>
      <c r="S48" s="29">
        <f>ROUND($B$5*$B$9*$B$11*$B$14*$B$18*$B$20,0)</f>
        <v/>
      </c>
      <c r="T48" s="29">
        <f>ROUND($B$5*$B$9*$B$11*$B$15*$B$17*$B$19,0)</f>
        <v/>
      </c>
      <c r="U48" s="29">
        <f>ROUND($B$5*$B$9*$B$11*$B$15*$B$17*$B$20,0)</f>
        <v/>
      </c>
      <c r="V48" s="29">
        <f>ROUND($B$5*$B$9*$B$11*$B$15*$B$18*$B$19,0)</f>
        <v/>
      </c>
      <c r="W48" s="29">
        <f>ROUND($B$5*$B$9*$B$11*$B$15*$B$18*$B$20,0)</f>
        <v/>
      </c>
      <c r="X48" s="29">
        <f>ROUND($B$5*$B$9*$B$11*$B$16*$B$17*$B$19,0)</f>
        <v/>
      </c>
      <c r="Y48" s="29">
        <f>ROUND($B$5*$B$9*$B$11*$B$16*$B$17*$B$20,0)</f>
        <v/>
      </c>
      <c r="Z48" s="29">
        <f>ROUND($B$5*$B$9*$B$11*$B$16*$B$18*$B$19,0)</f>
        <v/>
      </c>
      <c r="AA48" s="29">
        <f>ROUND($B$5*$B$9*$B$11*$B$16*$B$18*$B$20,0)</f>
        <v/>
      </c>
      <c r="AB48" s="29">
        <f>ROUND($B$6*$B$9*$B$11*$B$14*$B$17*$B$19,0)</f>
        <v/>
      </c>
      <c r="AC48" s="29">
        <f>ROUND($B$6*$B$9*$B$11*$B$14*$B$17*$B$20,0)</f>
        <v/>
      </c>
      <c r="AD48" s="29">
        <f>ROUND($B$6*$B$9*$B$11*$B$14*$B$18*$B$19,0)</f>
        <v/>
      </c>
      <c r="AE48" s="29">
        <f>ROUND($B$6*$B$9*$B$11*$B$14*$B$18*$B$20,0)</f>
        <v/>
      </c>
      <c r="AF48" s="29">
        <f>ROUND($B$6*$B$9*$B$11*$B$15*$B$17*$B$19,0)</f>
        <v/>
      </c>
      <c r="AG48" s="29">
        <f>ROUND($B$6*$B$9*$B$11*$B$15*$B$17*$B$20,0)</f>
        <v/>
      </c>
      <c r="AH48" s="29">
        <f>ROUND($B$6*$B$9*$B$11*$B$15*$B$18*$B$19,0)</f>
        <v/>
      </c>
      <c r="AI48" s="29">
        <f>ROUND($B$6*$B$9*$B$11*$B$15*$B$18*$B$20,0)</f>
        <v/>
      </c>
      <c r="AJ48" s="29">
        <f>ROUND($B$6*$B$9*$B$11*$B$16*$B$17*$B$19,0)</f>
        <v/>
      </c>
      <c r="AK48" s="29">
        <f>ROUND($B$6*$B$9*$B$11*$B$16*$B$17*$B$20,0)</f>
        <v/>
      </c>
      <c r="AL48" s="29">
        <f>ROUND($B$6*$B$9*$B$11*$B$16*$B$18*$B$19,0)</f>
        <v/>
      </c>
      <c r="AM48" s="29">
        <f>ROUND($B$6*$B$9*$B$11*$B$16*$B$18*$B$20,0)</f>
        <v/>
      </c>
    </row>
    <row r="49" ht="20.1" customHeight="1" s="62">
      <c r="A49" s="81" t="n"/>
      <c r="B49" s="58" t="n"/>
      <c r="C49" s="73" t="inlineStr">
        <is>
          <t>Complexité modérée</t>
        </is>
      </c>
      <c r="D49" s="31">
        <f>ROUND($B$4*$B$9*$B$12*$B$14*$B$17*$B$19,0)</f>
        <v/>
      </c>
      <c r="E49" s="31">
        <f>ROUND($B$4*$B$9*$B$12*$B$14*$B$17*$B$20,0)</f>
        <v/>
      </c>
      <c r="F49" s="31">
        <f>ROUND($B$4*$B$9*$B$12*$B$14*$B$18*$B$19,0)</f>
        <v/>
      </c>
      <c r="G49" s="31">
        <f>ROUND($B$4*$B$9*$B$12*$B$14*$B$18*$B$20,0)</f>
        <v/>
      </c>
      <c r="H49" s="31">
        <f>ROUND($B$4*$B$9*$B$12*$B$15*$B$17*$B$19,0)</f>
        <v/>
      </c>
      <c r="I49" s="31">
        <f>ROUND($B$4*$B$9*$B$12*$B$15*$B$17*$B$20,0)</f>
        <v/>
      </c>
      <c r="J49" s="31">
        <f>ROUND($B$4*$B$9*$B$12*$B$15*$B$18*$B$19,0)</f>
        <v/>
      </c>
      <c r="K49" s="31">
        <f>ROUND($B$4*$B$9*$B$12*$B$15*$B$18*$B$20,0)</f>
        <v/>
      </c>
      <c r="L49" s="31">
        <f>ROUND($B$4*$B$9*$B$12*$B$16*$B$17*$B$19,0)</f>
        <v/>
      </c>
      <c r="M49" s="31">
        <f>ROUND($B$4*$B$9*$B$12*$B$16*$B$17*$B$20,0)</f>
        <v/>
      </c>
      <c r="N49" s="31">
        <f>ROUND($B$4*$B$9*$B$12*$B$16*$B$18*$B$19,0)</f>
        <v/>
      </c>
      <c r="O49" s="31">
        <f>ROUND($B$4*$B$9*$B$12*$B$16*$B$18*$B$20,0)</f>
        <v/>
      </c>
      <c r="P49" s="29">
        <f>ROUND($B$5*$B$9*$B$12*$B$14*$B$17*$B$19,0)</f>
        <v/>
      </c>
      <c r="Q49" s="29">
        <f>ROUND($B$5*$B$9*$B$12*$B$14*$B$17*$B$20,0)</f>
        <v/>
      </c>
      <c r="R49" s="29">
        <f>ROUND($B$5*$B$9*$B$12*$B$14*$B$18*$B$19,0)</f>
        <v/>
      </c>
      <c r="S49" s="29">
        <f>ROUND($B$5*$B$9*$B$12*$B$14*$B$18*$B$20,0)</f>
        <v/>
      </c>
      <c r="T49" s="29">
        <f>ROUND($B$5*$B$9*$B$12*$B$15*$B$17*$B$19,0)</f>
        <v/>
      </c>
      <c r="U49" s="29">
        <f>ROUND($B$5*$B$9*$B$12*$B$15*$B$17*$B$20,0)</f>
        <v/>
      </c>
      <c r="V49" s="29">
        <f>ROUND($B$5*$B$9*$B$12*$B$15*$B$18*$B$19,0)</f>
        <v/>
      </c>
      <c r="W49" s="29">
        <f>ROUND($B$5*$B$9*$B$12*$B$15*$B$18*$B$20,0)</f>
        <v/>
      </c>
      <c r="X49" s="29">
        <f>ROUND($B$5*$B$9*$B$12*$B$16*$B$17*$B$19,0)</f>
        <v/>
      </c>
      <c r="Y49" s="29">
        <f>ROUND($B$5*$B$9*$B$12*$B$16*$B$17*$B$20,0)</f>
        <v/>
      </c>
      <c r="Z49" s="29">
        <f>ROUND($B$5*$B$9*$B$12*$B$16*$B$18*$B$19,0)</f>
        <v/>
      </c>
      <c r="AA49" s="29">
        <f>ROUND($B$5*$B$9*$B$12*$B$16*$B$18*$B$20,0)</f>
        <v/>
      </c>
      <c r="AB49" s="29">
        <f>ROUND($B$6*$B$9*$B$12*$B$14*$B$17*$B$19,0)</f>
        <v/>
      </c>
      <c r="AC49" s="29">
        <f>ROUND($B$6*$B$9*$B$12*$B$14*$B$17*$B$20,0)</f>
        <v/>
      </c>
      <c r="AD49" s="29">
        <f>ROUND($B$6*$B$9*$B$12*$B$14*$B$18*$B$19,0)</f>
        <v/>
      </c>
      <c r="AE49" s="29">
        <f>ROUND($B$6*$B$9*$B$12*$B$14*$B$18*$B$20,0)</f>
        <v/>
      </c>
      <c r="AF49" s="29">
        <f>ROUND($B$6*$B$9*$B$12*$B$15*$B$17*$B$19,0)</f>
        <v/>
      </c>
      <c r="AG49" s="29">
        <f>ROUND($B$6*$B$9*$B$12*$B$15*$B$17*$B$20,0)</f>
        <v/>
      </c>
      <c r="AH49" s="29">
        <f>ROUND($B$6*$B$9*$B$12*$B$15*$B$18*$B$19,0)</f>
        <v/>
      </c>
      <c r="AI49" s="29">
        <f>ROUND($B$6*$B$9*$B$12*$B$15*$B$18*$B$20,0)</f>
        <v/>
      </c>
      <c r="AJ49" s="29">
        <f>ROUND($B$6*$B$9*$B$12*$B$16*$B$17*$B$19,0)</f>
        <v/>
      </c>
      <c r="AK49" s="29">
        <f>ROUND($B$6*$B$9*$B$12*$B$16*$B$17*$B$20,0)</f>
        <v/>
      </c>
      <c r="AL49" s="29">
        <f>ROUND($B$6*$B$9*$B$12*$B$16*$B$18*$B$19,0)</f>
        <v/>
      </c>
      <c r="AM49" s="29">
        <f>ROUND($B$6*$B$9*$B$12*$B$16*$B$18*$B$20,0)</f>
        <v/>
      </c>
    </row>
    <row r="50" ht="20.1" customHeight="1" s="62">
      <c r="A50" s="81" t="n"/>
      <c r="B50" s="59" t="n"/>
      <c r="C50" s="26" t="inlineStr">
        <is>
          <t>Critique haute disponibilité</t>
        </is>
      </c>
      <c r="D50" s="31">
        <f>ROUND($B$4*$B$9*$B$13*$B$14*$B$17*$B$19,0)</f>
        <v/>
      </c>
      <c r="E50" s="31">
        <f>ROUND($B$4*$B$9*$B$13*$B$14*$B$17*$B$20,0)</f>
        <v/>
      </c>
      <c r="F50" s="31">
        <f>ROUND($B$4*$B$9*$B$13*$B$14*$B$18*$B$19,0)</f>
        <v/>
      </c>
      <c r="G50" s="31">
        <f>ROUND($B$4*$B$9*$B$13*$B$14*$B$18*$B$20,0)</f>
        <v/>
      </c>
      <c r="H50" s="31">
        <f>ROUND($B$4*$B$9*$B$13*$B$15*$B$17*$B$19,0)</f>
        <v/>
      </c>
      <c r="I50" s="31">
        <f>ROUND($B$4*$B$9*$B$13*$B$15*$B$17*$B$20,0)</f>
        <v/>
      </c>
      <c r="J50" s="31">
        <f>ROUND($B$4*$B$9*$B$13*$B$15*$B$18*$B$19,0)</f>
        <v/>
      </c>
      <c r="K50" s="31">
        <f>ROUND($B$4*$B$9*$B$13*$B$15*$B$18*$B$20,0)</f>
        <v/>
      </c>
      <c r="L50" s="31">
        <f>ROUND($B$4*$B$9*$B$13*$B$16*$B$17*$B$19,0)</f>
        <v/>
      </c>
      <c r="M50" s="31">
        <f>ROUND($B$4*$B$9*$B$13*$B$16*$B$17*$B$20,0)</f>
        <v/>
      </c>
      <c r="N50" s="31">
        <f>ROUND($B$4*$B$9*$B$13*$B$16*$B$18*$B$19,0)</f>
        <v/>
      </c>
      <c r="O50" s="31">
        <f>ROUND($B$4*$B$9*$B$13*$B$16*$B$18*$B$20,0)</f>
        <v/>
      </c>
      <c r="P50" s="29">
        <f>ROUND($B$5*$B$9*$B$13*$B$14*$B$17*$B$19,0)</f>
        <v/>
      </c>
      <c r="Q50" s="29">
        <f>ROUND($B$5*$B$9*$B$13*$B$14*$B$17*$B$20,0)</f>
        <v/>
      </c>
      <c r="R50" s="29">
        <f>ROUND($B$5*$B$9*$B$13*$B$14*$B$18*$B$19,0)</f>
        <v/>
      </c>
      <c r="S50" s="29">
        <f>ROUND($B$5*$B$9*$B$13*$B$14*$B$18*$B$20,0)</f>
        <v/>
      </c>
      <c r="T50" s="29">
        <f>ROUND($B$5*$B$9*$B$13*$B$15*$B$17*$B$19,0)</f>
        <v/>
      </c>
      <c r="U50" s="29">
        <f>ROUND($B$5*$B$9*$B$13*$B$15*$B$17*$B$20,0)</f>
        <v/>
      </c>
      <c r="V50" s="29">
        <f>ROUND($B$5*$B$9*$B$13*$B$15*$B$18*$B$19,0)</f>
        <v/>
      </c>
      <c r="W50" s="29">
        <f>ROUND($B$5*$B$9*$B$13*$B$15*$B$18*$B$20,0)</f>
        <v/>
      </c>
      <c r="X50" s="29">
        <f>ROUND($B$5*$B$9*$B$13*$B$16*$B$17*$B$19,0)</f>
        <v/>
      </c>
      <c r="Y50" s="29">
        <f>ROUND($B$5*$B$9*$B$13*$B$16*$B$17*$B$20,0)</f>
        <v/>
      </c>
      <c r="Z50" s="29">
        <f>ROUND($B$5*$B$9*$B$13*$B$16*$B$18*$B$19,0)</f>
        <v/>
      </c>
      <c r="AA50" s="29">
        <f>ROUND($B$5*$B$9*$B$13*$B$16*$B$18*$B$20,0)</f>
        <v/>
      </c>
      <c r="AB50" s="29">
        <f>ROUND($B$6*$B$9*$B$13*$B$14*$B$17*$B$19,0)</f>
        <v/>
      </c>
      <c r="AC50" s="29">
        <f>ROUND($B$6*$B$9*$B$13*$B$14*$B$17*$B$20,0)</f>
        <v/>
      </c>
      <c r="AD50" s="29">
        <f>ROUND($B$6*$B$9*$B$13*$B$14*$B$18*$B$19,0)</f>
        <v/>
      </c>
      <c r="AE50" s="29">
        <f>ROUND($B$6*$B$9*$B$13*$B$14*$B$18*$B$20,0)</f>
        <v/>
      </c>
      <c r="AF50" s="29">
        <f>ROUND($B$6*$B$9*$B$13*$B$15*$B$17*$B$19,0)</f>
        <v/>
      </c>
      <c r="AG50" s="29">
        <f>ROUND($B$6*$B$9*$B$13*$B$15*$B$17*$B$20,0)</f>
        <v/>
      </c>
      <c r="AH50" s="29">
        <f>ROUND($B$6*$B$9*$B$13*$B$15*$B$18*$B$19,0)</f>
        <v/>
      </c>
      <c r="AI50" s="29">
        <f>ROUND($B$6*$B$9*$B$13*$B$15*$B$18*$B$20,0)</f>
        <v/>
      </c>
      <c r="AJ50" s="29">
        <f>ROUND($B$6*$B$9*$B$13*$B$16*$B$17*$B$19,0)</f>
        <v/>
      </c>
      <c r="AK50" s="29">
        <f>ROUND($B$6*$B$9*$B$13*$B$16*$B$17*$B$20,0)</f>
        <v/>
      </c>
      <c r="AL50" s="29">
        <f>ROUND($B$6*$B$9*$B$13*$B$16*$B$18*$B$19,0)</f>
        <v/>
      </c>
      <c r="AM50" s="29">
        <f>ROUND($B$6*$B$9*$B$13*$B$16*$B$18*$B$20,0)</f>
        <v/>
      </c>
    </row>
    <row r="51" ht="20.1" customHeight="1" s="62">
      <c r="A51" s="81" t="n"/>
      <c r="B51" s="73" t="inlineStr">
        <is>
          <t>6+ outils</t>
        </is>
      </c>
      <c r="C51" s="24" t="inlineStr">
        <is>
          <t>Complexité simple</t>
        </is>
      </c>
      <c r="D51" s="31">
        <f>ROUND($B$4*$B$10*$B$11*$B$14*$B$17*$B$19,0)</f>
        <v/>
      </c>
      <c r="E51" s="31">
        <f>ROUND($B$4*$B$10*$B$11*$B$14*$B$17*$B$20,0)</f>
        <v/>
      </c>
      <c r="F51" s="31">
        <f>ROUND($B$4*$B$10*$B$11*$B$14*$B$18*$B$19,0)</f>
        <v/>
      </c>
      <c r="G51" s="31">
        <f>ROUND($B$4*$B$10*$B$11*$B$14*$B$18*$B$20,0)</f>
        <v/>
      </c>
      <c r="H51" s="31">
        <f>ROUND($B$4*$B$10*$B$11*$B$15*$B$17*$B$19,0)</f>
        <v/>
      </c>
      <c r="I51" s="31">
        <f>ROUND($B$4*$B$10*$B$11*$B$15*$B$17*$B$20,0)</f>
        <v/>
      </c>
      <c r="J51" s="31">
        <f>ROUND($B$4*$B$10*$B$11*$B$15*$B$18*$B$19,0)</f>
        <v/>
      </c>
      <c r="K51" s="31">
        <f>ROUND($B$4*$B$10*$B$11*$B$15*$B$18*$B$20,0)</f>
        <v/>
      </c>
      <c r="L51" s="31">
        <f>ROUND($B$4*$B$10*$B$11*$B$16*$B$17*$B$19,0)</f>
        <v/>
      </c>
      <c r="M51" s="31">
        <f>ROUND($B$4*$B$10*$B$11*$B$16*$B$17*$B$20,0)</f>
        <v/>
      </c>
      <c r="N51" s="31">
        <f>ROUND($B$4*$B$10*$B$11*$B$16*$B$18*$B$19,0)</f>
        <v/>
      </c>
      <c r="O51" s="31">
        <f>ROUND($B$4*$B$10*$B$11*$B$16*$B$18*$B$20,0)</f>
        <v/>
      </c>
      <c r="P51" s="29">
        <f>ROUND($B$5*$B$10*$B$11*$B$14*$B$17*$B$19,0)</f>
        <v/>
      </c>
      <c r="Q51" s="29">
        <f>ROUND($B$5*$B$10*$B$11*$B$14*$B$17*$B$20,0)</f>
        <v/>
      </c>
      <c r="R51" s="29">
        <f>ROUND($B$5*$B$10*$B$11*$B$14*$B$18*$B$19,0)</f>
        <v/>
      </c>
      <c r="S51" s="29">
        <f>ROUND($B$5*$B$10*$B$11*$B$14*$B$18*$B$20,0)</f>
        <v/>
      </c>
      <c r="T51" s="29">
        <f>ROUND($B$5*$B$10*$B$11*$B$15*$B$17*$B$19,0)</f>
        <v/>
      </c>
      <c r="U51" s="29">
        <f>ROUND($B$5*$B$10*$B$11*$B$15*$B$17*$B$20,0)</f>
        <v/>
      </c>
      <c r="V51" s="29">
        <f>ROUND($B$5*$B$10*$B$11*$B$15*$B$18*$B$19,0)</f>
        <v/>
      </c>
      <c r="W51" s="29">
        <f>ROUND($B$5*$B$10*$B$11*$B$15*$B$18*$B$20,0)</f>
        <v/>
      </c>
      <c r="X51" s="29">
        <f>ROUND($B$5*$B$10*$B$11*$B$16*$B$17*$B$19,0)</f>
        <v/>
      </c>
      <c r="Y51" s="29">
        <f>ROUND($B$5*$B$10*$B$11*$B$16*$B$17*$B$20,0)</f>
        <v/>
      </c>
      <c r="Z51" s="29">
        <f>ROUND($B$5*$B$10*$B$11*$B$16*$B$18*$B$19,0)</f>
        <v/>
      </c>
      <c r="AA51" s="29">
        <f>ROUND($B$5*$B$10*$B$11*$B$16*$B$18*$B$20,0)</f>
        <v/>
      </c>
      <c r="AB51" s="29">
        <f>ROUND($B$6*$B$10*$B$11*$B$14*$B$17*$B$19,0)</f>
        <v/>
      </c>
      <c r="AC51" s="29">
        <f>ROUND($B$6*$B$10*$B$11*$B$14*$B$17*$B$20,0)</f>
        <v/>
      </c>
      <c r="AD51" s="29">
        <f>ROUND($B$6*$B$10*$B$11*$B$14*$B$18*$B$19,0)</f>
        <v/>
      </c>
      <c r="AE51" s="29">
        <f>ROUND($B$6*$B$10*$B$11*$B$14*$B$18*$B$20,0)</f>
        <v/>
      </c>
      <c r="AF51" s="29">
        <f>ROUND($B$6*$B$10*$B$11*$B$15*$B$17*$B$19,0)</f>
        <v/>
      </c>
      <c r="AG51" s="29">
        <f>ROUND($B$6*$B$10*$B$11*$B$15*$B$17*$B$20,0)</f>
        <v/>
      </c>
      <c r="AH51" s="29">
        <f>ROUND($B$6*$B$10*$B$11*$B$15*$B$18*$B$19,0)</f>
        <v/>
      </c>
      <c r="AI51" s="29">
        <f>ROUND($B$6*$B$10*$B$11*$B$15*$B$18*$B$20,0)</f>
        <v/>
      </c>
      <c r="AJ51" s="29">
        <f>ROUND($B$6*$B$10*$B$11*$B$16*$B$17*$B$19,0)</f>
        <v/>
      </c>
      <c r="AK51" s="29">
        <f>ROUND($B$6*$B$10*$B$11*$B$16*$B$17*$B$20,0)</f>
        <v/>
      </c>
      <c r="AL51" s="29">
        <f>ROUND($B$6*$B$10*$B$11*$B$16*$B$18*$B$19,0)</f>
        <v/>
      </c>
      <c r="AM51" s="29">
        <f>ROUND($B$6*$B$10*$B$11*$B$16*$B$18*$B$20,0)</f>
        <v/>
      </c>
    </row>
    <row r="52" ht="20.1" customHeight="1" s="62">
      <c r="A52" s="81" t="n"/>
      <c r="B52" s="58" t="n"/>
      <c r="C52" s="73" t="inlineStr">
        <is>
          <t>Complexité modérée</t>
        </is>
      </c>
      <c r="D52" s="31">
        <f>ROUND($B$4*$B$10*$B$12*$B$14*$B$17*$B$19,0)</f>
        <v/>
      </c>
      <c r="E52" s="31">
        <f>ROUND($B$4*$B$10*$B$12*$B$14*$B$17*$B$20,0)</f>
        <v/>
      </c>
      <c r="F52" s="31">
        <f>ROUND($B$4*$B$10*$B$12*$B$14*$B$18*$B$19,0)</f>
        <v/>
      </c>
      <c r="G52" s="31">
        <f>ROUND($B$4*$B$10*$B$12*$B$14*$B$18*$B$20,0)</f>
        <v/>
      </c>
      <c r="H52" s="31">
        <f>ROUND($B$4*$B$10*$B$12*$B$15*$B$17*$B$19,0)</f>
        <v/>
      </c>
      <c r="I52" s="31">
        <f>ROUND($B$4*$B$10*$B$12*$B$15*$B$17*$B$20,0)</f>
        <v/>
      </c>
      <c r="J52" s="31">
        <f>ROUND($B$4*$B$10*$B$12*$B$15*$B$18*$B$19,0)</f>
        <v/>
      </c>
      <c r="K52" s="31">
        <f>ROUND($B$4*$B$10*$B$12*$B$15*$B$18*$B$20,0)</f>
        <v/>
      </c>
      <c r="L52" s="31">
        <f>ROUND($B$4*$B$10*$B$12*$B$16*$B$17*$B$19,0)</f>
        <v/>
      </c>
      <c r="M52" s="31">
        <f>ROUND($B$4*$B$10*$B$12*$B$16*$B$17*$B$20,0)</f>
        <v/>
      </c>
      <c r="N52" s="31">
        <f>ROUND($B$4*$B$10*$B$12*$B$16*$B$18*$B$19,0)</f>
        <v/>
      </c>
      <c r="O52" s="31">
        <f>ROUND($B$4*$B$10*$B$12*$B$16*$B$18*$B$20,0)</f>
        <v/>
      </c>
      <c r="P52" s="29">
        <f>ROUND($B$5*$B$10*$B$12*$B$14*$B$17*$B$19,0)</f>
        <v/>
      </c>
      <c r="Q52" s="29">
        <f>ROUND($B$5*$B$10*$B$12*$B$14*$B$17*$B$20,0)</f>
        <v/>
      </c>
      <c r="R52" s="29">
        <f>ROUND($B$5*$B$10*$B$12*$B$14*$B$18*$B$19,0)</f>
        <v/>
      </c>
      <c r="S52" s="29">
        <f>ROUND($B$5*$B$10*$B$12*$B$14*$B$18*$B$20,0)</f>
        <v/>
      </c>
      <c r="T52" s="29">
        <f>ROUND($B$5*$B$10*$B$12*$B$15*$B$17*$B$19,0)</f>
        <v/>
      </c>
      <c r="U52" s="29">
        <f>ROUND($B$5*$B$10*$B$12*$B$15*$B$17*$B$20,0)</f>
        <v/>
      </c>
      <c r="V52" s="29">
        <f>ROUND($B$5*$B$10*$B$12*$B$15*$B$18*$B$19,0)</f>
        <v/>
      </c>
      <c r="W52" s="29">
        <f>ROUND($B$5*$B$10*$B$12*$B$15*$B$18*$B$20,0)</f>
        <v/>
      </c>
      <c r="X52" s="29">
        <f>ROUND($B$5*$B$10*$B$12*$B$16*$B$17*$B$19,0)</f>
        <v/>
      </c>
      <c r="Y52" s="29">
        <f>ROUND($B$5*$B$10*$B$12*$B$16*$B$17*$B$20,0)</f>
        <v/>
      </c>
      <c r="Z52" s="29">
        <f>ROUND($B$5*$B$10*$B$12*$B$16*$B$18*$B$19,0)</f>
        <v/>
      </c>
      <c r="AA52" s="29">
        <f>ROUND($B$5*$B$10*$B$12*$B$16*$B$18*$B$20,0)</f>
        <v/>
      </c>
      <c r="AB52" s="29">
        <f>ROUND($B$6*$B$10*$B$12*$B$14*$B$17*$B$19,0)</f>
        <v/>
      </c>
      <c r="AC52" s="29">
        <f>ROUND($B$6*$B$10*$B$12*$B$14*$B$17*$B$20,0)</f>
        <v/>
      </c>
      <c r="AD52" s="29">
        <f>ROUND($B$6*$B$10*$B$12*$B$14*$B$18*$B$19,0)</f>
        <v/>
      </c>
      <c r="AE52" s="29">
        <f>ROUND($B$6*$B$10*$B$12*$B$14*$B$18*$B$20,0)</f>
        <v/>
      </c>
      <c r="AF52" s="29">
        <f>ROUND($B$6*$B$10*$B$12*$B$15*$B$17*$B$19,0)</f>
        <v/>
      </c>
      <c r="AG52" s="29">
        <f>ROUND($B$6*$B$10*$B$12*$B$15*$B$17*$B$20,0)</f>
        <v/>
      </c>
      <c r="AH52" s="29">
        <f>ROUND($B$6*$B$10*$B$12*$B$15*$B$18*$B$19,0)</f>
        <v/>
      </c>
      <c r="AI52" s="29">
        <f>ROUND($B$6*$B$10*$B$12*$B$15*$B$18*$B$20,0)</f>
        <v/>
      </c>
      <c r="AJ52" s="29">
        <f>ROUND($B$6*$B$10*$B$12*$B$16*$B$17*$B$19,0)</f>
        <v/>
      </c>
      <c r="AK52" s="29">
        <f>ROUND($B$6*$B$10*$B$12*$B$16*$B$17*$B$20,0)</f>
        <v/>
      </c>
      <c r="AL52" s="29">
        <f>ROUND($B$6*$B$10*$B$12*$B$16*$B$18*$B$19,0)</f>
        <v/>
      </c>
      <c r="AM52" s="29">
        <f>ROUND($B$6*$B$10*$B$12*$B$16*$B$18*$B$20,0)</f>
        <v/>
      </c>
    </row>
    <row r="53" ht="20.1" customHeight="1" s="62">
      <c r="A53" s="82" t="n"/>
      <c r="B53" s="59" t="n"/>
      <c r="C53" s="26" t="inlineStr">
        <is>
          <t>Critique haute disponibilité</t>
        </is>
      </c>
      <c r="D53" s="31">
        <f>ROUND($B$4*$B$10*$B$13*$B$14*$B$17*$B$19,0)</f>
        <v/>
      </c>
      <c r="E53" s="31">
        <f>ROUND($B$4*$B$10*$B$13*$B$14*$B$17*$B$20,0)</f>
        <v/>
      </c>
      <c r="F53" s="31">
        <f>ROUND($B$4*$B$10*$B$13*$B$14*$B$18*$B$19,0)</f>
        <v/>
      </c>
      <c r="G53" s="31">
        <f>ROUND($B$4*$B$10*$B$13*$B$14*$B$18*$B$20,0)</f>
        <v/>
      </c>
      <c r="H53" s="31">
        <f>ROUND($B$4*$B$10*$B$13*$B$15*$B$17*$B$19,0)</f>
        <v/>
      </c>
      <c r="I53" s="31">
        <f>ROUND($B$4*$B$10*$B$13*$B$15*$B$17*$B$20,0)</f>
        <v/>
      </c>
      <c r="J53" s="31">
        <f>ROUND($B$4*$B$10*$B$13*$B$15*$B$18*$B$19,0)</f>
        <v/>
      </c>
      <c r="K53" s="31">
        <f>ROUND($B$4*$B$10*$B$13*$B$15*$B$18*$B$20,0)</f>
        <v/>
      </c>
      <c r="L53" s="31">
        <f>ROUND($B$4*$B$10*$B$13*$B$16*$B$17*$B$19,0)</f>
        <v/>
      </c>
      <c r="M53" s="31">
        <f>ROUND($B$4*$B$10*$B$13*$B$16*$B$17*$B$20,0)</f>
        <v/>
      </c>
      <c r="N53" s="31">
        <f>ROUND($B$4*$B$10*$B$13*$B$16*$B$18*$B$19,0)</f>
        <v/>
      </c>
      <c r="O53" s="31">
        <f>ROUND($B$4*$B$10*$B$13*$B$16*$B$18*$B$20,0)</f>
        <v/>
      </c>
      <c r="P53" s="29">
        <f>ROUND($B$5*$B$10*$B$13*$B$14*$B$17*$B$19,0)</f>
        <v/>
      </c>
      <c r="Q53" s="29">
        <f>ROUND($B$5*$B$10*$B$13*$B$14*$B$17*$B$20,0)</f>
        <v/>
      </c>
      <c r="R53" s="29">
        <f>ROUND($B$5*$B$10*$B$13*$B$14*$B$18*$B$19,0)</f>
        <v/>
      </c>
      <c r="S53" s="29">
        <f>ROUND($B$5*$B$10*$B$13*$B$14*$B$18*$B$20,0)</f>
        <v/>
      </c>
      <c r="T53" s="29">
        <f>ROUND($B$5*$B$10*$B$13*$B$15*$B$17*$B$19,0)</f>
        <v/>
      </c>
      <c r="U53" s="29">
        <f>ROUND($B$5*$B$10*$B$13*$B$15*$B$17*$B$20,0)</f>
        <v/>
      </c>
      <c r="V53" s="29">
        <f>ROUND($B$5*$B$10*$B$13*$B$15*$B$18*$B$19,0)</f>
        <v/>
      </c>
      <c r="W53" s="29">
        <f>ROUND($B$5*$B$10*$B$13*$B$15*$B$18*$B$20,0)</f>
        <v/>
      </c>
      <c r="X53" s="29">
        <f>ROUND($B$5*$B$10*$B$13*$B$16*$B$17*$B$19,0)</f>
        <v/>
      </c>
      <c r="Y53" s="29">
        <f>ROUND($B$5*$B$10*$B$13*$B$16*$B$17*$B$20,0)</f>
        <v/>
      </c>
      <c r="Z53" s="29">
        <f>ROUND($B$5*$B$10*$B$13*$B$16*$B$18*$B$19,0)</f>
        <v/>
      </c>
      <c r="AA53" s="29">
        <f>ROUND($B$5*$B$10*$B$13*$B$16*$B$18*$B$20,0)</f>
        <v/>
      </c>
      <c r="AB53" s="29">
        <f>ROUND($B$6*$B$10*$B$13*$B$14*$B$17*$B$19,0)</f>
        <v/>
      </c>
      <c r="AC53" s="29">
        <f>ROUND($B$6*$B$10*$B$13*$B$14*$B$17*$B$20,0)</f>
        <v/>
      </c>
      <c r="AD53" s="29">
        <f>ROUND($B$6*$B$10*$B$13*$B$14*$B$18*$B$19,0)</f>
        <v/>
      </c>
      <c r="AE53" s="29">
        <f>ROUND($B$6*$B$10*$B$13*$B$14*$B$18*$B$20,0)</f>
        <v/>
      </c>
      <c r="AF53" s="29">
        <f>ROUND($B$6*$B$10*$B$13*$B$15*$B$17*$B$19,0)</f>
        <v/>
      </c>
      <c r="AG53" s="29">
        <f>ROUND($B$6*$B$10*$B$13*$B$15*$B$17*$B$20,0)</f>
        <v/>
      </c>
      <c r="AH53" s="29">
        <f>ROUND($B$6*$B$10*$B$13*$B$15*$B$18*$B$19,0)</f>
        <v/>
      </c>
      <c r="AI53" s="29">
        <f>ROUND($B$6*$B$10*$B$13*$B$15*$B$18*$B$20,0)</f>
        <v/>
      </c>
      <c r="AJ53" s="29">
        <f>ROUND($B$6*$B$10*$B$13*$B$16*$B$17*$B$19,0)</f>
        <v/>
      </c>
      <c r="AK53" s="29">
        <f>ROUND($B$6*$B$10*$B$13*$B$16*$B$17*$B$20,0)</f>
        <v/>
      </c>
      <c r="AL53" s="29">
        <f>ROUND($B$6*$B$10*$B$13*$B$16*$B$18*$B$19,0)</f>
        <v/>
      </c>
      <c r="AM53" s="29">
        <f>ROUND($B$6*$B$10*$B$13*$B$16*$B$18*$B$20,0)</f>
        <v/>
      </c>
    </row>
    <row r="54" ht="20.1" customHeight="1" s="62">
      <c r="A54" s="80" t="inlineStr">
        <is>
          <t>Multi-outils</t>
        </is>
      </c>
      <c r="B54" s="73" t="inlineStr">
        <is>
          <t>1 outil</t>
        </is>
      </c>
      <c r="C54" s="24" t="inlineStr">
        <is>
          <t>Complexité simple</t>
        </is>
      </c>
      <c r="D54" s="31">
        <f>ROUND($B$4*$B$8*$B$11*$B$14*$B$17*$B$19,0)</f>
        <v/>
      </c>
      <c r="E54" s="31">
        <f>ROUND($B$4*$B$8*$B$11*$B$14*$B$17*$B$20,0)</f>
        <v/>
      </c>
      <c r="F54" s="31">
        <f>ROUND($B$4*$B$8*$B$11*$B$14*$B$18*$B$19,0)</f>
        <v/>
      </c>
      <c r="G54" s="31">
        <f>ROUND($B$4*$B$8*$B$11*$B$14*$B$18*$B$20,0)</f>
        <v/>
      </c>
      <c r="H54" s="31">
        <f>ROUND($B$4*$B$8*$B$11*$B$15*$B$17*$B$19,0)</f>
        <v/>
      </c>
      <c r="I54" s="31">
        <f>ROUND($B$4*$B$8*$B$11*$B$15*$B$17*$B$20,0)</f>
        <v/>
      </c>
      <c r="J54" s="31">
        <f>ROUND($B$4*$B$8*$B$11*$B$15*$B$18*$B$19,0)</f>
        <v/>
      </c>
      <c r="K54" s="31">
        <f>ROUND($B$4*$B$8*$B$11*$B$15*$B$18*$B$20,0)</f>
        <v/>
      </c>
      <c r="L54" s="31">
        <f>ROUND($B$4*$B$8*$B$11*$B$16*$B$17*$B$19,0)</f>
        <v/>
      </c>
      <c r="M54" s="31">
        <f>ROUND($B$4*$B$8*$B$11*$B$16*$B$17*$B$20,0)</f>
        <v/>
      </c>
      <c r="N54" s="31">
        <f>ROUND($B$4*$B$8*$B$11*$B$16*$B$18*$B$19,0)</f>
        <v/>
      </c>
      <c r="O54" s="31">
        <f>ROUND($B$4*$B$8*$B$11*$B$16*$B$18*$B$20,0)</f>
        <v/>
      </c>
      <c r="P54" s="29">
        <f>ROUND($B$5*$B$8*$B$11*$B$14*$B$17*$B$19,0)</f>
        <v/>
      </c>
      <c r="Q54" s="29">
        <f>ROUND($B$5*$B$8*$B$11*$B$14*$B$17*$B$20,0)</f>
        <v/>
      </c>
      <c r="R54" s="29">
        <f>ROUND($B$5*$B$8*$B$11*$B$14*$B$18*$B$19,0)</f>
        <v/>
      </c>
      <c r="S54" s="29">
        <f>ROUND($B$5*$B$8*$B$11*$B$14*$B$18*$B$20,0)</f>
        <v/>
      </c>
      <c r="T54" s="29">
        <f>ROUND($B$5*$B$8*$B$11*$B$15*$B$17*$B$19,0)</f>
        <v/>
      </c>
      <c r="U54" s="29">
        <f>ROUND($B$5*$B$8*$B$11*$B$15*$B$17*$B$20,0)</f>
        <v/>
      </c>
      <c r="V54" s="29">
        <f>ROUND($B$5*$B$8*$B$11*$B$15*$B$18*$B$19,0)</f>
        <v/>
      </c>
      <c r="W54" s="29">
        <f>ROUND($B$5*$B$8*$B$11*$B$15*$B$18*$B$20,0)</f>
        <v/>
      </c>
      <c r="X54" s="29">
        <f>ROUND($B$5*$B$8*$B$11*$B$16*$B$17*$B$19,0)</f>
        <v/>
      </c>
      <c r="Y54" s="29">
        <f>ROUND($B$5*$B$8*$B$11*$B$16*$B$17*$B$20,0)</f>
        <v/>
      </c>
      <c r="Z54" s="29">
        <f>ROUND($B$5*$B$8*$B$11*$B$16*$B$18*$B$19,0)</f>
        <v/>
      </c>
      <c r="AA54" s="29">
        <f>ROUND($B$5*$B$8*$B$11*$B$16*$B$18*$B$20,0)</f>
        <v/>
      </c>
      <c r="AB54" s="29">
        <f>ROUND($B$6*$B$8*$B$11*$B$14*$B$17*$B$19,0)</f>
        <v/>
      </c>
      <c r="AC54" s="29">
        <f>ROUND($B$6*$B$8*$B$11*$B$14*$B$17*$B$20,0)</f>
        <v/>
      </c>
      <c r="AD54" s="29">
        <f>ROUND($B$6*$B$8*$B$11*$B$14*$B$18*$B$19,0)</f>
        <v/>
      </c>
      <c r="AE54" s="29">
        <f>ROUND($B$6*$B$8*$B$11*$B$14*$B$18*$B$20,0)</f>
        <v/>
      </c>
      <c r="AF54" s="29">
        <f>ROUND($B$6*$B$8*$B$11*$B$15*$B$17*$B$19,0)</f>
        <v/>
      </c>
      <c r="AG54" s="29">
        <f>ROUND($B$6*$B$8*$B$11*$B$15*$B$17*$B$20,0)</f>
        <v/>
      </c>
      <c r="AH54" s="29">
        <f>ROUND($B$6*$B$8*$B$11*$B$15*$B$18*$B$19,0)</f>
        <v/>
      </c>
      <c r="AI54" s="29">
        <f>ROUND($B$6*$B$8*$B$11*$B$15*$B$18*$B$20,0)</f>
        <v/>
      </c>
      <c r="AJ54" s="29">
        <f>ROUND($B$6*$B$8*$B$11*$B$16*$B$17*$B$19,0)</f>
        <v/>
      </c>
      <c r="AK54" s="29">
        <f>ROUND($B$6*$B$8*$B$11*$B$16*$B$17*$B$20,0)</f>
        <v/>
      </c>
      <c r="AL54" s="29">
        <f>ROUND($B$6*$B$8*$B$11*$B$16*$B$18*$B$19,0)</f>
        <v/>
      </c>
      <c r="AM54" s="29">
        <f>ROUND($B$6*$B$8*$B$11*$B$16*$B$18*$B$20,0)</f>
        <v/>
      </c>
    </row>
    <row r="55" ht="20.1" customHeight="1" s="62">
      <c r="A55" s="81" t="n"/>
      <c r="B55" s="58" t="n"/>
      <c r="C55" s="73" t="inlineStr">
        <is>
          <t>Complexité modérée</t>
        </is>
      </c>
      <c r="D55" s="31">
        <f>ROUND($B$4*$B$8*$B$12*$B$14*$B$17*$B$19,0)</f>
        <v/>
      </c>
      <c r="E55" s="31">
        <f>ROUND($B$4*$B$8*$B$12*$B$14*$B$17*$B$20,0)</f>
        <v/>
      </c>
      <c r="F55" s="31">
        <f>ROUND($B$4*$B$8*$B$12*$B$14*$B$18*$B$19,0)</f>
        <v/>
      </c>
      <c r="G55" s="31">
        <f>ROUND($B$4*$B$8*$B$12*$B$14*$B$18*$B$20,0)</f>
        <v/>
      </c>
      <c r="H55" s="31">
        <f>ROUND($B$4*$B$8*$B$12*$B$15*$B$17*$B$19,0)</f>
        <v/>
      </c>
      <c r="I55" s="31">
        <f>ROUND($B$4*$B$8*$B$12*$B$15*$B$17*$B$20,0)</f>
        <v/>
      </c>
      <c r="J55" s="31">
        <f>ROUND($B$4*$B$8*$B$12*$B$15*$B$18*$B$19,0)</f>
        <v/>
      </c>
      <c r="K55" s="31">
        <f>ROUND($B$4*$B$8*$B$12*$B$15*$B$18*$B$20,0)</f>
        <v/>
      </c>
      <c r="L55" s="31">
        <f>ROUND($B$4*$B$8*$B$12*$B$16*$B$17*$B$19,0)</f>
        <v/>
      </c>
      <c r="M55" s="31">
        <f>ROUND($B$4*$B$8*$B$12*$B$16*$B$17*$B$20,0)</f>
        <v/>
      </c>
      <c r="N55" s="31">
        <f>ROUND($B$4*$B$8*$B$12*$B$16*$B$18*$B$19,0)</f>
        <v/>
      </c>
      <c r="O55" s="31">
        <f>ROUND($B$4*$B$8*$B$12*$B$16*$B$18*$B$20,0)</f>
        <v/>
      </c>
      <c r="P55" s="29">
        <f>ROUND($B$5*$B$8*$B$12*$B$14*$B$17*$B$19,0)</f>
        <v/>
      </c>
      <c r="Q55" s="29">
        <f>ROUND($B$5*$B$8*$B$12*$B$14*$B$17*$B$20,0)</f>
        <v/>
      </c>
      <c r="R55" s="29">
        <f>ROUND($B$5*$B$8*$B$12*$B$14*$B$18*$B$19,0)</f>
        <v/>
      </c>
      <c r="S55" s="29">
        <f>ROUND($B$5*$B$8*$B$12*$B$14*$B$18*$B$20,0)</f>
        <v/>
      </c>
      <c r="T55" s="29">
        <f>ROUND($B$5*$B$8*$B$12*$B$15*$B$17*$B$19,0)</f>
        <v/>
      </c>
      <c r="U55" s="29">
        <f>ROUND($B$5*$B$8*$B$12*$B$15*$B$17*$B$20,0)</f>
        <v/>
      </c>
      <c r="V55" s="29">
        <f>ROUND($B$5*$B$8*$B$12*$B$15*$B$18*$B$19,0)</f>
        <v/>
      </c>
      <c r="W55" s="29">
        <f>ROUND($B$5*$B$8*$B$12*$B$15*$B$18*$B$20,0)</f>
        <v/>
      </c>
      <c r="X55" s="29">
        <f>ROUND($B$5*$B$8*$B$12*$B$16*$B$17*$B$19,0)</f>
        <v/>
      </c>
      <c r="Y55" s="29">
        <f>ROUND($B$5*$B$8*$B$12*$B$16*$B$17*$B$20,0)</f>
        <v/>
      </c>
      <c r="Z55" s="29">
        <f>ROUND($B$5*$B$8*$B$12*$B$16*$B$18*$B$19,0)</f>
        <v/>
      </c>
      <c r="AA55" s="29">
        <f>ROUND($B$5*$B$8*$B$12*$B$16*$B$18*$B$20,0)</f>
        <v/>
      </c>
      <c r="AB55" s="29">
        <f>ROUND($B$6*$B$8*$B$12*$B$14*$B$17*$B$19,0)</f>
        <v/>
      </c>
      <c r="AC55" s="29">
        <f>ROUND($B$6*$B$8*$B$12*$B$14*$B$17*$B$20,0)</f>
        <v/>
      </c>
      <c r="AD55" s="29">
        <f>ROUND($B$6*$B$8*$B$12*$B$14*$B$18*$B$19,0)</f>
        <v/>
      </c>
      <c r="AE55" s="29">
        <f>ROUND($B$6*$B$8*$B$12*$B$14*$B$18*$B$20,0)</f>
        <v/>
      </c>
      <c r="AF55" s="29">
        <f>ROUND($B$6*$B$8*$B$12*$B$15*$B$17*$B$19,0)</f>
        <v/>
      </c>
      <c r="AG55" s="29">
        <f>ROUND($B$6*$B$8*$B$12*$B$15*$B$17*$B$20,0)</f>
        <v/>
      </c>
      <c r="AH55" s="29">
        <f>ROUND($B$6*$B$8*$B$12*$B$15*$B$18*$B$19,0)</f>
        <v/>
      </c>
      <c r="AI55" s="29">
        <f>ROUND($B$6*$B$8*$B$12*$B$15*$B$18*$B$20,0)</f>
        <v/>
      </c>
      <c r="AJ55" s="29">
        <f>ROUND($B$6*$B$8*$B$12*$B$16*$B$17*$B$19,0)</f>
        <v/>
      </c>
      <c r="AK55" s="29">
        <f>ROUND($B$6*$B$8*$B$12*$B$16*$B$17*$B$20,0)</f>
        <v/>
      </c>
      <c r="AL55" s="29">
        <f>ROUND($B$6*$B$8*$B$12*$B$16*$B$18*$B$19,0)</f>
        <v/>
      </c>
      <c r="AM55" s="29">
        <f>ROUND($B$6*$B$8*$B$12*$B$16*$B$18*$B$20,0)</f>
        <v/>
      </c>
    </row>
    <row r="56" ht="20.1" customHeight="1" s="62">
      <c r="A56" s="81" t="n"/>
      <c r="B56" s="59" t="n"/>
      <c r="C56" s="26" t="inlineStr">
        <is>
          <t>Critique haute disponibilité</t>
        </is>
      </c>
      <c r="D56" s="31">
        <f>ROUND($B$4*$B$8*$B$13*$B$14*$B$17*$B$19,0)</f>
        <v/>
      </c>
      <c r="E56" s="31">
        <f>ROUND($B$4*$B$8*$B$13*$B$14*$B$17*$B$20,0)</f>
        <v/>
      </c>
      <c r="F56" s="31">
        <f>ROUND($B$4*$B$8*$B$13*$B$14*$B$18*$B$19,0)</f>
        <v/>
      </c>
      <c r="G56" s="31">
        <f>ROUND($B$4*$B$8*$B$13*$B$14*$B$18*$B$20,0)</f>
        <v/>
      </c>
      <c r="H56" s="31">
        <f>ROUND($B$4*$B$8*$B$13*$B$15*$B$17*$B$19,0)</f>
        <v/>
      </c>
      <c r="I56" s="31">
        <f>ROUND($B$4*$B$8*$B$13*$B$15*$B$17*$B$20,0)</f>
        <v/>
      </c>
      <c r="J56" s="31">
        <f>ROUND($B$4*$B$8*$B$13*$B$15*$B$18*$B$19,0)</f>
        <v/>
      </c>
      <c r="K56" s="31">
        <f>ROUND($B$4*$B$8*$B$13*$B$15*$B$18*$B$20,0)</f>
        <v/>
      </c>
      <c r="L56" s="31">
        <f>ROUND($B$4*$B$8*$B$13*$B$16*$B$17*$B$19,0)</f>
        <v/>
      </c>
      <c r="M56" s="31">
        <f>ROUND($B$4*$B$8*$B$13*$B$16*$B$17*$B$20,0)</f>
        <v/>
      </c>
      <c r="N56" s="31">
        <f>ROUND($B$4*$B$8*$B$13*$B$16*$B$18*$B$19,0)</f>
        <v/>
      </c>
      <c r="O56" s="31">
        <f>ROUND($B$4*$B$8*$B$13*$B$16*$B$18*$B$20,0)</f>
        <v/>
      </c>
      <c r="P56" s="29">
        <f>ROUND($B$5*$B$8*$B$13*$B$14*$B$17*$B$19,0)</f>
        <v/>
      </c>
      <c r="Q56" s="29">
        <f>ROUND($B$5*$B$8*$B$13*$B$14*$B$17*$B$20,0)</f>
        <v/>
      </c>
      <c r="R56" s="29">
        <f>ROUND($B$5*$B$8*$B$13*$B$14*$B$18*$B$19,0)</f>
        <v/>
      </c>
      <c r="S56" s="29">
        <f>ROUND($B$5*$B$8*$B$13*$B$14*$B$18*$B$20,0)</f>
        <v/>
      </c>
      <c r="T56" s="29">
        <f>ROUND($B$5*$B$8*$B$13*$B$15*$B$17*$B$19,0)</f>
        <v/>
      </c>
      <c r="U56" s="29">
        <f>ROUND($B$5*$B$8*$B$13*$B$15*$B$17*$B$20,0)</f>
        <v/>
      </c>
      <c r="V56" s="29">
        <f>ROUND($B$5*$B$8*$B$13*$B$15*$B$18*$B$19,0)</f>
        <v/>
      </c>
      <c r="W56" s="29">
        <f>ROUND($B$5*$B$8*$B$13*$B$15*$B$18*$B$20,0)</f>
        <v/>
      </c>
      <c r="X56" s="29">
        <f>ROUND($B$5*$B$8*$B$13*$B$16*$B$17*$B$19,0)</f>
        <v/>
      </c>
      <c r="Y56" s="29">
        <f>ROUND($B$5*$B$8*$B$13*$B$16*$B$17*$B$20,0)</f>
        <v/>
      </c>
      <c r="Z56" s="29">
        <f>ROUND($B$5*$B$8*$B$13*$B$16*$B$18*$B$19,0)</f>
        <v/>
      </c>
      <c r="AA56" s="29">
        <f>ROUND($B$5*$B$8*$B$13*$B$16*$B$18*$B$20,0)</f>
        <v/>
      </c>
      <c r="AB56" s="29">
        <f>ROUND($B$6*$B$8*$B$13*$B$14*$B$17*$B$19,0)</f>
        <v/>
      </c>
      <c r="AC56" s="29">
        <f>ROUND($B$6*$B$8*$B$13*$B$14*$B$17*$B$20,0)</f>
        <v/>
      </c>
      <c r="AD56" s="29">
        <f>ROUND($B$6*$B$8*$B$13*$B$14*$B$18*$B$19,0)</f>
        <v/>
      </c>
      <c r="AE56" s="29">
        <f>ROUND($B$6*$B$8*$B$13*$B$14*$B$18*$B$20,0)</f>
        <v/>
      </c>
      <c r="AF56" s="29">
        <f>ROUND($B$6*$B$8*$B$13*$B$15*$B$17*$B$19,0)</f>
        <v/>
      </c>
      <c r="AG56" s="29">
        <f>ROUND($B$6*$B$8*$B$13*$B$15*$B$17*$B$20,0)</f>
        <v/>
      </c>
      <c r="AH56" s="29">
        <f>ROUND($B$6*$B$8*$B$13*$B$15*$B$18*$B$19,0)</f>
        <v/>
      </c>
      <c r="AI56" s="29">
        <f>ROUND($B$6*$B$8*$B$13*$B$15*$B$18*$B$20,0)</f>
        <v/>
      </c>
      <c r="AJ56" s="29">
        <f>ROUND($B$6*$B$8*$B$13*$B$16*$B$17*$B$19,0)</f>
        <v/>
      </c>
      <c r="AK56" s="29">
        <f>ROUND($B$6*$B$8*$B$13*$B$16*$B$17*$B$20,0)</f>
        <v/>
      </c>
      <c r="AL56" s="29">
        <f>ROUND($B$6*$B$8*$B$13*$B$16*$B$18*$B$19,0)</f>
        <v/>
      </c>
      <c r="AM56" s="29">
        <f>ROUND($B$6*$B$8*$B$13*$B$16*$B$18*$B$20,0)</f>
        <v/>
      </c>
    </row>
    <row r="57" ht="20.1" customHeight="1" s="62">
      <c r="A57" s="81" t="n"/>
      <c r="B57" s="73" t="inlineStr">
        <is>
          <t>2-5 outils</t>
        </is>
      </c>
      <c r="C57" s="24" t="inlineStr">
        <is>
          <t>Complexité simple</t>
        </is>
      </c>
      <c r="D57" s="31">
        <f>ROUND($B$4*$B$9*$B$11*$B$14*$B$17*$B$19,0)</f>
        <v/>
      </c>
      <c r="E57" s="31">
        <f>ROUND($B$4*$B$9*$B$11*$B$14*$B$17*$B$20,0)</f>
        <v/>
      </c>
      <c r="F57" s="31">
        <f>ROUND($B$4*$B$9*$B$11*$B$14*$B$18*$B$19,0)</f>
        <v/>
      </c>
      <c r="G57" s="31">
        <f>ROUND($B$4*$B$9*$B$11*$B$14*$B$18*$B$20,0)</f>
        <v/>
      </c>
      <c r="H57" s="31">
        <f>ROUND($B$4*$B$9*$B$11*$B$15*$B$17*$B$19,0)</f>
        <v/>
      </c>
      <c r="I57" s="31">
        <f>ROUND($B$4*$B$9*$B$11*$B$15*$B$17*$B$20,0)</f>
        <v/>
      </c>
      <c r="J57" s="31">
        <f>ROUND($B$4*$B$9*$B$11*$B$15*$B$18*$B$19,0)</f>
        <v/>
      </c>
      <c r="K57" s="31">
        <f>ROUND($B$4*$B$9*$B$11*$B$15*$B$18*$B$20,0)</f>
        <v/>
      </c>
      <c r="L57" s="31">
        <f>ROUND($B$4*$B$9*$B$11*$B$16*$B$17*$B$19,0)</f>
        <v/>
      </c>
      <c r="M57" s="31">
        <f>ROUND($B$4*$B$9*$B$11*$B$16*$B$17*$B$20,0)</f>
        <v/>
      </c>
      <c r="N57" s="31">
        <f>ROUND($B$4*$B$9*$B$11*$B$16*$B$18*$B$19,0)</f>
        <v/>
      </c>
      <c r="O57" s="31">
        <f>ROUND($B$4*$B$9*$B$11*$B$16*$B$18*$B$20,0)</f>
        <v/>
      </c>
      <c r="P57" s="29">
        <f>ROUND($B$5*$B$9*$B$11*$B$14*$B$17*$B$19,0)</f>
        <v/>
      </c>
      <c r="Q57" s="29">
        <f>ROUND($B$5*$B$9*$B$11*$B$14*$B$17*$B$20,0)</f>
        <v/>
      </c>
      <c r="R57" s="29">
        <f>ROUND($B$5*$B$9*$B$11*$B$14*$B$18*$B$19,0)</f>
        <v/>
      </c>
      <c r="S57" s="29">
        <f>ROUND($B$5*$B$9*$B$11*$B$14*$B$18*$B$20,0)</f>
        <v/>
      </c>
      <c r="T57" s="29">
        <f>ROUND($B$5*$B$9*$B$11*$B$15*$B$17*$B$19,0)</f>
        <v/>
      </c>
      <c r="U57" s="29">
        <f>ROUND($B$5*$B$9*$B$11*$B$15*$B$17*$B$20,0)</f>
        <v/>
      </c>
      <c r="V57" s="29">
        <f>ROUND($B$5*$B$9*$B$11*$B$15*$B$18*$B$19,0)</f>
        <v/>
      </c>
      <c r="W57" s="29">
        <f>ROUND($B$5*$B$9*$B$11*$B$15*$B$18*$B$20,0)</f>
        <v/>
      </c>
      <c r="X57" s="29">
        <f>ROUND($B$5*$B$9*$B$11*$B$16*$B$17*$B$19,0)</f>
        <v/>
      </c>
      <c r="Y57" s="29">
        <f>ROUND($B$5*$B$9*$B$11*$B$16*$B$17*$B$20,0)</f>
        <v/>
      </c>
      <c r="Z57" s="29">
        <f>ROUND($B$5*$B$9*$B$11*$B$16*$B$18*$B$19,0)</f>
        <v/>
      </c>
      <c r="AA57" s="29">
        <f>ROUND($B$5*$B$9*$B$11*$B$16*$B$18*$B$20,0)</f>
        <v/>
      </c>
      <c r="AB57" s="29">
        <f>ROUND($B$6*$B$9*$B$11*$B$14*$B$17*$B$19,0)</f>
        <v/>
      </c>
      <c r="AC57" s="29">
        <f>ROUND($B$6*$B$9*$B$11*$B$14*$B$17*$B$20,0)</f>
        <v/>
      </c>
      <c r="AD57" s="29">
        <f>ROUND($B$6*$B$9*$B$11*$B$14*$B$18*$B$19,0)</f>
        <v/>
      </c>
      <c r="AE57" s="29">
        <f>ROUND($B$6*$B$9*$B$11*$B$14*$B$18*$B$20,0)</f>
        <v/>
      </c>
      <c r="AF57" s="29">
        <f>ROUND($B$6*$B$9*$B$11*$B$15*$B$17*$B$19,0)</f>
        <v/>
      </c>
      <c r="AG57" s="29">
        <f>ROUND($B$6*$B$9*$B$11*$B$15*$B$17*$B$20,0)</f>
        <v/>
      </c>
      <c r="AH57" s="29">
        <f>ROUND($B$6*$B$9*$B$11*$B$15*$B$18*$B$19,0)</f>
        <v/>
      </c>
      <c r="AI57" s="29">
        <f>ROUND($B$6*$B$9*$B$11*$B$15*$B$18*$B$20,0)</f>
        <v/>
      </c>
      <c r="AJ57" s="29">
        <f>ROUND($B$6*$B$9*$B$11*$B$16*$B$17*$B$19,0)</f>
        <v/>
      </c>
      <c r="AK57" s="29">
        <f>ROUND($B$6*$B$9*$B$11*$B$16*$B$17*$B$20,0)</f>
        <v/>
      </c>
      <c r="AL57" s="29">
        <f>ROUND($B$6*$B$9*$B$11*$B$16*$B$18*$B$19,0)</f>
        <v/>
      </c>
      <c r="AM57" s="29">
        <f>ROUND($B$6*$B$9*$B$11*$B$16*$B$18*$B$20,0)</f>
        <v/>
      </c>
    </row>
    <row r="58" ht="20.1" customHeight="1" s="62">
      <c r="A58" s="81" t="n"/>
      <c r="B58" s="58" t="n"/>
      <c r="C58" s="73" t="inlineStr">
        <is>
          <t>Complexité modérée</t>
        </is>
      </c>
      <c r="D58" s="31">
        <f>ROUND($B$4*$B$9*$B$12*$B$14*$B$17*$B$19,0)</f>
        <v/>
      </c>
      <c r="E58" s="31">
        <f>ROUND($B$4*$B$9*$B$12*$B$14*$B$17*$B$20,0)</f>
        <v/>
      </c>
      <c r="F58" s="31">
        <f>ROUND($B$4*$B$9*$B$12*$B$14*$B$18*$B$19,0)</f>
        <v/>
      </c>
      <c r="G58" s="31">
        <f>ROUND($B$4*$B$9*$B$12*$B$14*$B$18*$B$20,0)</f>
        <v/>
      </c>
      <c r="H58" s="31">
        <f>ROUND($B$4*$B$9*$B$12*$B$15*$B$17*$B$19,0)</f>
        <v/>
      </c>
      <c r="I58" s="31">
        <f>ROUND($B$4*$B$9*$B$12*$B$15*$B$17*$B$20,0)</f>
        <v/>
      </c>
      <c r="J58" s="31">
        <f>ROUND($B$4*$B$9*$B$12*$B$15*$B$18*$B$19,0)</f>
        <v/>
      </c>
      <c r="K58" s="31">
        <f>ROUND($B$4*$B$9*$B$12*$B$15*$B$18*$B$20,0)</f>
        <v/>
      </c>
      <c r="L58" s="31">
        <f>ROUND($B$4*$B$9*$B$12*$B$16*$B$17*$B$19,0)</f>
        <v/>
      </c>
      <c r="M58" s="31">
        <f>ROUND($B$4*$B$9*$B$12*$B$16*$B$17*$B$20,0)</f>
        <v/>
      </c>
      <c r="N58" s="31">
        <f>ROUND($B$4*$B$9*$B$12*$B$16*$B$18*$B$19,0)</f>
        <v/>
      </c>
      <c r="O58" s="31">
        <f>ROUND($B$4*$B$9*$B$12*$B$16*$B$18*$B$20,0)</f>
        <v/>
      </c>
      <c r="P58" s="29">
        <f>ROUND($B$5*$B$9*$B$12*$B$14*$B$17*$B$19,0)</f>
        <v/>
      </c>
      <c r="Q58" s="29">
        <f>ROUND($B$5*$B$9*$B$12*$B$14*$B$17*$B$20,0)</f>
        <v/>
      </c>
      <c r="R58" s="29">
        <f>ROUND($B$5*$B$9*$B$12*$B$14*$B$18*$B$19,0)</f>
        <v/>
      </c>
      <c r="S58" s="29">
        <f>ROUND($B$5*$B$9*$B$12*$B$14*$B$18*$B$20,0)</f>
        <v/>
      </c>
      <c r="T58" s="29">
        <f>ROUND($B$5*$B$9*$B$12*$B$15*$B$17*$B$19,0)</f>
        <v/>
      </c>
      <c r="U58" s="29">
        <f>ROUND($B$5*$B$9*$B$12*$B$15*$B$17*$B$20,0)</f>
        <v/>
      </c>
      <c r="V58" s="29">
        <f>ROUND($B$5*$B$9*$B$12*$B$15*$B$18*$B$19,0)</f>
        <v/>
      </c>
      <c r="W58" s="29">
        <f>ROUND($B$5*$B$9*$B$12*$B$15*$B$18*$B$20,0)</f>
        <v/>
      </c>
      <c r="X58" s="29">
        <f>ROUND($B$5*$B$9*$B$12*$B$16*$B$17*$B$19,0)</f>
        <v/>
      </c>
      <c r="Y58" s="29">
        <f>ROUND($B$5*$B$9*$B$12*$B$16*$B$17*$B$20,0)</f>
        <v/>
      </c>
      <c r="Z58" s="29">
        <f>ROUND($B$5*$B$9*$B$12*$B$16*$B$18*$B$19,0)</f>
        <v/>
      </c>
      <c r="AA58" s="29">
        <f>ROUND($B$5*$B$9*$B$12*$B$16*$B$18*$B$20,0)</f>
        <v/>
      </c>
      <c r="AB58" s="29">
        <f>ROUND($B$6*$B$9*$B$12*$B$14*$B$17*$B$19,0)</f>
        <v/>
      </c>
      <c r="AC58" s="29">
        <f>ROUND($B$6*$B$9*$B$12*$B$14*$B$17*$B$20,0)</f>
        <v/>
      </c>
      <c r="AD58" s="29">
        <f>ROUND($B$6*$B$9*$B$12*$B$14*$B$18*$B$19,0)</f>
        <v/>
      </c>
      <c r="AE58" s="29">
        <f>ROUND($B$6*$B$9*$B$12*$B$14*$B$18*$B$20,0)</f>
        <v/>
      </c>
      <c r="AF58" s="29">
        <f>ROUND($B$6*$B$9*$B$12*$B$15*$B$17*$B$19,0)</f>
        <v/>
      </c>
      <c r="AG58" s="29">
        <f>ROUND($B$6*$B$9*$B$12*$B$15*$B$17*$B$20,0)</f>
        <v/>
      </c>
      <c r="AH58" s="29">
        <f>ROUND($B$6*$B$9*$B$12*$B$15*$B$18*$B$19,0)</f>
        <v/>
      </c>
      <c r="AI58" s="29">
        <f>ROUND($B$6*$B$9*$B$12*$B$15*$B$18*$B$20,0)</f>
        <v/>
      </c>
      <c r="AJ58" s="29">
        <f>ROUND($B$6*$B$9*$B$12*$B$16*$B$17*$B$19,0)</f>
        <v/>
      </c>
      <c r="AK58" s="29">
        <f>ROUND($B$6*$B$9*$B$12*$B$16*$B$17*$B$20,0)</f>
        <v/>
      </c>
      <c r="AL58" s="29">
        <f>ROUND($B$6*$B$9*$B$12*$B$16*$B$18*$B$19,0)</f>
        <v/>
      </c>
      <c r="AM58" s="29">
        <f>ROUND($B$6*$B$9*$B$12*$B$16*$B$18*$B$20,0)</f>
        <v/>
      </c>
    </row>
    <row r="59" ht="20.1" customHeight="1" s="62">
      <c r="A59" s="81" t="n"/>
      <c r="B59" s="59" t="n"/>
      <c r="C59" s="26" t="inlineStr">
        <is>
          <t>Critique haute disponibilité</t>
        </is>
      </c>
      <c r="D59" s="31">
        <f>ROUND($B$4*$B$9*$B$13*$B$14*$B$17*$B$19,0)</f>
        <v/>
      </c>
      <c r="E59" s="31">
        <f>ROUND($B$4*$B$9*$B$13*$B$14*$B$17*$B$20,0)</f>
        <v/>
      </c>
      <c r="F59" s="31">
        <f>ROUND($B$4*$B$9*$B$13*$B$14*$B$18*$B$19,0)</f>
        <v/>
      </c>
      <c r="G59" s="31">
        <f>ROUND($B$4*$B$9*$B$13*$B$14*$B$18*$B$20,0)</f>
        <v/>
      </c>
      <c r="H59" s="31">
        <f>ROUND($B$4*$B$9*$B$13*$B$15*$B$17*$B$19,0)</f>
        <v/>
      </c>
      <c r="I59" s="31">
        <f>ROUND($B$4*$B$9*$B$13*$B$15*$B$17*$B$20,0)</f>
        <v/>
      </c>
      <c r="J59" s="31">
        <f>ROUND($B$4*$B$9*$B$13*$B$15*$B$18*$B$19,0)</f>
        <v/>
      </c>
      <c r="K59" s="31">
        <f>ROUND($B$4*$B$9*$B$13*$B$15*$B$18*$B$20,0)</f>
        <v/>
      </c>
      <c r="L59" s="31">
        <f>ROUND($B$4*$B$9*$B$13*$B$16*$B$17*$B$19,0)</f>
        <v/>
      </c>
      <c r="M59" s="31">
        <f>ROUND($B$4*$B$9*$B$13*$B$16*$B$17*$B$20,0)</f>
        <v/>
      </c>
      <c r="N59" s="31">
        <f>ROUND($B$4*$B$9*$B$13*$B$16*$B$18*$B$19,0)</f>
        <v/>
      </c>
      <c r="O59" s="31">
        <f>ROUND($B$4*$B$9*$B$13*$B$16*$B$18*$B$20,0)</f>
        <v/>
      </c>
      <c r="P59" s="29">
        <f>ROUND($B$5*$B$9*$B$13*$B$14*$B$17*$B$19,0)</f>
        <v/>
      </c>
      <c r="Q59" s="29">
        <f>ROUND($B$5*$B$9*$B$13*$B$14*$B$17*$B$20,0)</f>
        <v/>
      </c>
      <c r="R59" s="29">
        <f>ROUND($B$5*$B$9*$B$13*$B$14*$B$18*$B$19,0)</f>
        <v/>
      </c>
      <c r="S59" s="29">
        <f>ROUND($B$5*$B$9*$B$13*$B$14*$B$18*$B$20,0)</f>
        <v/>
      </c>
      <c r="T59" s="29">
        <f>ROUND($B$5*$B$9*$B$13*$B$15*$B$17*$B$19,0)</f>
        <v/>
      </c>
      <c r="U59" s="29">
        <f>ROUND($B$5*$B$9*$B$13*$B$15*$B$17*$B$20,0)</f>
        <v/>
      </c>
      <c r="V59" s="29">
        <f>ROUND($B$5*$B$9*$B$13*$B$15*$B$18*$B$19,0)</f>
        <v/>
      </c>
      <c r="W59" s="29">
        <f>ROUND($B$5*$B$9*$B$13*$B$15*$B$18*$B$20,0)</f>
        <v/>
      </c>
      <c r="X59" s="29">
        <f>ROUND($B$5*$B$9*$B$13*$B$16*$B$17*$B$19,0)</f>
        <v/>
      </c>
      <c r="Y59" s="29">
        <f>ROUND($B$5*$B$9*$B$13*$B$16*$B$17*$B$20,0)</f>
        <v/>
      </c>
      <c r="Z59" s="29">
        <f>ROUND($B$5*$B$9*$B$13*$B$16*$B$18*$B$19,0)</f>
        <v/>
      </c>
      <c r="AA59" s="29">
        <f>ROUND($B$5*$B$9*$B$13*$B$16*$B$18*$B$20,0)</f>
        <v/>
      </c>
      <c r="AB59" s="29">
        <f>ROUND($B$6*$B$9*$B$13*$B$14*$B$17*$B$19,0)</f>
        <v/>
      </c>
      <c r="AC59" s="29">
        <f>ROUND($B$6*$B$9*$B$13*$B$14*$B$17*$B$20,0)</f>
        <v/>
      </c>
      <c r="AD59" s="29">
        <f>ROUND($B$6*$B$9*$B$13*$B$14*$B$18*$B$19,0)</f>
        <v/>
      </c>
      <c r="AE59" s="29">
        <f>ROUND($B$6*$B$9*$B$13*$B$14*$B$18*$B$20,0)</f>
        <v/>
      </c>
      <c r="AF59" s="29">
        <f>ROUND($B$6*$B$9*$B$13*$B$15*$B$17*$B$19,0)</f>
        <v/>
      </c>
      <c r="AG59" s="29">
        <f>ROUND($B$6*$B$9*$B$13*$B$15*$B$17*$B$20,0)</f>
        <v/>
      </c>
      <c r="AH59" s="29">
        <f>ROUND($B$6*$B$9*$B$13*$B$15*$B$18*$B$19,0)</f>
        <v/>
      </c>
      <c r="AI59" s="29">
        <f>ROUND($B$6*$B$9*$B$13*$B$15*$B$18*$B$20,0)</f>
        <v/>
      </c>
      <c r="AJ59" s="29">
        <f>ROUND($B$6*$B$9*$B$13*$B$16*$B$17*$B$19,0)</f>
        <v/>
      </c>
      <c r="AK59" s="29">
        <f>ROUND($B$6*$B$9*$B$13*$B$16*$B$17*$B$20,0)</f>
        <v/>
      </c>
      <c r="AL59" s="29">
        <f>ROUND($B$6*$B$9*$B$13*$B$16*$B$18*$B$19,0)</f>
        <v/>
      </c>
      <c r="AM59" s="29">
        <f>ROUND($B$6*$B$9*$B$13*$B$16*$B$18*$B$20,0)</f>
        <v/>
      </c>
    </row>
    <row r="60" ht="20.1" customHeight="1" s="62">
      <c r="A60" s="81" t="n"/>
      <c r="B60" s="73" t="inlineStr">
        <is>
          <t>6+ outils</t>
        </is>
      </c>
      <c r="C60" s="24" t="inlineStr">
        <is>
          <t>Complexité simple</t>
        </is>
      </c>
      <c r="D60" s="31">
        <f>ROUND($B$4*$B$10*$B$11*$B$14*$B$17*$B$19,0)</f>
        <v/>
      </c>
      <c r="E60" s="31">
        <f>ROUND($B$4*$B$10*$B$11*$B$14*$B$17*$B$20,0)</f>
        <v/>
      </c>
      <c r="F60" s="31">
        <f>ROUND($B$4*$B$10*$B$11*$B$14*$B$18*$B$19,0)</f>
        <v/>
      </c>
      <c r="G60" s="31">
        <f>ROUND($B$4*$B$10*$B$11*$B$14*$B$18*$B$20,0)</f>
        <v/>
      </c>
      <c r="H60" s="31">
        <f>ROUND($B$4*$B$10*$B$11*$B$15*$B$17*$B$19,0)</f>
        <v/>
      </c>
      <c r="I60" s="31">
        <f>ROUND($B$4*$B$10*$B$11*$B$15*$B$17*$B$20,0)</f>
        <v/>
      </c>
      <c r="J60" s="31">
        <f>ROUND($B$4*$B$10*$B$11*$B$15*$B$18*$B$19,0)</f>
        <v/>
      </c>
      <c r="K60" s="31">
        <f>ROUND($B$4*$B$10*$B$11*$B$15*$B$18*$B$20,0)</f>
        <v/>
      </c>
      <c r="L60" s="31">
        <f>ROUND($B$4*$B$10*$B$11*$B$16*$B$17*$B$19,0)</f>
        <v/>
      </c>
      <c r="M60" s="31">
        <f>ROUND($B$4*$B$10*$B$11*$B$16*$B$17*$B$20,0)</f>
        <v/>
      </c>
      <c r="N60" s="31">
        <f>ROUND($B$4*$B$10*$B$11*$B$16*$B$18*$B$19,0)</f>
        <v/>
      </c>
      <c r="O60" s="31">
        <f>ROUND($B$4*$B$10*$B$11*$B$16*$B$18*$B$20,0)</f>
        <v/>
      </c>
      <c r="P60" s="29">
        <f>ROUND($B$5*$B$10*$B$11*$B$14*$B$17*$B$19,0)</f>
        <v/>
      </c>
      <c r="Q60" s="29">
        <f>ROUND($B$5*$B$10*$B$11*$B$14*$B$17*$B$20,0)</f>
        <v/>
      </c>
      <c r="R60" s="29">
        <f>ROUND($B$5*$B$10*$B$11*$B$14*$B$18*$B$19,0)</f>
        <v/>
      </c>
      <c r="S60" s="29">
        <f>ROUND($B$5*$B$10*$B$11*$B$14*$B$18*$B$20,0)</f>
        <v/>
      </c>
      <c r="T60" s="29">
        <f>ROUND($B$5*$B$10*$B$11*$B$15*$B$17*$B$19,0)</f>
        <v/>
      </c>
      <c r="U60" s="29">
        <f>ROUND($B$5*$B$10*$B$11*$B$15*$B$17*$B$20,0)</f>
        <v/>
      </c>
      <c r="V60" s="29">
        <f>ROUND($B$5*$B$10*$B$11*$B$15*$B$18*$B$19,0)</f>
        <v/>
      </c>
      <c r="W60" s="29">
        <f>ROUND($B$5*$B$10*$B$11*$B$15*$B$18*$B$20,0)</f>
        <v/>
      </c>
      <c r="X60" s="29">
        <f>ROUND($B$5*$B$10*$B$11*$B$16*$B$17*$B$19,0)</f>
        <v/>
      </c>
      <c r="Y60" s="29">
        <f>ROUND($B$5*$B$10*$B$11*$B$16*$B$17*$B$20,0)</f>
        <v/>
      </c>
      <c r="Z60" s="29">
        <f>ROUND($B$5*$B$10*$B$11*$B$16*$B$18*$B$19,0)</f>
        <v/>
      </c>
      <c r="AA60" s="29">
        <f>ROUND($B$5*$B$10*$B$11*$B$16*$B$18*$B$20,0)</f>
        <v/>
      </c>
      <c r="AB60" s="29">
        <f>ROUND($B$6*$B$10*$B$11*$B$14*$B$17*$B$19,0)</f>
        <v/>
      </c>
      <c r="AC60" s="29">
        <f>ROUND($B$6*$B$10*$B$11*$B$14*$B$17*$B$20,0)</f>
        <v/>
      </c>
      <c r="AD60" s="29">
        <f>ROUND($B$6*$B$10*$B$11*$B$14*$B$18*$B$19,0)</f>
        <v/>
      </c>
      <c r="AE60" s="29">
        <f>ROUND($B$6*$B$10*$B$11*$B$14*$B$18*$B$20,0)</f>
        <v/>
      </c>
      <c r="AF60" s="29">
        <f>ROUND($B$6*$B$10*$B$11*$B$15*$B$17*$B$19,0)</f>
        <v/>
      </c>
      <c r="AG60" s="29">
        <f>ROUND($B$6*$B$10*$B$11*$B$15*$B$17*$B$20,0)</f>
        <v/>
      </c>
      <c r="AH60" s="29">
        <f>ROUND($B$6*$B$10*$B$11*$B$15*$B$18*$B$19,0)</f>
        <v/>
      </c>
      <c r="AI60" s="29">
        <f>ROUND($B$6*$B$10*$B$11*$B$15*$B$18*$B$20,0)</f>
        <v/>
      </c>
      <c r="AJ60" s="29">
        <f>ROUND($B$6*$B$10*$B$11*$B$16*$B$17*$B$19,0)</f>
        <v/>
      </c>
      <c r="AK60" s="29">
        <f>ROUND($B$6*$B$10*$B$11*$B$16*$B$17*$B$20,0)</f>
        <v/>
      </c>
      <c r="AL60" s="29">
        <f>ROUND($B$6*$B$10*$B$11*$B$16*$B$18*$B$19,0)</f>
        <v/>
      </c>
      <c r="AM60" s="29">
        <f>ROUND($B$6*$B$10*$B$11*$B$16*$B$18*$B$20,0)</f>
        <v/>
      </c>
    </row>
    <row r="61" ht="20.1" customHeight="1" s="62">
      <c r="A61" s="81" t="n"/>
      <c r="B61" s="58" t="n"/>
      <c r="C61" s="73" t="inlineStr">
        <is>
          <t>Complexité modérée</t>
        </is>
      </c>
      <c r="D61" s="31">
        <f>ROUND($B$4*$B$10*$B$12*$B$14*$B$17*$B$19,0)</f>
        <v/>
      </c>
      <c r="E61" s="31">
        <f>ROUND($B$4*$B$10*$B$12*$B$14*$B$17*$B$20,0)</f>
        <v/>
      </c>
      <c r="F61" s="31">
        <f>ROUND($B$4*$B$10*$B$12*$B$14*$B$18*$B$19,0)</f>
        <v/>
      </c>
      <c r="G61" s="31">
        <f>ROUND($B$4*$B$10*$B$12*$B$14*$B$18*$B$20,0)</f>
        <v/>
      </c>
      <c r="H61" s="31">
        <f>ROUND($B$4*$B$10*$B$12*$B$15*$B$17*$B$19,0)</f>
        <v/>
      </c>
      <c r="I61" s="31">
        <f>ROUND($B$4*$B$10*$B$12*$B$15*$B$17*$B$20,0)</f>
        <v/>
      </c>
      <c r="J61" s="31">
        <f>ROUND($B$4*$B$10*$B$12*$B$15*$B$18*$B$19,0)</f>
        <v/>
      </c>
      <c r="K61" s="31">
        <f>ROUND($B$4*$B$10*$B$12*$B$15*$B$18*$B$20,0)</f>
        <v/>
      </c>
      <c r="L61" s="31">
        <f>ROUND($B$4*$B$10*$B$12*$B$16*$B$17*$B$19,0)</f>
        <v/>
      </c>
      <c r="M61" s="31">
        <f>ROUND($B$4*$B$10*$B$12*$B$16*$B$17*$B$20,0)</f>
        <v/>
      </c>
      <c r="N61" s="31">
        <f>ROUND($B$4*$B$10*$B$12*$B$16*$B$18*$B$19,0)</f>
        <v/>
      </c>
      <c r="O61" s="31">
        <f>ROUND($B$4*$B$10*$B$12*$B$16*$B$18*$B$20,0)</f>
        <v/>
      </c>
      <c r="P61" s="29">
        <f>ROUND($B$5*$B$10*$B$12*$B$14*$B$17*$B$19,0)</f>
        <v/>
      </c>
      <c r="Q61" s="29">
        <f>ROUND($B$5*$B$10*$B$12*$B$14*$B$17*$B$20,0)</f>
        <v/>
      </c>
      <c r="R61" s="29">
        <f>ROUND($B$5*$B$10*$B$12*$B$14*$B$18*$B$19,0)</f>
        <v/>
      </c>
      <c r="S61" s="29">
        <f>ROUND($B$5*$B$10*$B$12*$B$14*$B$18*$B$20,0)</f>
        <v/>
      </c>
      <c r="T61" s="29">
        <f>ROUND($B$5*$B$10*$B$12*$B$15*$B$17*$B$19,0)</f>
        <v/>
      </c>
      <c r="U61" s="29">
        <f>ROUND($B$5*$B$10*$B$12*$B$15*$B$17*$B$20,0)</f>
        <v/>
      </c>
      <c r="V61" s="29">
        <f>ROUND($B$5*$B$10*$B$12*$B$15*$B$18*$B$19,0)</f>
        <v/>
      </c>
      <c r="W61" s="29">
        <f>ROUND($B$5*$B$10*$B$12*$B$15*$B$18*$B$20,0)</f>
        <v/>
      </c>
      <c r="X61" s="29">
        <f>ROUND($B$5*$B$10*$B$12*$B$16*$B$17*$B$19,0)</f>
        <v/>
      </c>
      <c r="Y61" s="29">
        <f>ROUND($B$5*$B$10*$B$12*$B$16*$B$17*$B$20,0)</f>
        <v/>
      </c>
      <c r="Z61" s="29">
        <f>ROUND($B$5*$B$10*$B$12*$B$16*$B$18*$B$19,0)</f>
        <v/>
      </c>
      <c r="AA61" s="29">
        <f>ROUND($B$5*$B$10*$B$12*$B$16*$B$18*$B$20,0)</f>
        <v/>
      </c>
      <c r="AB61" s="29">
        <f>ROUND($B$6*$B$10*$B$12*$B$14*$B$17*$B$19,0)</f>
        <v/>
      </c>
      <c r="AC61" s="29">
        <f>ROUND($B$6*$B$10*$B$12*$B$14*$B$17*$B$20,0)</f>
        <v/>
      </c>
      <c r="AD61" s="29">
        <f>ROUND($B$6*$B$10*$B$12*$B$14*$B$18*$B$19,0)</f>
        <v/>
      </c>
      <c r="AE61" s="29">
        <f>ROUND($B$6*$B$10*$B$12*$B$14*$B$18*$B$20,0)</f>
        <v/>
      </c>
      <c r="AF61" s="29">
        <f>ROUND($B$6*$B$10*$B$12*$B$15*$B$17*$B$19,0)</f>
        <v/>
      </c>
      <c r="AG61" s="29">
        <f>ROUND($B$6*$B$10*$B$12*$B$15*$B$17*$B$20,0)</f>
        <v/>
      </c>
      <c r="AH61" s="29">
        <f>ROUND($B$6*$B$10*$B$12*$B$15*$B$18*$B$19,0)</f>
        <v/>
      </c>
      <c r="AI61" s="29">
        <f>ROUND($B$6*$B$10*$B$12*$B$15*$B$18*$B$20,0)</f>
        <v/>
      </c>
      <c r="AJ61" s="29">
        <f>ROUND($B$6*$B$10*$B$12*$B$16*$B$17*$B$19,0)</f>
        <v/>
      </c>
      <c r="AK61" s="29">
        <f>ROUND($B$6*$B$10*$B$12*$B$16*$B$17*$B$20,0)</f>
        <v/>
      </c>
      <c r="AL61" s="29">
        <f>ROUND($B$6*$B$10*$B$12*$B$16*$B$18*$B$19,0)</f>
        <v/>
      </c>
      <c r="AM61" s="29">
        <f>ROUND($B$6*$B$10*$B$12*$B$16*$B$18*$B$20,0)</f>
        <v/>
      </c>
    </row>
    <row r="62" ht="20.1" customHeight="1" s="62">
      <c r="A62" s="82" t="n"/>
      <c r="B62" s="59" t="n"/>
      <c r="C62" s="26" t="inlineStr">
        <is>
          <t>Critique haute disponibilité</t>
        </is>
      </c>
      <c r="D62" s="31">
        <f>ROUND($B$4*$B$10*$B$13*$B$14*$B$17*$B$19,0)</f>
        <v/>
      </c>
      <c r="E62" s="31">
        <f>ROUND($B$4*$B$10*$B$13*$B$14*$B$17*$B$20,0)</f>
        <v/>
      </c>
      <c r="F62" s="31">
        <f>ROUND($B$4*$B$10*$B$13*$B$14*$B$18*$B$19,0)</f>
        <v/>
      </c>
      <c r="G62" s="31">
        <f>ROUND($B$4*$B$10*$B$13*$B$14*$B$18*$B$20,0)</f>
        <v/>
      </c>
      <c r="H62" s="31">
        <f>ROUND($B$4*$B$10*$B$13*$B$15*$B$17*$B$19,0)</f>
        <v/>
      </c>
      <c r="I62" s="31">
        <f>ROUND($B$4*$B$10*$B$13*$B$15*$B$17*$B$20,0)</f>
        <v/>
      </c>
      <c r="J62" s="31">
        <f>ROUND($B$4*$B$10*$B$13*$B$15*$B$18*$B$19,0)</f>
        <v/>
      </c>
      <c r="K62" s="31">
        <f>ROUND($B$4*$B$10*$B$13*$B$15*$B$18*$B$20,0)</f>
        <v/>
      </c>
      <c r="L62" s="31">
        <f>ROUND($B$4*$B$10*$B$13*$B$16*$B$17*$B$19,0)</f>
        <v/>
      </c>
      <c r="M62" s="31">
        <f>ROUND($B$4*$B$10*$B$13*$B$16*$B$17*$B$20,0)</f>
        <v/>
      </c>
      <c r="N62" s="31">
        <f>ROUND($B$4*$B$10*$B$13*$B$16*$B$18*$B$19,0)</f>
        <v/>
      </c>
      <c r="O62" s="31">
        <f>ROUND($B$4*$B$10*$B$13*$B$16*$B$18*$B$20,0)</f>
        <v/>
      </c>
      <c r="P62" s="29">
        <f>ROUND($B$5*$B$10*$B$13*$B$14*$B$17*$B$19,0)</f>
        <v/>
      </c>
      <c r="Q62" s="29">
        <f>ROUND($B$5*$B$10*$B$13*$B$14*$B$17*$B$20,0)</f>
        <v/>
      </c>
      <c r="R62" s="29">
        <f>ROUND($B$5*$B$10*$B$13*$B$14*$B$18*$B$19,0)</f>
        <v/>
      </c>
      <c r="S62" s="29">
        <f>ROUND($B$5*$B$10*$B$13*$B$14*$B$18*$B$20,0)</f>
        <v/>
      </c>
      <c r="T62" s="29">
        <f>ROUND($B$5*$B$10*$B$13*$B$15*$B$17*$B$19,0)</f>
        <v/>
      </c>
      <c r="U62" s="29">
        <f>ROUND($B$5*$B$10*$B$13*$B$15*$B$17*$B$20,0)</f>
        <v/>
      </c>
      <c r="V62" s="29">
        <f>ROUND($B$5*$B$10*$B$13*$B$15*$B$18*$B$19,0)</f>
        <v/>
      </c>
      <c r="W62" s="29">
        <f>ROUND($B$5*$B$10*$B$13*$B$15*$B$18*$B$20,0)</f>
        <v/>
      </c>
      <c r="X62" s="29">
        <f>ROUND($B$5*$B$10*$B$13*$B$16*$B$17*$B$19,0)</f>
        <v/>
      </c>
      <c r="Y62" s="29">
        <f>ROUND($B$5*$B$10*$B$13*$B$16*$B$17*$B$20,0)</f>
        <v/>
      </c>
      <c r="Z62" s="29">
        <f>ROUND($B$5*$B$10*$B$13*$B$16*$B$18*$B$19,0)</f>
        <v/>
      </c>
      <c r="AA62" s="29">
        <f>ROUND($B$5*$B$10*$B$13*$B$16*$B$18*$B$20,0)</f>
        <v/>
      </c>
      <c r="AB62" s="29">
        <f>ROUND($B$6*$B$10*$B$13*$B$14*$B$17*$B$19,0)</f>
        <v/>
      </c>
      <c r="AC62" s="29">
        <f>ROUND($B$6*$B$10*$B$13*$B$14*$B$17*$B$20,0)</f>
        <v/>
      </c>
      <c r="AD62" s="29">
        <f>ROUND($B$6*$B$10*$B$13*$B$14*$B$18*$B$19,0)</f>
        <v/>
      </c>
      <c r="AE62" s="29">
        <f>ROUND($B$6*$B$10*$B$13*$B$14*$B$18*$B$20,0)</f>
        <v/>
      </c>
      <c r="AF62" s="29">
        <f>ROUND($B$6*$B$10*$B$13*$B$15*$B$17*$B$19,0)</f>
        <v/>
      </c>
      <c r="AG62" s="29">
        <f>ROUND($B$6*$B$10*$B$13*$B$15*$B$17*$B$20,0)</f>
        <v/>
      </c>
      <c r="AH62" s="29">
        <f>ROUND($B$6*$B$10*$B$13*$B$15*$B$18*$B$19,0)</f>
        <v/>
      </c>
      <c r="AI62" s="29">
        <f>ROUND($B$6*$B$10*$B$13*$B$15*$B$18*$B$20,0)</f>
        <v/>
      </c>
      <c r="AJ62" s="29">
        <f>ROUND($B$6*$B$10*$B$13*$B$16*$B$17*$B$19,0)</f>
        <v/>
      </c>
      <c r="AK62" s="29">
        <f>ROUND($B$6*$B$10*$B$13*$B$16*$B$17*$B$20,0)</f>
        <v/>
      </c>
      <c r="AL62" s="29">
        <f>ROUND($B$6*$B$10*$B$13*$B$16*$B$18*$B$19,0)</f>
        <v/>
      </c>
      <c r="AM62" s="29">
        <f>ROUND($B$6*$B$10*$B$13*$B$16*$B$18*$B$20,0)</f>
        <v/>
      </c>
    </row>
  </sheetData>
  <mergeCells count="54">
    <mergeCell ref="A1:AM1"/>
    <mergeCell ref="A27:A35"/>
    <mergeCell ref="F25:G25"/>
    <mergeCell ref="B30:B32"/>
    <mergeCell ref="D24:G24"/>
    <mergeCell ref="N25:O25"/>
    <mergeCell ref="B33:B35"/>
    <mergeCell ref="A7:AM7"/>
    <mergeCell ref="P25:Q25"/>
    <mergeCell ref="H24:K24"/>
    <mergeCell ref="P24:S24"/>
    <mergeCell ref="P23:AA23"/>
    <mergeCell ref="B36:B38"/>
    <mergeCell ref="B54:B56"/>
    <mergeCell ref="H25:I25"/>
    <mergeCell ref="B45:B47"/>
    <mergeCell ref="Z25:AA25"/>
    <mergeCell ref="B23:B26"/>
    <mergeCell ref="R25:S25"/>
    <mergeCell ref="B51:B53"/>
    <mergeCell ref="AB25:AC25"/>
    <mergeCell ref="T25:U25"/>
    <mergeCell ref="AD25:AE25"/>
    <mergeCell ref="AF25:AG25"/>
    <mergeCell ref="AL25:AM25"/>
    <mergeCell ref="A3:AM3"/>
    <mergeCell ref="A21:AM21"/>
    <mergeCell ref="T24:W24"/>
    <mergeCell ref="AB23:AM23"/>
    <mergeCell ref="AB24:AE24"/>
    <mergeCell ref="A2:AM2"/>
    <mergeCell ref="AF24:AI24"/>
    <mergeCell ref="A23:A26"/>
    <mergeCell ref="D23:O23"/>
    <mergeCell ref="J25:K25"/>
    <mergeCell ref="L25:M25"/>
    <mergeCell ref="L24:O24"/>
    <mergeCell ref="C23:C26"/>
    <mergeCell ref="B42:B44"/>
    <mergeCell ref="B27:B29"/>
    <mergeCell ref="D25:E25"/>
    <mergeCell ref="B39:B41"/>
    <mergeCell ref="B57:B59"/>
    <mergeCell ref="B48:B50"/>
    <mergeCell ref="V25:W25"/>
    <mergeCell ref="AH25:AI25"/>
    <mergeCell ref="X25:Y25"/>
    <mergeCell ref="AJ25:AK25"/>
    <mergeCell ref="A36:A44"/>
    <mergeCell ref="B60:B62"/>
    <mergeCell ref="X24:AA24"/>
    <mergeCell ref="A45:A53"/>
    <mergeCell ref="A54:A62"/>
    <mergeCell ref="AJ24:AM2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0D3B4F"/>
    <outlinePr summaryBelow="1" summaryRight="1"/>
    <pageSetUpPr/>
  </sheetPr>
  <dimension ref="A1:AA55"/>
  <sheetViews>
    <sheetView topLeftCell="A2" workbookViewId="0">
      <pane xSplit="3" topLeftCell="D1" activePane="topRight" state="frozen"/>
      <selection pane="topRight" activeCell="A23" sqref="A23:AA23"/>
    </sheetView>
  </sheetViews>
  <sheetFormatPr baseColWidth="10" defaultColWidth="9.140625" defaultRowHeight="15"/>
  <cols>
    <col width="26" customWidth="1" style="62" min="1" max="1"/>
    <col width="16" customWidth="1" style="62" min="2" max="3"/>
    <col width="14" customWidth="1" style="62" min="4" max="27"/>
  </cols>
  <sheetData>
    <row r="1" ht="33.95" customHeight="1" s="62">
      <c r="A1" s="84" t="inlineStr">
        <is>
          <t>GRILLE TARIFAIRE — Automatisation &amp; interconnexion des systèmes</t>
        </is>
      </c>
    </row>
    <row r="2" ht="26.1" customHeight="1" s="62">
      <c r="A2" s="79" t="inlineStr">
        <is>
          <t>⚙  ZONE DE PARAMÉTRAGE — Remplissez uniquement les cases jaunes. Le tableau se calcule automatiquement.</t>
        </is>
      </c>
    </row>
    <row r="3" ht="21.95" customHeight="1" s="62">
      <c r="A3" s="78" t="inlineStr">
        <is>
          <t>TARIFS DE BASE (€)  —  Par niveau de complexité d'automatisation</t>
        </is>
      </c>
    </row>
    <row r="4" ht="21.95" customHeight="1" s="62">
      <c r="A4" s="16" t="inlineStr">
        <is>
          <t>Tarif de base — Simple (no-code)</t>
        </is>
      </c>
      <c r="B4" s="17" t="n">
        <v>1500</v>
      </c>
      <c r="C4" s="18" t="inlineStr">
        <is>
          <t>Fourchette indicative : 500 – 2 000 €</t>
        </is>
      </c>
    </row>
    <row r="5" ht="21.95" customHeight="1" s="62">
      <c r="A5" s="16" t="inlineStr">
        <is>
          <t>Tarif de base — Intermédiaire</t>
        </is>
      </c>
      <c r="B5" s="17" t="n">
        <v>4000</v>
      </c>
      <c r="C5" s="18" t="inlineStr">
        <is>
          <t>Fourchette indicative : 2 000 – 8 000 €</t>
        </is>
      </c>
    </row>
    <row r="6" ht="21.95" customHeight="1" s="62">
      <c r="A6" s="16" t="inlineStr">
        <is>
          <t>Tarif de base — Complexe multi-sys.</t>
        </is>
      </c>
      <c r="B6" s="17" t="n">
        <v>12000</v>
      </c>
      <c r="C6" s="18" t="inlineStr">
        <is>
          <t>Fourchette indicative : 8 000 – 25 000 €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processus — 1-2 processus</t>
        </is>
      </c>
      <c r="B8" s="20" t="n">
        <v>0.9</v>
      </c>
      <c r="C8" s="21" t="inlineStr">
        <is>
          <t>Périmètre réduit</t>
        </is>
      </c>
    </row>
    <row r="9" ht="20.1" customHeight="1" s="62">
      <c r="A9" s="19" t="inlineStr">
        <is>
          <t>Coeff. processus — 3-6 processus</t>
        </is>
      </c>
      <c r="B9" s="20" t="n">
        <v>1</v>
      </c>
      <c r="C9" s="21" t="inlineStr">
        <is>
          <t>Référence</t>
        </is>
      </c>
    </row>
    <row r="10" ht="20.1" customHeight="1" s="62">
      <c r="A10" s="19" t="inlineStr">
        <is>
          <t>Coeff. processus — 7+ processus</t>
        </is>
      </c>
      <c r="B10" s="20" t="n">
        <v>1.5</v>
      </c>
      <c r="C10" s="21" t="inlineStr">
        <is>
          <t>Périmètre large</t>
        </is>
      </c>
    </row>
    <row r="11" ht="20.1" customHeight="1" s="62">
      <c r="A11" s="19" t="inlineStr">
        <is>
          <t>Coeff. outils — 2 outils</t>
        </is>
      </c>
      <c r="B11" s="20" t="n">
        <v>0.9</v>
      </c>
      <c r="C11" s="21" t="inlineStr">
        <is>
          <t>Connexion simple</t>
        </is>
      </c>
    </row>
    <row r="12" ht="20.1" customHeight="1" s="62">
      <c r="A12" s="19" t="inlineStr">
        <is>
          <t>Coeff. outils — 3-5 outils</t>
        </is>
      </c>
      <c r="B12" s="20" t="n">
        <v>1</v>
      </c>
      <c r="C12" s="21" t="inlineStr">
        <is>
          <t>Référence</t>
        </is>
      </c>
    </row>
    <row r="13" ht="20.1" customHeight="1" s="62">
      <c r="A13" s="19" t="inlineStr">
        <is>
          <t>Coeff. outils — 6+ outils</t>
        </is>
      </c>
      <c r="B13" s="20" t="n">
        <v>1.45</v>
      </c>
      <c r="C13" s="21" t="inlineStr">
        <is>
          <t>Écosystème complexe</t>
        </is>
      </c>
    </row>
    <row r="14" ht="20.1" customHeight="1" s="62">
      <c r="A14" s="19" t="inlineStr">
        <is>
          <t>Coeff. techno — No-code</t>
        </is>
      </c>
      <c r="B14" s="20" t="n">
        <v>1</v>
      </c>
      <c r="C14" s="21" t="inlineStr">
        <is>
          <t>Référence</t>
        </is>
      </c>
    </row>
    <row r="15" ht="20.1" customHeight="1" s="62">
      <c r="A15" s="19" t="inlineStr">
        <is>
          <t>Coeff. techno — API standard</t>
        </is>
      </c>
      <c r="B15" s="20" t="n">
        <v>1.2</v>
      </c>
      <c r="C15" s="21" t="inlineStr">
        <is>
          <t>Développement API</t>
        </is>
      </c>
    </row>
    <row r="16" ht="20.1" customHeight="1" s="62">
      <c r="A16" s="19" t="inlineStr">
        <is>
          <t>Coeff. techno — Développement spécifique</t>
        </is>
      </c>
      <c r="B16" s="20" t="n">
        <v>1.7</v>
      </c>
      <c r="C16" s="21" t="inlineStr">
        <is>
          <t>Code sur mesure</t>
        </is>
      </c>
    </row>
    <row r="17" ht="20.1" customHeight="1" s="62">
      <c r="A17" s="19" t="inlineStr">
        <is>
          <t>Coeff. volume — Faible</t>
        </is>
      </c>
      <c r="B17" s="20" t="n">
        <v>1</v>
      </c>
      <c r="C17" s="21" t="inlineStr">
        <is>
          <t>Référence</t>
        </is>
      </c>
    </row>
    <row r="18" ht="20.1" customHeight="1" s="62">
      <c r="A18" s="19" t="inlineStr">
        <is>
          <t>Coeff. volume — Élevé</t>
        </is>
      </c>
      <c r="B18" s="20" t="n">
        <v>1.3</v>
      </c>
      <c r="C18" s="21" t="inlineStr">
        <is>
          <t>Traitement de masse</t>
        </is>
      </c>
    </row>
    <row r="19" ht="20.1" customHeight="1" s="62">
      <c r="A19" s="19" t="inlineStr">
        <is>
          <t>Coeff. criticité — Standard</t>
        </is>
      </c>
      <c r="B19" s="20" t="n">
        <v>1</v>
      </c>
      <c r="C19" s="21" t="inlineStr">
        <is>
          <t>Référence</t>
        </is>
      </c>
    </row>
    <row r="20" ht="20.1" customHeight="1" s="62">
      <c r="A20" s="19" t="inlineStr">
        <is>
          <t>Coeff. criticité — Élevée</t>
        </is>
      </c>
      <c r="B20" s="20" t="n">
        <v>1.35</v>
      </c>
      <c r="C20" s="21" t="inlineStr">
        <is>
          <t>Processus métier critiques</t>
        </is>
      </c>
    </row>
    <row r="21" ht="20.1" customHeight="1" s="62">
      <c r="A21" s="19" t="inlineStr">
        <is>
          <t>Coeff. accompagnement — Sans suivi</t>
        </is>
      </c>
      <c r="B21" s="20" t="n">
        <v>1</v>
      </c>
      <c r="C21" s="21" t="inlineStr">
        <is>
          <t>Référence</t>
        </is>
      </c>
    </row>
    <row r="22" ht="20.1" customHeight="1" s="62">
      <c r="A22" s="19" t="inlineStr">
        <is>
          <t>Coeff. accompagnement — Avec suivi &amp; optim.</t>
        </is>
      </c>
      <c r="B22" s="20" t="n">
        <v>1.4</v>
      </c>
      <c r="C22" s="21" t="inlineStr">
        <is>
          <t>Suivi, ajustements, évolutions</t>
        </is>
      </c>
    </row>
    <row r="23" ht="24" customHeight="1" s="62">
      <c r="A23" s="83" t="inlineStr">
        <is>
          <t>▼  GRILLE TARIFAIRE CALCULÉE AUTOMATIQUEMENT  — Les cellules bleues sont en lecture seule (formules).</t>
        </is>
      </c>
    </row>
    <row r="24" ht="6" customHeight="1" s="62"/>
    <row r="25" ht="38.1" customHeight="1" s="62">
      <c r="A25" s="77" t="inlineStr">
        <is>
          <t>Complexité d'automatisation</t>
        </is>
      </c>
      <c r="B25" s="74" t="inlineStr">
        <is>
          <t>Nombre de processus</t>
        </is>
      </c>
      <c r="C25" s="76" t="inlineStr">
        <is>
          <t>Nombre d'outils connectés</t>
        </is>
      </c>
      <c r="D25" s="77" t="inlineStr">
        <is>
          <t>No-code</t>
        </is>
      </c>
      <c r="E25" s="55" t="n"/>
      <c r="F25" s="55" t="n"/>
      <c r="G25" s="55" t="n"/>
      <c r="H25" s="55" t="n"/>
      <c r="I25" s="55" t="n"/>
      <c r="J25" s="55" t="n"/>
      <c r="K25" s="56" t="n"/>
      <c r="L25" s="77" t="inlineStr">
        <is>
          <t>API standard</t>
        </is>
      </c>
      <c r="M25" s="55" t="n"/>
      <c r="N25" s="55" t="n"/>
      <c r="O25" s="55" t="n"/>
      <c r="P25" s="55" t="n"/>
      <c r="Q25" s="55" t="n"/>
      <c r="R25" s="55" t="n"/>
      <c r="S25" s="56" t="n"/>
      <c r="T25" s="77" t="inlineStr">
        <is>
          <t>Développement spécifique</t>
        </is>
      </c>
      <c r="U25" s="55" t="n"/>
      <c r="V25" s="55" t="n"/>
      <c r="W25" s="55" t="n"/>
      <c r="X25" s="55" t="n"/>
      <c r="Y25" s="55" t="n"/>
      <c r="Z25" s="55" t="n"/>
      <c r="AA25" s="56" t="n"/>
    </row>
    <row r="26" ht="38.1" customHeight="1" s="62">
      <c r="A26" s="64" t="n"/>
      <c r="B26" s="64" t="n"/>
      <c r="C26" s="64" t="n"/>
      <c r="D26" s="74" t="inlineStr">
        <is>
          <t>Volume de données faible</t>
        </is>
      </c>
      <c r="E26" s="55" t="n"/>
      <c r="F26" s="55" t="n"/>
      <c r="G26" s="56" t="n"/>
      <c r="H26" s="74" t="inlineStr">
        <is>
          <t>Volume de données élevé</t>
        </is>
      </c>
      <c r="I26" s="55" t="n"/>
      <c r="J26" s="55" t="n"/>
      <c r="K26" s="56" t="n"/>
      <c r="L26" s="74" t="inlineStr">
        <is>
          <t>Volume de données faible</t>
        </is>
      </c>
      <c r="M26" s="55" t="n"/>
      <c r="N26" s="55" t="n"/>
      <c r="O26" s="56" t="n"/>
      <c r="P26" s="74" t="inlineStr">
        <is>
          <t>Volume de données élevé</t>
        </is>
      </c>
      <c r="Q26" s="55" t="n"/>
      <c r="R26" s="55" t="n"/>
      <c r="S26" s="56" t="n"/>
      <c r="T26" s="74" t="inlineStr">
        <is>
          <t>Volume de données faible</t>
        </is>
      </c>
      <c r="U26" s="55" t="n"/>
      <c r="V26" s="55" t="n"/>
      <c r="W26" s="56" t="n"/>
      <c r="X26" s="74" t="inlineStr">
        <is>
          <t>Volume de données élevé</t>
        </is>
      </c>
      <c r="Y26" s="55" t="n"/>
      <c r="Z26" s="55" t="n"/>
      <c r="AA26" s="56" t="n"/>
    </row>
    <row r="27" ht="38.1" customHeight="1" s="62">
      <c r="A27" s="64" t="n"/>
      <c r="B27" s="64" t="n"/>
      <c r="C27" s="64" t="n"/>
      <c r="D27" s="76" t="inlineStr">
        <is>
          <t>Criticité standard</t>
        </is>
      </c>
      <c r="E27" s="56" t="n"/>
      <c r="F27" s="76" t="inlineStr">
        <is>
          <t>Criticité élevée</t>
        </is>
      </c>
      <c r="G27" s="56" t="n"/>
      <c r="H27" s="76" t="inlineStr">
        <is>
          <t>Criticité standard</t>
        </is>
      </c>
      <c r="I27" s="56" t="n"/>
      <c r="J27" s="76" t="inlineStr">
        <is>
          <t>Criticité élevée</t>
        </is>
      </c>
      <c r="K27" s="56" t="n"/>
      <c r="L27" s="76" t="inlineStr">
        <is>
          <t>Criticité standard</t>
        </is>
      </c>
      <c r="M27" s="56" t="n"/>
      <c r="N27" s="76" t="inlineStr">
        <is>
          <t>Criticité élevée</t>
        </is>
      </c>
      <c r="O27" s="56" t="n"/>
      <c r="P27" s="76" t="inlineStr">
        <is>
          <t>Criticité standard</t>
        </is>
      </c>
      <c r="Q27" s="56" t="n"/>
      <c r="R27" s="76" t="inlineStr">
        <is>
          <t>Criticité élevée</t>
        </is>
      </c>
      <c r="S27" s="56" t="n"/>
      <c r="T27" s="76" t="inlineStr">
        <is>
          <t>Criticité standard</t>
        </is>
      </c>
      <c r="U27" s="56" t="n"/>
      <c r="V27" s="76" t="inlineStr">
        <is>
          <t>Criticité élevée</t>
        </is>
      </c>
      <c r="W27" s="56" t="n"/>
      <c r="X27" s="76" t="inlineStr">
        <is>
          <t>Criticité standard</t>
        </is>
      </c>
      <c r="Y27" s="56" t="n"/>
      <c r="Z27" s="76" t="inlineStr">
        <is>
          <t>Criticité élevée</t>
        </is>
      </c>
      <c r="AA27" s="56" t="n"/>
    </row>
    <row r="28" ht="38.1" customHeight="1" s="62">
      <c r="A28" s="65" t="n"/>
      <c r="B28" s="65" t="n"/>
      <c r="C28" s="65" t="n"/>
      <c r="D28" s="22" t="inlineStr">
        <is>
          <t>Sans suivi</t>
        </is>
      </c>
      <c r="E28" s="22" t="inlineStr">
        <is>
          <t>Avec suivi &amp; optimisation</t>
        </is>
      </c>
      <c r="F28" s="22" t="inlineStr">
        <is>
          <t>Sans suivi</t>
        </is>
      </c>
      <c r="G28" s="22" t="inlineStr">
        <is>
          <t>Avec suivi &amp; optimisation</t>
        </is>
      </c>
      <c r="H28" s="22" t="inlineStr">
        <is>
          <t>Sans suivi</t>
        </is>
      </c>
      <c r="I28" s="22" t="inlineStr">
        <is>
          <t>Avec suivi &amp; optimisation</t>
        </is>
      </c>
      <c r="J28" s="22" t="inlineStr">
        <is>
          <t>Sans suivi</t>
        </is>
      </c>
      <c r="K28" s="22" t="inlineStr">
        <is>
          <t>Avec suivi &amp; optimisation</t>
        </is>
      </c>
      <c r="L28" s="22" t="inlineStr">
        <is>
          <t>Sans suivi</t>
        </is>
      </c>
      <c r="M28" s="22" t="inlineStr">
        <is>
          <t>Avec suivi &amp; optimisation</t>
        </is>
      </c>
      <c r="N28" s="22" t="inlineStr">
        <is>
          <t>Sans suivi</t>
        </is>
      </c>
      <c r="O28" s="22" t="inlineStr">
        <is>
          <t>Avec suivi &amp; optimisation</t>
        </is>
      </c>
      <c r="P28" s="22" t="inlineStr">
        <is>
          <t>Sans suivi</t>
        </is>
      </c>
      <c r="Q28" s="22" t="inlineStr">
        <is>
          <t>Avec suivi &amp; optimisation</t>
        </is>
      </c>
      <c r="R28" s="22" t="inlineStr">
        <is>
          <t>Sans suivi</t>
        </is>
      </c>
      <c r="S28" s="22" t="inlineStr">
        <is>
          <t>Avec suivi &amp; optimisation</t>
        </is>
      </c>
      <c r="T28" s="22" t="inlineStr">
        <is>
          <t>Sans suivi</t>
        </is>
      </c>
      <c r="U28" s="22" t="inlineStr">
        <is>
          <t>Avec suivi &amp; optimisation</t>
        </is>
      </c>
      <c r="V28" s="22" t="inlineStr">
        <is>
          <t>Sans suivi</t>
        </is>
      </c>
      <c r="W28" s="22" t="inlineStr">
        <is>
          <t>Avec suivi &amp; optimisation</t>
        </is>
      </c>
      <c r="X28" s="22" t="inlineStr">
        <is>
          <t>Sans suivi</t>
        </is>
      </c>
      <c r="Y28" s="22" t="inlineStr">
        <is>
          <t>Avec suivi &amp; optimisation</t>
        </is>
      </c>
      <c r="Z28" s="22" t="inlineStr">
        <is>
          <t>Sans suivi</t>
        </is>
      </c>
      <c r="AA28" s="22" t="inlineStr">
        <is>
          <t>Avec suivi &amp; optimisation</t>
        </is>
      </c>
    </row>
    <row r="29" ht="20.1" customHeight="1" s="62">
      <c r="A29" s="80" t="inlineStr">
        <is>
          <t>Simple (no-code, 1-2 flux)</t>
        </is>
      </c>
      <c r="B29" s="73" t="inlineStr">
        <is>
          <t>1-2 processus</t>
        </is>
      </c>
      <c r="C29" s="24" t="inlineStr">
        <is>
          <t>2 outils</t>
        </is>
      </c>
      <c r="D29" s="25">
        <f>ROUND($B$4*$B$8*$B$11*$B$14*$B$17*$B$19*$B$21,0)</f>
        <v/>
      </c>
      <c r="E29" s="25">
        <f>ROUND($B$4*$B$8*$B$11*$B$14*$B$17*$B$19*$B$22,0)</f>
        <v/>
      </c>
      <c r="F29" s="25">
        <f>ROUND($B$4*$B$8*$B$11*$B$14*$B$17*$B$20*$B$21,0)</f>
        <v/>
      </c>
      <c r="G29" s="25">
        <f>ROUND($B$4*$B$8*$B$11*$B$14*$B$17*$B$20*$B$22,0)</f>
        <v/>
      </c>
      <c r="H29" s="25">
        <f>ROUND($B$4*$B$8*$B$11*$B$14*$B$18*$B$19*$B$21,0)</f>
        <v/>
      </c>
      <c r="I29" s="25">
        <f>ROUND($B$4*$B$8*$B$11*$B$14*$B$18*$B$19*$B$22,0)</f>
        <v/>
      </c>
      <c r="J29" s="25">
        <f>ROUND($B$4*$B$8*$B$11*$B$14*$B$18*$B$20*$B$21,0)</f>
        <v/>
      </c>
      <c r="K29" s="25">
        <f>ROUND($B$4*$B$8*$B$11*$B$14*$B$18*$B$20*$B$22,0)</f>
        <v/>
      </c>
      <c r="L29" s="25">
        <f>ROUND($B$4*$B$8*$B$11*$B$15*$B$17*$B$19*$B$21,0)</f>
        <v/>
      </c>
      <c r="M29" s="25">
        <f>ROUND($B$4*$B$8*$B$11*$B$15*$B$17*$B$19*$B$22,0)</f>
        <v/>
      </c>
      <c r="N29" s="25">
        <f>ROUND($B$4*$B$8*$B$11*$B$15*$B$17*$B$20*$B$21,0)</f>
        <v/>
      </c>
      <c r="O29" s="25">
        <f>ROUND($B$4*$B$8*$B$11*$B$15*$B$17*$B$20*$B$22,0)</f>
        <v/>
      </c>
      <c r="P29" s="25">
        <f>ROUND($B$4*$B$8*$B$11*$B$15*$B$18*$B$19*$B$21,0)</f>
        <v/>
      </c>
      <c r="Q29" s="25">
        <f>ROUND($B$4*$B$8*$B$11*$B$15*$B$18*$B$19*$B$22,0)</f>
        <v/>
      </c>
      <c r="R29" s="25">
        <f>ROUND($B$4*$B$8*$B$11*$B$15*$B$18*$B$20*$B$21,0)</f>
        <v/>
      </c>
      <c r="S29" s="25">
        <f>ROUND($B$4*$B$8*$B$11*$B$15*$B$18*$B$20*$B$22,0)</f>
        <v/>
      </c>
      <c r="T29" s="25">
        <f>ROUND($B$4*$B$8*$B$11*$B$16*$B$17*$B$19*$B$21,0)</f>
        <v/>
      </c>
      <c r="U29" s="25">
        <f>ROUND($B$4*$B$8*$B$11*$B$16*$B$17*$B$19*$B$22,0)</f>
        <v/>
      </c>
      <c r="V29" s="25">
        <f>ROUND($B$4*$B$8*$B$11*$B$16*$B$17*$B$20*$B$21,0)</f>
        <v/>
      </c>
      <c r="W29" s="25">
        <f>ROUND($B$4*$B$8*$B$11*$B$16*$B$17*$B$20*$B$22,0)</f>
        <v/>
      </c>
      <c r="X29" s="25">
        <f>ROUND($B$4*$B$8*$B$11*$B$16*$B$18*$B$19*$B$21,0)</f>
        <v/>
      </c>
      <c r="Y29" s="25">
        <f>ROUND($B$4*$B$8*$B$11*$B$16*$B$18*$B$19*$B$22,0)</f>
        <v/>
      </c>
      <c r="Z29" s="25">
        <f>ROUND($B$4*$B$8*$B$11*$B$16*$B$18*$B$20*$B$21,0)</f>
        <v/>
      </c>
      <c r="AA29" s="25">
        <f>ROUND($B$4*$B$8*$B$11*$B$16*$B$18*$B$20*$B$22,0)</f>
        <v/>
      </c>
    </row>
    <row r="30" ht="20.1" customHeight="1" s="62">
      <c r="A30" s="81" t="n"/>
      <c r="B30" s="58" t="n"/>
      <c r="C30" s="73" t="inlineStr">
        <is>
          <t>3-5 outils</t>
        </is>
      </c>
      <c r="D30" s="25">
        <f>ROUND($B$4*$B$8*$B$12*$B$14*$B$17*$B$19*$B$21,0)</f>
        <v/>
      </c>
      <c r="E30" s="25">
        <f>ROUND($B$4*$B$8*$B$12*$B$14*$B$17*$B$19*$B$22,0)</f>
        <v/>
      </c>
      <c r="F30" s="25">
        <f>ROUND($B$4*$B$8*$B$12*$B$14*$B$17*$B$20*$B$21,0)</f>
        <v/>
      </c>
      <c r="G30" s="25">
        <f>ROUND($B$4*$B$8*$B$12*$B$14*$B$17*$B$20*$B$22,0)</f>
        <v/>
      </c>
      <c r="H30" s="25">
        <f>ROUND($B$4*$B$8*$B$12*$B$14*$B$18*$B$19*$B$21,0)</f>
        <v/>
      </c>
      <c r="I30" s="25">
        <f>ROUND($B$4*$B$8*$B$12*$B$14*$B$18*$B$19*$B$22,0)</f>
        <v/>
      </c>
      <c r="J30" s="25">
        <f>ROUND($B$4*$B$8*$B$12*$B$14*$B$18*$B$20*$B$21,0)</f>
        <v/>
      </c>
      <c r="K30" s="25">
        <f>ROUND($B$4*$B$8*$B$12*$B$14*$B$18*$B$20*$B$22,0)</f>
        <v/>
      </c>
      <c r="L30" s="25">
        <f>ROUND($B$4*$B$8*$B$12*$B$15*$B$17*$B$19*$B$21,0)</f>
        <v/>
      </c>
      <c r="M30" s="25">
        <f>ROUND($B$4*$B$8*$B$12*$B$15*$B$17*$B$19*$B$22,0)</f>
        <v/>
      </c>
      <c r="N30" s="25">
        <f>ROUND($B$4*$B$8*$B$12*$B$15*$B$17*$B$20*$B$21,0)</f>
        <v/>
      </c>
      <c r="O30" s="25">
        <f>ROUND($B$4*$B$8*$B$12*$B$15*$B$17*$B$20*$B$22,0)</f>
        <v/>
      </c>
      <c r="P30" s="25">
        <f>ROUND($B$4*$B$8*$B$12*$B$15*$B$18*$B$19*$B$21,0)</f>
        <v/>
      </c>
      <c r="Q30" s="25">
        <f>ROUND($B$4*$B$8*$B$12*$B$15*$B$18*$B$19*$B$22,0)</f>
        <v/>
      </c>
      <c r="R30" s="25">
        <f>ROUND($B$4*$B$8*$B$12*$B$15*$B$18*$B$20*$B$21,0)</f>
        <v/>
      </c>
      <c r="S30" s="25">
        <f>ROUND($B$4*$B$8*$B$12*$B$15*$B$18*$B$20*$B$22,0)</f>
        <v/>
      </c>
      <c r="T30" s="25">
        <f>ROUND($B$4*$B$8*$B$12*$B$16*$B$17*$B$19*$B$21,0)</f>
        <v/>
      </c>
      <c r="U30" s="25">
        <f>ROUND($B$4*$B$8*$B$12*$B$16*$B$17*$B$19*$B$22,0)</f>
        <v/>
      </c>
      <c r="V30" s="25">
        <f>ROUND($B$4*$B$8*$B$12*$B$16*$B$17*$B$20*$B$21,0)</f>
        <v/>
      </c>
      <c r="W30" s="25">
        <f>ROUND($B$4*$B$8*$B$12*$B$16*$B$17*$B$20*$B$22,0)</f>
        <v/>
      </c>
      <c r="X30" s="25">
        <f>ROUND($B$4*$B$8*$B$12*$B$16*$B$18*$B$19*$B$21,0)</f>
        <v/>
      </c>
      <c r="Y30" s="25">
        <f>ROUND($B$4*$B$8*$B$12*$B$16*$B$18*$B$19*$B$22,0)</f>
        <v/>
      </c>
      <c r="Z30" s="25">
        <f>ROUND($B$4*$B$8*$B$12*$B$16*$B$18*$B$20*$B$21,0)</f>
        <v/>
      </c>
      <c r="AA30" s="25">
        <f>ROUND($B$4*$B$8*$B$12*$B$16*$B$18*$B$20*$B$22,0)</f>
        <v/>
      </c>
    </row>
    <row r="31" ht="20.1" customHeight="1" s="62">
      <c r="A31" s="81" t="n"/>
      <c r="B31" s="59" t="n"/>
      <c r="C31" s="26" t="inlineStr">
        <is>
          <t>6+ outils</t>
        </is>
      </c>
      <c r="D31" s="25">
        <f>ROUND($B$4*$B$8*$B$13*$B$14*$B$17*$B$19*$B$21,0)</f>
        <v/>
      </c>
      <c r="E31" s="25">
        <f>ROUND($B$4*$B$8*$B$13*$B$14*$B$17*$B$19*$B$22,0)</f>
        <v/>
      </c>
      <c r="F31" s="25">
        <f>ROUND($B$4*$B$8*$B$13*$B$14*$B$17*$B$20*$B$21,0)</f>
        <v/>
      </c>
      <c r="G31" s="25">
        <f>ROUND($B$4*$B$8*$B$13*$B$14*$B$17*$B$20*$B$22,0)</f>
        <v/>
      </c>
      <c r="H31" s="25">
        <f>ROUND($B$4*$B$8*$B$13*$B$14*$B$18*$B$19*$B$21,0)</f>
        <v/>
      </c>
      <c r="I31" s="25">
        <f>ROUND($B$4*$B$8*$B$13*$B$14*$B$18*$B$19*$B$22,0)</f>
        <v/>
      </c>
      <c r="J31" s="25">
        <f>ROUND($B$4*$B$8*$B$13*$B$14*$B$18*$B$20*$B$21,0)</f>
        <v/>
      </c>
      <c r="K31" s="25">
        <f>ROUND($B$4*$B$8*$B$13*$B$14*$B$18*$B$20*$B$22,0)</f>
        <v/>
      </c>
      <c r="L31" s="25">
        <f>ROUND($B$4*$B$8*$B$13*$B$15*$B$17*$B$19*$B$21,0)</f>
        <v/>
      </c>
      <c r="M31" s="25">
        <f>ROUND($B$4*$B$8*$B$13*$B$15*$B$17*$B$19*$B$22,0)</f>
        <v/>
      </c>
      <c r="N31" s="25">
        <f>ROUND($B$4*$B$8*$B$13*$B$15*$B$17*$B$20*$B$21,0)</f>
        <v/>
      </c>
      <c r="O31" s="25">
        <f>ROUND($B$4*$B$8*$B$13*$B$15*$B$17*$B$20*$B$22,0)</f>
        <v/>
      </c>
      <c r="P31" s="25">
        <f>ROUND($B$4*$B$8*$B$13*$B$15*$B$18*$B$19*$B$21,0)</f>
        <v/>
      </c>
      <c r="Q31" s="25">
        <f>ROUND($B$4*$B$8*$B$13*$B$15*$B$18*$B$19*$B$22,0)</f>
        <v/>
      </c>
      <c r="R31" s="25">
        <f>ROUND($B$4*$B$8*$B$13*$B$15*$B$18*$B$20*$B$21,0)</f>
        <v/>
      </c>
      <c r="S31" s="25">
        <f>ROUND($B$4*$B$8*$B$13*$B$15*$B$18*$B$20*$B$22,0)</f>
        <v/>
      </c>
      <c r="T31" s="25">
        <f>ROUND($B$4*$B$8*$B$13*$B$16*$B$17*$B$19*$B$21,0)</f>
        <v/>
      </c>
      <c r="U31" s="25">
        <f>ROUND($B$4*$B$8*$B$13*$B$16*$B$17*$B$19*$B$22,0)</f>
        <v/>
      </c>
      <c r="V31" s="25">
        <f>ROUND($B$4*$B$8*$B$13*$B$16*$B$17*$B$20*$B$21,0)</f>
        <v/>
      </c>
      <c r="W31" s="25">
        <f>ROUND($B$4*$B$8*$B$13*$B$16*$B$17*$B$20*$B$22,0)</f>
        <v/>
      </c>
      <c r="X31" s="25">
        <f>ROUND($B$4*$B$8*$B$13*$B$16*$B$18*$B$19*$B$21,0)</f>
        <v/>
      </c>
      <c r="Y31" s="25">
        <f>ROUND($B$4*$B$8*$B$13*$B$16*$B$18*$B$19*$B$22,0)</f>
        <v/>
      </c>
      <c r="Z31" s="25">
        <f>ROUND($B$4*$B$8*$B$13*$B$16*$B$18*$B$20*$B$21,0)</f>
        <v/>
      </c>
      <c r="AA31" s="25">
        <f>ROUND($B$4*$B$8*$B$13*$B$16*$B$18*$B$20*$B$22,0)</f>
        <v/>
      </c>
    </row>
    <row r="32" ht="20.1" customHeight="1" s="62">
      <c r="A32" s="81" t="n"/>
      <c r="B32" s="73" t="inlineStr">
        <is>
          <t>3-6 processus</t>
        </is>
      </c>
      <c r="C32" s="24" t="inlineStr">
        <is>
          <t>2 outils</t>
        </is>
      </c>
      <c r="D32" s="25">
        <f>ROUND($B$4*$B$9*$B$11*$B$14*$B$17*$B$19*$B$21,0)</f>
        <v/>
      </c>
      <c r="E32" s="25">
        <f>ROUND($B$4*$B$9*$B$11*$B$14*$B$17*$B$19*$B$22,0)</f>
        <v/>
      </c>
      <c r="F32" s="25">
        <f>ROUND($B$4*$B$9*$B$11*$B$14*$B$17*$B$20*$B$21,0)</f>
        <v/>
      </c>
      <c r="G32" s="25">
        <f>ROUND($B$4*$B$9*$B$11*$B$14*$B$17*$B$20*$B$22,0)</f>
        <v/>
      </c>
      <c r="H32" s="25">
        <f>ROUND($B$4*$B$9*$B$11*$B$14*$B$18*$B$19*$B$21,0)</f>
        <v/>
      </c>
      <c r="I32" s="25">
        <f>ROUND($B$4*$B$9*$B$11*$B$14*$B$18*$B$19*$B$22,0)</f>
        <v/>
      </c>
      <c r="J32" s="25">
        <f>ROUND($B$4*$B$9*$B$11*$B$14*$B$18*$B$20*$B$21,0)</f>
        <v/>
      </c>
      <c r="K32" s="25">
        <f>ROUND($B$4*$B$9*$B$11*$B$14*$B$18*$B$20*$B$22,0)</f>
        <v/>
      </c>
      <c r="L32" s="25">
        <f>ROUND($B$4*$B$9*$B$11*$B$15*$B$17*$B$19*$B$21,0)</f>
        <v/>
      </c>
      <c r="M32" s="25">
        <f>ROUND($B$4*$B$9*$B$11*$B$15*$B$17*$B$19*$B$22,0)</f>
        <v/>
      </c>
      <c r="N32" s="25">
        <f>ROUND($B$4*$B$9*$B$11*$B$15*$B$17*$B$20*$B$21,0)</f>
        <v/>
      </c>
      <c r="O32" s="25">
        <f>ROUND($B$4*$B$9*$B$11*$B$15*$B$17*$B$20*$B$22,0)</f>
        <v/>
      </c>
      <c r="P32" s="25">
        <f>ROUND($B$4*$B$9*$B$11*$B$15*$B$18*$B$19*$B$21,0)</f>
        <v/>
      </c>
      <c r="Q32" s="25">
        <f>ROUND($B$4*$B$9*$B$11*$B$15*$B$18*$B$19*$B$22,0)</f>
        <v/>
      </c>
      <c r="R32" s="25">
        <f>ROUND($B$4*$B$9*$B$11*$B$15*$B$18*$B$20*$B$21,0)</f>
        <v/>
      </c>
      <c r="S32" s="25">
        <f>ROUND($B$4*$B$9*$B$11*$B$15*$B$18*$B$20*$B$22,0)</f>
        <v/>
      </c>
      <c r="T32" s="25">
        <f>ROUND($B$4*$B$9*$B$11*$B$16*$B$17*$B$19*$B$21,0)</f>
        <v/>
      </c>
      <c r="U32" s="25">
        <f>ROUND($B$4*$B$9*$B$11*$B$16*$B$17*$B$19*$B$22,0)</f>
        <v/>
      </c>
      <c r="V32" s="25">
        <f>ROUND($B$4*$B$9*$B$11*$B$16*$B$17*$B$20*$B$21,0)</f>
        <v/>
      </c>
      <c r="W32" s="25">
        <f>ROUND($B$4*$B$9*$B$11*$B$16*$B$17*$B$20*$B$22,0)</f>
        <v/>
      </c>
      <c r="X32" s="25">
        <f>ROUND($B$4*$B$9*$B$11*$B$16*$B$18*$B$19*$B$21,0)</f>
        <v/>
      </c>
      <c r="Y32" s="25">
        <f>ROUND($B$4*$B$9*$B$11*$B$16*$B$18*$B$19*$B$22,0)</f>
        <v/>
      </c>
      <c r="Z32" s="25">
        <f>ROUND($B$4*$B$9*$B$11*$B$16*$B$18*$B$20*$B$21,0)</f>
        <v/>
      </c>
      <c r="AA32" s="25">
        <f>ROUND($B$4*$B$9*$B$11*$B$16*$B$18*$B$20*$B$22,0)</f>
        <v/>
      </c>
    </row>
    <row r="33" ht="20.1" customHeight="1" s="62">
      <c r="A33" s="81" t="n"/>
      <c r="B33" s="58" t="n"/>
      <c r="C33" s="73" t="inlineStr">
        <is>
          <t>3-5 outils</t>
        </is>
      </c>
      <c r="D33" s="25">
        <f>ROUND($B$4*$B$9*$B$12*$B$14*$B$17*$B$19*$B$21,0)</f>
        <v/>
      </c>
      <c r="E33" s="25">
        <f>ROUND($B$4*$B$9*$B$12*$B$14*$B$17*$B$19*$B$22,0)</f>
        <v/>
      </c>
      <c r="F33" s="25">
        <f>ROUND($B$4*$B$9*$B$12*$B$14*$B$17*$B$20*$B$21,0)</f>
        <v/>
      </c>
      <c r="G33" s="25">
        <f>ROUND($B$4*$B$9*$B$12*$B$14*$B$17*$B$20*$B$22,0)</f>
        <v/>
      </c>
      <c r="H33" s="25">
        <f>ROUND($B$4*$B$9*$B$12*$B$14*$B$18*$B$19*$B$21,0)</f>
        <v/>
      </c>
      <c r="I33" s="25">
        <f>ROUND($B$4*$B$9*$B$12*$B$14*$B$18*$B$19*$B$22,0)</f>
        <v/>
      </c>
      <c r="J33" s="25">
        <f>ROUND($B$4*$B$9*$B$12*$B$14*$B$18*$B$20*$B$21,0)</f>
        <v/>
      </c>
      <c r="K33" s="25">
        <f>ROUND($B$4*$B$9*$B$12*$B$14*$B$18*$B$20*$B$22,0)</f>
        <v/>
      </c>
      <c r="L33" s="25">
        <f>ROUND($B$4*$B$9*$B$12*$B$15*$B$17*$B$19*$B$21,0)</f>
        <v/>
      </c>
      <c r="M33" s="25">
        <f>ROUND($B$4*$B$9*$B$12*$B$15*$B$17*$B$19*$B$22,0)</f>
        <v/>
      </c>
      <c r="N33" s="25">
        <f>ROUND($B$4*$B$9*$B$12*$B$15*$B$17*$B$20*$B$21,0)</f>
        <v/>
      </c>
      <c r="O33" s="25">
        <f>ROUND($B$4*$B$9*$B$12*$B$15*$B$17*$B$20*$B$22,0)</f>
        <v/>
      </c>
      <c r="P33" s="25">
        <f>ROUND($B$4*$B$9*$B$12*$B$15*$B$18*$B$19*$B$21,0)</f>
        <v/>
      </c>
      <c r="Q33" s="25">
        <f>ROUND($B$4*$B$9*$B$12*$B$15*$B$18*$B$19*$B$22,0)</f>
        <v/>
      </c>
      <c r="R33" s="25">
        <f>ROUND($B$4*$B$9*$B$12*$B$15*$B$18*$B$20*$B$21,0)</f>
        <v/>
      </c>
      <c r="S33" s="25">
        <f>ROUND($B$4*$B$9*$B$12*$B$15*$B$18*$B$20*$B$22,0)</f>
        <v/>
      </c>
      <c r="T33" s="25">
        <f>ROUND($B$4*$B$9*$B$12*$B$16*$B$17*$B$19*$B$21,0)</f>
        <v/>
      </c>
      <c r="U33" s="25">
        <f>ROUND($B$4*$B$9*$B$12*$B$16*$B$17*$B$19*$B$22,0)</f>
        <v/>
      </c>
      <c r="V33" s="25">
        <f>ROUND($B$4*$B$9*$B$12*$B$16*$B$17*$B$20*$B$21,0)</f>
        <v/>
      </c>
      <c r="W33" s="25">
        <f>ROUND($B$4*$B$9*$B$12*$B$16*$B$17*$B$20*$B$22,0)</f>
        <v/>
      </c>
      <c r="X33" s="25">
        <f>ROUND($B$4*$B$9*$B$12*$B$16*$B$18*$B$19*$B$21,0)</f>
        <v/>
      </c>
      <c r="Y33" s="25">
        <f>ROUND($B$4*$B$9*$B$12*$B$16*$B$18*$B$19*$B$22,0)</f>
        <v/>
      </c>
      <c r="Z33" s="25">
        <f>ROUND($B$4*$B$9*$B$12*$B$16*$B$18*$B$20*$B$21,0)</f>
        <v/>
      </c>
      <c r="AA33" s="25">
        <f>ROUND($B$4*$B$9*$B$12*$B$16*$B$18*$B$20*$B$22,0)</f>
        <v/>
      </c>
    </row>
    <row r="34" ht="20.1" customHeight="1" s="62">
      <c r="A34" s="81" t="n"/>
      <c r="B34" s="59" t="n"/>
      <c r="C34" s="26" t="inlineStr">
        <is>
          <t>6+ outils</t>
        </is>
      </c>
      <c r="D34" s="25">
        <f>ROUND($B$4*$B$9*$B$13*$B$14*$B$17*$B$19*$B$21,0)</f>
        <v/>
      </c>
      <c r="E34" s="25">
        <f>ROUND($B$4*$B$9*$B$13*$B$14*$B$17*$B$19*$B$22,0)</f>
        <v/>
      </c>
      <c r="F34" s="25">
        <f>ROUND($B$4*$B$9*$B$13*$B$14*$B$17*$B$20*$B$21,0)</f>
        <v/>
      </c>
      <c r="G34" s="25">
        <f>ROUND($B$4*$B$9*$B$13*$B$14*$B$17*$B$20*$B$22,0)</f>
        <v/>
      </c>
      <c r="H34" s="25">
        <f>ROUND($B$4*$B$9*$B$13*$B$14*$B$18*$B$19*$B$21,0)</f>
        <v/>
      </c>
      <c r="I34" s="25">
        <f>ROUND($B$4*$B$9*$B$13*$B$14*$B$18*$B$19*$B$22,0)</f>
        <v/>
      </c>
      <c r="J34" s="25">
        <f>ROUND($B$4*$B$9*$B$13*$B$14*$B$18*$B$20*$B$21,0)</f>
        <v/>
      </c>
      <c r="K34" s="25">
        <f>ROUND($B$4*$B$9*$B$13*$B$14*$B$18*$B$20*$B$22,0)</f>
        <v/>
      </c>
      <c r="L34" s="25">
        <f>ROUND($B$4*$B$9*$B$13*$B$15*$B$17*$B$19*$B$21,0)</f>
        <v/>
      </c>
      <c r="M34" s="25">
        <f>ROUND($B$4*$B$9*$B$13*$B$15*$B$17*$B$19*$B$22,0)</f>
        <v/>
      </c>
      <c r="N34" s="25">
        <f>ROUND($B$4*$B$9*$B$13*$B$15*$B$17*$B$20*$B$21,0)</f>
        <v/>
      </c>
      <c r="O34" s="25">
        <f>ROUND($B$4*$B$9*$B$13*$B$15*$B$17*$B$20*$B$22,0)</f>
        <v/>
      </c>
      <c r="P34" s="25">
        <f>ROUND($B$4*$B$9*$B$13*$B$15*$B$18*$B$19*$B$21,0)</f>
        <v/>
      </c>
      <c r="Q34" s="25">
        <f>ROUND($B$4*$B$9*$B$13*$B$15*$B$18*$B$19*$B$22,0)</f>
        <v/>
      </c>
      <c r="R34" s="25">
        <f>ROUND($B$4*$B$9*$B$13*$B$15*$B$18*$B$20*$B$21,0)</f>
        <v/>
      </c>
      <c r="S34" s="25">
        <f>ROUND($B$4*$B$9*$B$13*$B$15*$B$18*$B$20*$B$22,0)</f>
        <v/>
      </c>
      <c r="T34" s="25">
        <f>ROUND($B$4*$B$9*$B$13*$B$16*$B$17*$B$19*$B$21,0)</f>
        <v/>
      </c>
      <c r="U34" s="25">
        <f>ROUND($B$4*$B$9*$B$13*$B$16*$B$17*$B$19*$B$22,0)</f>
        <v/>
      </c>
      <c r="V34" s="25">
        <f>ROUND($B$4*$B$9*$B$13*$B$16*$B$17*$B$20*$B$21,0)</f>
        <v/>
      </c>
      <c r="W34" s="25">
        <f>ROUND($B$4*$B$9*$B$13*$B$16*$B$17*$B$20*$B$22,0)</f>
        <v/>
      </c>
      <c r="X34" s="25">
        <f>ROUND($B$4*$B$9*$B$13*$B$16*$B$18*$B$19*$B$21,0)</f>
        <v/>
      </c>
      <c r="Y34" s="25">
        <f>ROUND($B$4*$B$9*$B$13*$B$16*$B$18*$B$19*$B$22,0)</f>
        <v/>
      </c>
      <c r="Z34" s="25">
        <f>ROUND($B$4*$B$9*$B$13*$B$16*$B$18*$B$20*$B$21,0)</f>
        <v/>
      </c>
      <c r="AA34" s="25">
        <f>ROUND($B$4*$B$9*$B$13*$B$16*$B$18*$B$20*$B$22,0)</f>
        <v/>
      </c>
    </row>
    <row r="35" ht="20.1" customHeight="1" s="62">
      <c r="A35" s="81" t="n"/>
      <c r="B35" s="73" t="inlineStr">
        <is>
          <t>7+ processus</t>
        </is>
      </c>
      <c r="C35" s="24" t="inlineStr">
        <is>
          <t>2 outils</t>
        </is>
      </c>
      <c r="D35" s="25">
        <f>ROUND($B$4*$B$10*$B$11*$B$14*$B$17*$B$19*$B$21,0)</f>
        <v/>
      </c>
      <c r="E35" s="25">
        <f>ROUND($B$4*$B$10*$B$11*$B$14*$B$17*$B$19*$B$22,0)</f>
        <v/>
      </c>
      <c r="F35" s="25">
        <f>ROUND($B$4*$B$10*$B$11*$B$14*$B$17*$B$20*$B$21,0)</f>
        <v/>
      </c>
      <c r="G35" s="25">
        <f>ROUND($B$4*$B$10*$B$11*$B$14*$B$17*$B$20*$B$22,0)</f>
        <v/>
      </c>
      <c r="H35" s="25">
        <f>ROUND($B$4*$B$10*$B$11*$B$14*$B$18*$B$19*$B$21,0)</f>
        <v/>
      </c>
      <c r="I35" s="25">
        <f>ROUND($B$4*$B$10*$B$11*$B$14*$B$18*$B$19*$B$22,0)</f>
        <v/>
      </c>
      <c r="J35" s="25">
        <f>ROUND($B$4*$B$10*$B$11*$B$14*$B$18*$B$20*$B$21,0)</f>
        <v/>
      </c>
      <c r="K35" s="25">
        <f>ROUND($B$4*$B$10*$B$11*$B$14*$B$18*$B$20*$B$22,0)</f>
        <v/>
      </c>
      <c r="L35" s="25">
        <f>ROUND($B$4*$B$10*$B$11*$B$15*$B$17*$B$19*$B$21,0)</f>
        <v/>
      </c>
      <c r="M35" s="25">
        <f>ROUND($B$4*$B$10*$B$11*$B$15*$B$17*$B$19*$B$22,0)</f>
        <v/>
      </c>
      <c r="N35" s="25">
        <f>ROUND($B$4*$B$10*$B$11*$B$15*$B$17*$B$20*$B$21,0)</f>
        <v/>
      </c>
      <c r="O35" s="25">
        <f>ROUND($B$4*$B$10*$B$11*$B$15*$B$17*$B$20*$B$22,0)</f>
        <v/>
      </c>
      <c r="P35" s="25">
        <f>ROUND($B$4*$B$10*$B$11*$B$15*$B$18*$B$19*$B$21,0)</f>
        <v/>
      </c>
      <c r="Q35" s="25">
        <f>ROUND($B$4*$B$10*$B$11*$B$15*$B$18*$B$19*$B$22,0)</f>
        <v/>
      </c>
      <c r="R35" s="25">
        <f>ROUND($B$4*$B$10*$B$11*$B$15*$B$18*$B$20*$B$21,0)</f>
        <v/>
      </c>
      <c r="S35" s="25">
        <f>ROUND($B$4*$B$10*$B$11*$B$15*$B$18*$B$20*$B$22,0)</f>
        <v/>
      </c>
      <c r="T35" s="25">
        <f>ROUND($B$4*$B$10*$B$11*$B$16*$B$17*$B$19*$B$21,0)</f>
        <v/>
      </c>
      <c r="U35" s="25">
        <f>ROUND($B$4*$B$10*$B$11*$B$16*$B$17*$B$19*$B$22,0)</f>
        <v/>
      </c>
      <c r="V35" s="25">
        <f>ROUND($B$4*$B$10*$B$11*$B$16*$B$17*$B$20*$B$21,0)</f>
        <v/>
      </c>
      <c r="W35" s="25">
        <f>ROUND($B$4*$B$10*$B$11*$B$16*$B$17*$B$20*$B$22,0)</f>
        <v/>
      </c>
      <c r="X35" s="25">
        <f>ROUND($B$4*$B$10*$B$11*$B$16*$B$18*$B$19*$B$21,0)</f>
        <v/>
      </c>
      <c r="Y35" s="25">
        <f>ROUND($B$4*$B$10*$B$11*$B$16*$B$18*$B$19*$B$22,0)</f>
        <v/>
      </c>
      <c r="Z35" s="25">
        <f>ROUND($B$4*$B$10*$B$11*$B$16*$B$18*$B$20*$B$21,0)</f>
        <v/>
      </c>
      <c r="AA35" s="25">
        <f>ROUND($B$4*$B$10*$B$11*$B$16*$B$18*$B$20*$B$22,0)</f>
        <v/>
      </c>
    </row>
    <row r="36" ht="20.1" customHeight="1" s="62">
      <c r="A36" s="81" t="n"/>
      <c r="B36" s="58" t="n"/>
      <c r="C36" s="73" t="inlineStr">
        <is>
          <t>3-5 outils</t>
        </is>
      </c>
      <c r="D36" s="25">
        <f>ROUND($B$4*$B$10*$B$12*$B$14*$B$17*$B$19*$B$21,0)</f>
        <v/>
      </c>
      <c r="E36" s="25">
        <f>ROUND($B$4*$B$10*$B$12*$B$14*$B$17*$B$19*$B$22,0)</f>
        <v/>
      </c>
      <c r="F36" s="25">
        <f>ROUND($B$4*$B$10*$B$12*$B$14*$B$17*$B$20*$B$21,0)</f>
        <v/>
      </c>
      <c r="G36" s="25">
        <f>ROUND($B$4*$B$10*$B$12*$B$14*$B$17*$B$20*$B$22,0)</f>
        <v/>
      </c>
      <c r="H36" s="25">
        <f>ROUND($B$4*$B$10*$B$12*$B$14*$B$18*$B$19*$B$21,0)</f>
        <v/>
      </c>
      <c r="I36" s="25">
        <f>ROUND($B$4*$B$10*$B$12*$B$14*$B$18*$B$19*$B$22,0)</f>
        <v/>
      </c>
      <c r="J36" s="25">
        <f>ROUND($B$4*$B$10*$B$12*$B$14*$B$18*$B$20*$B$21,0)</f>
        <v/>
      </c>
      <c r="K36" s="25">
        <f>ROUND($B$4*$B$10*$B$12*$B$14*$B$18*$B$20*$B$22,0)</f>
        <v/>
      </c>
      <c r="L36" s="25">
        <f>ROUND($B$4*$B$10*$B$12*$B$15*$B$17*$B$19*$B$21,0)</f>
        <v/>
      </c>
      <c r="M36" s="25">
        <f>ROUND($B$4*$B$10*$B$12*$B$15*$B$17*$B$19*$B$22,0)</f>
        <v/>
      </c>
      <c r="N36" s="25">
        <f>ROUND($B$4*$B$10*$B$12*$B$15*$B$17*$B$20*$B$21,0)</f>
        <v/>
      </c>
      <c r="O36" s="25">
        <f>ROUND($B$4*$B$10*$B$12*$B$15*$B$17*$B$20*$B$22,0)</f>
        <v/>
      </c>
      <c r="P36" s="25">
        <f>ROUND($B$4*$B$10*$B$12*$B$15*$B$18*$B$19*$B$21,0)</f>
        <v/>
      </c>
      <c r="Q36" s="25">
        <f>ROUND($B$4*$B$10*$B$12*$B$15*$B$18*$B$19*$B$22,0)</f>
        <v/>
      </c>
      <c r="R36" s="25">
        <f>ROUND($B$4*$B$10*$B$12*$B$15*$B$18*$B$20*$B$21,0)</f>
        <v/>
      </c>
      <c r="S36" s="25">
        <f>ROUND($B$4*$B$10*$B$12*$B$15*$B$18*$B$20*$B$22,0)</f>
        <v/>
      </c>
      <c r="T36" s="25">
        <f>ROUND($B$4*$B$10*$B$12*$B$16*$B$17*$B$19*$B$21,0)</f>
        <v/>
      </c>
      <c r="U36" s="25">
        <f>ROUND($B$4*$B$10*$B$12*$B$16*$B$17*$B$19*$B$22,0)</f>
        <v/>
      </c>
      <c r="V36" s="25">
        <f>ROUND($B$4*$B$10*$B$12*$B$16*$B$17*$B$20*$B$21,0)</f>
        <v/>
      </c>
      <c r="W36" s="25">
        <f>ROUND($B$4*$B$10*$B$12*$B$16*$B$17*$B$20*$B$22,0)</f>
        <v/>
      </c>
      <c r="X36" s="25">
        <f>ROUND($B$4*$B$10*$B$12*$B$16*$B$18*$B$19*$B$21,0)</f>
        <v/>
      </c>
      <c r="Y36" s="25">
        <f>ROUND($B$4*$B$10*$B$12*$B$16*$B$18*$B$19*$B$22,0)</f>
        <v/>
      </c>
      <c r="Z36" s="25">
        <f>ROUND($B$4*$B$10*$B$12*$B$16*$B$18*$B$20*$B$21,0)</f>
        <v/>
      </c>
      <c r="AA36" s="25">
        <f>ROUND($B$4*$B$10*$B$12*$B$16*$B$18*$B$20*$B$22,0)</f>
        <v/>
      </c>
    </row>
    <row r="37" ht="20.1" customHeight="1" s="62">
      <c r="A37" s="82" t="n"/>
      <c r="B37" s="59" t="n"/>
      <c r="C37" s="26" t="inlineStr">
        <is>
          <t>6+ outils</t>
        </is>
      </c>
      <c r="D37" s="25">
        <f>ROUND($B$4*$B$10*$B$13*$B$14*$B$17*$B$19*$B$21,0)</f>
        <v/>
      </c>
      <c r="E37" s="25">
        <f>ROUND($B$4*$B$10*$B$13*$B$14*$B$17*$B$19*$B$22,0)</f>
        <v/>
      </c>
      <c r="F37" s="25">
        <f>ROUND($B$4*$B$10*$B$13*$B$14*$B$17*$B$20*$B$21,0)</f>
        <v/>
      </c>
      <c r="G37" s="25">
        <f>ROUND($B$4*$B$10*$B$13*$B$14*$B$17*$B$20*$B$22,0)</f>
        <v/>
      </c>
      <c r="H37" s="25">
        <f>ROUND($B$4*$B$10*$B$13*$B$14*$B$18*$B$19*$B$21,0)</f>
        <v/>
      </c>
      <c r="I37" s="25">
        <f>ROUND($B$4*$B$10*$B$13*$B$14*$B$18*$B$19*$B$22,0)</f>
        <v/>
      </c>
      <c r="J37" s="25">
        <f>ROUND($B$4*$B$10*$B$13*$B$14*$B$18*$B$20*$B$21,0)</f>
        <v/>
      </c>
      <c r="K37" s="25">
        <f>ROUND($B$4*$B$10*$B$13*$B$14*$B$18*$B$20*$B$22,0)</f>
        <v/>
      </c>
      <c r="L37" s="25">
        <f>ROUND($B$4*$B$10*$B$13*$B$15*$B$17*$B$19*$B$21,0)</f>
        <v/>
      </c>
      <c r="M37" s="25">
        <f>ROUND($B$4*$B$10*$B$13*$B$15*$B$17*$B$19*$B$22,0)</f>
        <v/>
      </c>
      <c r="N37" s="25">
        <f>ROUND($B$4*$B$10*$B$13*$B$15*$B$17*$B$20*$B$21,0)</f>
        <v/>
      </c>
      <c r="O37" s="25">
        <f>ROUND($B$4*$B$10*$B$13*$B$15*$B$17*$B$20*$B$22,0)</f>
        <v/>
      </c>
      <c r="P37" s="25">
        <f>ROUND($B$4*$B$10*$B$13*$B$15*$B$18*$B$19*$B$21,0)</f>
        <v/>
      </c>
      <c r="Q37" s="25">
        <f>ROUND($B$4*$B$10*$B$13*$B$15*$B$18*$B$19*$B$22,0)</f>
        <v/>
      </c>
      <c r="R37" s="25">
        <f>ROUND($B$4*$B$10*$B$13*$B$15*$B$18*$B$20*$B$21,0)</f>
        <v/>
      </c>
      <c r="S37" s="25">
        <f>ROUND($B$4*$B$10*$B$13*$B$15*$B$18*$B$20*$B$22,0)</f>
        <v/>
      </c>
      <c r="T37" s="25">
        <f>ROUND($B$4*$B$10*$B$13*$B$16*$B$17*$B$19*$B$21,0)</f>
        <v/>
      </c>
      <c r="U37" s="25">
        <f>ROUND($B$4*$B$10*$B$13*$B$16*$B$17*$B$19*$B$22,0)</f>
        <v/>
      </c>
      <c r="V37" s="25">
        <f>ROUND($B$4*$B$10*$B$13*$B$16*$B$17*$B$20*$B$21,0)</f>
        <v/>
      </c>
      <c r="W37" s="25">
        <f>ROUND($B$4*$B$10*$B$13*$B$16*$B$17*$B$20*$B$22,0)</f>
        <v/>
      </c>
      <c r="X37" s="25">
        <f>ROUND($B$4*$B$10*$B$13*$B$16*$B$18*$B$19*$B$21,0)</f>
        <v/>
      </c>
      <c r="Y37" s="25">
        <f>ROUND($B$4*$B$10*$B$13*$B$16*$B$18*$B$19*$B$22,0)</f>
        <v/>
      </c>
      <c r="Z37" s="25">
        <f>ROUND($B$4*$B$10*$B$13*$B$16*$B$18*$B$20*$B$21,0)</f>
        <v/>
      </c>
      <c r="AA37" s="25">
        <f>ROUND($B$4*$B$10*$B$13*$B$16*$B$18*$B$20*$B$22,0)</f>
        <v/>
      </c>
    </row>
    <row r="38" ht="20.1" customHeight="1" s="62">
      <c r="A38" s="80" t="inlineStr">
        <is>
          <t>Intermédiaire (multi-outils)</t>
        </is>
      </c>
      <c r="B38" s="73" t="inlineStr">
        <is>
          <t>1-2 processus</t>
        </is>
      </c>
      <c r="C38" s="24" t="inlineStr">
        <is>
          <t>2 outils</t>
        </is>
      </c>
      <c r="D38" s="25">
        <f>ROUND($B$5*$B$8*$B$11*$B$14*$B$17*$B$19*$B$21,0)</f>
        <v/>
      </c>
      <c r="E38" s="25">
        <f>ROUND($B$5*$B$8*$B$11*$B$14*$B$17*$B$19*$B$22,0)</f>
        <v/>
      </c>
      <c r="F38" s="25">
        <f>ROUND($B$5*$B$8*$B$11*$B$14*$B$17*$B$20*$B$21,0)</f>
        <v/>
      </c>
      <c r="G38" s="25">
        <f>ROUND($B$5*$B$8*$B$11*$B$14*$B$17*$B$20*$B$22,0)</f>
        <v/>
      </c>
      <c r="H38" s="25">
        <f>ROUND($B$5*$B$8*$B$11*$B$14*$B$18*$B$19*$B$21,0)</f>
        <v/>
      </c>
      <c r="I38" s="25">
        <f>ROUND($B$5*$B$8*$B$11*$B$14*$B$18*$B$19*$B$22,0)</f>
        <v/>
      </c>
      <c r="J38" s="25">
        <f>ROUND($B$5*$B$8*$B$11*$B$14*$B$18*$B$20*$B$21,0)</f>
        <v/>
      </c>
      <c r="K38" s="25">
        <f>ROUND($B$5*$B$8*$B$11*$B$14*$B$18*$B$20*$B$22,0)</f>
        <v/>
      </c>
      <c r="L38" s="25">
        <f>ROUND($B$5*$B$8*$B$11*$B$15*$B$17*$B$19*$B$21,0)</f>
        <v/>
      </c>
      <c r="M38" s="25">
        <f>ROUND($B$5*$B$8*$B$11*$B$15*$B$17*$B$19*$B$22,0)</f>
        <v/>
      </c>
      <c r="N38" s="25">
        <f>ROUND($B$5*$B$8*$B$11*$B$15*$B$17*$B$20*$B$21,0)</f>
        <v/>
      </c>
      <c r="O38" s="25">
        <f>ROUND($B$5*$B$8*$B$11*$B$15*$B$17*$B$20*$B$22,0)</f>
        <v/>
      </c>
      <c r="P38" s="25">
        <f>ROUND($B$5*$B$8*$B$11*$B$15*$B$18*$B$19*$B$21,0)</f>
        <v/>
      </c>
      <c r="Q38" s="25">
        <f>ROUND($B$5*$B$8*$B$11*$B$15*$B$18*$B$19*$B$22,0)</f>
        <v/>
      </c>
      <c r="R38" s="25">
        <f>ROUND($B$5*$B$8*$B$11*$B$15*$B$18*$B$20*$B$21,0)</f>
        <v/>
      </c>
      <c r="S38" s="25">
        <f>ROUND($B$5*$B$8*$B$11*$B$15*$B$18*$B$20*$B$22,0)</f>
        <v/>
      </c>
      <c r="T38" s="25">
        <f>ROUND($B$5*$B$8*$B$11*$B$16*$B$17*$B$19*$B$21,0)</f>
        <v/>
      </c>
      <c r="U38" s="25">
        <f>ROUND($B$5*$B$8*$B$11*$B$16*$B$17*$B$19*$B$22,0)</f>
        <v/>
      </c>
      <c r="V38" s="25">
        <f>ROUND($B$5*$B$8*$B$11*$B$16*$B$17*$B$20*$B$21,0)</f>
        <v/>
      </c>
      <c r="W38" s="25">
        <f>ROUND($B$5*$B$8*$B$11*$B$16*$B$17*$B$20*$B$22,0)</f>
        <v/>
      </c>
      <c r="X38" s="25">
        <f>ROUND($B$5*$B$8*$B$11*$B$16*$B$18*$B$19*$B$21,0)</f>
        <v/>
      </c>
      <c r="Y38" s="25">
        <f>ROUND($B$5*$B$8*$B$11*$B$16*$B$18*$B$19*$B$22,0)</f>
        <v/>
      </c>
      <c r="Z38" s="25">
        <f>ROUND($B$5*$B$8*$B$11*$B$16*$B$18*$B$20*$B$21,0)</f>
        <v/>
      </c>
      <c r="AA38" s="25">
        <f>ROUND($B$5*$B$8*$B$11*$B$16*$B$18*$B$20*$B$22,0)</f>
        <v/>
      </c>
    </row>
    <row r="39" ht="20.1" customHeight="1" s="62">
      <c r="A39" s="81" t="n"/>
      <c r="B39" s="58" t="n"/>
      <c r="C39" s="73" t="inlineStr">
        <is>
          <t>3-5 outils</t>
        </is>
      </c>
      <c r="D39" s="25">
        <f>ROUND($B$5*$B$8*$B$12*$B$14*$B$17*$B$19*$B$21,0)</f>
        <v/>
      </c>
      <c r="E39" s="25">
        <f>ROUND($B$5*$B$8*$B$12*$B$14*$B$17*$B$19*$B$22,0)</f>
        <v/>
      </c>
      <c r="F39" s="25">
        <f>ROUND($B$5*$B$8*$B$12*$B$14*$B$17*$B$20*$B$21,0)</f>
        <v/>
      </c>
      <c r="G39" s="25">
        <f>ROUND($B$5*$B$8*$B$12*$B$14*$B$17*$B$20*$B$22,0)</f>
        <v/>
      </c>
      <c r="H39" s="25">
        <f>ROUND($B$5*$B$8*$B$12*$B$14*$B$18*$B$19*$B$21,0)</f>
        <v/>
      </c>
      <c r="I39" s="25">
        <f>ROUND($B$5*$B$8*$B$12*$B$14*$B$18*$B$19*$B$22,0)</f>
        <v/>
      </c>
      <c r="J39" s="25">
        <f>ROUND($B$5*$B$8*$B$12*$B$14*$B$18*$B$20*$B$21,0)</f>
        <v/>
      </c>
      <c r="K39" s="25">
        <f>ROUND($B$5*$B$8*$B$12*$B$14*$B$18*$B$20*$B$22,0)</f>
        <v/>
      </c>
      <c r="L39" s="25">
        <f>ROUND($B$5*$B$8*$B$12*$B$15*$B$17*$B$19*$B$21,0)</f>
        <v/>
      </c>
      <c r="M39" s="25">
        <f>ROUND($B$5*$B$8*$B$12*$B$15*$B$17*$B$19*$B$22,0)</f>
        <v/>
      </c>
      <c r="N39" s="25">
        <f>ROUND($B$5*$B$8*$B$12*$B$15*$B$17*$B$20*$B$21,0)</f>
        <v/>
      </c>
      <c r="O39" s="25">
        <f>ROUND($B$5*$B$8*$B$12*$B$15*$B$17*$B$20*$B$22,0)</f>
        <v/>
      </c>
      <c r="P39" s="25">
        <f>ROUND($B$5*$B$8*$B$12*$B$15*$B$18*$B$19*$B$21,0)</f>
        <v/>
      </c>
      <c r="Q39" s="25">
        <f>ROUND($B$5*$B$8*$B$12*$B$15*$B$18*$B$19*$B$22,0)</f>
        <v/>
      </c>
      <c r="R39" s="25">
        <f>ROUND($B$5*$B$8*$B$12*$B$15*$B$18*$B$20*$B$21,0)</f>
        <v/>
      </c>
      <c r="S39" s="25">
        <f>ROUND($B$5*$B$8*$B$12*$B$15*$B$18*$B$20*$B$22,0)</f>
        <v/>
      </c>
      <c r="T39" s="25">
        <f>ROUND($B$5*$B$8*$B$12*$B$16*$B$17*$B$19*$B$21,0)</f>
        <v/>
      </c>
      <c r="U39" s="25">
        <f>ROUND($B$5*$B$8*$B$12*$B$16*$B$17*$B$19*$B$22,0)</f>
        <v/>
      </c>
      <c r="V39" s="25">
        <f>ROUND($B$5*$B$8*$B$12*$B$16*$B$17*$B$20*$B$21,0)</f>
        <v/>
      </c>
      <c r="W39" s="25">
        <f>ROUND($B$5*$B$8*$B$12*$B$16*$B$17*$B$20*$B$22,0)</f>
        <v/>
      </c>
      <c r="X39" s="25">
        <f>ROUND($B$5*$B$8*$B$12*$B$16*$B$18*$B$19*$B$21,0)</f>
        <v/>
      </c>
      <c r="Y39" s="25">
        <f>ROUND($B$5*$B$8*$B$12*$B$16*$B$18*$B$19*$B$22,0)</f>
        <v/>
      </c>
      <c r="Z39" s="25">
        <f>ROUND($B$5*$B$8*$B$12*$B$16*$B$18*$B$20*$B$21,0)</f>
        <v/>
      </c>
      <c r="AA39" s="25">
        <f>ROUND($B$5*$B$8*$B$12*$B$16*$B$18*$B$20*$B$22,0)</f>
        <v/>
      </c>
    </row>
    <row r="40" ht="20.1" customHeight="1" s="62">
      <c r="A40" s="81" t="n"/>
      <c r="B40" s="59" t="n"/>
      <c r="C40" s="26" t="inlineStr">
        <is>
          <t>6+ outils</t>
        </is>
      </c>
      <c r="D40" s="25">
        <f>ROUND($B$5*$B$8*$B$13*$B$14*$B$17*$B$19*$B$21,0)</f>
        <v/>
      </c>
      <c r="E40" s="25">
        <f>ROUND($B$5*$B$8*$B$13*$B$14*$B$17*$B$19*$B$22,0)</f>
        <v/>
      </c>
      <c r="F40" s="25">
        <f>ROUND($B$5*$B$8*$B$13*$B$14*$B$17*$B$20*$B$21,0)</f>
        <v/>
      </c>
      <c r="G40" s="25">
        <f>ROUND($B$5*$B$8*$B$13*$B$14*$B$17*$B$20*$B$22,0)</f>
        <v/>
      </c>
      <c r="H40" s="25">
        <f>ROUND($B$5*$B$8*$B$13*$B$14*$B$18*$B$19*$B$21,0)</f>
        <v/>
      </c>
      <c r="I40" s="25">
        <f>ROUND($B$5*$B$8*$B$13*$B$14*$B$18*$B$19*$B$22,0)</f>
        <v/>
      </c>
      <c r="J40" s="25">
        <f>ROUND($B$5*$B$8*$B$13*$B$14*$B$18*$B$20*$B$21,0)</f>
        <v/>
      </c>
      <c r="K40" s="25">
        <f>ROUND($B$5*$B$8*$B$13*$B$14*$B$18*$B$20*$B$22,0)</f>
        <v/>
      </c>
      <c r="L40" s="25">
        <f>ROUND($B$5*$B$8*$B$13*$B$15*$B$17*$B$19*$B$21,0)</f>
        <v/>
      </c>
      <c r="M40" s="25">
        <f>ROUND($B$5*$B$8*$B$13*$B$15*$B$17*$B$19*$B$22,0)</f>
        <v/>
      </c>
      <c r="N40" s="25">
        <f>ROUND($B$5*$B$8*$B$13*$B$15*$B$17*$B$20*$B$21,0)</f>
        <v/>
      </c>
      <c r="O40" s="25">
        <f>ROUND($B$5*$B$8*$B$13*$B$15*$B$17*$B$20*$B$22,0)</f>
        <v/>
      </c>
      <c r="P40" s="25">
        <f>ROUND($B$5*$B$8*$B$13*$B$15*$B$18*$B$19*$B$21,0)</f>
        <v/>
      </c>
      <c r="Q40" s="25">
        <f>ROUND($B$5*$B$8*$B$13*$B$15*$B$18*$B$19*$B$22,0)</f>
        <v/>
      </c>
      <c r="R40" s="25">
        <f>ROUND($B$5*$B$8*$B$13*$B$15*$B$18*$B$20*$B$21,0)</f>
        <v/>
      </c>
      <c r="S40" s="25">
        <f>ROUND($B$5*$B$8*$B$13*$B$15*$B$18*$B$20*$B$22,0)</f>
        <v/>
      </c>
      <c r="T40" s="25">
        <f>ROUND($B$5*$B$8*$B$13*$B$16*$B$17*$B$19*$B$21,0)</f>
        <v/>
      </c>
      <c r="U40" s="25">
        <f>ROUND($B$5*$B$8*$B$13*$B$16*$B$17*$B$19*$B$22,0)</f>
        <v/>
      </c>
      <c r="V40" s="25">
        <f>ROUND($B$5*$B$8*$B$13*$B$16*$B$17*$B$20*$B$21,0)</f>
        <v/>
      </c>
      <c r="W40" s="25">
        <f>ROUND($B$5*$B$8*$B$13*$B$16*$B$17*$B$20*$B$22,0)</f>
        <v/>
      </c>
      <c r="X40" s="25">
        <f>ROUND($B$5*$B$8*$B$13*$B$16*$B$18*$B$19*$B$21,0)</f>
        <v/>
      </c>
      <c r="Y40" s="25">
        <f>ROUND($B$5*$B$8*$B$13*$B$16*$B$18*$B$19*$B$22,0)</f>
        <v/>
      </c>
      <c r="Z40" s="25">
        <f>ROUND($B$5*$B$8*$B$13*$B$16*$B$18*$B$20*$B$21,0)</f>
        <v/>
      </c>
      <c r="AA40" s="25">
        <f>ROUND($B$5*$B$8*$B$13*$B$16*$B$18*$B$20*$B$22,0)</f>
        <v/>
      </c>
    </row>
    <row r="41" ht="20.1" customHeight="1" s="62">
      <c r="A41" s="81" t="n"/>
      <c r="B41" s="73" t="inlineStr">
        <is>
          <t>3-6 processus</t>
        </is>
      </c>
      <c r="C41" s="24" t="inlineStr">
        <is>
          <t>2 outils</t>
        </is>
      </c>
      <c r="D41" s="25">
        <f>ROUND($B$5*$B$9*$B$11*$B$14*$B$17*$B$19*$B$21,0)</f>
        <v/>
      </c>
      <c r="E41" s="25">
        <f>ROUND($B$5*$B$9*$B$11*$B$14*$B$17*$B$19*$B$22,0)</f>
        <v/>
      </c>
      <c r="F41" s="25">
        <f>ROUND($B$5*$B$9*$B$11*$B$14*$B$17*$B$20*$B$21,0)</f>
        <v/>
      </c>
      <c r="G41" s="25">
        <f>ROUND($B$5*$B$9*$B$11*$B$14*$B$17*$B$20*$B$22,0)</f>
        <v/>
      </c>
      <c r="H41" s="25">
        <f>ROUND($B$5*$B$9*$B$11*$B$14*$B$18*$B$19*$B$21,0)</f>
        <v/>
      </c>
      <c r="I41" s="25">
        <f>ROUND($B$5*$B$9*$B$11*$B$14*$B$18*$B$19*$B$22,0)</f>
        <v/>
      </c>
      <c r="J41" s="25">
        <f>ROUND($B$5*$B$9*$B$11*$B$14*$B$18*$B$20*$B$21,0)</f>
        <v/>
      </c>
      <c r="K41" s="25">
        <f>ROUND($B$5*$B$9*$B$11*$B$14*$B$18*$B$20*$B$22,0)</f>
        <v/>
      </c>
      <c r="L41" s="25">
        <f>ROUND($B$5*$B$9*$B$11*$B$15*$B$17*$B$19*$B$21,0)</f>
        <v/>
      </c>
      <c r="M41" s="25">
        <f>ROUND($B$5*$B$9*$B$11*$B$15*$B$17*$B$19*$B$22,0)</f>
        <v/>
      </c>
      <c r="N41" s="25">
        <f>ROUND($B$5*$B$9*$B$11*$B$15*$B$17*$B$20*$B$21,0)</f>
        <v/>
      </c>
      <c r="O41" s="25">
        <f>ROUND($B$5*$B$9*$B$11*$B$15*$B$17*$B$20*$B$22,0)</f>
        <v/>
      </c>
      <c r="P41" s="25">
        <f>ROUND($B$5*$B$9*$B$11*$B$15*$B$18*$B$19*$B$21,0)</f>
        <v/>
      </c>
      <c r="Q41" s="25">
        <f>ROUND($B$5*$B$9*$B$11*$B$15*$B$18*$B$19*$B$22,0)</f>
        <v/>
      </c>
      <c r="R41" s="25">
        <f>ROUND($B$5*$B$9*$B$11*$B$15*$B$18*$B$20*$B$21,0)</f>
        <v/>
      </c>
      <c r="S41" s="25">
        <f>ROUND($B$5*$B$9*$B$11*$B$15*$B$18*$B$20*$B$22,0)</f>
        <v/>
      </c>
      <c r="T41" s="25">
        <f>ROUND($B$5*$B$9*$B$11*$B$16*$B$17*$B$19*$B$21,0)</f>
        <v/>
      </c>
      <c r="U41" s="25">
        <f>ROUND($B$5*$B$9*$B$11*$B$16*$B$17*$B$19*$B$22,0)</f>
        <v/>
      </c>
      <c r="V41" s="25">
        <f>ROUND($B$5*$B$9*$B$11*$B$16*$B$17*$B$20*$B$21,0)</f>
        <v/>
      </c>
      <c r="W41" s="25">
        <f>ROUND($B$5*$B$9*$B$11*$B$16*$B$17*$B$20*$B$22,0)</f>
        <v/>
      </c>
      <c r="X41" s="25">
        <f>ROUND($B$5*$B$9*$B$11*$B$16*$B$18*$B$19*$B$21,0)</f>
        <v/>
      </c>
      <c r="Y41" s="25">
        <f>ROUND($B$5*$B$9*$B$11*$B$16*$B$18*$B$19*$B$22,0)</f>
        <v/>
      </c>
      <c r="Z41" s="25">
        <f>ROUND($B$5*$B$9*$B$11*$B$16*$B$18*$B$20*$B$21,0)</f>
        <v/>
      </c>
      <c r="AA41" s="25">
        <f>ROUND($B$5*$B$9*$B$11*$B$16*$B$18*$B$20*$B$22,0)</f>
        <v/>
      </c>
    </row>
    <row r="42" ht="20.1" customHeight="1" s="62">
      <c r="A42" s="81" t="n"/>
      <c r="B42" s="58" t="n"/>
      <c r="C42" s="73" t="inlineStr">
        <is>
          <t>3-5 outils</t>
        </is>
      </c>
      <c r="D42" s="25">
        <f>ROUND($B$5*$B$9*$B$12*$B$14*$B$17*$B$19*$B$21,0)</f>
        <v/>
      </c>
      <c r="E42" s="25">
        <f>ROUND($B$5*$B$9*$B$12*$B$14*$B$17*$B$19*$B$22,0)</f>
        <v/>
      </c>
      <c r="F42" s="25">
        <f>ROUND($B$5*$B$9*$B$12*$B$14*$B$17*$B$20*$B$21,0)</f>
        <v/>
      </c>
      <c r="G42" s="25">
        <f>ROUND($B$5*$B$9*$B$12*$B$14*$B$17*$B$20*$B$22,0)</f>
        <v/>
      </c>
      <c r="H42" s="25">
        <f>ROUND($B$5*$B$9*$B$12*$B$14*$B$18*$B$19*$B$21,0)</f>
        <v/>
      </c>
      <c r="I42" s="25">
        <f>ROUND($B$5*$B$9*$B$12*$B$14*$B$18*$B$19*$B$22,0)</f>
        <v/>
      </c>
      <c r="J42" s="25">
        <f>ROUND($B$5*$B$9*$B$12*$B$14*$B$18*$B$20*$B$21,0)</f>
        <v/>
      </c>
      <c r="K42" s="25">
        <f>ROUND($B$5*$B$9*$B$12*$B$14*$B$18*$B$20*$B$22,0)</f>
        <v/>
      </c>
      <c r="L42" s="25">
        <f>ROUND($B$5*$B$9*$B$12*$B$15*$B$17*$B$19*$B$21,0)</f>
        <v/>
      </c>
      <c r="M42" s="25">
        <f>ROUND($B$5*$B$9*$B$12*$B$15*$B$17*$B$19*$B$22,0)</f>
        <v/>
      </c>
      <c r="N42" s="25">
        <f>ROUND($B$5*$B$9*$B$12*$B$15*$B$17*$B$20*$B$21,0)</f>
        <v/>
      </c>
      <c r="O42" s="25">
        <f>ROUND($B$5*$B$9*$B$12*$B$15*$B$17*$B$20*$B$22,0)</f>
        <v/>
      </c>
      <c r="P42" s="25">
        <f>ROUND($B$5*$B$9*$B$12*$B$15*$B$18*$B$19*$B$21,0)</f>
        <v/>
      </c>
      <c r="Q42" s="25">
        <f>ROUND($B$5*$B$9*$B$12*$B$15*$B$18*$B$19*$B$22,0)</f>
        <v/>
      </c>
      <c r="R42" s="25">
        <f>ROUND($B$5*$B$9*$B$12*$B$15*$B$18*$B$20*$B$21,0)</f>
        <v/>
      </c>
      <c r="S42" s="25">
        <f>ROUND($B$5*$B$9*$B$12*$B$15*$B$18*$B$20*$B$22,0)</f>
        <v/>
      </c>
      <c r="T42" s="25">
        <f>ROUND($B$5*$B$9*$B$12*$B$16*$B$17*$B$19*$B$21,0)</f>
        <v/>
      </c>
      <c r="U42" s="25">
        <f>ROUND($B$5*$B$9*$B$12*$B$16*$B$17*$B$19*$B$22,0)</f>
        <v/>
      </c>
      <c r="V42" s="25">
        <f>ROUND($B$5*$B$9*$B$12*$B$16*$B$17*$B$20*$B$21,0)</f>
        <v/>
      </c>
      <c r="W42" s="25">
        <f>ROUND($B$5*$B$9*$B$12*$B$16*$B$17*$B$20*$B$22,0)</f>
        <v/>
      </c>
      <c r="X42" s="25">
        <f>ROUND($B$5*$B$9*$B$12*$B$16*$B$18*$B$19*$B$21,0)</f>
        <v/>
      </c>
      <c r="Y42" s="25">
        <f>ROUND($B$5*$B$9*$B$12*$B$16*$B$18*$B$19*$B$22,0)</f>
        <v/>
      </c>
      <c r="Z42" s="25">
        <f>ROUND($B$5*$B$9*$B$12*$B$16*$B$18*$B$20*$B$21,0)</f>
        <v/>
      </c>
      <c r="AA42" s="25">
        <f>ROUND($B$5*$B$9*$B$12*$B$16*$B$18*$B$20*$B$22,0)</f>
        <v/>
      </c>
    </row>
    <row r="43" ht="20.1" customHeight="1" s="62">
      <c r="A43" s="81" t="n"/>
      <c r="B43" s="59" t="n"/>
      <c r="C43" s="26" t="inlineStr">
        <is>
          <t>6+ outils</t>
        </is>
      </c>
      <c r="D43" s="25">
        <f>ROUND($B$5*$B$9*$B$13*$B$14*$B$17*$B$19*$B$21,0)</f>
        <v/>
      </c>
      <c r="E43" s="25">
        <f>ROUND($B$5*$B$9*$B$13*$B$14*$B$17*$B$19*$B$22,0)</f>
        <v/>
      </c>
      <c r="F43" s="25">
        <f>ROUND($B$5*$B$9*$B$13*$B$14*$B$17*$B$20*$B$21,0)</f>
        <v/>
      </c>
      <c r="G43" s="25">
        <f>ROUND($B$5*$B$9*$B$13*$B$14*$B$17*$B$20*$B$22,0)</f>
        <v/>
      </c>
      <c r="H43" s="25">
        <f>ROUND($B$5*$B$9*$B$13*$B$14*$B$18*$B$19*$B$21,0)</f>
        <v/>
      </c>
      <c r="I43" s="25">
        <f>ROUND($B$5*$B$9*$B$13*$B$14*$B$18*$B$19*$B$22,0)</f>
        <v/>
      </c>
      <c r="J43" s="25">
        <f>ROUND($B$5*$B$9*$B$13*$B$14*$B$18*$B$20*$B$21,0)</f>
        <v/>
      </c>
      <c r="K43" s="25">
        <f>ROUND($B$5*$B$9*$B$13*$B$14*$B$18*$B$20*$B$22,0)</f>
        <v/>
      </c>
      <c r="L43" s="25">
        <f>ROUND($B$5*$B$9*$B$13*$B$15*$B$17*$B$19*$B$21,0)</f>
        <v/>
      </c>
      <c r="M43" s="25">
        <f>ROUND($B$5*$B$9*$B$13*$B$15*$B$17*$B$19*$B$22,0)</f>
        <v/>
      </c>
      <c r="N43" s="25">
        <f>ROUND($B$5*$B$9*$B$13*$B$15*$B$17*$B$20*$B$21,0)</f>
        <v/>
      </c>
      <c r="O43" s="25">
        <f>ROUND($B$5*$B$9*$B$13*$B$15*$B$17*$B$20*$B$22,0)</f>
        <v/>
      </c>
      <c r="P43" s="25">
        <f>ROUND($B$5*$B$9*$B$13*$B$15*$B$18*$B$19*$B$21,0)</f>
        <v/>
      </c>
      <c r="Q43" s="25">
        <f>ROUND($B$5*$B$9*$B$13*$B$15*$B$18*$B$19*$B$22,0)</f>
        <v/>
      </c>
      <c r="R43" s="25">
        <f>ROUND($B$5*$B$9*$B$13*$B$15*$B$18*$B$20*$B$21,0)</f>
        <v/>
      </c>
      <c r="S43" s="25">
        <f>ROUND($B$5*$B$9*$B$13*$B$15*$B$18*$B$20*$B$22,0)</f>
        <v/>
      </c>
      <c r="T43" s="25">
        <f>ROUND($B$5*$B$9*$B$13*$B$16*$B$17*$B$19*$B$21,0)</f>
        <v/>
      </c>
      <c r="U43" s="25">
        <f>ROUND($B$5*$B$9*$B$13*$B$16*$B$17*$B$19*$B$22,0)</f>
        <v/>
      </c>
      <c r="V43" s="25">
        <f>ROUND($B$5*$B$9*$B$13*$B$16*$B$17*$B$20*$B$21,0)</f>
        <v/>
      </c>
      <c r="W43" s="25">
        <f>ROUND($B$5*$B$9*$B$13*$B$16*$B$17*$B$20*$B$22,0)</f>
        <v/>
      </c>
      <c r="X43" s="25">
        <f>ROUND($B$5*$B$9*$B$13*$B$16*$B$18*$B$19*$B$21,0)</f>
        <v/>
      </c>
      <c r="Y43" s="25">
        <f>ROUND($B$5*$B$9*$B$13*$B$16*$B$18*$B$19*$B$22,0)</f>
        <v/>
      </c>
      <c r="Z43" s="25">
        <f>ROUND($B$5*$B$9*$B$13*$B$16*$B$18*$B$20*$B$21,0)</f>
        <v/>
      </c>
      <c r="AA43" s="25">
        <f>ROUND($B$5*$B$9*$B$13*$B$16*$B$18*$B$20*$B$22,0)</f>
        <v/>
      </c>
    </row>
    <row r="44" ht="20.1" customHeight="1" s="62">
      <c r="A44" s="81" t="n"/>
      <c r="B44" s="73" t="inlineStr">
        <is>
          <t>7+ processus</t>
        </is>
      </c>
      <c r="C44" s="24" t="inlineStr">
        <is>
          <t>2 outils</t>
        </is>
      </c>
      <c r="D44" s="25">
        <f>ROUND($B$5*$B$10*$B$11*$B$14*$B$17*$B$19*$B$21,0)</f>
        <v/>
      </c>
      <c r="E44" s="25">
        <f>ROUND($B$5*$B$10*$B$11*$B$14*$B$17*$B$19*$B$22,0)</f>
        <v/>
      </c>
      <c r="F44" s="25">
        <f>ROUND($B$5*$B$10*$B$11*$B$14*$B$17*$B$20*$B$21,0)</f>
        <v/>
      </c>
      <c r="G44" s="25">
        <f>ROUND($B$5*$B$10*$B$11*$B$14*$B$17*$B$20*$B$22,0)</f>
        <v/>
      </c>
      <c r="H44" s="25">
        <f>ROUND($B$5*$B$10*$B$11*$B$14*$B$18*$B$19*$B$21,0)</f>
        <v/>
      </c>
      <c r="I44" s="25">
        <f>ROUND($B$5*$B$10*$B$11*$B$14*$B$18*$B$19*$B$22,0)</f>
        <v/>
      </c>
      <c r="J44" s="25">
        <f>ROUND($B$5*$B$10*$B$11*$B$14*$B$18*$B$20*$B$21,0)</f>
        <v/>
      </c>
      <c r="K44" s="25">
        <f>ROUND($B$5*$B$10*$B$11*$B$14*$B$18*$B$20*$B$22,0)</f>
        <v/>
      </c>
      <c r="L44" s="25">
        <f>ROUND($B$5*$B$10*$B$11*$B$15*$B$17*$B$19*$B$21,0)</f>
        <v/>
      </c>
      <c r="M44" s="25">
        <f>ROUND($B$5*$B$10*$B$11*$B$15*$B$17*$B$19*$B$22,0)</f>
        <v/>
      </c>
      <c r="N44" s="25">
        <f>ROUND($B$5*$B$10*$B$11*$B$15*$B$17*$B$20*$B$21,0)</f>
        <v/>
      </c>
      <c r="O44" s="25">
        <f>ROUND($B$5*$B$10*$B$11*$B$15*$B$17*$B$20*$B$22,0)</f>
        <v/>
      </c>
      <c r="P44" s="25">
        <f>ROUND($B$5*$B$10*$B$11*$B$15*$B$18*$B$19*$B$21,0)</f>
        <v/>
      </c>
      <c r="Q44" s="25">
        <f>ROUND($B$5*$B$10*$B$11*$B$15*$B$18*$B$19*$B$22,0)</f>
        <v/>
      </c>
      <c r="R44" s="25">
        <f>ROUND($B$5*$B$10*$B$11*$B$15*$B$18*$B$20*$B$21,0)</f>
        <v/>
      </c>
      <c r="S44" s="25">
        <f>ROUND($B$5*$B$10*$B$11*$B$15*$B$18*$B$20*$B$22,0)</f>
        <v/>
      </c>
      <c r="T44" s="25">
        <f>ROUND($B$5*$B$10*$B$11*$B$16*$B$17*$B$19*$B$21,0)</f>
        <v/>
      </c>
      <c r="U44" s="25">
        <f>ROUND($B$5*$B$10*$B$11*$B$16*$B$17*$B$19*$B$22,0)</f>
        <v/>
      </c>
      <c r="V44" s="25">
        <f>ROUND($B$5*$B$10*$B$11*$B$16*$B$17*$B$20*$B$21,0)</f>
        <v/>
      </c>
      <c r="W44" s="25">
        <f>ROUND($B$5*$B$10*$B$11*$B$16*$B$17*$B$20*$B$22,0)</f>
        <v/>
      </c>
      <c r="X44" s="25">
        <f>ROUND($B$5*$B$10*$B$11*$B$16*$B$18*$B$19*$B$21,0)</f>
        <v/>
      </c>
      <c r="Y44" s="25">
        <f>ROUND($B$5*$B$10*$B$11*$B$16*$B$18*$B$19*$B$22,0)</f>
        <v/>
      </c>
      <c r="Z44" s="25">
        <f>ROUND($B$5*$B$10*$B$11*$B$16*$B$18*$B$20*$B$21,0)</f>
        <v/>
      </c>
      <c r="AA44" s="25">
        <f>ROUND($B$5*$B$10*$B$11*$B$16*$B$18*$B$20*$B$22,0)</f>
        <v/>
      </c>
    </row>
    <row r="45" ht="20.1" customHeight="1" s="62">
      <c r="A45" s="81" t="n"/>
      <c r="B45" s="58" t="n"/>
      <c r="C45" s="73" t="inlineStr">
        <is>
          <t>3-5 outils</t>
        </is>
      </c>
      <c r="D45" s="25">
        <f>ROUND($B$5*$B$10*$B$12*$B$14*$B$17*$B$19*$B$21,0)</f>
        <v/>
      </c>
      <c r="E45" s="25">
        <f>ROUND($B$5*$B$10*$B$12*$B$14*$B$17*$B$19*$B$22,0)</f>
        <v/>
      </c>
      <c r="F45" s="25">
        <f>ROUND($B$5*$B$10*$B$12*$B$14*$B$17*$B$20*$B$21,0)</f>
        <v/>
      </c>
      <c r="G45" s="25">
        <f>ROUND($B$5*$B$10*$B$12*$B$14*$B$17*$B$20*$B$22,0)</f>
        <v/>
      </c>
      <c r="H45" s="25">
        <f>ROUND($B$5*$B$10*$B$12*$B$14*$B$18*$B$19*$B$21,0)</f>
        <v/>
      </c>
      <c r="I45" s="25">
        <f>ROUND($B$5*$B$10*$B$12*$B$14*$B$18*$B$19*$B$22,0)</f>
        <v/>
      </c>
      <c r="J45" s="25">
        <f>ROUND($B$5*$B$10*$B$12*$B$14*$B$18*$B$20*$B$21,0)</f>
        <v/>
      </c>
      <c r="K45" s="25">
        <f>ROUND($B$5*$B$10*$B$12*$B$14*$B$18*$B$20*$B$22,0)</f>
        <v/>
      </c>
      <c r="L45" s="25">
        <f>ROUND($B$5*$B$10*$B$12*$B$15*$B$17*$B$19*$B$21,0)</f>
        <v/>
      </c>
      <c r="M45" s="25">
        <f>ROUND($B$5*$B$10*$B$12*$B$15*$B$17*$B$19*$B$22,0)</f>
        <v/>
      </c>
      <c r="N45" s="25">
        <f>ROUND($B$5*$B$10*$B$12*$B$15*$B$17*$B$20*$B$21,0)</f>
        <v/>
      </c>
      <c r="O45" s="25">
        <f>ROUND($B$5*$B$10*$B$12*$B$15*$B$17*$B$20*$B$22,0)</f>
        <v/>
      </c>
      <c r="P45" s="25">
        <f>ROUND($B$5*$B$10*$B$12*$B$15*$B$18*$B$19*$B$21,0)</f>
        <v/>
      </c>
      <c r="Q45" s="25">
        <f>ROUND($B$5*$B$10*$B$12*$B$15*$B$18*$B$19*$B$22,0)</f>
        <v/>
      </c>
      <c r="R45" s="25">
        <f>ROUND($B$5*$B$10*$B$12*$B$15*$B$18*$B$20*$B$21,0)</f>
        <v/>
      </c>
      <c r="S45" s="25">
        <f>ROUND($B$5*$B$10*$B$12*$B$15*$B$18*$B$20*$B$22,0)</f>
        <v/>
      </c>
      <c r="T45" s="25">
        <f>ROUND($B$5*$B$10*$B$12*$B$16*$B$17*$B$19*$B$21,0)</f>
        <v/>
      </c>
      <c r="U45" s="25">
        <f>ROUND($B$5*$B$10*$B$12*$B$16*$B$17*$B$19*$B$22,0)</f>
        <v/>
      </c>
      <c r="V45" s="25">
        <f>ROUND($B$5*$B$10*$B$12*$B$16*$B$17*$B$20*$B$21,0)</f>
        <v/>
      </c>
      <c r="W45" s="25">
        <f>ROUND($B$5*$B$10*$B$12*$B$16*$B$17*$B$20*$B$22,0)</f>
        <v/>
      </c>
      <c r="X45" s="25">
        <f>ROUND($B$5*$B$10*$B$12*$B$16*$B$18*$B$19*$B$21,0)</f>
        <v/>
      </c>
      <c r="Y45" s="25">
        <f>ROUND($B$5*$B$10*$B$12*$B$16*$B$18*$B$19*$B$22,0)</f>
        <v/>
      </c>
      <c r="Z45" s="25">
        <f>ROUND($B$5*$B$10*$B$12*$B$16*$B$18*$B$20*$B$21,0)</f>
        <v/>
      </c>
      <c r="AA45" s="25">
        <f>ROUND($B$5*$B$10*$B$12*$B$16*$B$18*$B$20*$B$22,0)</f>
        <v/>
      </c>
    </row>
    <row r="46" ht="20.1" customHeight="1" s="62">
      <c r="A46" s="82" t="n"/>
      <c r="B46" s="59" t="n"/>
      <c r="C46" s="26" t="inlineStr">
        <is>
          <t>6+ outils</t>
        </is>
      </c>
      <c r="D46" s="25">
        <f>ROUND($B$5*$B$10*$B$13*$B$14*$B$17*$B$19*$B$21,0)</f>
        <v/>
      </c>
      <c r="E46" s="25">
        <f>ROUND($B$5*$B$10*$B$13*$B$14*$B$17*$B$19*$B$22,0)</f>
        <v/>
      </c>
      <c r="F46" s="25">
        <f>ROUND($B$5*$B$10*$B$13*$B$14*$B$17*$B$20*$B$21,0)</f>
        <v/>
      </c>
      <c r="G46" s="25">
        <f>ROUND($B$5*$B$10*$B$13*$B$14*$B$17*$B$20*$B$22,0)</f>
        <v/>
      </c>
      <c r="H46" s="25">
        <f>ROUND($B$5*$B$10*$B$13*$B$14*$B$18*$B$19*$B$21,0)</f>
        <v/>
      </c>
      <c r="I46" s="25">
        <f>ROUND($B$5*$B$10*$B$13*$B$14*$B$18*$B$19*$B$22,0)</f>
        <v/>
      </c>
      <c r="J46" s="25">
        <f>ROUND($B$5*$B$10*$B$13*$B$14*$B$18*$B$20*$B$21,0)</f>
        <v/>
      </c>
      <c r="K46" s="25">
        <f>ROUND($B$5*$B$10*$B$13*$B$14*$B$18*$B$20*$B$22,0)</f>
        <v/>
      </c>
      <c r="L46" s="25">
        <f>ROUND($B$5*$B$10*$B$13*$B$15*$B$17*$B$19*$B$21,0)</f>
        <v/>
      </c>
      <c r="M46" s="25">
        <f>ROUND($B$5*$B$10*$B$13*$B$15*$B$17*$B$19*$B$22,0)</f>
        <v/>
      </c>
      <c r="N46" s="25">
        <f>ROUND($B$5*$B$10*$B$13*$B$15*$B$17*$B$20*$B$21,0)</f>
        <v/>
      </c>
      <c r="O46" s="25">
        <f>ROUND($B$5*$B$10*$B$13*$B$15*$B$17*$B$20*$B$22,0)</f>
        <v/>
      </c>
      <c r="P46" s="25">
        <f>ROUND($B$5*$B$10*$B$13*$B$15*$B$18*$B$19*$B$21,0)</f>
        <v/>
      </c>
      <c r="Q46" s="25">
        <f>ROUND($B$5*$B$10*$B$13*$B$15*$B$18*$B$19*$B$22,0)</f>
        <v/>
      </c>
      <c r="R46" s="25">
        <f>ROUND($B$5*$B$10*$B$13*$B$15*$B$18*$B$20*$B$21,0)</f>
        <v/>
      </c>
      <c r="S46" s="25">
        <f>ROUND($B$5*$B$10*$B$13*$B$15*$B$18*$B$20*$B$22,0)</f>
        <v/>
      </c>
      <c r="T46" s="25">
        <f>ROUND($B$5*$B$10*$B$13*$B$16*$B$17*$B$19*$B$21,0)</f>
        <v/>
      </c>
      <c r="U46" s="25">
        <f>ROUND($B$5*$B$10*$B$13*$B$16*$B$17*$B$19*$B$22,0)</f>
        <v/>
      </c>
      <c r="V46" s="25">
        <f>ROUND($B$5*$B$10*$B$13*$B$16*$B$17*$B$20*$B$21,0)</f>
        <v/>
      </c>
      <c r="W46" s="25">
        <f>ROUND($B$5*$B$10*$B$13*$B$16*$B$17*$B$20*$B$22,0)</f>
        <v/>
      </c>
      <c r="X46" s="25">
        <f>ROUND($B$5*$B$10*$B$13*$B$16*$B$18*$B$19*$B$21,0)</f>
        <v/>
      </c>
      <c r="Y46" s="25">
        <f>ROUND($B$5*$B$10*$B$13*$B$16*$B$18*$B$19*$B$22,0)</f>
        <v/>
      </c>
      <c r="Z46" s="25">
        <f>ROUND($B$5*$B$10*$B$13*$B$16*$B$18*$B$20*$B$21,0)</f>
        <v/>
      </c>
      <c r="AA46" s="25">
        <f>ROUND($B$5*$B$10*$B$13*$B$16*$B$18*$B$20*$B$22,0)</f>
        <v/>
      </c>
    </row>
    <row r="47" ht="20.1" customHeight="1" s="62">
      <c r="A47" s="80" t="inlineStr">
        <is>
          <t>Complexe (API, multi-systèmes)</t>
        </is>
      </c>
      <c r="B47" s="73" t="inlineStr">
        <is>
          <t>1-2 processus</t>
        </is>
      </c>
      <c r="C47" s="24" t="inlineStr">
        <is>
          <t>2 outils</t>
        </is>
      </c>
      <c r="D47" s="25">
        <f>ROUND($B$6*$B$8*$B$11*$B$14*$B$17*$B$19*$B$21,0)</f>
        <v/>
      </c>
      <c r="E47" s="25">
        <f>ROUND($B$6*$B$8*$B$11*$B$14*$B$17*$B$19*$B$22,0)</f>
        <v/>
      </c>
      <c r="F47" s="25">
        <f>ROUND($B$6*$B$8*$B$11*$B$14*$B$17*$B$20*$B$21,0)</f>
        <v/>
      </c>
      <c r="G47" s="25">
        <f>ROUND($B$6*$B$8*$B$11*$B$14*$B$17*$B$20*$B$22,0)</f>
        <v/>
      </c>
      <c r="H47" s="25">
        <f>ROUND($B$6*$B$8*$B$11*$B$14*$B$18*$B$19*$B$21,0)</f>
        <v/>
      </c>
      <c r="I47" s="25">
        <f>ROUND($B$6*$B$8*$B$11*$B$14*$B$18*$B$19*$B$22,0)</f>
        <v/>
      </c>
      <c r="J47" s="25">
        <f>ROUND($B$6*$B$8*$B$11*$B$14*$B$18*$B$20*$B$21,0)</f>
        <v/>
      </c>
      <c r="K47" s="25">
        <f>ROUND($B$6*$B$8*$B$11*$B$14*$B$18*$B$20*$B$22,0)</f>
        <v/>
      </c>
      <c r="L47" s="25">
        <f>ROUND($B$6*$B$8*$B$11*$B$15*$B$17*$B$19*$B$21,0)</f>
        <v/>
      </c>
      <c r="M47" s="25">
        <f>ROUND($B$6*$B$8*$B$11*$B$15*$B$17*$B$19*$B$22,0)</f>
        <v/>
      </c>
      <c r="N47" s="25">
        <f>ROUND($B$6*$B$8*$B$11*$B$15*$B$17*$B$20*$B$21,0)</f>
        <v/>
      </c>
      <c r="O47" s="25">
        <f>ROUND($B$6*$B$8*$B$11*$B$15*$B$17*$B$20*$B$22,0)</f>
        <v/>
      </c>
      <c r="P47" s="25">
        <f>ROUND($B$6*$B$8*$B$11*$B$15*$B$18*$B$19*$B$21,0)</f>
        <v/>
      </c>
      <c r="Q47" s="25">
        <f>ROUND($B$6*$B$8*$B$11*$B$15*$B$18*$B$19*$B$22,0)</f>
        <v/>
      </c>
      <c r="R47" s="25">
        <f>ROUND($B$6*$B$8*$B$11*$B$15*$B$18*$B$20*$B$21,0)</f>
        <v/>
      </c>
      <c r="S47" s="25">
        <f>ROUND($B$6*$B$8*$B$11*$B$15*$B$18*$B$20*$B$22,0)</f>
        <v/>
      </c>
      <c r="T47" s="25">
        <f>ROUND($B$6*$B$8*$B$11*$B$16*$B$17*$B$19*$B$21,0)</f>
        <v/>
      </c>
      <c r="U47" s="25">
        <f>ROUND($B$6*$B$8*$B$11*$B$16*$B$17*$B$19*$B$22,0)</f>
        <v/>
      </c>
      <c r="V47" s="25">
        <f>ROUND($B$6*$B$8*$B$11*$B$16*$B$17*$B$20*$B$21,0)</f>
        <v/>
      </c>
      <c r="W47" s="25">
        <f>ROUND($B$6*$B$8*$B$11*$B$16*$B$17*$B$20*$B$22,0)</f>
        <v/>
      </c>
      <c r="X47" s="25">
        <f>ROUND($B$6*$B$8*$B$11*$B$16*$B$18*$B$19*$B$21,0)</f>
        <v/>
      </c>
      <c r="Y47" s="25">
        <f>ROUND($B$6*$B$8*$B$11*$B$16*$B$18*$B$19*$B$22,0)</f>
        <v/>
      </c>
      <c r="Z47" s="25">
        <f>ROUND($B$6*$B$8*$B$11*$B$16*$B$18*$B$20*$B$21,0)</f>
        <v/>
      </c>
      <c r="AA47" s="25">
        <f>ROUND($B$6*$B$8*$B$11*$B$16*$B$18*$B$20*$B$22,0)</f>
        <v/>
      </c>
    </row>
    <row r="48" ht="20.1" customHeight="1" s="62">
      <c r="A48" s="81" t="n"/>
      <c r="B48" s="58" t="n"/>
      <c r="C48" s="73" t="inlineStr">
        <is>
          <t>3-5 outils</t>
        </is>
      </c>
      <c r="D48" s="25">
        <f>ROUND($B$6*$B$8*$B$12*$B$14*$B$17*$B$19*$B$21,0)</f>
        <v/>
      </c>
      <c r="E48" s="25">
        <f>ROUND($B$6*$B$8*$B$12*$B$14*$B$17*$B$19*$B$22,0)</f>
        <v/>
      </c>
      <c r="F48" s="25">
        <f>ROUND($B$6*$B$8*$B$12*$B$14*$B$17*$B$20*$B$21,0)</f>
        <v/>
      </c>
      <c r="G48" s="25">
        <f>ROUND($B$6*$B$8*$B$12*$B$14*$B$17*$B$20*$B$22,0)</f>
        <v/>
      </c>
      <c r="H48" s="25">
        <f>ROUND($B$6*$B$8*$B$12*$B$14*$B$18*$B$19*$B$21,0)</f>
        <v/>
      </c>
      <c r="I48" s="25">
        <f>ROUND($B$6*$B$8*$B$12*$B$14*$B$18*$B$19*$B$22,0)</f>
        <v/>
      </c>
      <c r="J48" s="25">
        <f>ROUND($B$6*$B$8*$B$12*$B$14*$B$18*$B$20*$B$21,0)</f>
        <v/>
      </c>
      <c r="K48" s="25">
        <f>ROUND($B$6*$B$8*$B$12*$B$14*$B$18*$B$20*$B$22,0)</f>
        <v/>
      </c>
      <c r="L48" s="25">
        <f>ROUND($B$6*$B$8*$B$12*$B$15*$B$17*$B$19*$B$21,0)</f>
        <v/>
      </c>
      <c r="M48" s="25">
        <f>ROUND($B$6*$B$8*$B$12*$B$15*$B$17*$B$19*$B$22,0)</f>
        <v/>
      </c>
      <c r="N48" s="25">
        <f>ROUND($B$6*$B$8*$B$12*$B$15*$B$17*$B$20*$B$21,0)</f>
        <v/>
      </c>
      <c r="O48" s="25">
        <f>ROUND($B$6*$B$8*$B$12*$B$15*$B$17*$B$20*$B$22,0)</f>
        <v/>
      </c>
      <c r="P48" s="25">
        <f>ROUND($B$6*$B$8*$B$12*$B$15*$B$18*$B$19*$B$21,0)</f>
        <v/>
      </c>
      <c r="Q48" s="25">
        <f>ROUND($B$6*$B$8*$B$12*$B$15*$B$18*$B$19*$B$22,0)</f>
        <v/>
      </c>
      <c r="R48" s="25">
        <f>ROUND($B$6*$B$8*$B$12*$B$15*$B$18*$B$20*$B$21,0)</f>
        <v/>
      </c>
      <c r="S48" s="25">
        <f>ROUND($B$6*$B$8*$B$12*$B$15*$B$18*$B$20*$B$22,0)</f>
        <v/>
      </c>
      <c r="T48" s="25">
        <f>ROUND($B$6*$B$8*$B$12*$B$16*$B$17*$B$19*$B$21,0)</f>
        <v/>
      </c>
      <c r="U48" s="25">
        <f>ROUND($B$6*$B$8*$B$12*$B$16*$B$17*$B$19*$B$22,0)</f>
        <v/>
      </c>
      <c r="V48" s="25">
        <f>ROUND($B$6*$B$8*$B$12*$B$16*$B$17*$B$20*$B$21,0)</f>
        <v/>
      </c>
      <c r="W48" s="25">
        <f>ROUND($B$6*$B$8*$B$12*$B$16*$B$17*$B$20*$B$22,0)</f>
        <v/>
      </c>
      <c r="X48" s="25">
        <f>ROUND($B$6*$B$8*$B$12*$B$16*$B$18*$B$19*$B$21,0)</f>
        <v/>
      </c>
      <c r="Y48" s="25">
        <f>ROUND($B$6*$B$8*$B$12*$B$16*$B$18*$B$19*$B$22,0)</f>
        <v/>
      </c>
      <c r="Z48" s="25">
        <f>ROUND($B$6*$B$8*$B$12*$B$16*$B$18*$B$20*$B$21,0)</f>
        <v/>
      </c>
      <c r="AA48" s="25">
        <f>ROUND($B$6*$B$8*$B$12*$B$16*$B$18*$B$20*$B$22,0)</f>
        <v/>
      </c>
    </row>
    <row r="49" ht="20.1" customHeight="1" s="62">
      <c r="A49" s="81" t="n"/>
      <c r="B49" s="59" t="n"/>
      <c r="C49" s="26" t="inlineStr">
        <is>
          <t>6+ outils</t>
        </is>
      </c>
      <c r="D49" s="25">
        <f>ROUND($B$6*$B$8*$B$13*$B$14*$B$17*$B$19*$B$21,0)</f>
        <v/>
      </c>
      <c r="E49" s="25">
        <f>ROUND($B$6*$B$8*$B$13*$B$14*$B$17*$B$19*$B$22,0)</f>
        <v/>
      </c>
      <c r="F49" s="25">
        <f>ROUND($B$6*$B$8*$B$13*$B$14*$B$17*$B$20*$B$21,0)</f>
        <v/>
      </c>
      <c r="G49" s="25">
        <f>ROUND($B$6*$B$8*$B$13*$B$14*$B$17*$B$20*$B$22,0)</f>
        <v/>
      </c>
      <c r="H49" s="25">
        <f>ROUND($B$6*$B$8*$B$13*$B$14*$B$18*$B$19*$B$21,0)</f>
        <v/>
      </c>
      <c r="I49" s="25">
        <f>ROUND($B$6*$B$8*$B$13*$B$14*$B$18*$B$19*$B$22,0)</f>
        <v/>
      </c>
      <c r="J49" s="25">
        <f>ROUND($B$6*$B$8*$B$13*$B$14*$B$18*$B$20*$B$21,0)</f>
        <v/>
      </c>
      <c r="K49" s="25">
        <f>ROUND($B$6*$B$8*$B$13*$B$14*$B$18*$B$20*$B$22,0)</f>
        <v/>
      </c>
      <c r="L49" s="25">
        <f>ROUND($B$6*$B$8*$B$13*$B$15*$B$17*$B$19*$B$21,0)</f>
        <v/>
      </c>
      <c r="M49" s="25">
        <f>ROUND($B$6*$B$8*$B$13*$B$15*$B$17*$B$19*$B$22,0)</f>
        <v/>
      </c>
      <c r="N49" s="25">
        <f>ROUND($B$6*$B$8*$B$13*$B$15*$B$17*$B$20*$B$21,0)</f>
        <v/>
      </c>
      <c r="O49" s="25">
        <f>ROUND($B$6*$B$8*$B$13*$B$15*$B$17*$B$20*$B$22,0)</f>
        <v/>
      </c>
      <c r="P49" s="25">
        <f>ROUND($B$6*$B$8*$B$13*$B$15*$B$18*$B$19*$B$21,0)</f>
        <v/>
      </c>
      <c r="Q49" s="25">
        <f>ROUND($B$6*$B$8*$B$13*$B$15*$B$18*$B$19*$B$22,0)</f>
        <v/>
      </c>
      <c r="R49" s="25">
        <f>ROUND($B$6*$B$8*$B$13*$B$15*$B$18*$B$20*$B$21,0)</f>
        <v/>
      </c>
      <c r="S49" s="25">
        <f>ROUND($B$6*$B$8*$B$13*$B$15*$B$18*$B$20*$B$22,0)</f>
        <v/>
      </c>
      <c r="T49" s="25">
        <f>ROUND($B$6*$B$8*$B$13*$B$16*$B$17*$B$19*$B$21,0)</f>
        <v/>
      </c>
      <c r="U49" s="25">
        <f>ROUND($B$6*$B$8*$B$13*$B$16*$B$17*$B$19*$B$22,0)</f>
        <v/>
      </c>
      <c r="V49" s="25">
        <f>ROUND($B$6*$B$8*$B$13*$B$16*$B$17*$B$20*$B$21,0)</f>
        <v/>
      </c>
      <c r="W49" s="25">
        <f>ROUND($B$6*$B$8*$B$13*$B$16*$B$17*$B$20*$B$22,0)</f>
        <v/>
      </c>
      <c r="X49" s="25">
        <f>ROUND($B$6*$B$8*$B$13*$B$16*$B$18*$B$19*$B$21,0)</f>
        <v/>
      </c>
      <c r="Y49" s="25">
        <f>ROUND($B$6*$B$8*$B$13*$B$16*$B$18*$B$19*$B$22,0)</f>
        <v/>
      </c>
      <c r="Z49" s="25">
        <f>ROUND($B$6*$B$8*$B$13*$B$16*$B$18*$B$20*$B$21,0)</f>
        <v/>
      </c>
      <c r="AA49" s="25">
        <f>ROUND($B$6*$B$8*$B$13*$B$16*$B$18*$B$20*$B$22,0)</f>
        <v/>
      </c>
    </row>
    <row r="50" ht="20.1" customHeight="1" s="62">
      <c r="A50" s="81" t="n"/>
      <c r="B50" s="73" t="inlineStr">
        <is>
          <t>3-6 processus</t>
        </is>
      </c>
      <c r="C50" s="24" t="inlineStr">
        <is>
          <t>2 outils</t>
        </is>
      </c>
      <c r="D50" s="25">
        <f>ROUND($B$6*$B$9*$B$11*$B$14*$B$17*$B$19*$B$21,0)</f>
        <v/>
      </c>
      <c r="E50" s="25">
        <f>ROUND($B$6*$B$9*$B$11*$B$14*$B$17*$B$19*$B$22,0)</f>
        <v/>
      </c>
      <c r="F50" s="25">
        <f>ROUND($B$6*$B$9*$B$11*$B$14*$B$17*$B$20*$B$21,0)</f>
        <v/>
      </c>
      <c r="G50" s="25">
        <f>ROUND($B$6*$B$9*$B$11*$B$14*$B$17*$B$20*$B$22,0)</f>
        <v/>
      </c>
      <c r="H50" s="25">
        <f>ROUND($B$6*$B$9*$B$11*$B$14*$B$18*$B$19*$B$21,0)</f>
        <v/>
      </c>
      <c r="I50" s="25">
        <f>ROUND($B$6*$B$9*$B$11*$B$14*$B$18*$B$19*$B$22,0)</f>
        <v/>
      </c>
      <c r="J50" s="25">
        <f>ROUND($B$6*$B$9*$B$11*$B$14*$B$18*$B$20*$B$21,0)</f>
        <v/>
      </c>
      <c r="K50" s="25">
        <f>ROUND($B$6*$B$9*$B$11*$B$14*$B$18*$B$20*$B$22,0)</f>
        <v/>
      </c>
      <c r="L50" s="25">
        <f>ROUND($B$6*$B$9*$B$11*$B$15*$B$17*$B$19*$B$21,0)</f>
        <v/>
      </c>
      <c r="M50" s="25">
        <f>ROUND($B$6*$B$9*$B$11*$B$15*$B$17*$B$19*$B$22,0)</f>
        <v/>
      </c>
      <c r="N50" s="25">
        <f>ROUND($B$6*$B$9*$B$11*$B$15*$B$17*$B$20*$B$21,0)</f>
        <v/>
      </c>
      <c r="O50" s="25">
        <f>ROUND($B$6*$B$9*$B$11*$B$15*$B$17*$B$20*$B$22,0)</f>
        <v/>
      </c>
      <c r="P50" s="25">
        <f>ROUND($B$6*$B$9*$B$11*$B$15*$B$18*$B$19*$B$21,0)</f>
        <v/>
      </c>
      <c r="Q50" s="25">
        <f>ROUND($B$6*$B$9*$B$11*$B$15*$B$18*$B$19*$B$22,0)</f>
        <v/>
      </c>
      <c r="R50" s="25">
        <f>ROUND($B$6*$B$9*$B$11*$B$15*$B$18*$B$20*$B$21,0)</f>
        <v/>
      </c>
      <c r="S50" s="25">
        <f>ROUND($B$6*$B$9*$B$11*$B$15*$B$18*$B$20*$B$22,0)</f>
        <v/>
      </c>
      <c r="T50" s="25">
        <f>ROUND($B$6*$B$9*$B$11*$B$16*$B$17*$B$19*$B$21,0)</f>
        <v/>
      </c>
      <c r="U50" s="25">
        <f>ROUND($B$6*$B$9*$B$11*$B$16*$B$17*$B$19*$B$22,0)</f>
        <v/>
      </c>
      <c r="V50" s="25">
        <f>ROUND($B$6*$B$9*$B$11*$B$16*$B$17*$B$20*$B$21,0)</f>
        <v/>
      </c>
      <c r="W50" s="25">
        <f>ROUND($B$6*$B$9*$B$11*$B$16*$B$17*$B$20*$B$22,0)</f>
        <v/>
      </c>
      <c r="X50" s="25">
        <f>ROUND($B$6*$B$9*$B$11*$B$16*$B$18*$B$19*$B$21,0)</f>
        <v/>
      </c>
      <c r="Y50" s="25">
        <f>ROUND($B$6*$B$9*$B$11*$B$16*$B$18*$B$19*$B$22,0)</f>
        <v/>
      </c>
      <c r="Z50" s="25">
        <f>ROUND($B$6*$B$9*$B$11*$B$16*$B$18*$B$20*$B$21,0)</f>
        <v/>
      </c>
      <c r="AA50" s="25">
        <f>ROUND($B$6*$B$9*$B$11*$B$16*$B$18*$B$20*$B$22,0)</f>
        <v/>
      </c>
    </row>
    <row r="51" ht="20.1" customHeight="1" s="62">
      <c r="A51" s="81" t="n"/>
      <c r="B51" s="58" t="n"/>
      <c r="C51" s="73" t="inlineStr">
        <is>
          <t>3-5 outils</t>
        </is>
      </c>
      <c r="D51" s="25">
        <f>ROUND($B$6*$B$9*$B$12*$B$14*$B$17*$B$19*$B$21,0)</f>
        <v/>
      </c>
      <c r="E51" s="25">
        <f>ROUND($B$6*$B$9*$B$12*$B$14*$B$17*$B$19*$B$22,0)</f>
        <v/>
      </c>
      <c r="F51" s="25">
        <f>ROUND($B$6*$B$9*$B$12*$B$14*$B$17*$B$20*$B$21,0)</f>
        <v/>
      </c>
      <c r="G51" s="25">
        <f>ROUND($B$6*$B$9*$B$12*$B$14*$B$17*$B$20*$B$22,0)</f>
        <v/>
      </c>
      <c r="H51" s="25">
        <f>ROUND($B$6*$B$9*$B$12*$B$14*$B$18*$B$19*$B$21,0)</f>
        <v/>
      </c>
      <c r="I51" s="25">
        <f>ROUND($B$6*$B$9*$B$12*$B$14*$B$18*$B$19*$B$22,0)</f>
        <v/>
      </c>
      <c r="J51" s="25">
        <f>ROUND($B$6*$B$9*$B$12*$B$14*$B$18*$B$20*$B$21,0)</f>
        <v/>
      </c>
      <c r="K51" s="25">
        <f>ROUND($B$6*$B$9*$B$12*$B$14*$B$18*$B$20*$B$22,0)</f>
        <v/>
      </c>
      <c r="L51" s="25">
        <f>ROUND($B$6*$B$9*$B$12*$B$15*$B$17*$B$19*$B$21,0)</f>
        <v/>
      </c>
      <c r="M51" s="25">
        <f>ROUND($B$6*$B$9*$B$12*$B$15*$B$17*$B$19*$B$22,0)</f>
        <v/>
      </c>
      <c r="N51" s="25">
        <f>ROUND($B$6*$B$9*$B$12*$B$15*$B$17*$B$20*$B$21,0)</f>
        <v/>
      </c>
      <c r="O51" s="25">
        <f>ROUND($B$6*$B$9*$B$12*$B$15*$B$17*$B$20*$B$22,0)</f>
        <v/>
      </c>
      <c r="P51" s="25">
        <f>ROUND($B$6*$B$9*$B$12*$B$15*$B$18*$B$19*$B$21,0)</f>
        <v/>
      </c>
      <c r="Q51" s="25">
        <f>ROUND($B$6*$B$9*$B$12*$B$15*$B$18*$B$19*$B$22,0)</f>
        <v/>
      </c>
      <c r="R51" s="25">
        <f>ROUND($B$6*$B$9*$B$12*$B$15*$B$18*$B$20*$B$21,0)</f>
        <v/>
      </c>
      <c r="S51" s="25">
        <f>ROUND($B$6*$B$9*$B$12*$B$15*$B$18*$B$20*$B$22,0)</f>
        <v/>
      </c>
      <c r="T51" s="25">
        <f>ROUND($B$6*$B$9*$B$12*$B$16*$B$17*$B$19*$B$21,0)</f>
        <v/>
      </c>
      <c r="U51" s="25">
        <f>ROUND($B$6*$B$9*$B$12*$B$16*$B$17*$B$19*$B$22,0)</f>
        <v/>
      </c>
      <c r="V51" s="25">
        <f>ROUND($B$6*$B$9*$B$12*$B$16*$B$17*$B$20*$B$21,0)</f>
        <v/>
      </c>
      <c r="W51" s="25">
        <f>ROUND($B$6*$B$9*$B$12*$B$16*$B$17*$B$20*$B$22,0)</f>
        <v/>
      </c>
      <c r="X51" s="25">
        <f>ROUND($B$6*$B$9*$B$12*$B$16*$B$18*$B$19*$B$21,0)</f>
        <v/>
      </c>
      <c r="Y51" s="25">
        <f>ROUND($B$6*$B$9*$B$12*$B$16*$B$18*$B$19*$B$22,0)</f>
        <v/>
      </c>
      <c r="Z51" s="25">
        <f>ROUND($B$6*$B$9*$B$12*$B$16*$B$18*$B$20*$B$21,0)</f>
        <v/>
      </c>
      <c r="AA51" s="25">
        <f>ROUND($B$6*$B$9*$B$12*$B$16*$B$18*$B$20*$B$22,0)</f>
        <v/>
      </c>
    </row>
    <row r="52" ht="20.1" customHeight="1" s="62">
      <c r="A52" s="81" t="n"/>
      <c r="B52" s="59" t="n"/>
      <c r="C52" s="26" t="inlineStr">
        <is>
          <t>6+ outils</t>
        </is>
      </c>
      <c r="D52" s="25">
        <f>ROUND($B$6*$B$9*$B$13*$B$14*$B$17*$B$19*$B$21,0)</f>
        <v/>
      </c>
      <c r="E52" s="25">
        <f>ROUND($B$6*$B$9*$B$13*$B$14*$B$17*$B$19*$B$22,0)</f>
        <v/>
      </c>
      <c r="F52" s="25">
        <f>ROUND($B$6*$B$9*$B$13*$B$14*$B$17*$B$20*$B$21,0)</f>
        <v/>
      </c>
      <c r="G52" s="25">
        <f>ROUND($B$6*$B$9*$B$13*$B$14*$B$17*$B$20*$B$22,0)</f>
        <v/>
      </c>
      <c r="H52" s="25">
        <f>ROUND($B$6*$B$9*$B$13*$B$14*$B$18*$B$19*$B$21,0)</f>
        <v/>
      </c>
      <c r="I52" s="25">
        <f>ROUND($B$6*$B$9*$B$13*$B$14*$B$18*$B$19*$B$22,0)</f>
        <v/>
      </c>
      <c r="J52" s="25">
        <f>ROUND($B$6*$B$9*$B$13*$B$14*$B$18*$B$20*$B$21,0)</f>
        <v/>
      </c>
      <c r="K52" s="25">
        <f>ROUND($B$6*$B$9*$B$13*$B$14*$B$18*$B$20*$B$22,0)</f>
        <v/>
      </c>
      <c r="L52" s="25">
        <f>ROUND($B$6*$B$9*$B$13*$B$15*$B$17*$B$19*$B$21,0)</f>
        <v/>
      </c>
      <c r="M52" s="25">
        <f>ROUND($B$6*$B$9*$B$13*$B$15*$B$17*$B$19*$B$22,0)</f>
        <v/>
      </c>
      <c r="N52" s="25">
        <f>ROUND($B$6*$B$9*$B$13*$B$15*$B$17*$B$20*$B$21,0)</f>
        <v/>
      </c>
      <c r="O52" s="25">
        <f>ROUND($B$6*$B$9*$B$13*$B$15*$B$17*$B$20*$B$22,0)</f>
        <v/>
      </c>
      <c r="P52" s="25">
        <f>ROUND($B$6*$B$9*$B$13*$B$15*$B$18*$B$19*$B$21,0)</f>
        <v/>
      </c>
      <c r="Q52" s="25">
        <f>ROUND($B$6*$B$9*$B$13*$B$15*$B$18*$B$19*$B$22,0)</f>
        <v/>
      </c>
      <c r="R52" s="25">
        <f>ROUND($B$6*$B$9*$B$13*$B$15*$B$18*$B$20*$B$21,0)</f>
        <v/>
      </c>
      <c r="S52" s="25">
        <f>ROUND($B$6*$B$9*$B$13*$B$15*$B$18*$B$20*$B$22,0)</f>
        <v/>
      </c>
      <c r="T52" s="25">
        <f>ROUND($B$6*$B$9*$B$13*$B$16*$B$17*$B$19*$B$21,0)</f>
        <v/>
      </c>
      <c r="U52" s="25">
        <f>ROUND($B$6*$B$9*$B$13*$B$16*$B$17*$B$19*$B$22,0)</f>
        <v/>
      </c>
      <c r="V52" s="25">
        <f>ROUND($B$6*$B$9*$B$13*$B$16*$B$17*$B$20*$B$21,0)</f>
        <v/>
      </c>
      <c r="W52" s="25">
        <f>ROUND($B$6*$B$9*$B$13*$B$16*$B$17*$B$20*$B$22,0)</f>
        <v/>
      </c>
      <c r="X52" s="25">
        <f>ROUND($B$6*$B$9*$B$13*$B$16*$B$18*$B$19*$B$21,0)</f>
        <v/>
      </c>
      <c r="Y52" s="25">
        <f>ROUND($B$6*$B$9*$B$13*$B$16*$B$18*$B$19*$B$22,0)</f>
        <v/>
      </c>
      <c r="Z52" s="25">
        <f>ROUND($B$6*$B$9*$B$13*$B$16*$B$18*$B$20*$B$21,0)</f>
        <v/>
      </c>
      <c r="AA52" s="25">
        <f>ROUND($B$6*$B$9*$B$13*$B$16*$B$18*$B$20*$B$22,0)</f>
        <v/>
      </c>
    </row>
    <row r="53" ht="20.1" customHeight="1" s="62">
      <c r="A53" s="81" t="n"/>
      <c r="B53" s="73" t="inlineStr">
        <is>
          <t>7+ processus</t>
        </is>
      </c>
      <c r="C53" s="24" t="inlineStr">
        <is>
          <t>2 outils</t>
        </is>
      </c>
      <c r="D53" s="25">
        <f>ROUND($B$6*$B$10*$B$11*$B$14*$B$17*$B$19*$B$21,0)</f>
        <v/>
      </c>
      <c r="E53" s="25">
        <f>ROUND($B$6*$B$10*$B$11*$B$14*$B$17*$B$19*$B$22,0)</f>
        <v/>
      </c>
      <c r="F53" s="25">
        <f>ROUND($B$6*$B$10*$B$11*$B$14*$B$17*$B$20*$B$21,0)</f>
        <v/>
      </c>
      <c r="G53" s="25">
        <f>ROUND($B$6*$B$10*$B$11*$B$14*$B$17*$B$20*$B$22,0)</f>
        <v/>
      </c>
      <c r="H53" s="25">
        <f>ROUND($B$6*$B$10*$B$11*$B$14*$B$18*$B$19*$B$21,0)</f>
        <v/>
      </c>
      <c r="I53" s="25">
        <f>ROUND($B$6*$B$10*$B$11*$B$14*$B$18*$B$19*$B$22,0)</f>
        <v/>
      </c>
      <c r="J53" s="25">
        <f>ROUND($B$6*$B$10*$B$11*$B$14*$B$18*$B$20*$B$21,0)</f>
        <v/>
      </c>
      <c r="K53" s="25">
        <f>ROUND($B$6*$B$10*$B$11*$B$14*$B$18*$B$20*$B$22,0)</f>
        <v/>
      </c>
      <c r="L53" s="25">
        <f>ROUND($B$6*$B$10*$B$11*$B$15*$B$17*$B$19*$B$21,0)</f>
        <v/>
      </c>
      <c r="M53" s="25">
        <f>ROUND($B$6*$B$10*$B$11*$B$15*$B$17*$B$19*$B$22,0)</f>
        <v/>
      </c>
      <c r="N53" s="25">
        <f>ROUND($B$6*$B$10*$B$11*$B$15*$B$17*$B$20*$B$21,0)</f>
        <v/>
      </c>
      <c r="O53" s="25">
        <f>ROUND($B$6*$B$10*$B$11*$B$15*$B$17*$B$20*$B$22,0)</f>
        <v/>
      </c>
      <c r="P53" s="25">
        <f>ROUND($B$6*$B$10*$B$11*$B$15*$B$18*$B$19*$B$21,0)</f>
        <v/>
      </c>
      <c r="Q53" s="25">
        <f>ROUND($B$6*$B$10*$B$11*$B$15*$B$18*$B$19*$B$22,0)</f>
        <v/>
      </c>
      <c r="R53" s="25">
        <f>ROUND($B$6*$B$10*$B$11*$B$15*$B$18*$B$20*$B$21,0)</f>
        <v/>
      </c>
      <c r="S53" s="25">
        <f>ROUND($B$6*$B$10*$B$11*$B$15*$B$18*$B$20*$B$22,0)</f>
        <v/>
      </c>
      <c r="T53" s="25">
        <f>ROUND($B$6*$B$10*$B$11*$B$16*$B$17*$B$19*$B$21,0)</f>
        <v/>
      </c>
      <c r="U53" s="25">
        <f>ROUND($B$6*$B$10*$B$11*$B$16*$B$17*$B$19*$B$22,0)</f>
        <v/>
      </c>
      <c r="V53" s="25">
        <f>ROUND($B$6*$B$10*$B$11*$B$16*$B$17*$B$20*$B$21,0)</f>
        <v/>
      </c>
      <c r="W53" s="25">
        <f>ROUND($B$6*$B$10*$B$11*$B$16*$B$17*$B$20*$B$22,0)</f>
        <v/>
      </c>
      <c r="X53" s="25">
        <f>ROUND($B$6*$B$10*$B$11*$B$16*$B$18*$B$19*$B$21,0)</f>
        <v/>
      </c>
      <c r="Y53" s="25">
        <f>ROUND($B$6*$B$10*$B$11*$B$16*$B$18*$B$19*$B$22,0)</f>
        <v/>
      </c>
      <c r="Z53" s="25">
        <f>ROUND($B$6*$B$10*$B$11*$B$16*$B$18*$B$20*$B$21,0)</f>
        <v/>
      </c>
      <c r="AA53" s="25">
        <f>ROUND($B$6*$B$10*$B$11*$B$16*$B$18*$B$20*$B$22,0)</f>
        <v/>
      </c>
    </row>
    <row r="54" ht="20.1" customHeight="1" s="62">
      <c r="A54" s="81" t="n"/>
      <c r="B54" s="58" t="n"/>
      <c r="C54" s="73" t="inlineStr">
        <is>
          <t>3-5 outils</t>
        </is>
      </c>
      <c r="D54" s="25">
        <f>ROUND($B$6*$B$10*$B$12*$B$14*$B$17*$B$19*$B$21,0)</f>
        <v/>
      </c>
      <c r="E54" s="25">
        <f>ROUND($B$6*$B$10*$B$12*$B$14*$B$17*$B$19*$B$22,0)</f>
        <v/>
      </c>
      <c r="F54" s="25">
        <f>ROUND($B$6*$B$10*$B$12*$B$14*$B$17*$B$20*$B$21,0)</f>
        <v/>
      </c>
      <c r="G54" s="25">
        <f>ROUND($B$6*$B$10*$B$12*$B$14*$B$17*$B$20*$B$22,0)</f>
        <v/>
      </c>
      <c r="H54" s="25">
        <f>ROUND($B$6*$B$10*$B$12*$B$14*$B$18*$B$19*$B$21,0)</f>
        <v/>
      </c>
      <c r="I54" s="25">
        <f>ROUND($B$6*$B$10*$B$12*$B$14*$B$18*$B$19*$B$22,0)</f>
        <v/>
      </c>
      <c r="J54" s="25">
        <f>ROUND($B$6*$B$10*$B$12*$B$14*$B$18*$B$20*$B$21,0)</f>
        <v/>
      </c>
      <c r="K54" s="25">
        <f>ROUND($B$6*$B$10*$B$12*$B$14*$B$18*$B$20*$B$22,0)</f>
        <v/>
      </c>
      <c r="L54" s="25">
        <f>ROUND($B$6*$B$10*$B$12*$B$15*$B$17*$B$19*$B$21,0)</f>
        <v/>
      </c>
      <c r="M54" s="25">
        <f>ROUND($B$6*$B$10*$B$12*$B$15*$B$17*$B$19*$B$22,0)</f>
        <v/>
      </c>
      <c r="N54" s="25">
        <f>ROUND($B$6*$B$10*$B$12*$B$15*$B$17*$B$20*$B$21,0)</f>
        <v/>
      </c>
      <c r="O54" s="25">
        <f>ROUND($B$6*$B$10*$B$12*$B$15*$B$17*$B$20*$B$22,0)</f>
        <v/>
      </c>
      <c r="P54" s="25">
        <f>ROUND($B$6*$B$10*$B$12*$B$15*$B$18*$B$19*$B$21,0)</f>
        <v/>
      </c>
      <c r="Q54" s="25">
        <f>ROUND($B$6*$B$10*$B$12*$B$15*$B$18*$B$19*$B$22,0)</f>
        <v/>
      </c>
      <c r="R54" s="25">
        <f>ROUND($B$6*$B$10*$B$12*$B$15*$B$18*$B$20*$B$21,0)</f>
        <v/>
      </c>
      <c r="S54" s="25">
        <f>ROUND($B$6*$B$10*$B$12*$B$15*$B$18*$B$20*$B$22,0)</f>
        <v/>
      </c>
      <c r="T54" s="25">
        <f>ROUND($B$6*$B$10*$B$12*$B$16*$B$17*$B$19*$B$21,0)</f>
        <v/>
      </c>
      <c r="U54" s="25">
        <f>ROUND($B$6*$B$10*$B$12*$B$16*$B$17*$B$19*$B$22,0)</f>
        <v/>
      </c>
      <c r="V54" s="25">
        <f>ROUND($B$6*$B$10*$B$12*$B$16*$B$17*$B$20*$B$21,0)</f>
        <v/>
      </c>
      <c r="W54" s="25">
        <f>ROUND($B$6*$B$10*$B$12*$B$16*$B$17*$B$20*$B$22,0)</f>
        <v/>
      </c>
      <c r="X54" s="25">
        <f>ROUND($B$6*$B$10*$B$12*$B$16*$B$18*$B$19*$B$21,0)</f>
        <v/>
      </c>
      <c r="Y54" s="25">
        <f>ROUND($B$6*$B$10*$B$12*$B$16*$B$18*$B$19*$B$22,0)</f>
        <v/>
      </c>
      <c r="Z54" s="25">
        <f>ROUND($B$6*$B$10*$B$12*$B$16*$B$18*$B$20*$B$21,0)</f>
        <v/>
      </c>
      <c r="AA54" s="25">
        <f>ROUND($B$6*$B$10*$B$12*$B$16*$B$18*$B$20*$B$22,0)</f>
        <v/>
      </c>
    </row>
    <row r="55" ht="20.1" customHeight="1" s="62">
      <c r="A55" s="82" t="n"/>
      <c r="B55" s="59" t="n"/>
      <c r="C55" s="26" t="inlineStr">
        <is>
          <t>6+ outils</t>
        </is>
      </c>
      <c r="D55" s="25">
        <f>ROUND($B$6*$B$10*$B$13*$B$14*$B$17*$B$19*$B$21,0)</f>
        <v/>
      </c>
      <c r="E55" s="25">
        <f>ROUND($B$6*$B$10*$B$13*$B$14*$B$17*$B$19*$B$22,0)</f>
        <v/>
      </c>
      <c r="F55" s="25">
        <f>ROUND($B$6*$B$10*$B$13*$B$14*$B$17*$B$20*$B$21,0)</f>
        <v/>
      </c>
      <c r="G55" s="25">
        <f>ROUND($B$6*$B$10*$B$13*$B$14*$B$17*$B$20*$B$22,0)</f>
        <v/>
      </c>
      <c r="H55" s="25">
        <f>ROUND($B$6*$B$10*$B$13*$B$14*$B$18*$B$19*$B$21,0)</f>
        <v/>
      </c>
      <c r="I55" s="25">
        <f>ROUND($B$6*$B$10*$B$13*$B$14*$B$18*$B$19*$B$22,0)</f>
        <v/>
      </c>
      <c r="J55" s="25">
        <f>ROUND($B$6*$B$10*$B$13*$B$14*$B$18*$B$20*$B$21,0)</f>
        <v/>
      </c>
      <c r="K55" s="25">
        <f>ROUND($B$6*$B$10*$B$13*$B$14*$B$18*$B$20*$B$22,0)</f>
        <v/>
      </c>
      <c r="L55" s="25">
        <f>ROUND($B$6*$B$10*$B$13*$B$15*$B$17*$B$19*$B$21,0)</f>
        <v/>
      </c>
      <c r="M55" s="25">
        <f>ROUND($B$6*$B$10*$B$13*$B$15*$B$17*$B$19*$B$22,0)</f>
        <v/>
      </c>
      <c r="N55" s="25">
        <f>ROUND($B$6*$B$10*$B$13*$B$15*$B$17*$B$20*$B$21,0)</f>
        <v/>
      </c>
      <c r="O55" s="25">
        <f>ROUND($B$6*$B$10*$B$13*$B$15*$B$17*$B$20*$B$22,0)</f>
        <v/>
      </c>
      <c r="P55" s="25">
        <f>ROUND($B$6*$B$10*$B$13*$B$15*$B$18*$B$19*$B$21,0)</f>
        <v/>
      </c>
      <c r="Q55" s="25">
        <f>ROUND($B$6*$B$10*$B$13*$B$15*$B$18*$B$19*$B$22,0)</f>
        <v/>
      </c>
      <c r="R55" s="25">
        <f>ROUND($B$6*$B$10*$B$13*$B$15*$B$18*$B$20*$B$21,0)</f>
        <v/>
      </c>
      <c r="S55" s="25">
        <f>ROUND($B$6*$B$10*$B$13*$B$15*$B$18*$B$20*$B$22,0)</f>
        <v/>
      </c>
      <c r="T55" s="25">
        <f>ROUND($B$6*$B$10*$B$13*$B$16*$B$17*$B$19*$B$21,0)</f>
        <v/>
      </c>
      <c r="U55" s="25">
        <f>ROUND($B$6*$B$10*$B$13*$B$16*$B$17*$B$19*$B$22,0)</f>
        <v/>
      </c>
      <c r="V55" s="25">
        <f>ROUND($B$6*$B$10*$B$13*$B$16*$B$17*$B$20*$B$21,0)</f>
        <v/>
      </c>
      <c r="W55" s="25">
        <f>ROUND($B$6*$B$10*$B$13*$B$16*$B$17*$B$20*$B$22,0)</f>
        <v/>
      </c>
      <c r="X55" s="25">
        <f>ROUND($B$6*$B$10*$B$13*$B$16*$B$18*$B$19*$B$21,0)</f>
        <v/>
      </c>
      <c r="Y55" s="25">
        <f>ROUND($B$6*$B$10*$B$13*$B$16*$B$18*$B$19*$B$22,0)</f>
        <v/>
      </c>
      <c r="Z55" s="25">
        <f>ROUND($B$6*$B$10*$B$13*$B$16*$B$18*$B$20*$B$21,0)</f>
        <v/>
      </c>
      <c r="AA55" s="25">
        <f>ROUND($B$6*$B$10*$B$13*$B$16*$B$18*$B$20*$B$22,0)</f>
        <v/>
      </c>
    </row>
  </sheetData>
  <mergeCells count="41">
    <mergeCell ref="B53:B55"/>
    <mergeCell ref="X26:AA26"/>
    <mergeCell ref="A7:AA7"/>
    <mergeCell ref="Z27:AA27"/>
    <mergeCell ref="A25:A28"/>
    <mergeCell ref="D26:G26"/>
    <mergeCell ref="A3:AA3"/>
    <mergeCell ref="B35:B37"/>
    <mergeCell ref="H26:K26"/>
    <mergeCell ref="C25:C28"/>
    <mergeCell ref="D27:E27"/>
    <mergeCell ref="T25:AA25"/>
    <mergeCell ref="A2:AA2"/>
    <mergeCell ref="P26:S26"/>
    <mergeCell ref="N27:O27"/>
    <mergeCell ref="A29:A37"/>
    <mergeCell ref="J27:K27"/>
    <mergeCell ref="P27:Q27"/>
    <mergeCell ref="B41:B43"/>
    <mergeCell ref="B47:B49"/>
    <mergeCell ref="R27:S27"/>
    <mergeCell ref="B32:B34"/>
    <mergeCell ref="A23:AA23"/>
    <mergeCell ref="B50:B52"/>
    <mergeCell ref="A47:A55"/>
    <mergeCell ref="A38:A46"/>
    <mergeCell ref="V27:W27"/>
    <mergeCell ref="L25:S25"/>
    <mergeCell ref="F27:G27"/>
    <mergeCell ref="H27:I27"/>
    <mergeCell ref="D25:K25"/>
    <mergeCell ref="L26:O26"/>
    <mergeCell ref="B44:B46"/>
    <mergeCell ref="T26:W26"/>
    <mergeCell ref="B29:B31"/>
    <mergeCell ref="L27:M27"/>
    <mergeCell ref="B38:B40"/>
    <mergeCell ref="B25:B28"/>
    <mergeCell ref="T27:U27"/>
    <mergeCell ref="A1:AA1"/>
    <mergeCell ref="X27:Y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2D1B5E"/>
    <outlinePr summaryBelow="1" summaryRight="1"/>
    <pageSetUpPr/>
  </sheetPr>
  <dimension ref="A1:AQ63"/>
  <sheetViews>
    <sheetView workbookViewId="0">
      <pane xSplit="3" topLeftCell="D1" activePane="topRight" state="frozen"/>
      <selection pane="topRight" activeCell="A1" sqref="A1:AQ1"/>
    </sheetView>
  </sheetViews>
  <sheetFormatPr baseColWidth="10" defaultColWidth="9.140625" defaultRowHeight="15"/>
  <cols>
    <col width="24" customWidth="1" style="62" min="1" max="1"/>
    <col width="28" customWidth="1" style="62" min="2" max="2"/>
    <col width="22" customWidth="1" style="62" min="3" max="3"/>
    <col width="14" customWidth="1" style="62" min="4" max="43"/>
  </cols>
  <sheetData>
    <row r="1" ht="33.95" customHeight="1" s="62">
      <c r="A1" s="72" t="inlineStr">
        <is>
          <t>GRILLE TARIFAIRE — Stratégie Digitale Globale</t>
        </is>
      </c>
    </row>
    <row r="2" ht="26.1" customHeight="1" s="62">
      <c r="A2" s="70" t="inlineStr">
        <is>
          <t>⚙  ZONE DE PARAMÉTRAGE — Remplissez uniquement les cases jaunes. Le tableau se calcule automatiquement.</t>
        </is>
      </c>
    </row>
    <row r="3" ht="21.95" customHeight="1" s="62">
      <c r="A3" s="69" t="inlineStr">
        <is>
          <t>TARIFS DE BASE (€)  —  Le tarif final = Base + SEO + (RS × nb réseaux) + (Autres × nb canaux), puis multiplié par les coefficients ci-dessous</t>
        </is>
      </c>
    </row>
    <row r="4" ht="21.95" customHeight="1" s="62">
      <c r="A4" s="1" t="inlineStr">
        <is>
          <t>Tarif de base (prise en charge entreprise)</t>
        </is>
      </c>
      <c r="B4" s="2" t="n">
        <v>700</v>
      </c>
      <c r="C4" s="3" t="inlineStr">
        <is>
          <t>Forfait fixe inclus dans tous les tarifs</t>
        </is>
      </c>
    </row>
    <row r="5" ht="21.95" customHeight="1" s="62">
      <c r="A5" s="1" t="inlineStr">
        <is>
          <t>Canal SEO</t>
        </is>
      </c>
      <c r="B5" s="2" t="n">
        <v>600</v>
      </c>
      <c r="C5" s="3" t="inlineStr">
        <is>
          <t>Ajouté si le canal SEO est inclus</t>
        </is>
      </c>
    </row>
    <row r="6" ht="21.95" customHeight="1" s="62">
      <c r="A6" s="1" t="inlineStr">
        <is>
          <t>Canal Réseaux Sociaux (par réseau)</t>
        </is>
      </c>
      <c r="B6" s="2" t="n">
        <v>400</v>
      </c>
      <c r="C6" s="3" t="inlineStr">
        <is>
          <t>Multiplié par le nombre de réseaux sociaux</t>
        </is>
      </c>
    </row>
    <row r="7" ht="21.95" customHeight="1" s="62">
      <c r="A7" s="1" t="inlineStr">
        <is>
          <t>Autres canaux — mail, pub, etc. (par canal)</t>
        </is>
      </c>
      <c r="B7" s="2" t="n">
        <v>450</v>
      </c>
      <c r="C7" s="3" t="inlineStr">
        <is>
          <t>Multiplié par le nombre d'autres canaux</t>
        </is>
      </c>
    </row>
    <row r="8" ht="21.95" customHeight="1" s="62">
      <c r="A8" s="61" t="inlineStr">
        <is>
          <t>COEFFICIENTS MULTIPLICATEURS  —  1,00 = neutre. Ex : 1,20 = +20 %  (appliqués sur le total des tarifs additifs)</t>
        </is>
      </c>
    </row>
    <row r="9" ht="20.1" customHeight="1" s="62">
      <c r="A9" s="13" t="inlineStr">
        <is>
          <t>Coeff. taille — Micro (1-5 sal.)</t>
        </is>
      </c>
      <c r="B9" s="5" t="n">
        <v>0.7</v>
      </c>
      <c r="C9" s="6" t="inlineStr">
        <is>
          <t>Entreprise très petite → tarif réduit</t>
        </is>
      </c>
    </row>
    <row r="10" ht="20.1" customHeight="1" s="62">
      <c r="A10" s="13" t="inlineStr">
        <is>
          <t>Coeff. taille — TPE (6-19 sal.)</t>
        </is>
      </c>
      <c r="B10" s="5" t="n">
        <v>1</v>
      </c>
      <c r="C10" s="6" t="inlineStr">
        <is>
          <t>Référence (base = 1,00)</t>
        </is>
      </c>
    </row>
    <row r="11" ht="20.1" customHeight="1" s="62">
      <c r="A11" s="13" t="inlineStr">
        <is>
          <t>Coeff. taille — PME (20-99 sal.)</t>
        </is>
      </c>
      <c r="B11" s="5" t="n">
        <v>1.35</v>
      </c>
      <c r="C11" s="6" t="inlineStr">
        <is>
          <t>Complexité accrue → majoration</t>
        </is>
      </c>
    </row>
    <row r="12" ht="20.1" customHeight="1" s="62">
      <c r="A12" s="13" t="inlineStr">
        <is>
          <t>Coeff. taille — ETI / Grand compte (100+)</t>
        </is>
      </c>
      <c r="B12" s="5" t="n">
        <v>1.8</v>
      </c>
      <c r="C12" s="6" t="inlineStr">
        <is>
          <t>Structure complexe → forte majoration</t>
        </is>
      </c>
    </row>
    <row r="13" ht="20.1" customHeight="1" s="62">
      <c r="A13" s="13" t="inlineStr">
        <is>
          <t>Coeff. maturité — Faible</t>
        </is>
      </c>
      <c r="B13" s="5" t="n">
        <v>1.2</v>
      </c>
      <c r="C13" s="6" t="inlineStr">
        <is>
          <t>Travail de fond important → majoration</t>
        </is>
      </c>
    </row>
    <row r="14" ht="20.1" customHeight="1" s="62">
      <c r="A14" s="13" t="inlineStr">
        <is>
          <t>Coeff. maturité — Intermédiaire</t>
        </is>
      </c>
      <c r="B14" s="5" t="n">
        <v>1</v>
      </c>
      <c r="C14" s="6" t="inlineStr">
        <is>
          <t>Référence</t>
        </is>
      </c>
    </row>
    <row r="15" ht="20.1" customHeight="1" s="62">
      <c r="A15" s="13" t="inlineStr">
        <is>
          <t>Coeff. maturité — Avancée</t>
        </is>
      </c>
      <c r="B15" s="5" t="n">
        <v>0.85</v>
      </c>
      <c r="C15" s="6" t="inlineStr">
        <is>
          <t>Base existante → travail optimisé</t>
        </is>
      </c>
    </row>
    <row r="16" ht="20.1" customHeight="1" s="62">
      <c r="A16" s="13" t="inlineStr">
        <is>
          <t>Coeff. complexité — Simple</t>
        </is>
      </c>
      <c r="B16" s="5" t="n">
        <v>0.9</v>
      </c>
      <c r="C16" s="6" t="inlineStr">
        <is>
          <t>Activité claire et homogène</t>
        </is>
      </c>
    </row>
    <row r="17" ht="20.1" customHeight="1" s="62">
      <c r="A17" s="13" t="inlineStr">
        <is>
          <t>Coeff. complexité — Modérée</t>
        </is>
      </c>
      <c r="B17" s="5" t="n">
        <v>1</v>
      </c>
      <c r="C17" s="6" t="inlineStr">
        <is>
          <t>Référence</t>
        </is>
      </c>
    </row>
    <row r="18" ht="20.1" customHeight="1" s="62">
      <c r="A18" s="13" t="inlineStr">
        <is>
          <t>Coeff. complexité — Complexe / multi-offres</t>
        </is>
      </c>
      <c r="B18" s="5" t="n">
        <v>1.35</v>
      </c>
      <c r="C18" s="6" t="inlineStr">
        <is>
          <t>Multiplicité des offres / cibles</t>
        </is>
      </c>
    </row>
    <row r="19" ht="20.1" customHeight="1" s="62">
      <c r="A19" s="13" t="inlineStr">
        <is>
          <t>Coeff. secteur — Standard</t>
        </is>
      </c>
      <c r="B19" s="5" t="n">
        <v>1</v>
      </c>
      <c r="C19" s="6" t="inlineStr">
        <is>
          <t>Secteur sans contrainte spécifique</t>
        </is>
      </c>
    </row>
    <row r="20" ht="20.1" customHeight="1" s="62">
      <c r="A20" s="13" t="inlineStr">
        <is>
          <t>Coeff. secteur — Réglementé / Concurrentiel</t>
        </is>
      </c>
      <c r="B20" s="5" t="n">
        <v>1.2</v>
      </c>
      <c r="C20" s="6" t="inlineStr">
        <is>
          <t>Analyse concurrentielle approfondie</t>
        </is>
      </c>
    </row>
    <row r="21" ht="20.1" customHeight="1" s="62">
      <c r="A21" s="13" t="inlineStr">
        <is>
          <t>Coeff. collaboration — Distanciel</t>
        </is>
      </c>
      <c r="B21" s="5" t="n">
        <v>1</v>
      </c>
      <c r="C21" s="6" t="inlineStr">
        <is>
          <t>Référence</t>
        </is>
      </c>
    </row>
    <row r="22" ht="20.1" customHeight="1" s="62">
      <c r="A22" s="13" t="inlineStr">
        <is>
          <t>Coeff. collaboration — Présentiel</t>
        </is>
      </c>
      <c r="B22" s="5" t="n">
        <v>1.15</v>
      </c>
      <c r="C22" s="6" t="inlineStr">
        <is>
          <t>Déplacement + ateliers sur site</t>
        </is>
      </c>
    </row>
    <row r="23" ht="24" customHeight="1" s="62">
      <c r="A23" s="71" t="inlineStr">
        <is>
          <t>▼  GRILLE TARIFAIRE CALCULÉE AUTOMATIQUEMENT  — Les cellules bleues sont en lecture seule (formules). Vous pouvez écraser une formule pour forcer un tarif précis.</t>
        </is>
      </c>
    </row>
    <row r="24" ht="6" customHeight="1" s="62"/>
    <row r="25" ht="36" customHeight="1" s="62">
      <c r="A25" s="54" t="inlineStr">
        <is>
          <t>Taille de l'entreprise</t>
        </is>
      </c>
      <c r="B25" s="60" t="inlineStr">
        <is>
          <t>Maturité digitale</t>
        </is>
      </c>
      <c r="C25" s="63" t="inlineStr">
        <is>
          <t>Complexité activité</t>
        </is>
      </c>
      <c r="D25" s="54" t="inlineStr">
        <is>
          <t>Standard</t>
        </is>
      </c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6" t="n"/>
      <c r="X25" s="54" t="inlineStr">
        <is>
          <t>Réglementé / Concurrentiel</t>
        </is>
      </c>
      <c r="Y25" s="55" t="n"/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6" t="n"/>
    </row>
    <row r="26" ht="42" customHeight="1" s="62">
      <c r="A26" s="64" t="n"/>
      <c r="B26" s="64" t="n"/>
      <c r="C26" s="64" t="n"/>
      <c r="D26" s="60" t="inlineStr">
        <is>
          <t>SEO uniquement</t>
        </is>
      </c>
      <c r="E26" s="56" t="n"/>
      <c r="F26" s="60" t="inlineStr">
        <is>
          <t>1 réseau social</t>
        </is>
      </c>
      <c r="G26" s="56" t="n"/>
      <c r="H26" s="60" t="inlineStr">
        <is>
          <t>2 réseaux sociaux</t>
        </is>
      </c>
      <c r="I26" s="56" t="n"/>
      <c r="J26" s="60" t="inlineStr">
        <is>
          <t>3 réseaux sociaux</t>
        </is>
      </c>
      <c r="K26" s="56" t="n"/>
      <c r="L26" s="60" t="inlineStr">
        <is>
          <t>1 autre canal</t>
        </is>
      </c>
      <c r="M26" s="56" t="n"/>
      <c r="N26" s="60" t="inlineStr">
        <is>
          <t>SEO + 1 réseau social</t>
        </is>
      </c>
      <c r="O26" s="56" t="n"/>
      <c r="P26" s="60" t="inlineStr">
        <is>
          <t>SEO + 2 réseaux sociaux</t>
        </is>
      </c>
      <c r="Q26" s="56" t="n"/>
      <c r="R26" s="60" t="inlineStr">
        <is>
          <t>SEO + 1 autre canal</t>
        </is>
      </c>
      <c r="S26" s="56" t="n"/>
      <c r="T26" s="60" t="inlineStr">
        <is>
          <t>2 réseaux sociaux + 1 autre canal</t>
        </is>
      </c>
      <c r="U26" s="56" t="n"/>
      <c r="V26" s="60" t="inlineStr">
        <is>
          <t>SEO + 2 RS + 1 autre canal</t>
        </is>
      </c>
      <c r="W26" s="56" t="n"/>
      <c r="X26" s="60" t="inlineStr">
        <is>
          <t>SEO uniquement</t>
        </is>
      </c>
      <c r="Y26" s="56" t="n"/>
      <c r="Z26" s="60" t="inlineStr">
        <is>
          <t>1 réseau social</t>
        </is>
      </c>
      <c r="AA26" s="56" t="n"/>
      <c r="AB26" s="60" t="inlineStr">
        <is>
          <t>2 réseaux sociaux</t>
        </is>
      </c>
      <c r="AC26" s="56" t="n"/>
      <c r="AD26" s="60" t="inlineStr">
        <is>
          <t>3 réseaux sociaux</t>
        </is>
      </c>
      <c r="AE26" s="56" t="n"/>
      <c r="AF26" s="60" t="inlineStr">
        <is>
          <t>1 autre canal</t>
        </is>
      </c>
      <c r="AG26" s="56" t="n"/>
      <c r="AH26" s="60" t="inlineStr">
        <is>
          <t>SEO + 1 réseau social</t>
        </is>
      </c>
      <c r="AI26" s="56" t="n"/>
      <c r="AJ26" s="60" t="inlineStr">
        <is>
          <t>SEO + 2 réseaux sociaux</t>
        </is>
      </c>
      <c r="AK26" s="56" t="n"/>
      <c r="AL26" s="60" t="inlineStr">
        <is>
          <t>SEO + 1 autre canal</t>
        </is>
      </c>
      <c r="AM26" s="56" t="n"/>
      <c r="AN26" s="60" t="inlineStr">
        <is>
          <t>2 réseaux sociaux + 1 autre canal</t>
        </is>
      </c>
      <c r="AO26" s="56" t="n"/>
      <c r="AP26" s="60" t="inlineStr">
        <is>
          <t>SEO + 2 RS + 1 autre canal</t>
        </is>
      </c>
      <c r="AQ26" s="56" t="n"/>
    </row>
    <row r="27" ht="30" customHeight="1" s="62">
      <c r="A27" s="65" t="n"/>
      <c r="B27" s="65" t="n"/>
      <c r="C27" s="65" t="n"/>
      <c r="D27" s="7" t="inlineStr">
        <is>
          <t>Distanciel</t>
        </is>
      </c>
      <c r="E27" s="7" t="inlineStr">
        <is>
          <t>Présentiel</t>
        </is>
      </c>
      <c r="F27" s="7" t="inlineStr">
        <is>
          <t>Distanciel</t>
        </is>
      </c>
      <c r="G27" s="7" t="inlineStr">
        <is>
          <t>Présentiel</t>
        </is>
      </c>
      <c r="H27" s="7" t="inlineStr">
        <is>
          <t>Distanciel</t>
        </is>
      </c>
      <c r="I27" s="7" t="inlineStr">
        <is>
          <t>Présentiel</t>
        </is>
      </c>
      <c r="J27" s="7" t="inlineStr">
        <is>
          <t>Distanciel</t>
        </is>
      </c>
      <c r="K27" s="7" t="inlineStr">
        <is>
          <t>Présentiel</t>
        </is>
      </c>
      <c r="L27" s="7" t="inlineStr">
        <is>
          <t>Distanciel</t>
        </is>
      </c>
      <c r="M27" s="7" t="inlineStr">
        <is>
          <t>Présentiel</t>
        </is>
      </c>
      <c r="N27" s="7" t="inlineStr">
        <is>
          <t>Distanciel</t>
        </is>
      </c>
      <c r="O27" s="7" t="inlineStr">
        <is>
          <t>Présentiel</t>
        </is>
      </c>
      <c r="P27" s="7" t="inlineStr">
        <is>
          <t>Distanciel</t>
        </is>
      </c>
      <c r="Q27" s="7" t="inlineStr">
        <is>
          <t>Présentiel</t>
        </is>
      </c>
      <c r="R27" s="7" t="inlineStr">
        <is>
          <t>Distanciel</t>
        </is>
      </c>
      <c r="S27" s="7" t="inlineStr">
        <is>
          <t>Présentiel</t>
        </is>
      </c>
      <c r="T27" s="7" t="inlineStr">
        <is>
          <t>Distanciel</t>
        </is>
      </c>
      <c r="U27" s="7" t="inlineStr">
        <is>
          <t>Présentiel</t>
        </is>
      </c>
      <c r="V27" s="7" t="inlineStr">
        <is>
          <t>Distanciel</t>
        </is>
      </c>
      <c r="W27" s="7" t="inlineStr">
        <is>
          <t>Présentiel</t>
        </is>
      </c>
      <c r="X27" s="7" t="inlineStr">
        <is>
          <t>Distanciel</t>
        </is>
      </c>
      <c r="Y27" s="7" t="inlineStr">
        <is>
          <t>Présentiel</t>
        </is>
      </c>
      <c r="Z27" s="7" t="inlineStr">
        <is>
          <t>Distanciel</t>
        </is>
      </c>
      <c r="AA27" s="7" t="inlineStr">
        <is>
          <t>Présentiel</t>
        </is>
      </c>
      <c r="AB27" s="7" t="inlineStr">
        <is>
          <t>Distanciel</t>
        </is>
      </c>
      <c r="AC27" s="7" t="inlineStr">
        <is>
          <t>Présentiel</t>
        </is>
      </c>
      <c r="AD27" s="7" t="inlineStr">
        <is>
          <t>Distanciel</t>
        </is>
      </c>
      <c r="AE27" s="7" t="inlineStr">
        <is>
          <t>Présentiel</t>
        </is>
      </c>
      <c r="AF27" s="7" t="inlineStr">
        <is>
          <t>Distanciel</t>
        </is>
      </c>
      <c r="AG27" s="7" t="inlineStr">
        <is>
          <t>Présentiel</t>
        </is>
      </c>
      <c r="AH27" s="7" t="inlineStr">
        <is>
          <t>Distanciel</t>
        </is>
      </c>
      <c r="AI27" s="7" t="inlineStr">
        <is>
          <t>Présentiel</t>
        </is>
      </c>
      <c r="AJ27" s="7" t="inlineStr">
        <is>
          <t>Distanciel</t>
        </is>
      </c>
      <c r="AK27" s="7" t="inlineStr">
        <is>
          <t>Présentiel</t>
        </is>
      </c>
      <c r="AL27" s="7" t="inlineStr">
        <is>
          <t>Distanciel</t>
        </is>
      </c>
      <c r="AM27" s="7" t="inlineStr">
        <is>
          <t>Présentiel</t>
        </is>
      </c>
      <c r="AN27" s="7" t="inlineStr">
        <is>
          <t>Distanciel</t>
        </is>
      </c>
      <c r="AO27" s="7" t="inlineStr">
        <is>
          <t>Présentiel</t>
        </is>
      </c>
      <c r="AP27" s="7" t="inlineStr">
        <is>
          <t>Distanciel</t>
        </is>
      </c>
      <c r="AQ27" s="7" t="inlineStr">
        <is>
          <t>Présentiel</t>
        </is>
      </c>
    </row>
    <row r="28" ht="20.1" customHeight="1" s="62">
      <c r="A28" s="66" t="inlineStr">
        <is>
          <t>Micro (1-5 sal.)</t>
        </is>
      </c>
      <c r="B28" s="57" t="inlineStr">
        <is>
          <t>Faible (peu/pas de présence digitale)</t>
        </is>
      </c>
      <c r="C28" s="14" t="inlineStr">
        <is>
          <t>Activité simple</t>
        </is>
      </c>
      <c r="D28" s="10">
        <f>ROUND(($B$4+$B$5*1+$B$6*0+$B$7*0)*$B$9*$B$13*$B$16*$B$19*$B$21,0)</f>
        <v/>
      </c>
      <c r="E28" s="10">
        <f>ROUND(($B$4+$B$5*1+$B$6*0+$B$7*0)*$B$9*$B$13*$B$16*$B$19*$B$22,0)</f>
        <v/>
      </c>
      <c r="F28" s="10">
        <f>ROUND(($B$4+$B$5*0+$B$6*1+$B$7*0)*$B$9*$B$13*$B$16*$B$19*$B$21,0)</f>
        <v/>
      </c>
      <c r="G28" s="10">
        <f>ROUND(($B$4+$B$5*0+$B$6*1+$B$7*0)*$B$9*$B$13*$B$16*$B$19*$B$22,0)</f>
        <v/>
      </c>
      <c r="H28" s="10">
        <f>ROUND(($B$4+$B$5*0+$B$6*2+$B$7*0)*$B$9*$B$13*$B$16*$B$19*$B$21,0)</f>
        <v/>
      </c>
      <c r="I28" s="10">
        <f>ROUND(($B$4+$B$5*0+$B$6*2+$B$7*0)*$B$9*$B$13*$B$16*$B$19*$B$22,0)</f>
        <v/>
      </c>
      <c r="J28" s="10">
        <f>ROUND(($B$4+$B$5*0+$B$6*3+$B$7*0)*$B$9*$B$13*$B$16*$B$19*$B$21,0)</f>
        <v/>
      </c>
      <c r="K28" s="10">
        <f>ROUND(($B$4+$B$5*0+$B$6*3+$B$7*0)*$B$9*$B$13*$B$16*$B$19*$B$22,0)</f>
        <v/>
      </c>
      <c r="L28" s="10">
        <f>ROUND(($B$4+$B$5*0+$B$6*0+$B$7*1)*$B$9*$B$13*$B$16*$B$19*$B$21,0)</f>
        <v/>
      </c>
      <c r="M28" s="10">
        <f>ROUND(($B$4+$B$5*0+$B$6*0+$B$7*1)*$B$9*$B$13*$B$16*$B$19*$B$22,0)</f>
        <v/>
      </c>
      <c r="N28" s="10">
        <f>ROUND(($B$4+$B$5*1+$B$6*1+$B$7*0)*$B$9*$B$13*$B$16*$B$19*$B$21,0)</f>
        <v/>
      </c>
      <c r="O28" s="10">
        <f>ROUND(($B$4+$B$5*1+$B$6*1+$B$7*0)*$B$9*$B$13*$B$16*$B$19*$B$22,0)</f>
        <v/>
      </c>
      <c r="P28" s="10">
        <f>ROUND(($B$4+$B$5*1+$B$6*2+$B$7*0)*$B$9*$B$13*$B$16*$B$19*$B$21,0)</f>
        <v/>
      </c>
      <c r="Q28" s="10">
        <f>ROUND(($B$4+$B$5*1+$B$6*2+$B$7*0)*$B$9*$B$13*$B$16*$B$19*$B$22,0)</f>
        <v/>
      </c>
      <c r="R28" s="10">
        <f>ROUND(($B$4+$B$5*1+$B$6*0+$B$7*1)*$B$9*$B$13*$B$16*$B$19*$B$21,0)</f>
        <v/>
      </c>
      <c r="S28" s="10">
        <f>ROUND(($B$4+$B$5*1+$B$6*0+$B$7*1)*$B$9*$B$13*$B$16*$B$19*$B$22,0)</f>
        <v/>
      </c>
      <c r="T28" s="10">
        <f>ROUND(($B$4+$B$5*0+$B$6*2+$B$7*1)*$B$9*$B$13*$B$16*$B$19*$B$21,0)</f>
        <v/>
      </c>
      <c r="U28" s="10">
        <f>ROUND(($B$4+$B$5*0+$B$6*2+$B$7*1)*$B$9*$B$13*$B$16*$B$19*$B$22,0)</f>
        <v/>
      </c>
      <c r="V28" s="10">
        <f>ROUND(($B$4+$B$5*1+$B$6*2+$B$7*1)*$B$9*$B$13*$B$16*$B$19*$B$21,0)</f>
        <v/>
      </c>
      <c r="W28" s="10">
        <f>ROUND(($B$4+$B$5*1+$B$6*2+$B$7*1)*$B$9*$B$13*$B$16*$B$19*$B$22,0)</f>
        <v/>
      </c>
      <c r="X28" s="10">
        <f>ROUND(($B$4+$B$5*1+$B$6*0+$B$7*0)*$B$9*$B$13*$B$16*$B$20*$B$21,0)</f>
        <v/>
      </c>
      <c r="Y28" s="10">
        <f>ROUND(($B$4+$B$5*1+$B$6*0+$B$7*0)*$B$9*$B$13*$B$16*$B$20*$B$22,0)</f>
        <v/>
      </c>
      <c r="Z28" s="10">
        <f>ROUND(($B$4+$B$5*0+$B$6*1+$B$7*0)*$B$9*$B$13*$B$16*$B$20*$B$21,0)</f>
        <v/>
      </c>
      <c r="AA28" s="10">
        <f>ROUND(($B$4+$B$5*0+$B$6*1+$B$7*0)*$B$9*$B$13*$B$16*$B$20*$B$22,0)</f>
        <v/>
      </c>
      <c r="AB28" s="10">
        <f>ROUND(($B$4+$B$5*0+$B$6*2+$B$7*0)*$B$9*$B$13*$B$16*$B$20*$B$21,0)</f>
        <v/>
      </c>
      <c r="AC28" s="10">
        <f>ROUND(($B$4+$B$5*0+$B$6*2+$B$7*0)*$B$9*$B$13*$B$16*$B$20*$B$22,0)</f>
        <v/>
      </c>
      <c r="AD28" s="10">
        <f>ROUND(($B$4+$B$5*0+$B$6*3+$B$7*0)*$B$9*$B$13*$B$16*$B$20*$B$21,0)</f>
        <v/>
      </c>
      <c r="AE28" s="10">
        <f>ROUND(($B$4+$B$5*0+$B$6*3+$B$7*0)*$B$9*$B$13*$B$16*$B$20*$B$22,0)</f>
        <v/>
      </c>
      <c r="AF28" s="10">
        <f>ROUND(($B$4+$B$5*0+$B$6*0+$B$7*1)*$B$9*$B$13*$B$16*$B$20*$B$21,0)</f>
        <v/>
      </c>
      <c r="AG28" s="10">
        <f>ROUND(($B$4+$B$5*0+$B$6*0+$B$7*1)*$B$9*$B$13*$B$16*$B$20*$B$22,0)</f>
        <v/>
      </c>
      <c r="AH28" s="10">
        <f>ROUND(($B$4+$B$5*1+$B$6*1+$B$7*0)*$B$9*$B$13*$B$16*$B$20*$B$21,0)</f>
        <v/>
      </c>
      <c r="AI28" s="10">
        <f>ROUND(($B$4+$B$5*1+$B$6*1+$B$7*0)*$B$9*$B$13*$B$16*$B$20*$B$22,0)</f>
        <v/>
      </c>
      <c r="AJ28" s="10">
        <f>ROUND(($B$4+$B$5*1+$B$6*2+$B$7*0)*$B$9*$B$13*$B$16*$B$20*$B$21,0)</f>
        <v/>
      </c>
      <c r="AK28" s="10">
        <f>ROUND(($B$4+$B$5*1+$B$6*2+$B$7*0)*$B$9*$B$13*$B$16*$B$20*$B$22,0)</f>
        <v/>
      </c>
      <c r="AL28" s="10">
        <f>ROUND(($B$4+$B$5*1+$B$6*0+$B$7*1)*$B$9*$B$13*$B$16*$B$20*$B$21,0)</f>
        <v/>
      </c>
      <c r="AM28" s="10">
        <f>ROUND(($B$4+$B$5*1+$B$6*0+$B$7*1)*$B$9*$B$13*$B$16*$B$20*$B$22,0)</f>
        <v/>
      </c>
      <c r="AN28" s="10">
        <f>ROUND(($B$4+$B$5*0+$B$6*2+$B$7*1)*$B$9*$B$13*$B$16*$B$20*$B$21,0)</f>
        <v/>
      </c>
      <c r="AO28" s="10">
        <f>ROUND(($B$4+$B$5*0+$B$6*2+$B$7*1)*$B$9*$B$13*$B$16*$B$20*$B$22,0)</f>
        <v/>
      </c>
      <c r="AP28" s="10">
        <f>ROUND(($B$4+$B$5*1+$B$6*2+$B$7*1)*$B$9*$B$13*$B$16*$B$20*$B$21,0)</f>
        <v/>
      </c>
      <c r="AQ28" s="10">
        <f>ROUND(($B$4+$B$5*1+$B$6*2+$B$7*1)*$B$9*$B$13*$B$16*$B$20*$B$22,0)</f>
        <v/>
      </c>
    </row>
    <row r="29" ht="20.1" customHeight="1" s="62">
      <c r="A29" s="67" t="n"/>
      <c r="B29" s="58" t="n"/>
      <c r="C29" s="57" t="inlineStr">
        <is>
          <t>Activité modérée</t>
        </is>
      </c>
      <c r="D29" s="10">
        <f>ROUND(($B$4+$B$5*1+$B$6*0+$B$7*0)*$B$9*$B$13*$B$17*$B$19*$B$21,0)</f>
        <v/>
      </c>
      <c r="E29" s="10">
        <f>ROUND(($B$4+$B$5*1+$B$6*0+$B$7*0)*$B$9*$B$13*$B$17*$B$19*$B$22,0)</f>
        <v/>
      </c>
      <c r="F29" s="10">
        <f>ROUND(($B$4+$B$5*0+$B$6*1+$B$7*0)*$B$9*$B$13*$B$17*$B$19*$B$21,0)</f>
        <v/>
      </c>
      <c r="G29" s="10">
        <f>ROUND(($B$4+$B$5*0+$B$6*1+$B$7*0)*$B$9*$B$13*$B$17*$B$19*$B$22,0)</f>
        <v/>
      </c>
      <c r="H29" s="10">
        <f>ROUND(($B$4+$B$5*0+$B$6*2+$B$7*0)*$B$9*$B$13*$B$17*$B$19*$B$21,0)</f>
        <v/>
      </c>
      <c r="I29" s="10">
        <f>ROUND(($B$4+$B$5*0+$B$6*2+$B$7*0)*$B$9*$B$13*$B$17*$B$19*$B$22,0)</f>
        <v/>
      </c>
      <c r="J29" s="10">
        <f>ROUND(($B$4+$B$5*0+$B$6*3+$B$7*0)*$B$9*$B$13*$B$17*$B$19*$B$21,0)</f>
        <v/>
      </c>
      <c r="K29" s="10">
        <f>ROUND(($B$4+$B$5*0+$B$6*3+$B$7*0)*$B$9*$B$13*$B$17*$B$19*$B$22,0)</f>
        <v/>
      </c>
      <c r="L29" s="10">
        <f>ROUND(($B$4+$B$5*0+$B$6*0+$B$7*1)*$B$9*$B$13*$B$17*$B$19*$B$21,0)</f>
        <v/>
      </c>
      <c r="M29" s="10">
        <f>ROUND(($B$4+$B$5*0+$B$6*0+$B$7*1)*$B$9*$B$13*$B$17*$B$19*$B$22,0)</f>
        <v/>
      </c>
      <c r="N29" s="10">
        <f>ROUND(($B$4+$B$5*1+$B$6*1+$B$7*0)*$B$9*$B$13*$B$17*$B$19*$B$21,0)</f>
        <v/>
      </c>
      <c r="O29" s="10">
        <f>ROUND(($B$4+$B$5*1+$B$6*1+$B$7*0)*$B$9*$B$13*$B$17*$B$19*$B$22,0)</f>
        <v/>
      </c>
      <c r="P29" s="10">
        <f>ROUND(($B$4+$B$5*1+$B$6*2+$B$7*0)*$B$9*$B$13*$B$17*$B$19*$B$21,0)</f>
        <v/>
      </c>
      <c r="Q29" s="10">
        <f>ROUND(($B$4+$B$5*1+$B$6*2+$B$7*0)*$B$9*$B$13*$B$17*$B$19*$B$22,0)</f>
        <v/>
      </c>
      <c r="R29" s="10">
        <f>ROUND(($B$4+$B$5*1+$B$6*0+$B$7*1)*$B$9*$B$13*$B$17*$B$19*$B$21,0)</f>
        <v/>
      </c>
      <c r="S29" s="10">
        <f>ROUND(($B$4+$B$5*1+$B$6*0+$B$7*1)*$B$9*$B$13*$B$17*$B$19*$B$22,0)</f>
        <v/>
      </c>
      <c r="T29" s="10">
        <f>ROUND(($B$4+$B$5*0+$B$6*2+$B$7*1)*$B$9*$B$13*$B$17*$B$19*$B$21,0)</f>
        <v/>
      </c>
      <c r="U29" s="10">
        <f>ROUND(($B$4+$B$5*0+$B$6*2+$B$7*1)*$B$9*$B$13*$B$17*$B$19*$B$22,0)</f>
        <v/>
      </c>
      <c r="V29" s="10">
        <f>ROUND(($B$4+$B$5*1+$B$6*2+$B$7*1)*$B$9*$B$13*$B$17*$B$19*$B$21,0)</f>
        <v/>
      </c>
      <c r="W29" s="10">
        <f>ROUND(($B$4+$B$5*1+$B$6*2+$B$7*1)*$B$9*$B$13*$B$17*$B$19*$B$22,0)</f>
        <v/>
      </c>
      <c r="X29" s="10">
        <f>ROUND(($B$4+$B$5*1+$B$6*0+$B$7*0)*$B$9*$B$13*$B$17*$B$20*$B$21,0)</f>
        <v/>
      </c>
      <c r="Y29" s="10">
        <f>ROUND(($B$4+$B$5*1+$B$6*0+$B$7*0)*$B$9*$B$13*$B$17*$B$20*$B$22,0)</f>
        <v/>
      </c>
      <c r="Z29" s="10">
        <f>ROUND(($B$4+$B$5*0+$B$6*1+$B$7*0)*$B$9*$B$13*$B$17*$B$20*$B$21,0)</f>
        <v/>
      </c>
      <c r="AA29" s="10">
        <f>ROUND(($B$4+$B$5*0+$B$6*1+$B$7*0)*$B$9*$B$13*$B$17*$B$20*$B$22,0)</f>
        <v/>
      </c>
      <c r="AB29" s="10">
        <f>ROUND(($B$4+$B$5*0+$B$6*2+$B$7*0)*$B$9*$B$13*$B$17*$B$20*$B$21,0)</f>
        <v/>
      </c>
      <c r="AC29" s="10">
        <f>ROUND(($B$4+$B$5*0+$B$6*2+$B$7*0)*$B$9*$B$13*$B$17*$B$20*$B$22,0)</f>
        <v/>
      </c>
      <c r="AD29" s="10">
        <f>ROUND(($B$4+$B$5*0+$B$6*3+$B$7*0)*$B$9*$B$13*$B$17*$B$20*$B$21,0)</f>
        <v/>
      </c>
      <c r="AE29" s="10">
        <f>ROUND(($B$4+$B$5*0+$B$6*3+$B$7*0)*$B$9*$B$13*$B$17*$B$20*$B$22,0)</f>
        <v/>
      </c>
      <c r="AF29" s="10">
        <f>ROUND(($B$4+$B$5*0+$B$6*0+$B$7*1)*$B$9*$B$13*$B$17*$B$20*$B$21,0)</f>
        <v/>
      </c>
      <c r="AG29" s="10">
        <f>ROUND(($B$4+$B$5*0+$B$6*0+$B$7*1)*$B$9*$B$13*$B$17*$B$20*$B$22,0)</f>
        <v/>
      </c>
      <c r="AH29" s="10">
        <f>ROUND(($B$4+$B$5*1+$B$6*1+$B$7*0)*$B$9*$B$13*$B$17*$B$20*$B$21,0)</f>
        <v/>
      </c>
      <c r="AI29" s="10">
        <f>ROUND(($B$4+$B$5*1+$B$6*1+$B$7*0)*$B$9*$B$13*$B$17*$B$20*$B$22,0)</f>
        <v/>
      </c>
      <c r="AJ29" s="10">
        <f>ROUND(($B$4+$B$5*1+$B$6*2+$B$7*0)*$B$9*$B$13*$B$17*$B$20*$B$21,0)</f>
        <v/>
      </c>
      <c r="AK29" s="10">
        <f>ROUND(($B$4+$B$5*1+$B$6*2+$B$7*0)*$B$9*$B$13*$B$17*$B$20*$B$22,0)</f>
        <v/>
      </c>
      <c r="AL29" s="10">
        <f>ROUND(($B$4+$B$5*1+$B$6*0+$B$7*1)*$B$9*$B$13*$B$17*$B$20*$B$21,0)</f>
        <v/>
      </c>
      <c r="AM29" s="10">
        <f>ROUND(($B$4+$B$5*1+$B$6*0+$B$7*1)*$B$9*$B$13*$B$17*$B$20*$B$22,0)</f>
        <v/>
      </c>
      <c r="AN29" s="10">
        <f>ROUND(($B$4+$B$5*0+$B$6*2+$B$7*1)*$B$9*$B$13*$B$17*$B$20*$B$21,0)</f>
        <v/>
      </c>
      <c r="AO29" s="10">
        <f>ROUND(($B$4+$B$5*0+$B$6*2+$B$7*1)*$B$9*$B$13*$B$17*$B$20*$B$22,0)</f>
        <v/>
      </c>
      <c r="AP29" s="10">
        <f>ROUND(($B$4+$B$5*1+$B$6*2+$B$7*1)*$B$9*$B$13*$B$17*$B$20*$B$21,0)</f>
        <v/>
      </c>
      <c r="AQ29" s="10">
        <f>ROUND(($B$4+$B$5*1+$B$6*2+$B$7*1)*$B$9*$B$13*$B$17*$B$20*$B$22,0)</f>
        <v/>
      </c>
    </row>
    <row r="30" ht="20.1" customHeight="1" s="62">
      <c r="A30" s="67" t="n"/>
      <c r="B30" s="59" t="n"/>
      <c r="C30" s="15" t="inlineStr">
        <is>
          <t>Activité complexe / multi-offres</t>
        </is>
      </c>
      <c r="D30" s="10">
        <f>ROUND(($B$4+$B$5*1+$B$6*0+$B$7*0)*$B$9*$B$13*$B$18*$B$19*$B$21,0)</f>
        <v/>
      </c>
      <c r="E30" s="10">
        <f>ROUND(($B$4+$B$5*1+$B$6*0+$B$7*0)*$B$9*$B$13*$B$18*$B$19*$B$22,0)</f>
        <v/>
      </c>
      <c r="F30" s="10">
        <f>ROUND(($B$4+$B$5*0+$B$6*1+$B$7*0)*$B$9*$B$13*$B$18*$B$19*$B$21,0)</f>
        <v/>
      </c>
      <c r="G30" s="10">
        <f>ROUND(($B$4+$B$5*0+$B$6*1+$B$7*0)*$B$9*$B$13*$B$18*$B$19*$B$22,0)</f>
        <v/>
      </c>
      <c r="H30" s="10">
        <f>ROUND(($B$4+$B$5*0+$B$6*2+$B$7*0)*$B$9*$B$13*$B$18*$B$19*$B$21,0)</f>
        <v/>
      </c>
      <c r="I30" s="10">
        <f>ROUND(($B$4+$B$5*0+$B$6*2+$B$7*0)*$B$9*$B$13*$B$18*$B$19*$B$22,0)</f>
        <v/>
      </c>
      <c r="J30" s="10">
        <f>ROUND(($B$4+$B$5*0+$B$6*3+$B$7*0)*$B$9*$B$13*$B$18*$B$19*$B$21,0)</f>
        <v/>
      </c>
      <c r="K30" s="10">
        <f>ROUND(($B$4+$B$5*0+$B$6*3+$B$7*0)*$B$9*$B$13*$B$18*$B$19*$B$22,0)</f>
        <v/>
      </c>
      <c r="L30" s="10">
        <f>ROUND(($B$4+$B$5*0+$B$6*0+$B$7*1)*$B$9*$B$13*$B$18*$B$19*$B$21,0)</f>
        <v/>
      </c>
      <c r="M30" s="10">
        <f>ROUND(($B$4+$B$5*0+$B$6*0+$B$7*1)*$B$9*$B$13*$B$18*$B$19*$B$22,0)</f>
        <v/>
      </c>
      <c r="N30" s="10">
        <f>ROUND(($B$4+$B$5*1+$B$6*1+$B$7*0)*$B$9*$B$13*$B$18*$B$19*$B$21,0)</f>
        <v/>
      </c>
      <c r="O30" s="10">
        <f>ROUND(($B$4+$B$5*1+$B$6*1+$B$7*0)*$B$9*$B$13*$B$18*$B$19*$B$22,0)</f>
        <v/>
      </c>
      <c r="P30" s="10">
        <f>ROUND(($B$4+$B$5*1+$B$6*2+$B$7*0)*$B$9*$B$13*$B$18*$B$19*$B$21,0)</f>
        <v/>
      </c>
      <c r="Q30" s="10">
        <f>ROUND(($B$4+$B$5*1+$B$6*2+$B$7*0)*$B$9*$B$13*$B$18*$B$19*$B$22,0)</f>
        <v/>
      </c>
      <c r="R30" s="10">
        <f>ROUND(($B$4+$B$5*1+$B$6*0+$B$7*1)*$B$9*$B$13*$B$18*$B$19*$B$21,0)</f>
        <v/>
      </c>
      <c r="S30" s="10">
        <f>ROUND(($B$4+$B$5*1+$B$6*0+$B$7*1)*$B$9*$B$13*$B$18*$B$19*$B$22,0)</f>
        <v/>
      </c>
      <c r="T30" s="10">
        <f>ROUND(($B$4+$B$5*0+$B$6*2+$B$7*1)*$B$9*$B$13*$B$18*$B$19*$B$21,0)</f>
        <v/>
      </c>
      <c r="U30" s="10">
        <f>ROUND(($B$4+$B$5*0+$B$6*2+$B$7*1)*$B$9*$B$13*$B$18*$B$19*$B$22,0)</f>
        <v/>
      </c>
      <c r="V30" s="10">
        <f>ROUND(($B$4+$B$5*1+$B$6*2+$B$7*1)*$B$9*$B$13*$B$18*$B$19*$B$21,0)</f>
        <v/>
      </c>
      <c r="W30" s="10">
        <f>ROUND(($B$4+$B$5*1+$B$6*2+$B$7*1)*$B$9*$B$13*$B$18*$B$19*$B$22,0)</f>
        <v/>
      </c>
      <c r="X30" s="10">
        <f>ROUND(($B$4+$B$5*1+$B$6*0+$B$7*0)*$B$9*$B$13*$B$18*$B$20*$B$21,0)</f>
        <v/>
      </c>
      <c r="Y30" s="10">
        <f>ROUND(($B$4+$B$5*1+$B$6*0+$B$7*0)*$B$9*$B$13*$B$18*$B$20*$B$22,0)</f>
        <v/>
      </c>
      <c r="Z30" s="10">
        <f>ROUND(($B$4+$B$5*0+$B$6*1+$B$7*0)*$B$9*$B$13*$B$18*$B$20*$B$21,0)</f>
        <v/>
      </c>
      <c r="AA30" s="10">
        <f>ROUND(($B$4+$B$5*0+$B$6*1+$B$7*0)*$B$9*$B$13*$B$18*$B$20*$B$22,0)</f>
        <v/>
      </c>
      <c r="AB30" s="10">
        <f>ROUND(($B$4+$B$5*0+$B$6*2+$B$7*0)*$B$9*$B$13*$B$18*$B$20*$B$21,0)</f>
        <v/>
      </c>
      <c r="AC30" s="10">
        <f>ROUND(($B$4+$B$5*0+$B$6*2+$B$7*0)*$B$9*$B$13*$B$18*$B$20*$B$22,0)</f>
        <v/>
      </c>
      <c r="AD30" s="10">
        <f>ROUND(($B$4+$B$5*0+$B$6*3+$B$7*0)*$B$9*$B$13*$B$18*$B$20*$B$21,0)</f>
        <v/>
      </c>
      <c r="AE30" s="10">
        <f>ROUND(($B$4+$B$5*0+$B$6*3+$B$7*0)*$B$9*$B$13*$B$18*$B$20*$B$22,0)</f>
        <v/>
      </c>
      <c r="AF30" s="10">
        <f>ROUND(($B$4+$B$5*0+$B$6*0+$B$7*1)*$B$9*$B$13*$B$18*$B$20*$B$21,0)</f>
        <v/>
      </c>
      <c r="AG30" s="10">
        <f>ROUND(($B$4+$B$5*0+$B$6*0+$B$7*1)*$B$9*$B$13*$B$18*$B$20*$B$22,0)</f>
        <v/>
      </c>
      <c r="AH30" s="10">
        <f>ROUND(($B$4+$B$5*1+$B$6*1+$B$7*0)*$B$9*$B$13*$B$18*$B$20*$B$21,0)</f>
        <v/>
      </c>
      <c r="AI30" s="10">
        <f>ROUND(($B$4+$B$5*1+$B$6*1+$B$7*0)*$B$9*$B$13*$B$18*$B$20*$B$22,0)</f>
        <v/>
      </c>
      <c r="AJ30" s="10">
        <f>ROUND(($B$4+$B$5*1+$B$6*2+$B$7*0)*$B$9*$B$13*$B$18*$B$20*$B$21,0)</f>
        <v/>
      </c>
      <c r="AK30" s="10">
        <f>ROUND(($B$4+$B$5*1+$B$6*2+$B$7*0)*$B$9*$B$13*$B$18*$B$20*$B$22,0)</f>
        <v/>
      </c>
      <c r="AL30" s="10">
        <f>ROUND(($B$4+$B$5*1+$B$6*0+$B$7*1)*$B$9*$B$13*$B$18*$B$20*$B$21,0)</f>
        <v/>
      </c>
      <c r="AM30" s="10">
        <f>ROUND(($B$4+$B$5*1+$B$6*0+$B$7*1)*$B$9*$B$13*$B$18*$B$20*$B$22,0)</f>
        <v/>
      </c>
      <c r="AN30" s="10">
        <f>ROUND(($B$4+$B$5*0+$B$6*2+$B$7*1)*$B$9*$B$13*$B$18*$B$20*$B$21,0)</f>
        <v/>
      </c>
      <c r="AO30" s="10">
        <f>ROUND(($B$4+$B$5*0+$B$6*2+$B$7*1)*$B$9*$B$13*$B$18*$B$20*$B$22,0)</f>
        <v/>
      </c>
      <c r="AP30" s="10">
        <f>ROUND(($B$4+$B$5*1+$B$6*2+$B$7*1)*$B$9*$B$13*$B$18*$B$20*$B$21,0)</f>
        <v/>
      </c>
      <c r="AQ30" s="10">
        <f>ROUND(($B$4+$B$5*1+$B$6*2+$B$7*1)*$B$9*$B$13*$B$18*$B$20*$B$22,0)</f>
        <v/>
      </c>
    </row>
    <row r="31" ht="20.1" customHeight="1" s="62">
      <c r="A31" s="67" t="n"/>
      <c r="B31" s="57" t="inlineStr">
        <is>
          <t>Intermédiaire (présence partielle)</t>
        </is>
      </c>
      <c r="C31" s="14" t="inlineStr">
        <is>
          <t>Activité simple</t>
        </is>
      </c>
      <c r="D31" s="10">
        <f>ROUND(($B$4+$B$5*1+$B$6*0+$B$7*0)*$B$9*$B$14*$B$16*$B$19*$B$21,0)</f>
        <v/>
      </c>
      <c r="E31" s="10">
        <f>ROUND(($B$4+$B$5*1+$B$6*0+$B$7*0)*$B$9*$B$14*$B$16*$B$19*$B$22,0)</f>
        <v/>
      </c>
      <c r="F31" s="10">
        <f>ROUND(($B$4+$B$5*0+$B$6*1+$B$7*0)*$B$9*$B$14*$B$16*$B$19*$B$21,0)</f>
        <v/>
      </c>
      <c r="G31" s="10">
        <f>ROUND(($B$4+$B$5*0+$B$6*1+$B$7*0)*$B$9*$B$14*$B$16*$B$19*$B$22,0)</f>
        <v/>
      </c>
      <c r="H31" s="10">
        <f>ROUND(($B$4+$B$5*0+$B$6*2+$B$7*0)*$B$9*$B$14*$B$16*$B$19*$B$21,0)</f>
        <v/>
      </c>
      <c r="I31" s="10">
        <f>ROUND(($B$4+$B$5*0+$B$6*2+$B$7*0)*$B$9*$B$14*$B$16*$B$19*$B$22,0)</f>
        <v/>
      </c>
      <c r="J31" s="10">
        <f>ROUND(($B$4+$B$5*0+$B$6*3+$B$7*0)*$B$9*$B$14*$B$16*$B$19*$B$21,0)</f>
        <v/>
      </c>
      <c r="K31" s="10">
        <f>ROUND(($B$4+$B$5*0+$B$6*3+$B$7*0)*$B$9*$B$14*$B$16*$B$19*$B$22,0)</f>
        <v/>
      </c>
      <c r="L31" s="10">
        <f>ROUND(($B$4+$B$5*0+$B$6*0+$B$7*1)*$B$9*$B$14*$B$16*$B$19*$B$21,0)</f>
        <v/>
      </c>
      <c r="M31" s="10">
        <f>ROUND(($B$4+$B$5*0+$B$6*0+$B$7*1)*$B$9*$B$14*$B$16*$B$19*$B$22,0)</f>
        <v/>
      </c>
      <c r="N31" s="10">
        <f>ROUND(($B$4+$B$5*1+$B$6*1+$B$7*0)*$B$9*$B$14*$B$16*$B$19*$B$21,0)</f>
        <v/>
      </c>
      <c r="O31" s="10">
        <f>ROUND(($B$4+$B$5*1+$B$6*1+$B$7*0)*$B$9*$B$14*$B$16*$B$19*$B$22,0)</f>
        <v/>
      </c>
      <c r="P31" s="10">
        <f>ROUND(($B$4+$B$5*1+$B$6*2+$B$7*0)*$B$9*$B$14*$B$16*$B$19*$B$21,0)</f>
        <v/>
      </c>
      <c r="Q31" s="10">
        <f>ROUND(($B$4+$B$5*1+$B$6*2+$B$7*0)*$B$9*$B$14*$B$16*$B$19*$B$22,0)</f>
        <v/>
      </c>
      <c r="R31" s="10">
        <f>ROUND(($B$4+$B$5*1+$B$6*0+$B$7*1)*$B$9*$B$14*$B$16*$B$19*$B$21,0)</f>
        <v/>
      </c>
      <c r="S31" s="10">
        <f>ROUND(($B$4+$B$5*1+$B$6*0+$B$7*1)*$B$9*$B$14*$B$16*$B$19*$B$22,0)</f>
        <v/>
      </c>
      <c r="T31" s="10">
        <f>ROUND(($B$4+$B$5*0+$B$6*2+$B$7*1)*$B$9*$B$14*$B$16*$B$19*$B$21,0)</f>
        <v/>
      </c>
      <c r="U31" s="10">
        <f>ROUND(($B$4+$B$5*0+$B$6*2+$B$7*1)*$B$9*$B$14*$B$16*$B$19*$B$22,0)</f>
        <v/>
      </c>
      <c r="V31" s="10">
        <f>ROUND(($B$4+$B$5*1+$B$6*2+$B$7*1)*$B$9*$B$14*$B$16*$B$19*$B$21,0)</f>
        <v/>
      </c>
      <c r="W31" s="10">
        <f>ROUND(($B$4+$B$5*1+$B$6*2+$B$7*1)*$B$9*$B$14*$B$16*$B$19*$B$22,0)</f>
        <v/>
      </c>
      <c r="X31" s="10">
        <f>ROUND(($B$4+$B$5*1+$B$6*0+$B$7*0)*$B$9*$B$14*$B$16*$B$20*$B$21,0)</f>
        <v/>
      </c>
      <c r="Y31" s="10">
        <f>ROUND(($B$4+$B$5*1+$B$6*0+$B$7*0)*$B$9*$B$14*$B$16*$B$20*$B$22,0)</f>
        <v/>
      </c>
      <c r="Z31" s="10">
        <f>ROUND(($B$4+$B$5*0+$B$6*1+$B$7*0)*$B$9*$B$14*$B$16*$B$20*$B$21,0)</f>
        <v/>
      </c>
      <c r="AA31" s="10">
        <f>ROUND(($B$4+$B$5*0+$B$6*1+$B$7*0)*$B$9*$B$14*$B$16*$B$20*$B$22,0)</f>
        <v/>
      </c>
      <c r="AB31" s="10">
        <f>ROUND(($B$4+$B$5*0+$B$6*2+$B$7*0)*$B$9*$B$14*$B$16*$B$20*$B$21,0)</f>
        <v/>
      </c>
      <c r="AC31" s="10">
        <f>ROUND(($B$4+$B$5*0+$B$6*2+$B$7*0)*$B$9*$B$14*$B$16*$B$20*$B$22,0)</f>
        <v/>
      </c>
      <c r="AD31" s="10">
        <f>ROUND(($B$4+$B$5*0+$B$6*3+$B$7*0)*$B$9*$B$14*$B$16*$B$20*$B$21,0)</f>
        <v/>
      </c>
      <c r="AE31" s="10">
        <f>ROUND(($B$4+$B$5*0+$B$6*3+$B$7*0)*$B$9*$B$14*$B$16*$B$20*$B$22,0)</f>
        <v/>
      </c>
      <c r="AF31" s="10">
        <f>ROUND(($B$4+$B$5*0+$B$6*0+$B$7*1)*$B$9*$B$14*$B$16*$B$20*$B$21,0)</f>
        <v/>
      </c>
      <c r="AG31" s="10">
        <f>ROUND(($B$4+$B$5*0+$B$6*0+$B$7*1)*$B$9*$B$14*$B$16*$B$20*$B$22,0)</f>
        <v/>
      </c>
      <c r="AH31" s="10">
        <f>ROUND(($B$4+$B$5*1+$B$6*1+$B$7*0)*$B$9*$B$14*$B$16*$B$20*$B$21,0)</f>
        <v/>
      </c>
      <c r="AI31" s="10">
        <f>ROUND(($B$4+$B$5*1+$B$6*1+$B$7*0)*$B$9*$B$14*$B$16*$B$20*$B$22,0)</f>
        <v/>
      </c>
      <c r="AJ31" s="10">
        <f>ROUND(($B$4+$B$5*1+$B$6*2+$B$7*0)*$B$9*$B$14*$B$16*$B$20*$B$21,0)</f>
        <v/>
      </c>
      <c r="AK31" s="10">
        <f>ROUND(($B$4+$B$5*1+$B$6*2+$B$7*0)*$B$9*$B$14*$B$16*$B$20*$B$22,0)</f>
        <v/>
      </c>
      <c r="AL31" s="10">
        <f>ROUND(($B$4+$B$5*1+$B$6*0+$B$7*1)*$B$9*$B$14*$B$16*$B$20*$B$21,0)</f>
        <v/>
      </c>
      <c r="AM31" s="10">
        <f>ROUND(($B$4+$B$5*1+$B$6*0+$B$7*1)*$B$9*$B$14*$B$16*$B$20*$B$22,0)</f>
        <v/>
      </c>
      <c r="AN31" s="10">
        <f>ROUND(($B$4+$B$5*0+$B$6*2+$B$7*1)*$B$9*$B$14*$B$16*$B$20*$B$21,0)</f>
        <v/>
      </c>
      <c r="AO31" s="10">
        <f>ROUND(($B$4+$B$5*0+$B$6*2+$B$7*1)*$B$9*$B$14*$B$16*$B$20*$B$22,0)</f>
        <v/>
      </c>
      <c r="AP31" s="10">
        <f>ROUND(($B$4+$B$5*1+$B$6*2+$B$7*1)*$B$9*$B$14*$B$16*$B$20*$B$21,0)</f>
        <v/>
      </c>
      <c r="AQ31" s="10">
        <f>ROUND(($B$4+$B$5*1+$B$6*2+$B$7*1)*$B$9*$B$14*$B$16*$B$20*$B$22,0)</f>
        <v/>
      </c>
    </row>
    <row r="32" ht="20.1" customHeight="1" s="62">
      <c r="A32" s="67" t="n"/>
      <c r="B32" s="58" t="n"/>
      <c r="C32" s="57" t="inlineStr">
        <is>
          <t>Activité modérée</t>
        </is>
      </c>
      <c r="D32" s="10">
        <f>ROUND(($B$4+$B$5*1+$B$6*0+$B$7*0)*$B$9*$B$14*$B$17*$B$19*$B$21,0)</f>
        <v/>
      </c>
      <c r="E32" s="10">
        <f>ROUND(($B$4+$B$5*1+$B$6*0+$B$7*0)*$B$9*$B$14*$B$17*$B$19*$B$22,0)</f>
        <v/>
      </c>
      <c r="F32" s="10">
        <f>ROUND(($B$4+$B$5*0+$B$6*1+$B$7*0)*$B$9*$B$14*$B$17*$B$19*$B$21,0)</f>
        <v/>
      </c>
      <c r="G32" s="10">
        <f>ROUND(($B$4+$B$5*0+$B$6*1+$B$7*0)*$B$9*$B$14*$B$17*$B$19*$B$22,0)</f>
        <v/>
      </c>
      <c r="H32" s="10">
        <f>ROUND(($B$4+$B$5*0+$B$6*2+$B$7*0)*$B$9*$B$14*$B$17*$B$19*$B$21,0)</f>
        <v/>
      </c>
      <c r="I32" s="10">
        <f>ROUND(($B$4+$B$5*0+$B$6*2+$B$7*0)*$B$9*$B$14*$B$17*$B$19*$B$22,0)</f>
        <v/>
      </c>
      <c r="J32" s="10">
        <f>ROUND(($B$4+$B$5*0+$B$6*3+$B$7*0)*$B$9*$B$14*$B$17*$B$19*$B$21,0)</f>
        <v/>
      </c>
      <c r="K32" s="10">
        <f>ROUND(($B$4+$B$5*0+$B$6*3+$B$7*0)*$B$9*$B$14*$B$17*$B$19*$B$22,0)</f>
        <v/>
      </c>
      <c r="L32" s="10">
        <f>ROUND(($B$4+$B$5*0+$B$6*0+$B$7*1)*$B$9*$B$14*$B$17*$B$19*$B$21,0)</f>
        <v/>
      </c>
      <c r="M32" s="10">
        <f>ROUND(($B$4+$B$5*0+$B$6*0+$B$7*1)*$B$9*$B$14*$B$17*$B$19*$B$22,0)</f>
        <v/>
      </c>
      <c r="N32" s="10">
        <f>ROUND(($B$4+$B$5*1+$B$6*1+$B$7*0)*$B$9*$B$14*$B$17*$B$19*$B$21,0)</f>
        <v/>
      </c>
      <c r="O32" s="10">
        <f>ROUND(($B$4+$B$5*1+$B$6*1+$B$7*0)*$B$9*$B$14*$B$17*$B$19*$B$22,0)</f>
        <v/>
      </c>
      <c r="P32" s="10">
        <f>ROUND(($B$4+$B$5*1+$B$6*2+$B$7*0)*$B$9*$B$14*$B$17*$B$19*$B$21,0)</f>
        <v/>
      </c>
      <c r="Q32" s="10">
        <f>ROUND(($B$4+$B$5*1+$B$6*2+$B$7*0)*$B$9*$B$14*$B$17*$B$19*$B$22,0)</f>
        <v/>
      </c>
      <c r="R32" s="10">
        <f>ROUND(($B$4+$B$5*1+$B$6*0+$B$7*1)*$B$9*$B$14*$B$17*$B$19*$B$21,0)</f>
        <v/>
      </c>
      <c r="S32" s="10">
        <f>ROUND(($B$4+$B$5*1+$B$6*0+$B$7*1)*$B$9*$B$14*$B$17*$B$19*$B$22,0)</f>
        <v/>
      </c>
      <c r="T32" s="10">
        <f>ROUND(($B$4+$B$5*0+$B$6*2+$B$7*1)*$B$9*$B$14*$B$17*$B$19*$B$21,0)</f>
        <v/>
      </c>
      <c r="U32" s="10">
        <f>ROUND(($B$4+$B$5*0+$B$6*2+$B$7*1)*$B$9*$B$14*$B$17*$B$19*$B$22,0)</f>
        <v/>
      </c>
      <c r="V32" s="10">
        <f>ROUND(($B$4+$B$5*1+$B$6*2+$B$7*1)*$B$9*$B$14*$B$17*$B$19*$B$21,0)</f>
        <v/>
      </c>
      <c r="W32" s="10">
        <f>ROUND(($B$4+$B$5*1+$B$6*2+$B$7*1)*$B$9*$B$14*$B$17*$B$19*$B$22,0)</f>
        <v/>
      </c>
      <c r="X32" s="10">
        <f>ROUND(($B$4+$B$5*1+$B$6*0+$B$7*0)*$B$9*$B$14*$B$17*$B$20*$B$21,0)</f>
        <v/>
      </c>
      <c r="Y32" s="10">
        <f>ROUND(($B$4+$B$5*1+$B$6*0+$B$7*0)*$B$9*$B$14*$B$17*$B$20*$B$22,0)</f>
        <v/>
      </c>
      <c r="Z32" s="10">
        <f>ROUND(($B$4+$B$5*0+$B$6*1+$B$7*0)*$B$9*$B$14*$B$17*$B$20*$B$21,0)</f>
        <v/>
      </c>
      <c r="AA32" s="10">
        <f>ROUND(($B$4+$B$5*0+$B$6*1+$B$7*0)*$B$9*$B$14*$B$17*$B$20*$B$22,0)</f>
        <v/>
      </c>
      <c r="AB32" s="10">
        <f>ROUND(($B$4+$B$5*0+$B$6*2+$B$7*0)*$B$9*$B$14*$B$17*$B$20*$B$21,0)</f>
        <v/>
      </c>
      <c r="AC32" s="10">
        <f>ROUND(($B$4+$B$5*0+$B$6*2+$B$7*0)*$B$9*$B$14*$B$17*$B$20*$B$22,0)</f>
        <v/>
      </c>
      <c r="AD32" s="10">
        <f>ROUND(($B$4+$B$5*0+$B$6*3+$B$7*0)*$B$9*$B$14*$B$17*$B$20*$B$21,0)</f>
        <v/>
      </c>
      <c r="AE32" s="10">
        <f>ROUND(($B$4+$B$5*0+$B$6*3+$B$7*0)*$B$9*$B$14*$B$17*$B$20*$B$22,0)</f>
        <v/>
      </c>
      <c r="AF32" s="10">
        <f>ROUND(($B$4+$B$5*0+$B$6*0+$B$7*1)*$B$9*$B$14*$B$17*$B$20*$B$21,0)</f>
        <v/>
      </c>
      <c r="AG32" s="10">
        <f>ROUND(($B$4+$B$5*0+$B$6*0+$B$7*1)*$B$9*$B$14*$B$17*$B$20*$B$22,0)</f>
        <v/>
      </c>
      <c r="AH32" s="10">
        <f>ROUND(($B$4+$B$5*1+$B$6*1+$B$7*0)*$B$9*$B$14*$B$17*$B$20*$B$21,0)</f>
        <v/>
      </c>
      <c r="AI32" s="10">
        <f>ROUND(($B$4+$B$5*1+$B$6*1+$B$7*0)*$B$9*$B$14*$B$17*$B$20*$B$22,0)</f>
        <v/>
      </c>
      <c r="AJ32" s="10">
        <f>ROUND(($B$4+$B$5*1+$B$6*2+$B$7*0)*$B$9*$B$14*$B$17*$B$20*$B$21,0)</f>
        <v/>
      </c>
      <c r="AK32" s="10">
        <f>ROUND(($B$4+$B$5*1+$B$6*2+$B$7*0)*$B$9*$B$14*$B$17*$B$20*$B$22,0)</f>
        <v/>
      </c>
      <c r="AL32" s="10">
        <f>ROUND(($B$4+$B$5*1+$B$6*0+$B$7*1)*$B$9*$B$14*$B$17*$B$20*$B$21,0)</f>
        <v/>
      </c>
      <c r="AM32" s="10">
        <f>ROUND(($B$4+$B$5*1+$B$6*0+$B$7*1)*$B$9*$B$14*$B$17*$B$20*$B$22,0)</f>
        <v/>
      </c>
      <c r="AN32" s="10">
        <f>ROUND(($B$4+$B$5*0+$B$6*2+$B$7*1)*$B$9*$B$14*$B$17*$B$20*$B$21,0)</f>
        <v/>
      </c>
      <c r="AO32" s="10">
        <f>ROUND(($B$4+$B$5*0+$B$6*2+$B$7*1)*$B$9*$B$14*$B$17*$B$20*$B$22,0)</f>
        <v/>
      </c>
      <c r="AP32" s="10">
        <f>ROUND(($B$4+$B$5*1+$B$6*2+$B$7*1)*$B$9*$B$14*$B$17*$B$20*$B$21,0)</f>
        <v/>
      </c>
      <c r="AQ32" s="10">
        <f>ROUND(($B$4+$B$5*1+$B$6*2+$B$7*1)*$B$9*$B$14*$B$17*$B$20*$B$22,0)</f>
        <v/>
      </c>
    </row>
    <row r="33" ht="20.1" customHeight="1" s="62">
      <c r="A33" s="67" t="n"/>
      <c r="B33" s="59" t="n"/>
      <c r="C33" s="15" t="inlineStr">
        <is>
          <t>Activité complexe / multi-offres</t>
        </is>
      </c>
      <c r="D33" s="10">
        <f>ROUND(($B$4+$B$5*1+$B$6*0+$B$7*0)*$B$9*$B$14*$B$18*$B$19*$B$21,0)</f>
        <v/>
      </c>
      <c r="E33" s="10">
        <f>ROUND(($B$4+$B$5*1+$B$6*0+$B$7*0)*$B$9*$B$14*$B$18*$B$19*$B$22,0)</f>
        <v/>
      </c>
      <c r="F33" s="10">
        <f>ROUND(($B$4+$B$5*0+$B$6*1+$B$7*0)*$B$9*$B$14*$B$18*$B$19*$B$21,0)</f>
        <v/>
      </c>
      <c r="G33" s="10">
        <f>ROUND(($B$4+$B$5*0+$B$6*1+$B$7*0)*$B$9*$B$14*$B$18*$B$19*$B$22,0)</f>
        <v/>
      </c>
      <c r="H33" s="10">
        <f>ROUND(($B$4+$B$5*0+$B$6*2+$B$7*0)*$B$9*$B$14*$B$18*$B$19*$B$21,0)</f>
        <v/>
      </c>
      <c r="I33" s="10">
        <f>ROUND(($B$4+$B$5*0+$B$6*2+$B$7*0)*$B$9*$B$14*$B$18*$B$19*$B$22,0)</f>
        <v/>
      </c>
      <c r="J33" s="10">
        <f>ROUND(($B$4+$B$5*0+$B$6*3+$B$7*0)*$B$9*$B$14*$B$18*$B$19*$B$21,0)</f>
        <v/>
      </c>
      <c r="K33" s="10">
        <f>ROUND(($B$4+$B$5*0+$B$6*3+$B$7*0)*$B$9*$B$14*$B$18*$B$19*$B$22,0)</f>
        <v/>
      </c>
      <c r="L33" s="10">
        <f>ROUND(($B$4+$B$5*0+$B$6*0+$B$7*1)*$B$9*$B$14*$B$18*$B$19*$B$21,0)</f>
        <v/>
      </c>
      <c r="M33" s="10">
        <f>ROUND(($B$4+$B$5*0+$B$6*0+$B$7*1)*$B$9*$B$14*$B$18*$B$19*$B$22,0)</f>
        <v/>
      </c>
      <c r="N33" s="10">
        <f>ROUND(($B$4+$B$5*1+$B$6*1+$B$7*0)*$B$9*$B$14*$B$18*$B$19*$B$21,0)</f>
        <v/>
      </c>
      <c r="O33" s="10">
        <f>ROUND(($B$4+$B$5*1+$B$6*1+$B$7*0)*$B$9*$B$14*$B$18*$B$19*$B$22,0)</f>
        <v/>
      </c>
      <c r="P33" s="10">
        <f>ROUND(($B$4+$B$5*1+$B$6*2+$B$7*0)*$B$9*$B$14*$B$18*$B$19*$B$21,0)</f>
        <v/>
      </c>
      <c r="Q33" s="10">
        <f>ROUND(($B$4+$B$5*1+$B$6*2+$B$7*0)*$B$9*$B$14*$B$18*$B$19*$B$22,0)</f>
        <v/>
      </c>
      <c r="R33" s="10">
        <f>ROUND(($B$4+$B$5*1+$B$6*0+$B$7*1)*$B$9*$B$14*$B$18*$B$19*$B$21,0)</f>
        <v/>
      </c>
      <c r="S33" s="10">
        <f>ROUND(($B$4+$B$5*1+$B$6*0+$B$7*1)*$B$9*$B$14*$B$18*$B$19*$B$22,0)</f>
        <v/>
      </c>
      <c r="T33" s="10">
        <f>ROUND(($B$4+$B$5*0+$B$6*2+$B$7*1)*$B$9*$B$14*$B$18*$B$19*$B$21,0)</f>
        <v/>
      </c>
      <c r="U33" s="10">
        <f>ROUND(($B$4+$B$5*0+$B$6*2+$B$7*1)*$B$9*$B$14*$B$18*$B$19*$B$22,0)</f>
        <v/>
      </c>
      <c r="V33" s="10">
        <f>ROUND(($B$4+$B$5*1+$B$6*2+$B$7*1)*$B$9*$B$14*$B$18*$B$19*$B$21,0)</f>
        <v/>
      </c>
      <c r="W33" s="10">
        <f>ROUND(($B$4+$B$5*1+$B$6*2+$B$7*1)*$B$9*$B$14*$B$18*$B$19*$B$22,0)</f>
        <v/>
      </c>
      <c r="X33" s="10">
        <f>ROUND(($B$4+$B$5*1+$B$6*0+$B$7*0)*$B$9*$B$14*$B$18*$B$20*$B$21,0)</f>
        <v/>
      </c>
      <c r="Y33" s="10">
        <f>ROUND(($B$4+$B$5*1+$B$6*0+$B$7*0)*$B$9*$B$14*$B$18*$B$20*$B$22,0)</f>
        <v/>
      </c>
      <c r="Z33" s="10">
        <f>ROUND(($B$4+$B$5*0+$B$6*1+$B$7*0)*$B$9*$B$14*$B$18*$B$20*$B$21,0)</f>
        <v/>
      </c>
      <c r="AA33" s="10">
        <f>ROUND(($B$4+$B$5*0+$B$6*1+$B$7*0)*$B$9*$B$14*$B$18*$B$20*$B$22,0)</f>
        <v/>
      </c>
      <c r="AB33" s="10">
        <f>ROUND(($B$4+$B$5*0+$B$6*2+$B$7*0)*$B$9*$B$14*$B$18*$B$20*$B$21,0)</f>
        <v/>
      </c>
      <c r="AC33" s="10">
        <f>ROUND(($B$4+$B$5*0+$B$6*2+$B$7*0)*$B$9*$B$14*$B$18*$B$20*$B$22,0)</f>
        <v/>
      </c>
      <c r="AD33" s="10">
        <f>ROUND(($B$4+$B$5*0+$B$6*3+$B$7*0)*$B$9*$B$14*$B$18*$B$20*$B$21,0)</f>
        <v/>
      </c>
      <c r="AE33" s="10">
        <f>ROUND(($B$4+$B$5*0+$B$6*3+$B$7*0)*$B$9*$B$14*$B$18*$B$20*$B$22,0)</f>
        <v/>
      </c>
      <c r="AF33" s="10">
        <f>ROUND(($B$4+$B$5*0+$B$6*0+$B$7*1)*$B$9*$B$14*$B$18*$B$20*$B$21,0)</f>
        <v/>
      </c>
      <c r="AG33" s="10">
        <f>ROUND(($B$4+$B$5*0+$B$6*0+$B$7*1)*$B$9*$B$14*$B$18*$B$20*$B$22,0)</f>
        <v/>
      </c>
      <c r="AH33" s="10">
        <f>ROUND(($B$4+$B$5*1+$B$6*1+$B$7*0)*$B$9*$B$14*$B$18*$B$20*$B$21,0)</f>
        <v/>
      </c>
      <c r="AI33" s="10">
        <f>ROUND(($B$4+$B$5*1+$B$6*1+$B$7*0)*$B$9*$B$14*$B$18*$B$20*$B$22,0)</f>
        <v/>
      </c>
      <c r="AJ33" s="10">
        <f>ROUND(($B$4+$B$5*1+$B$6*2+$B$7*0)*$B$9*$B$14*$B$18*$B$20*$B$21,0)</f>
        <v/>
      </c>
      <c r="AK33" s="10">
        <f>ROUND(($B$4+$B$5*1+$B$6*2+$B$7*0)*$B$9*$B$14*$B$18*$B$20*$B$22,0)</f>
        <v/>
      </c>
      <c r="AL33" s="10">
        <f>ROUND(($B$4+$B$5*1+$B$6*0+$B$7*1)*$B$9*$B$14*$B$18*$B$20*$B$21,0)</f>
        <v/>
      </c>
      <c r="AM33" s="10">
        <f>ROUND(($B$4+$B$5*1+$B$6*0+$B$7*1)*$B$9*$B$14*$B$18*$B$20*$B$22,0)</f>
        <v/>
      </c>
      <c r="AN33" s="10">
        <f>ROUND(($B$4+$B$5*0+$B$6*2+$B$7*1)*$B$9*$B$14*$B$18*$B$20*$B$21,0)</f>
        <v/>
      </c>
      <c r="AO33" s="10">
        <f>ROUND(($B$4+$B$5*0+$B$6*2+$B$7*1)*$B$9*$B$14*$B$18*$B$20*$B$22,0)</f>
        <v/>
      </c>
      <c r="AP33" s="10">
        <f>ROUND(($B$4+$B$5*1+$B$6*2+$B$7*1)*$B$9*$B$14*$B$18*$B$20*$B$21,0)</f>
        <v/>
      </c>
      <c r="AQ33" s="10">
        <f>ROUND(($B$4+$B$5*1+$B$6*2+$B$7*1)*$B$9*$B$14*$B$18*$B$20*$B$22,0)</f>
        <v/>
      </c>
    </row>
    <row r="34" ht="20.1" customHeight="1" s="62">
      <c r="A34" s="67" t="n"/>
      <c r="B34" s="57" t="inlineStr">
        <is>
          <t>Avancée (présence établie)</t>
        </is>
      </c>
      <c r="C34" s="14" t="inlineStr">
        <is>
          <t>Activité simple</t>
        </is>
      </c>
      <c r="D34" s="10">
        <f>ROUND(($B$4+$B$5*1+$B$6*0+$B$7*0)*$B$9*$B$15*$B$16*$B$19*$B$21,0)</f>
        <v/>
      </c>
      <c r="E34" s="10">
        <f>ROUND(($B$4+$B$5*1+$B$6*0+$B$7*0)*$B$9*$B$15*$B$16*$B$19*$B$22,0)</f>
        <v/>
      </c>
      <c r="F34" s="10">
        <f>ROUND(($B$4+$B$5*0+$B$6*1+$B$7*0)*$B$9*$B$15*$B$16*$B$19*$B$21,0)</f>
        <v/>
      </c>
      <c r="G34" s="10">
        <f>ROUND(($B$4+$B$5*0+$B$6*1+$B$7*0)*$B$9*$B$15*$B$16*$B$19*$B$22,0)</f>
        <v/>
      </c>
      <c r="H34" s="10">
        <f>ROUND(($B$4+$B$5*0+$B$6*2+$B$7*0)*$B$9*$B$15*$B$16*$B$19*$B$21,0)</f>
        <v/>
      </c>
      <c r="I34" s="10">
        <f>ROUND(($B$4+$B$5*0+$B$6*2+$B$7*0)*$B$9*$B$15*$B$16*$B$19*$B$22,0)</f>
        <v/>
      </c>
      <c r="J34" s="10">
        <f>ROUND(($B$4+$B$5*0+$B$6*3+$B$7*0)*$B$9*$B$15*$B$16*$B$19*$B$21,0)</f>
        <v/>
      </c>
      <c r="K34" s="10">
        <f>ROUND(($B$4+$B$5*0+$B$6*3+$B$7*0)*$B$9*$B$15*$B$16*$B$19*$B$22,0)</f>
        <v/>
      </c>
      <c r="L34" s="10">
        <f>ROUND(($B$4+$B$5*0+$B$6*0+$B$7*1)*$B$9*$B$15*$B$16*$B$19*$B$21,0)</f>
        <v/>
      </c>
      <c r="M34" s="10">
        <f>ROUND(($B$4+$B$5*0+$B$6*0+$B$7*1)*$B$9*$B$15*$B$16*$B$19*$B$22,0)</f>
        <v/>
      </c>
      <c r="N34" s="10">
        <f>ROUND(($B$4+$B$5*1+$B$6*1+$B$7*0)*$B$9*$B$15*$B$16*$B$19*$B$21,0)</f>
        <v/>
      </c>
      <c r="O34" s="10">
        <f>ROUND(($B$4+$B$5*1+$B$6*1+$B$7*0)*$B$9*$B$15*$B$16*$B$19*$B$22,0)</f>
        <v/>
      </c>
      <c r="P34" s="10">
        <f>ROUND(($B$4+$B$5*1+$B$6*2+$B$7*0)*$B$9*$B$15*$B$16*$B$19*$B$21,0)</f>
        <v/>
      </c>
      <c r="Q34" s="10">
        <f>ROUND(($B$4+$B$5*1+$B$6*2+$B$7*0)*$B$9*$B$15*$B$16*$B$19*$B$22,0)</f>
        <v/>
      </c>
      <c r="R34" s="10">
        <f>ROUND(($B$4+$B$5*1+$B$6*0+$B$7*1)*$B$9*$B$15*$B$16*$B$19*$B$21,0)</f>
        <v/>
      </c>
      <c r="S34" s="10">
        <f>ROUND(($B$4+$B$5*1+$B$6*0+$B$7*1)*$B$9*$B$15*$B$16*$B$19*$B$22,0)</f>
        <v/>
      </c>
      <c r="T34" s="10">
        <f>ROUND(($B$4+$B$5*0+$B$6*2+$B$7*1)*$B$9*$B$15*$B$16*$B$19*$B$21,0)</f>
        <v/>
      </c>
      <c r="U34" s="10">
        <f>ROUND(($B$4+$B$5*0+$B$6*2+$B$7*1)*$B$9*$B$15*$B$16*$B$19*$B$22,0)</f>
        <v/>
      </c>
      <c r="V34" s="10">
        <f>ROUND(($B$4+$B$5*1+$B$6*2+$B$7*1)*$B$9*$B$15*$B$16*$B$19*$B$21,0)</f>
        <v/>
      </c>
      <c r="W34" s="10">
        <f>ROUND(($B$4+$B$5*1+$B$6*2+$B$7*1)*$B$9*$B$15*$B$16*$B$19*$B$22,0)</f>
        <v/>
      </c>
      <c r="X34" s="10">
        <f>ROUND(($B$4+$B$5*1+$B$6*0+$B$7*0)*$B$9*$B$15*$B$16*$B$20*$B$21,0)</f>
        <v/>
      </c>
      <c r="Y34" s="10">
        <f>ROUND(($B$4+$B$5*1+$B$6*0+$B$7*0)*$B$9*$B$15*$B$16*$B$20*$B$22,0)</f>
        <v/>
      </c>
      <c r="Z34" s="10">
        <f>ROUND(($B$4+$B$5*0+$B$6*1+$B$7*0)*$B$9*$B$15*$B$16*$B$20*$B$21,0)</f>
        <v/>
      </c>
      <c r="AA34" s="10">
        <f>ROUND(($B$4+$B$5*0+$B$6*1+$B$7*0)*$B$9*$B$15*$B$16*$B$20*$B$22,0)</f>
        <v/>
      </c>
      <c r="AB34" s="10">
        <f>ROUND(($B$4+$B$5*0+$B$6*2+$B$7*0)*$B$9*$B$15*$B$16*$B$20*$B$21,0)</f>
        <v/>
      </c>
      <c r="AC34" s="10">
        <f>ROUND(($B$4+$B$5*0+$B$6*2+$B$7*0)*$B$9*$B$15*$B$16*$B$20*$B$22,0)</f>
        <v/>
      </c>
      <c r="AD34" s="10">
        <f>ROUND(($B$4+$B$5*0+$B$6*3+$B$7*0)*$B$9*$B$15*$B$16*$B$20*$B$21,0)</f>
        <v/>
      </c>
      <c r="AE34" s="10">
        <f>ROUND(($B$4+$B$5*0+$B$6*3+$B$7*0)*$B$9*$B$15*$B$16*$B$20*$B$22,0)</f>
        <v/>
      </c>
      <c r="AF34" s="10">
        <f>ROUND(($B$4+$B$5*0+$B$6*0+$B$7*1)*$B$9*$B$15*$B$16*$B$20*$B$21,0)</f>
        <v/>
      </c>
      <c r="AG34" s="10">
        <f>ROUND(($B$4+$B$5*0+$B$6*0+$B$7*1)*$B$9*$B$15*$B$16*$B$20*$B$22,0)</f>
        <v/>
      </c>
      <c r="AH34" s="10">
        <f>ROUND(($B$4+$B$5*1+$B$6*1+$B$7*0)*$B$9*$B$15*$B$16*$B$20*$B$21,0)</f>
        <v/>
      </c>
      <c r="AI34" s="10">
        <f>ROUND(($B$4+$B$5*1+$B$6*1+$B$7*0)*$B$9*$B$15*$B$16*$B$20*$B$22,0)</f>
        <v/>
      </c>
      <c r="AJ34" s="10">
        <f>ROUND(($B$4+$B$5*1+$B$6*2+$B$7*0)*$B$9*$B$15*$B$16*$B$20*$B$21,0)</f>
        <v/>
      </c>
      <c r="AK34" s="10">
        <f>ROUND(($B$4+$B$5*1+$B$6*2+$B$7*0)*$B$9*$B$15*$B$16*$B$20*$B$22,0)</f>
        <v/>
      </c>
      <c r="AL34" s="10">
        <f>ROUND(($B$4+$B$5*1+$B$6*0+$B$7*1)*$B$9*$B$15*$B$16*$B$20*$B$21,0)</f>
        <v/>
      </c>
      <c r="AM34" s="10">
        <f>ROUND(($B$4+$B$5*1+$B$6*0+$B$7*1)*$B$9*$B$15*$B$16*$B$20*$B$22,0)</f>
        <v/>
      </c>
      <c r="AN34" s="10">
        <f>ROUND(($B$4+$B$5*0+$B$6*2+$B$7*1)*$B$9*$B$15*$B$16*$B$20*$B$21,0)</f>
        <v/>
      </c>
      <c r="AO34" s="10">
        <f>ROUND(($B$4+$B$5*0+$B$6*2+$B$7*1)*$B$9*$B$15*$B$16*$B$20*$B$22,0)</f>
        <v/>
      </c>
      <c r="AP34" s="10">
        <f>ROUND(($B$4+$B$5*1+$B$6*2+$B$7*1)*$B$9*$B$15*$B$16*$B$20*$B$21,0)</f>
        <v/>
      </c>
      <c r="AQ34" s="10">
        <f>ROUND(($B$4+$B$5*1+$B$6*2+$B$7*1)*$B$9*$B$15*$B$16*$B$20*$B$22,0)</f>
        <v/>
      </c>
    </row>
    <row r="35" ht="20.1" customHeight="1" s="62">
      <c r="A35" s="67" t="n"/>
      <c r="B35" s="58" t="n"/>
      <c r="C35" s="57" t="inlineStr">
        <is>
          <t>Activité modérée</t>
        </is>
      </c>
      <c r="D35" s="10">
        <f>ROUND(($B$4+$B$5*1+$B$6*0+$B$7*0)*$B$9*$B$15*$B$17*$B$19*$B$21,0)</f>
        <v/>
      </c>
      <c r="E35" s="10">
        <f>ROUND(($B$4+$B$5*1+$B$6*0+$B$7*0)*$B$9*$B$15*$B$17*$B$19*$B$22,0)</f>
        <v/>
      </c>
      <c r="F35" s="10">
        <f>ROUND(($B$4+$B$5*0+$B$6*1+$B$7*0)*$B$9*$B$15*$B$17*$B$19*$B$21,0)</f>
        <v/>
      </c>
      <c r="G35" s="10">
        <f>ROUND(($B$4+$B$5*0+$B$6*1+$B$7*0)*$B$9*$B$15*$B$17*$B$19*$B$22,0)</f>
        <v/>
      </c>
      <c r="H35" s="10">
        <f>ROUND(($B$4+$B$5*0+$B$6*2+$B$7*0)*$B$9*$B$15*$B$17*$B$19*$B$21,0)</f>
        <v/>
      </c>
      <c r="I35" s="10">
        <f>ROUND(($B$4+$B$5*0+$B$6*2+$B$7*0)*$B$9*$B$15*$B$17*$B$19*$B$22,0)</f>
        <v/>
      </c>
      <c r="J35" s="10">
        <f>ROUND(($B$4+$B$5*0+$B$6*3+$B$7*0)*$B$9*$B$15*$B$17*$B$19*$B$21,0)</f>
        <v/>
      </c>
      <c r="K35" s="10">
        <f>ROUND(($B$4+$B$5*0+$B$6*3+$B$7*0)*$B$9*$B$15*$B$17*$B$19*$B$22,0)</f>
        <v/>
      </c>
      <c r="L35" s="10">
        <f>ROUND(($B$4+$B$5*0+$B$6*0+$B$7*1)*$B$9*$B$15*$B$17*$B$19*$B$21,0)</f>
        <v/>
      </c>
      <c r="M35" s="10">
        <f>ROUND(($B$4+$B$5*0+$B$6*0+$B$7*1)*$B$9*$B$15*$B$17*$B$19*$B$22,0)</f>
        <v/>
      </c>
      <c r="N35" s="10">
        <f>ROUND(($B$4+$B$5*1+$B$6*1+$B$7*0)*$B$9*$B$15*$B$17*$B$19*$B$21,0)</f>
        <v/>
      </c>
      <c r="O35" s="10">
        <f>ROUND(($B$4+$B$5*1+$B$6*1+$B$7*0)*$B$9*$B$15*$B$17*$B$19*$B$22,0)</f>
        <v/>
      </c>
      <c r="P35" s="10">
        <f>ROUND(($B$4+$B$5*1+$B$6*2+$B$7*0)*$B$9*$B$15*$B$17*$B$19*$B$21,0)</f>
        <v/>
      </c>
      <c r="Q35" s="10">
        <f>ROUND(($B$4+$B$5*1+$B$6*2+$B$7*0)*$B$9*$B$15*$B$17*$B$19*$B$22,0)</f>
        <v/>
      </c>
      <c r="R35" s="10">
        <f>ROUND(($B$4+$B$5*1+$B$6*0+$B$7*1)*$B$9*$B$15*$B$17*$B$19*$B$21,0)</f>
        <v/>
      </c>
      <c r="S35" s="10">
        <f>ROUND(($B$4+$B$5*1+$B$6*0+$B$7*1)*$B$9*$B$15*$B$17*$B$19*$B$22,0)</f>
        <v/>
      </c>
      <c r="T35" s="10">
        <f>ROUND(($B$4+$B$5*0+$B$6*2+$B$7*1)*$B$9*$B$15*$B$17*$B$19*$B$21,0)</f>
        <v/>
      </c>
      <c r="U35" s="10">
        <f>ROUND(($B$4+$B$5*0+$B$6*2+$B$7*1)*$B$9*$B$15*$B$17*$B$19*$B$22,0)</f>
        <v/>
      </c>
      <c r="V35" s="10">
        <f>ROUND(($B$4+$B$5*1+$B$6*2+$B$7*1)*$B$9*$B$15*$B$17*$B$19*$B$21,0)</f>
        <v/>
      </c>
      <c r="W35" s="10">
        <f>ROUND(($B$4+$B$5*1+$B$6*2+$B$7*1)*$B$9*$B$15*$B$17*$B$19*$B$22,0)</f>
        <v/>
      </c>
      <c r="X35" s="10">
        <f>ROUND(($B$4+$B$5*1+$B$6*0+$B$7*0)*$B$9*$B$15*$B$17*$B$20*$B$21,0)</f>
        <v/>
      </c>
      <c r="Y35" s="10">
        <f>ROUND(($B$4+$B$5*1+$B$6*0+$B$7*0)*$B$9*$B$15*$B$17*$B$20*$B$22,0)</f>
        <v/>
      </c>
      <c r="Z35" s="10">
        <f>ROUND(($B$4+$B$5*0+$B$6*1+$B$7*0)*$B$9*$B$15*$B$17*$B$20*$B$21,0)</f>
        <v/>
      </c>
      <c r="AA35" s="10">
        <f>ROUND(($B$4+$B$5*0+$B$6*1+$B$7*0)*$B$9*$B$15*$B$17*$B$20*$B$22,0)</f>
        <v/>
      </c>
      <c r="AB35" s="10">
        <f>ROUND(($B$4+$B$5*0+$B$6*2+$B$7*0)*$B$9*$B$15*$B$17*$B$20*$B$21,0)</f>
        <v/>
      </c>
      <c r="AC35" s="10">
        <f>ROUND(($B$4+$B$5*0+$B$6*2+$B$7*0)*$B$9*$B$15*$B$17*$B$20*$B$22,0)</f>
        <v/>
      </c>
      <c r="AD35" s="10">
        <f>ROUND(($B$4+$B$5*0+$B$6*3+$B$7*0)*$B$9*$B$15*$B$17*$B$20*$B$21,0)</f>
        <v/>
      </c>
      <c r="AE35" s="10">
        <f>ROUND(($B$4+$B$5*0+$B$6*3+$B$7*0)*$B$9*$B$15*$B$17*$B$20*$B$22,0)</f>
        <v/>
      </c>
      <c r="AF35" s="10">
        <f>ROUND(($B$4+$B$5*0+$B$6*0+$B$7*1)*$B$9*$B$15*$B$17*$B$20*$B$21,0)</f>
        <v/>
      </c>
      <c r="AG35" s="10">
        <f>ROUND(($B$4+$B$5*0+$B$6*0+$B$7*1)*$B$9*$B$15*$B$17*$B$20*$B$22,0)</f>
        <v/>
      </c>
      <c r="AH35" s="10">
        <f>ROUND(($B$4+$B$5*1+$B$6*1+$B$7*0)*$B$9*$B$15*$B$17*$B$20*$B$21,0)</f>
        <v/>
      </c>
      <c r="AI35" s="10">
        <f>ROUND(($B$4+$B$5*1+$B$6*1+$B$7*0)*$B$9*$B$15*$B$17*$B$20*$B$22,0)</f>
        <v/>
      </c>
      <c r="AJ35" s="10">
        <f>ROUND(($B$4+$B$5*1+$B$6*2+$B$7*0)*$B$9*$B$15*$B$17*$B$20*$B$21,0)</f>
        <v/>
      </c>
      <c r="AK35" s="10">
        <f>ROUND(($B$4+$B$5*1+$B$6*2+$B$7*0)*$B$9*$B$15*$B$17*$B$20*$B$22,0)</f>
        <v/>
      </c>
      <c r="AL35" s="10">
        <f>ROUND(($B$4+$B$5*1+$B$6*0+$B$7*1)*$B$9*$B$15*$B$17*$B$20*$B$21,0)</f>
        <v/>
      </c>
      <c r="AM35" s="10">
        <f>ROUND(($B$4+$B$5*1+$B$6*0+$B$7*1)*$B$9*$B$15*$B$17*$B$20*$B$22,0)</f>
        <v/>
      </c>
      <c r="AN35" s="10">
        <f>ROUND(($B$4+$B$5*0+$B$6*2+$B$7*1)*$B$9*$B$15*$B$17*$B$20*$B$21,0)</f>
        <v/>
      </c>
      <c r="AO35" s="10">
        <f>ROUND(($B$4+$B$5*0+$B$6*2+$B$7*1)*$B$9*$B$15*$B$17*$B$20*$B$22,0)</f>
        <v/>
      </c>
      <c r="AP35" s="10">
        <f>ROUND(($B$4+$B$5*1+$B$6*2+$B$7*1)*$B$9*$B$15*$B$17*$B$20*$B$21,0)</f>
        <v/>
      </c>
      <c r="AQ35" s="10">
        <f>ROUND(($B$4+$B$5*1+$B$6*2+$B$7*1)*$B$9*$B$15*$B$17*$B$20*$B$22,0)</f>
        <v/>
      </c>
    </row>
    <row r="36" ht="20.1" customHeight="1" s="62">
      <c r="A36" s="68" t="n"/>
      <c r="B36" s="59" t="n"/>
      <c r="C36" s="15" t="inlineStr">
        <is>
          <t>Activité complexe / multi-offres</t>
        </is>
      </c>
      <c r="D36" s="10">
        <f>ROUND(($B$4+$B$5*1+$B$6*0+$B$7*0)*$B$9*$B$15*$B$18*$B$19*$B$21,0)</f>
        <v/>
      </c>
      <c r="E36" s="10">
        <f>ROUND(($B$4+$B$5*1+$B$6*0+$B$7*0)*$B$9*$B$15*$B$18*$B$19*$B$22,0)</f>
        <v/>
      </c>
      <c r="F36" s="10">
        <f>ROUND(($B$4+$B$5*0+$B$6*1+$B$7*0)*$B$9*$B$15*$B$18*$B$19*$B$21,0)</f>
        <v/>
      </c>
      <c r="G36" s="10">
        <f>ROUND(($B$4+$B$5*0+$B$6*1+$B$7*0)*$B$9*$B$15*$B$18*$B$19*$B$22,0)</f>
        <v/>
      </c>
      <c r="H36" s="10">
        <f>ROUND(($B$4+$B$5*0+$B$6*2+$B$7*0)*$B$9*$B$15*$B$18*$B$19*$B$21,0)</f>
        <v/>
      </c>
      <c r="I36" s="10">
        <f>ROUND(($B$4+$B$5*0+$B$6*2+$B$7*0)*$B$9*$B$15*$B$18*$B$19*$B$22,0)</f>
        <v/>
      </c>
      <c r="J36" s="10">
        <f>ROUND(($B$4+$B$5*0+$B$6*3+$B$7*0)*$B$9*$B$15*$B$18*$B$19*$B$21,0)</f>
        <v/>
      </c>
      <c r="K36" s="10">
        <f>ROUND(($B$4+$B$5*0+$B$6*3+$B$7*0)*$B$9*$B$15*$B$18*$B$19*$B$22,0)</f>
        <v/>
      </c>
      <c r="L36" s="10">
        <f>ROUND(($B$4+$B$5*0+$B$6*0+$B$7*1)*$B$9*$B$15*$B$18*$B$19*$B$21,0)</f>
        <v/>
      </c>
      <c r="M36" s="10">
        <f>ROUND(($B$4+$B$5*0+$B$6*0+$B$7*1)*$B$9*$B$15*$B$18*$B$19*$B$22,0)</f>
        <v/>
      </c>
      <c r="N36" s="10">
        <f>ROUND(($B$4+$B$5*1+$B$6*1+$B$7*0)*$B$9*$B$15*$B$18*$B$19*$B$21,0)</f>
        <v/>
      </c>
      <c r="O36" s="10">
        <f>ROUND(($B$4+$B$5*1+$B$6*1+$B$7*0)*$B$9*$B$15*$B$18*$B$19*$B$22,0)</f>
        <v/>
      </c>
      <c r="P36" s="10">
        <f>ROUND(($B$4+$B$5*1+$B$6*2+$B$7*0)*$B$9*$B$15*$B$18*$B$19*$B$21,0)</f>
        <v/>
      </c>
      <c r="Q36" s="10">
        <f>ROUND(($B$4+$B$5*1+$B$6*2+$B$7*0)*$B$9*$B$15*$B$18*$B$19*$B$22,0)</f>
        <v/>
      </c>
      <c r="R36" s="10">
        <f>ROUND(($B$4+$B$5*1+$B$6*0+$B$7*1)*$B$9*$B$15*$B$18*$B$19*$B$21,0)</f>
        <v/>
      </c>
      <c r="S36" s="10">
        <f>ROUND(($B$4+$B$5*1+$B$6*0+$B$7*1)*$B$9*$B$15*$B$18*$B$19*$B$22,0)</f>
        <v/>
      </c>
      <c r="T36" s="10">
        <f>ROUND(($B$4+$B$5*0+$B$6*2+$B$7*1)*$B$9*$B$15*$B$18*$B$19*$B$21,0)</f>
        <v/>
      </c>
      <c r="U36" s="10">
        <f>ROUND(($B$4+$B$5*0+$B$6*2+$B$7*1)*$B$9*$B$15*$B$18*$B$19*$B$22,0)</f>
        <v/>
      </c>
      <c r="V36" s="10">
        <f>ROUND(($B$4+$B$5*1+$B$6*2+$B$7*1)*$B$9*$B$15*$B$18*$B$19*$B$21,0)</f>
        <v/>
      </c>
      <c r="W36" s="10">
        <f>ROUND(($B$4+$B$5*1+$B$6*2+$B$7*1)*$B$9*$B$15*$B$18*$B$19*$B$22,0)</f>
        <v/>
      </c>
      <c r="X36" s="10">
        <f>ROUND(($B$4+$B$5*1+$B$6*0+$B$7*0)*$B$9*$B$15*$B$18*$B$20*$B$21,0)</f>
        <v/>
      </c>
      <c r="Y36" s="10">
        <f>ROUND(($B$4+$B$5*1+$B$6*0+$B$7*0)*$B$9*$B$15*$B$18*$B$20*$B$22,0)</f>
        <v/>
      </c>
      <c r="Z36" s="10">
        <f>ROUND(($B$4+$B$5*0+$B$6*1+$B$7*0)*$B$9*$B$15*$B$18*$B$20*$B$21,0)</f>
        <v/>
      </c>
      <c r="AA36" s="10">
        <f>ROUND(($B$4+$B$5*0+$B$6*1+$B$7*0)*$B$9*$B$15*$B$18*$B$20*$B$22,0)</f>
        <v/>
      </c>
      <c r="AB36" s="10">
        <f>ROUND(($B$4+$B$5*0+$B$6*2+$B$7*0)*$B$9*$B$15*$B$18*$B$20*$B$21,0)</f>
        <v/>
      </c>
      <c r="AC36" s="10">
        <f>ROUND(($B$4+$B$5*0+$B$6*2+$B$7*0)*$B$9*$B$15*$B$18*$B$20*$B$22,0)</f>
        <v/>
      </c>
      <c r="AD36" s="10">
        <f>ROUND(($B$4+$B$5*0+$B$6*3+$B$7*0)*$B$9*$B$15*$B$18*$B$20*$B$21,0)</f>
        <v/>
      </c>
      <c r="AE36" s="10">
        <f>ROUND(($B$4+$B$5*0+$B$6*3+$B$7*0)*$B$9*$B$15*$B$18*$B$20*$B$22,0)</f>
        <v/>
      </c>
      <c r="AF36" s="10">
        <f>ROUND(($B$4+$B$5*0+$B$6*0+$B$7*1)*$B$9*$B$15*$B$18*$B$20*$B$21,0)</f>
        <v/>
      </c>
      <c r="AG36" s="10">
        <f>ROUND(($B$4+$B$5*0+$B$6*0+$B$7*1)*$B$9*$B$15*$B$18*$B$20*$B$22,0)</f>
        <v/>
      </c>
      <c r="AH36" s="10">
        <f>ROUND(($B$4+$B$5*1+$B$6*1+$B$7*0)*$B$9*$B$15*$B$18*$B$20*$B$21,0)</f>
        <v/>
      </c>
      <c r="AI36" s="10">
        <f>ROUND(($B$4+$B$5*1+$B$6*1+$B$7*0)*$B$9*$B$15*$B$18*$B$20*$B$22,0)</f>
        <v/>
      </c>
      <c r="AJ36" s="10">
        <f>ROUND(($B$4+$B$5*1+$B$6*2+$B$7*0)*$B$9*$B$15*$B$18*$B$20*$B$21,0)</f>
        <v/>
      </c>
      <c r="AK36" s="10">
        <f>ROUND(($B$4+$B$5*1+$B$6*2+$B$7*0)*$B$9*$B$15*$B$18*$B$20*$B$22,0)</f>
        <v/>
      </c>
      <c r="AL36" s="10">
        <f>ROUND(($B$4+$B$5*1+$B$6*0+$B$7*1)*$B$9*$B$15*$B$18*$B$20*$B$21,0)</f>
        <v/>
      </c>
      <c r="AM36" s="10">
        <f>ROUND(($B$4+$B$5*1+$B$6*0+$B$7*1)*$B$9*$B$15*$B$18*$B$20*$B$22,0)</f>
        <v/>
      </c>
      <c r="AN36" s="10">
        <f>ROUND(($B$4+$B$5*0+$B$6*2+$B$7*1)*$B$9*$B$15*$B$18*$B$20*$B$21,0)</f>
        <v/>
      </c>
      <c r="AO36" s="10">
        <f>ROUND(($B$4+$B$5*0+$B$6*2+$B$7*1)*$B$9*$B$15*$B$18*$B$20*$B$22,0)</f>
        <v/>
      </c>
      <c r="AP36" s="10">
        <f>ROUND(($B$4+$B$5*1+$B$6*2+$B$7*1)*$B$9*$B$15*$B$18*$B$20*$B$21,0)</f>
        <v/>
      </c>
      <c r="AQ36" s="10">
        <f>ROUND(($B$4+$B$5*1+$B$6*2+$B$7*1)*$B$9*$B$15*$B$18*$B$20*$B$22,0)</f>
        <v/>
      </c>
    </row>
    <row r="37" ht="20.1" customHeight="1" s="62">
      <c r="A37" s="66" t="inlineStr">
        <is>
          <t>TPE (6-19 sal.)</t>
        </is>
      </c>
      <c r="B37" s="57" t="inlineStr">
        <is>
          <t>Faible (peu/pas de présence digitale)</t>
        </is>
      </c>
      <c r="C37" s="14" t="inlineStr">
        <is>
          <t>Activité simple</t>
        </is>
      </c>
      <c r="D37" s="10">
        <f>ROUND(($B$4+$B$5*1+$B$6*0+$B$7*0)*$B$10*$B$13*$B$16*$B$19*$B$21,0)</f>
        <v/>
      </c>
      <c r="E37" s="10">
        <f>ROUND(($B$4+$B$5*1+$B$6*0+$B$7*0)*$B$10*$B$13*$B$16*$B$19*$B$22,0)</f>
        <v/>
      </c>
      <c r="F37" s="10">
        <f>ROUND(($B$4+$B$5*0+$B$6*1+$B$7*0)*$B$10*$B$13*$B$16*$B$19*$B$21,0)</f>
        <v/>
      </c>
      <c r="G37" s="10">
        <f>ROUND(($B$4+$B$5*0+$B$6*1+$B$7*0)*$B$10*$B$13*$B$16*$B$19*$B$22,0)</f>
        <v/>
      </c>
      <c r="H37" s="10">
        <f>ROUND(($B$4+$B$5*0+$B$6*2+$B$7*0)*$B$10*$B$13*$B$16*$B$19*$B$21,0)</f>
        <v/>
      </c>
      <c r="I37" s="10">
        <f>ROUND(($B$4+$B$5*0+$B$6*2+$B$7*0)*$B$10*$B$13*$B$16*$B$19*$B$22,0)</f>
        <v/>
      </c>
      <c r="J37" s="10">
        <f>ROUND(($B$4+$B$5*0+$B$6*3+$B$7*0)*$B$10*$B$13*$B$16*$B$19*$B$21,0)</f>
        <v/>
      </c>
      <c r="K37" s="10">
        <f>ROUND(($B$4+$B$5*0+$B$6*3+$B$7*0)*$B$10*$B$13*$B$16*$B$19*$B$22,0)</f>
        <v/>
      </c>
      <c r="L37" s="10">
        <f>ROUND(($B$4+$B$5*0+$B$6*0+$B$7*1)*$B$10*$B$13*$B$16*$B$19*$B$21,0)</f>
        <v/>
      </c>
      <c r="M37" s="10">
        <f>ROUND(($B$4+$B$5*0+$B$6*0+$B$7*1)*$B$10*$B$13*$B$16*$B$19*$B$22,0)</f>
        <v/>
      </c>
      <c r="N37" s="10">
        <f>ROUND(($B$4+$B$5*1+$B$6*1+$B$7*0)*$B$10*$B$13*$B$16*$B$19*$B$21,0)</f>
        <v/>
      </c>
      <c r="O37" s="10">
        <f>ROUND(($B$4+$B$5*1+$B$6*1+$B$7*0)*$B$10*$B$13*$B$16*$B$19*$B$22,0)</f>
        <v/>
      </c>
      <c r="P37" s="10">
        <f>ROUND(($B$4+$B$5*1+$B$6*2+$B$7*0)*$B$10*$B$13*$B$16*$B$19*$B$21,0)</f>
        <v/>
      </c>
      <c r="Q37" s="10">
        <f>ROUND(($B$4+$B$5*1+$B$6*2+$B$7*0)*$B$10*$B$13*$B$16*$B$19*$B$22,0)</f>
        <v/>
      </c>
      <c r="R37" s="10">
        <f>ROUND(($B$4+$B$5*1+$B$6*0+$B$7*1)*$B$10*$B$13*$B$16*$B$19*$B$21,0)</f>
        <v/>
      </c>
      <c r="S37" s="10">
        <f>ROUND(($B$4+$B$5*1+$B$6*0+$B$7*1)*$B$10*$B$13*$B$16*$B$19*$B$22,0)</f>
        <v/>
      </c>
      <c r="T37" s="10">
        <f>ROUND(($B$4+$B$5*0+$B$6*2+$B$7*1)*$B$10*$B$13*$B$16*$B$19*$B$21,0)</f>
        <v/>
      </c>
      <c r="U37" s="10">
        <f>ROUND(($B$4+$B$5*0+$B$6*2+$B$7*1)*$B$10*$B$13*$B$16*$B$19*$B$22,0)</f>
        <v/>
      </c>
      <c r="V37" s="10">
        <f>ROUND(($B$4+$B$5*1+$B$6*2+$B$7*1)*$B$10*$B$13*$B$16*$B$19*$B$21,0)</f>
        <v/>
      </c>
      <c r="W37" s="10">
        <f>ROUND(($B$4+$B$5*1+$B$6*2+$B$7*1)*$B$10*$B$13*$B$16*$B$19*$B$22,0)</f>
        <v/>
      </c>
      <c r="X37" s="10">
        <f>ROUND(($B$4+$B$5*1+$B$6*0+$B$7*0)*$B$10*$B$13*$B$16*$B$20*$B$21,0)</f>
        <v/>
      </c>
      <c r="Y37" s="10">
        <f>ROUND(($B$4+$B$5*1+$B$6*0+$B$7*0)*$B$10*$B$13*$B$16*$B$20*$B$22,0)</f>
        <v/>
      </c>
      <c r="Z37" s="10">
        <f>ROUND(($B$4+$B$5*0+$B$6*1+$B$7*0)*$B$10*$B$13*$B$16*$B$20*$B$21,0)</f>
        <v/>
      </c>
      <c r="AA37" s="10">
        <f>ROUND(($B$4+$B$5*0+$B$6*1+$B$7*0)*$B$10*$B$13*$B$16*$B$20*$B$22,0)</f>
        <v/>
      </c>
      <c r="AB37" s="10">
        <f>ROUND(($B$4+$B$5*0+$B$6*2+$B$7*0)*$B$10*$B$13*$B$16*$B$20*$B$21,0)</f>
        <v/>
      </c>
      <c r="AC37" s="10">
        <f>ROUND(($B$4+$B$5*0+$B$6*2+$B$7*0)*$B$10*$B$13*$B$16*$B$20*$B$22,0)</f>
        <v/>
      </c>
      <c r="AD37" s="10">
        <f>ROUND(($B$4+$B$5*0+$B$6*3+$B$7*0)*$B$10*$B$13*$B$16*$B$20*$B$21,0)</f>
        <v/>
      </c>
      <c r="AE37" s="10">
        <f>ROUND(($B$4+$B$5*0+$B$6*3+$B$7*0)*$B$10*$B$13*$B$16*$B$20*$B$22,0)</f>
        <v/>
      </c>
      <c r="AF37" s="10">
        <f>ROUND(($B$4+$B$5*0+$B$6*0+$B$7*1)*$B$10*$B$13*$B$16*$B$20*$B$21,0)</f>
        <v/>
      </c>
      <c r="AG37" s="10">
        <f>ROUND(($B$4+$B$5*0+$B$6*0+$B$7*1)*$B$10*$B$13*$B$16*$B$20*$B$22,0)</f>
        <v/>
      </c>
      <c r="AH37" s="10">
        <f>ROUND(($B$4+$B$5*1+$B$6*1+$B$7*0)*$B$10*$B$13*$B$16*$B$20*$B$21,0)</f>
        <v/>
      </c>
      <c r="AI37" s="10">
        <f>ROUND(($B$4+$B$5*1+$B$6*1+$B$7*0)*$B$10*$B$13*$B$16*$B$20*$B$22,0)</f>
        <v/>
      </c>
      <c r="AJ37" s="10">
        <f>ROUND(($B$4+$B$5*1+$B$6*2+$B$7*0)*$B$10*$B$13*$B$16*$B$20*$B$21,0)</f>
        <v/>
      </c>
      <c r="AK37" s="10">
        <f>ROUND(($B$4+$B$5*1+$B$6*2+$B$7*0)*$B$10*$B$13*$B$16*$B$20*$B$22,0)</f>
        <v/>
      </c>
      <c r="AL37" s="10">
        <f>ROUND(($B$4+$B$5*1+$B$6*0+$B$7*1)*$B$10*$B$13*$B$16*$B$20*$B$21,0)</f>
        <v/>
      </c>
      <c r="AM37" s="10">
        <f>ROUND(($B$4+$B$5*1+$B$6*0+$B$7*1)*$B$10*$B$13*$B$16*$B$20*$B$22,0)</f>
        <v/>
      </c>
      <c r="AN37" s="10">
        <f>ROUND(($B$4+$B$5*0+$B$6*2+$B$7*1)*$B$10*$B$13*$B$16*$B$20*$B$21,0)</f>
        <v/>
      </c>
      <c r="AO37" s="10">
        <f>ROUND(($B$4+$B$5*0+$B$6*2+$B$7*1)*$B$10*$B$13*$B$16*$B$20*$B$22,0)</f>
        <v/>
      </c>
      <c r="AP37" s="10">
        <f>ROUND(($B$4+$B$5*1+$B$6*2+$B$7*1)*$B$10*$B$13*$B$16*$B$20*$B$21,0)</f>
        <v/>
      </c>
      <c r="AQ37" s="10">
        <f>ROUND(($B$4+$B$5*1+$B$6*2+$B$7*1)*$B$10*$B$13*$B$16*$B$20*$B$22,0)</f>
        <v/>
      </c>
    </row>
    <row r="38" ht="20.1" customHeight="1" s="62">
      <c r="A38" s="67" t="n"/>
      <c r="B38" s="58" t="n"/>
      <c r="C38" s="57" t="inlineStr">
        <is>
          <t>Activité modérée</t>
        </is>
      </c>
      <c r="D38" s="10">
        <f>ROUND(($B$4+$B$5*1+$B$6*0+$B$7*0)*$B$10*$B$13*$B$17*$B$19*$B$21,0)</f>
        <v/>
      </c>
      <c r="E38" s="10">
        <f>ROUND(($B$4+$B$5*1+$B$6*0+$B$7*0)*$B$10*$B$13*$B$17*$B$19*$B$22,0)</f>
        <v/>
      </c>
      <c r="F38" s="10">
        <f>ROUND(($B$4+$B$5*0+$B$6*1+$B$7*0)*$B$10*$B$13*$B$17*$B$19*$B$21,0)</f>
        <v/>
      </c>
      <c r="G38" s="10">
        <f>ROUND(($B$4+$B$5*0+$B$6*1+$B$7*0)*$B$10*$B$13*$B$17*$B$19*$B$22,0)</f>
        <v/>
      </c>
      <c r="H38" s="10">
        <f>ROUND(($B$4+$B$5*0+$B$6*2+$B$7*0)*$B$10*$B$13*$B$17*$B$19*$B$21,0)</f>
        <v/>
      </c>
      <c r="I38" s="10">
        <f>ROUND(($B$4+$B$5*0+$B$6*2+$B$7*0)*$B$10*$B$13*$B$17*$B$19*$B$22,0)</f>
        <v/>
      </c>
      <c r="J38" s="10">
        <f>ROUND(($B$4+$B$5*0+$B$6*3+$B$7*0)*$B$10*$B$13*$B$17*$B$19*$B$21,0)</f>
        <v/>
      </c>
      <c r="K38" s="10">
        <f>ROUND(($B$4+$B$5*0+$B$6*3+$B$7*0)*$B$10*$B$13*$B$17*$B$19*$B$22,0)</f>
        <v/>
      </c>
      <c r="L38" s="10">
        <f>ROUND(($B$4+$B$5*0+$B$6*0+$B$7*1)*$B$10*$B$13*$B$17*$B$19*$B$21,0)</f>
        <v/>
      </c>
      <c r="M38" s="10">
        <f>ROUND(($B$4+$B$5*0+$B$6*0+$B$7*1)*$B$10*$B$13*$B$17*$B$19*$B$22,0)</f>
        <v/>
      </c>
      <c r="N38" s="10">
        <f>ROUND(($B$4+$B$5*1+$B$6*1+$B$7*0)*$B$10*$B$13*$B$17*$B$19*$B$21,0)</f>
        <v/>
      </c>
      <c r="O38" s="10">
        <f>ROUND(($B$4+$B$5*1+$B$6*1+$B$7*0)*$B$10*$B$13*$B$17*$B$19*$B$22,0)</f>
        <v/>
      </c>
      <c r="P38" s="10">
        <f>ROUND(($B$4+$B$5*1+$B$6*2+$B$7*0)*$B$10*$B$13*$B$17*$B$19*$B$21,0)</f>
        <v/>
      </c>
      <c r="Q38" s="10">
        <f>ROUND(($B$4+$B$5*1+$B$6*2+$B$7*0)*$B$10*$B$13*$B$17*$B$19*$B$22,0)</f>
        <v/>
      </c>
      <c r="R38" s="10">
        <f>ROUND(($B$4+$B$5*1+$B$6*0+$B$7*1)*$B$10*$B$13*$B$17*$B$19*$B$21,0)</f>
        <v/>
      </c>
      <c r="S38" s="10">
        <f>ROUND(($B$4+$B$5*1+$B$6*0+$B$7*1)*$B$10*$B$13*$B$17*$B$19*$B$22,0)</f>
        <v/>
      </c>
      <c r="T38" s="10">
        <f>ROUND(($B$4+$B$5*0+$B$6*2+$B$7*1)*$B$10*$B$13*$B$17*$B$19*$B$21,0)</f>
        <v/>
      </c>
      <c r="U38" s="10">
        <f>ROUND(($B$4+$B$5*0+$B$6*2+$B$7*1)*$B$10*$B$13*$B$17*$B$19*$B$22,0)</f>
        <v/>
      </c>
      <c r="V38" s="10">
        <f>ROUND(($B$4+$B$5*1+$B$6*2+$B$7*1)*$B$10*$B$13*$B$17*$B$19*$B$21,0)</f>
        <v/>
      </c>
      <c r="W38" s="10">
        <f>ROUND(($B$4+$B$5*1+$B$6*2+$B$7*1)*$B$10*$B$13*$B$17*$B$19*$B$22,0)</f>
        <v/>
      </c>
      <c r="X38" s="10">
        <f>ROUND(($B$4+$B$5*1+$B$6*0+$B$7*0)*$B$10*$B$13*$B$17*$B$20*$B$21,0)</f>
        <v/>
      </c>
      <c r="Y38" s="10">
        <f>ROUND(($B$4+$B$5*1+$B$6*0+$B$7*0)*$B$10*$B$13*$B$17*$B$20*$B$22,0)</f>
        <v/>
      </c>
      <c r="Z38" s="10">
        <f>ROUND(($B$4+$B$5*0+$B$6*1+$B$7*0)*$B$10*$B$13*$B$17*$B$20*$B$21,0)</f>
        <v/>
      </c>
      <c r="AA38" s="10">
        <f>ROUND(($B$4+$B$5*0+$B$6*1+$B$7*0)*$B$10*$B$13*$B$17*$B$20*$B$22,0)</f>
        <v/>
      </c>
      <c r="AB38" s="10">
        <f>ROUND(($B$4+$B$5*0+$B$6*2+$B$7*0)*$B$10*$B$13*$B$17*$B$20*$B$21,0)</f>
        <v/>
      </c>
      <c r="AC38" s="10">
        <f>ROUND(($B$4+$B$5*0+$B$6*2+$B$7*0)*$B$10*$B$13*$B$17*$B$20*$B$22,0)</f>
        <v/>
      </c>
      <c r="AD38" s="10">
        <f>ROUND(($B$4+$B$5*0+$B$6*3+$B$7*0)*$B$10*$B$13*$B$17*$B$20*$B$21,0)</f>
        <v/>
      </c>
      <c r="AE38" s="10">
        <f>ROUND(($B$4+$B$5*0+$B$6*3+$B$7*0)*$B$10*$B$13*$B$17*$B$20*$B$22,0)</f>
        <v/>
      </c>
      <c r="AF38" s="10">
        <f>ROUND(($B$4+$B$5*0+$B$6*0+$B$7*1)*$B$10*$B$13*$B$17*$B$20*$B$21,0)</f>
        <v/>
      </c>
      <c r="AG38" s="10">
        <f>ROUND(($B$4+$B$5*0+$B$6*0+$B$7*1)*$B$10*$B$13*$B$17*$B$20*$B$22,0)</f>
        <v/>
      </c>
      <c r="AH38" s="10">
        <f>ROUND(($B$4+$B$5*1+$B$6*1+$B$7*0)*$B$10*$B$13*$B$17*$B$20*$B$21,0)</f>
        <v/>
      </c>
      <c r="AI38" s="10">
        <f>ROUND(($B$4+$B$5*1+$B$6*1+$B$7*0)*$B$10*$B$13*$B$17*$B$20*$B$22,0)</f>
        <v/>
      </c>
      <c r="AJ38" s="10">
        <f>ROUND(($B$4+$B$5*1+$B$6*2+$B$7*0)*$B$10*$B$13*$B$17*$B$20*$B$21,0)</f>
        <v/>
      </c>
      <c r="AK38" s="10">
        <f>ROUND(($B$4+$B$5*1+$B$6*2+$B$7*0)*$B$10*$B$13*$B$17*$B$20*$B$22,0)</f>
        <v/>
      </c>
      <c r="AL38" s="10">
        <f>ROUND(($B$4+$B$5*1+$B$6*0+$B$7*1)*$B$10*$B$13*$B$17*$B$20*$B$21,0)</f>
        <v/>
      </c>
      <c r="AM38" s="10">
        <f>ROUND(($B$4+$B$5*1+$B$6*0+$B$7*1)*$B$10*$B$13*$B$17*$B$20*$B$22,0)</f>
        <v/>
      </c>
      <c r="AN38" s="10">
        <f>ROUND(($B$4+$B$5*0+$B$6*2+$B$7*1)*$B$10*$B$13*$B$17*$B$20*$B$21,0)</f>
        <v/>
      </c>
      <c r="AO38" s="10">
        <f>ROUND(($B$4+$B$5*0+$B$6*2+$B$7*1)*$B$10*$B$13*$B$17*$B$20*$B$22,0)</f>
        <v/>
      </c>
      <c r="AP38" s="10">
        <f>ROUND(($B$4+$B$5*1+$B$6*2+$B$7*1)*$B$10*$B$13*$B$17*$B$20*$B$21,0)</f>
        <v/>
      </c>
      <c r="AQ38" s="10">
        <f>ROUND(($B$4+$B$5*1+$B$6*2+$B$7*1)*$B$10*$B$13*$B$17*$B$20*$B$22,0)</f>
        <v/>
      </c>
    </row>
    <row r="39" ht="20.1" customHeight="1" s="62">
      <c r="A39" s="67" t="n"/>
      <c r="B39" s="59" t="n"/>
      <c r="C39" s="15" t="inlineStr">
        <is>
          <t>Activité complexe / multi-offres</t>
        </is>
      </c>
      <c r="D39" s="10">
        <f>ROUND(($B$4+$B$5*1+$B$6*0+$B$7*0)*$B$10*$B$13*$B$18*$B$19*$B$21,0)</f>
        <v/>
      </c>
      <c r="E39" s="10">
        <f>ROUND(($B$4+$B$5*1+$B$6*0+$B$7*0)*$B$10*$B$13*$B$18*$B$19*$B$22,0)</f>
        <v/>
      </c>
      <c r="F39" s="10">
        <f>ROUND(($B$4+$B$5*0+$B$6*1+$B$7*0)*$B$10*$B$13*$B$18*$B$19*$B$21,0)</f>
        <v/>
      </c>
      <c r="G39" s="10">
        <f>ROUND(($B$4+$B$5*0+$B$6*1+$B$7*0)*$B$10*$B$13*$B$18*$B$19*$B$22,0)</f>
        <v/>
      </c>
      <c r="H39" s="10">
        <f>ROUND(($B$4+$B$5*0+$B$6*2+$B$7*0)*$B$10*$B$13*$B$18*$B$19*$B$21,0)</f>
        <v/>
      </c>
      <c r="I39" s="10">
        <f>ROUND(($B$4+$B$5*0+$B$6*2+$B$7*0)*$B$10*$B$13*$B$18*$B$19*$B$22,0)</f>
        <v/>
      </c>
      <c r="J39" s="10">
        <f>ROUND(($B$4+$B$5*0+$B$6*3+$B$7*0)*$B$10*$B$13*$B$18*$B$19*$B$21,0)</f>
        <v/>
      </c>
      <c r="K39" s="10">
        <f>ROUND(($B$4+$B$5*0+$B$6*3+$B$7*0)*$B$10*$B$13*$B$18*$B$19*$B$22,0)</f>
        <v/>
      </c>
      <c r="L39" s="10">
        <f>ROUND(($B$4+$B$5*0+$B$6*0+$B$7*1)*$B$10*$B$13*$B$18*$B$19*$B$21,0)</f>
        <v/>
      </c>
      <c r="M39" s="10">
        <f>ROUND(($B$4+$B$5*0+$B$6*0+$B$7*1)*$B$10*$B$13*$B$18*$B$19*$B$22,0)</f>
        <v/>
      </c>
      <c r="N39" s="10">
        <f>ROUND(($B$4+$B$5*1+$B$6*1+$B$7*0)*$B$10*$B$13*$B$18*$B$19*$B$21,0)</f>
        <v/>
      </c>
      <c r="O39" s="10">
        <f>ROUND(($B$4+$B$5*1+$B$6*1+$B$7*0)*$B$10*$B$13*$B$18*$B$19*$B$22,0)</f>
        <v/>
      </c>
      <c r="P39" s="10">
        <f>ROUND(($B$4+$B$5*1+$B$6*2+$B$7*0)*$B$10*$B$13*$B$18*$B$19*$B$21,0)</f>
        <v/>
      </c>
      <c r="Q39" s="10">
        <f>ROUND(($B$4+$B$5*1+$B$6*2+$B$7*0)*$B$10*$B$13*$B$18*$B$19*$B$22,0)</f>
        <v/>
      </c>
      <c r="R39" s="10">
        <f>ROUND(($B$4+$B$5*1+$B$6*0+$B$7*1)*$B$10*$B$13*$B$18*$B$19*$B$21,0)</f>
        <v/>
      </c>
      <c r="S39" s="10">
        <f>ROUND(($B$4+$B$5*1+$B$6*0+$B$7*1)*$B$10*$B$13*$B$18*$B$19*$B$22,0)</f>
        <v/>
      </c>
      <c r="T39" s="10">
        <f>ROUND(($B$4+$B$5*0+$B$6*2+$B$7*1)*$B$10*$B$13*$B$18*$B$19*$B$21,0)</f>
        <v/>
      </c>
      <c r="U39" s="10">
        <f>ROUND(($B$4+$B$5*0+$B$6*2+$B$7*1)*$B$10*$B$13*$B$18*$B$19*$B$22,0)</f>
        <v/>
      </c>
      <c r="V39" s="10">
        <f>ROUND(($B$4+$B$5*1+$B$6*2+$B$7*1)*$B$10*$B$13*$B$18*$B$19*$B$21,0)</f>
        <v/>
      </c>
      <c r="W39" s="10">
        <f>ROUND(($B$4+$B$5*1+$B$6*2+$B$7*1)*$B$10*$B$13*$B$18*$B$19*$B$22,0)</f>
        <v/>
      </c>
      <c r="X39" s="10">
        <f>ROUND(($B$4+$B$5*1+$B$6*0+$B$7*0)*$B$10*$B$13*$B$18*$B$20*$B$21,0)</f>
        <v/>
      </c>
      <c r="Y39" s="10">
        <f>ROUND(($B$4+$B$5*1+$B$6*0+$B$7*0)*$B$10*$B$13*$B$18*$B$20*$B$22,0)</f>
        <v/>
      </c>
      <c r="Z39" s="10">
        <f>ROUND(($B$4+$B$5*0+$B$6*1+$B$7*0)*$B$10*$B$13*$B$18*$B$20*$B$21,0)</f>
        <v/>
      </c>
      <c r="AA39" s="10">
        <f>ROUND(($B$4+$B$5*0+$B$6*1+$B$7*0)*$B$10*$B$13*$B$18*$B$20*$B$22,0)</f>
        <v/>
      </c>
      <c r="AB39" s="10">
        <f>ROUND(($B$4+$B$5*0+$B$6*2+$B$7*0)*$B$10*$B$13*$B$18*$B$20*$B$21,0)</f>
        <v/>
      </c>
      <c r="AC39" s="10">
        <f>ROUND(($B$4+$B$5*0+$B$6*2+$B$7*0)*$B$10*$B$13*$B$18*$B$20*$B$22,0)</f>
        <v/>
      </c>
      <c r="AD39" s="10">
        <f>ROUND(($B$4+$B$5*0+$B$6*3+$B$7*0)*$B$10*$B$13*$B$18*$B$20*$B$21,0)</f>
        <v/>
      </c>
      <c r="AE39" s="10">
        <f>ROUND(($B$4+$B$5*0+$B$6*3+$B$7*0)*$B$10*$B$13*$B$18*$B$20*$B$22,0)</f>
        <v/>
      </c>
      <c r="AF39" s="10">
        <f>ROUND(($B$4+$B$5*0+$B$6*0+$B$7*1)*$B$10*$B$13*$B$18*$B$20*$B$21,0)</f>
        <v/>
      </c>
      <c r="AG39" s="10">
        <f>ROUND(($B$4+$B$5*0+$B$6*0+$B$7*1)*$B$10*$B$13*$B$18*$B$20*$B$22,0)</f>
        <v/>
      </c>
      <c r="AH39" s="10">
        <f>ROUND(($B$4+$B$5*1+$B$6*1+$B$7*0)*$B$10*$B$13*$B$18*$B$20*$B$21,0)</f>
        <v/>
      </c>
      <c r="AI39" s="10">
        <f>ROUND(($B$4+$B$5*1+$B$6*1+$B$7*0)*$B$10*$B$13*$B$18*$B$20*$B$22,0)</f>
        <v/>
      </c>
      <c r="AJ39" s="10">
        <f>ROUND(($B$4+$B$5*1+$B$6*2+$B$7*0)*$B$10*$B$13*$B$18*$B$20*$B$21,0)</f>
        <v/>
      </c>
      <c r="AK39" s="10">
        <f>ROUND(($B$4+$B$5*1+$B$6*2+$B$7*0)*$B$10*$B$13*$B$18*$B$20*$B$22,0)</f>
        <v/>
      </c>
      <c r="AL39" s="10">
        <f>ROUND(($B$4+$B$5*1+$B$6*0+$B$7*1)*$B$10*$B$13*$B$18*$B$20*$B$21,0)</f>
        <v/>
      </c>
      <c r="AM39" s="10">
        <f>ROUND(($B$4+$B$5*1+$B$6*0+$B$7*1)*$B$10*$B$13*$B$18*$B$20*$B$22,0)</f>
        <v/>
      </c>
      <c r="AN39" s="10">
        <f>ROUND(($B$4+$B$5*0+$B$6*2+$B$7*1)*$B$10*$B$13*$B$18*$B$20*$B$21,0)</f>
        <v/>
      </c>
      <c r="AO39" s="10">
        <f>ROUND(($B$4+$B$5*0+$B$6*2+$B$7*1)*$B$10*$B$13*$B$18*$B$20*$B$22,0)</f>
        <v/>
      </c>
      <c r="AP39" s="10">
        <f>ROUND(($B$4+$B$5*1+$B$6*2+$B$7*1)*$B$10*$B$13*$B$18*$B$20*$B$21,0)</f>
        <v/>
      </c>
      <c r="AQ39" s="10">
        <f>ROUND(($B$4+$B$5*1+$B$6*2+$B$7*1)*$B$10*$B$13*$B$18*$B$20*$B$22,0)</f>
        <v/>
      </c>
    </row>
    <row r="40" ht="20.1" customHeight="1" s="62">
      <c r="A40" s="67" t="n"/>
      <c r="B40" s="57" t="inlineStr">
        <is>
          <t>Intermédiaire (présence partielle)</t>
        </is>
      </c>
      <c r="C40" s="14" t="inlineStr">
        <is>
          <t>Activité simple</t>
        </is>
      </c>
      <c r="D40" s="10">
        <f>ROUND(($B$4+$B$5*1+$B$6*0+$B$7*0)*$B$10*$B$14*$B$16*$B$19*$B$21,0)</f>
        <v/>
      </c>
      <c r="E40" s="10">
        <f>ROUND(($B$4+$B$5*1+$B$6*0+$B$7*0)*$B$10*$B$14*$B$16*$B$19*$B$22,0)</f>
        <v/>
      </c>
      <c r="F40" s="10">
        <f>ROUND(($B$4+$B$5*0+$B$6*1+$B$7*0)*$B$10*$B$14*$B$16*$B$19*$B$21,0)</f>
        <v/>
      </c>
      <c r="G40" s="10">
        <f>ROUND(($B$4+$B$5*0+$B$6*1+$B$7*0)*$B$10*$B$14*$B$16*$B$19*$B$22,0)</f>
        <v/>
      </c>
      <c r="H40" s="10">
        <f>ROUND(($B$4+$B$5*0+$B$6*2+$B$7*0)*$B$10*$B$14*$B$16*$B$19*$B$21,0)</f>
        <v/>
      </c>
      <c r="I40" s="10">
        <f>ROUND(($B$4+$B$5*0+$B$6*2+$B$7*0)*$B$10*$B$14*$B$16*$B$19*$B$22,0)</f>
        <v/>
      </c>
      <c r="J40" s="10">
        <f>ROUND(($B$4+$B$5*0+$B$6*3+$B$7*0)*$B$10*$B$14*$B$16*$B$19*$B$21,0)</f>
        <v/>
      </c>
      <c r="K40" s="10">
        <f>ROUND(($B$4+$B$5*0+$B$6*3+$B$7*0)*$B$10*$B$14*$B$16*$B$19*$B$22,0)</f>
        <v/>
      </c>
      <c r="L40" s="10">
        <f>ROUND(($B$4+$B$5*0+$B$6*0+$B$7*1)*$B$10*$B$14*$B$16*$B$19*$B$21,0)</f>
        <v/>
      </c>
      <c r="M40" s="10">
        <f>ROUND(($B$4+$B$5*0+$B$6*0+$B$7*1)*$B$10*$B$14*$B$16*$B$19*$B$22,0)</f>
        <v/>
      </c>
      <c r="N40" s="10">
        <f>ROUND(($B$4+$B$5*1+$B$6*1+$B$7*0)*$B$10*$B$14*$B$16*$B$19*$B$21,0)</f>
        <v/>
      </c>
      <c r="O40" s="10">
        <f>ROUND(($B$4+$B$5*1+$B$6*1+$B$7*0)*$B$10*$B$14*$B$16*$B$19*$B$22,0)</f>
        <v/>
      </c>
      <c r="P40" s="10">
        <f>ROUND(($B$4+$B$5*1+$B$6*2+$B$7*0)*$B$10*$B$14*$B$16*$B$19*$B$21,0)</f>
        <v/>
      </c>
      <c r="Q40" s="10">
        <f>ROUND(($B$4+$B$5*1+$B$6*2+$B$7*0)*$B$10*$B$14*$B$16*$B$19*$B$22,0)</f>
        <v/>
      </c>
      <c r="R40" s="10">
        <f>ROUND(($B$4+$B$5*1+$B$6*0+$B$7*1)*$B$10*$B$14*$B$16*$B$19*$B$21,0)</f>
        <v/>
      </c>
      <c r="S40" s="10">
        <f>ROUND(($B$4+$B$5*1+$B$6*0+$B$7*1)*$B$10*$B$14*$B$16*$B$19*$B$22,0)</f>
        <v/>
      </c>
      <c r="T40" s="10">
        <f>ROUND(($B$4+$B$5*0+$B$6*2+$B$7*1)*$B$10*$B$14*$B$16*$B$19*$B$21,0)</f>
        <v/>
      </c>
      <c r="U40" s="10">
        <f>ROUND(($B$4+$B$5*0+$B$6*2+$B$7*1)*$B$10*$B$14*$B$16*$B$19*$B$22,0)</f>
        <v/>
      </c>
      <c r="V40" s="10">
        <f>ROUND(($B$4+$B$5*1+$B$6*2+$B$7*1)*$B$10*$B$14*$B$16*$B$19*$B$21,0)</f>
        <v/>
      </c>
      <c r="W40" s="10">
        <f>ROUND(($B$4+$B$5*1+$B$6*2+$B$7*1)*$B$10*$B$14*$B$16*$B$19*$B$22,0)</f>
        <v/>
      </c>
      <c r="X40" s="10">
        <f>ROUND(($B$4+$B$5*1+$B$6*0+$B$7*0)*$B$10*$B$14*$B$16*$B$20*$B$21,0)</f>
        <v/>
      </c>
      <c r="Y40" s="10">
        <f>ROUND(($B$4+$B$5*1+$B$6*0+$B$7*0)*$B$10*$B$14*$B$16*$B$20*$B$22,0)</f>
        <v/>
      </c>
      <c r="Z40" s="10">
        <f>ROUND(($B$4+$B$5*0+$B$6*1+$B$7*0)*$B$10*$B$14*$B$16*$B$20*$B$21,0)</f>
        <v/>
      </c>
      <c r="AA40" s="10">
        <f>ROUND(($B$4+$B$5*0+$B$6*1+$B$7*0)*$B$10*$B$14*$B$16*$B$20*$B$22,0)</f>
        <v/>
      </c>
      <c r="AB40" s="10">
        <f>ROUND(($B$4+$B$5*0+$B$6*2+$B$7*0)*$B$10*$B$14*$B$16*$B$20*$B$21,0)</f>
        <v/>
      </c>
      <c r="AC40" s="10">
        <f>ROUND(($B$4+$B$5*0+$B$6*2+$B$7*0)*$B$10*$B$14*$B$16*$B$20*$B$22,0)</f>
        <v/>
      </c>
      <c r="AD40" s="10">
        <f>ROUND(($B$4+$B$5*0+$B$6*3+$B$7*0)*$B$10*$B$14*$B$16*$B$20*$B$21,0)</f>
        <v/>
      </c>
      <c r="AE40" s="10">
        <f>ROUND(($B$4+$B$5*0+$B$6*3+$B$7*0)*$B$10*$B$14*$B$16*$B$20*$B$22,0)</f>
        <v/>
      </c>
      <c r="AF40" s="10">
        <f>ROUND(($B$4+$B$5*0+$B$6*0+$B$7*1)*$B$10*$B$14*$B$16*$B$20*$B$21,0)</f>
        <v/>
      </c>
      <c r="AG40" s="10">
        <f>ROUND(($B$4+$B$5*0+$B$6*0+$B$7*1)*$B$10*$B$14*$B$16*$B$20*$B$22,0)</f>
        <v/>
      </c>
      <c r="AH40" s="10">
        <f>ROUND(($B$4+$B$5*1+$B$6*1+$B$7*0)*$B$10*$B$14*$B$16*$B$20*$B$21,0)</f>
        <v/>
      </c>
      <c r="AI40" s="10">
        <f>ROUND(($B$4+$B$5*1+$B$6*1+$B$7*0)*$B$10*$B$14*$B$16*$B$20*$B$22,0)</f>
        <v/>
      </c>
      <c r="AJ40" s="10">
        <f>ROUND(($B$4+$B$5*1+$B$6*2+$B$7*0)*$B$10*$B$14*$B$16*$B$20*$B$21,0)</f>
        <v/>
      </c>
      <c r="AK40" s="10">
        <f>ROUND(($B$4+$B$5*1+$B$6*2+$B$7*0)*$B$10*$B$14*$B$16*$B$20*$B$22,0)</f>
        <v/>
      </c>
      <c r="AL40" s="10">
        <f>ROUND(($B$4+$B$5*1+$B$6*0+$B$7*1)*$B$10*$B$14*$B$16*$B$20*$B$21,0)</f>
        <v/>
      </c>
      <c r="AM40" s="10">
        <f>ROUND(($B$4+$B$5*1+$B$6*0+$B$7*1)*$B$10*$B$14*$B$16*$B$20*$B$22,0)</f>
        <v/>
      </c>
      <c r="AN40" s="10">
        <f>ROUND(($B$4+$B$5*0+$B$6*2+$B$7*1)*$B$10*$B$14*$B$16*$B$20*$B$21,0)</f>
        <v/>
      </c>
      <c r="AO40" s="10">
        <f>ROUND(($B$4+$B$5*0+$B$6*2+$B$7*1)*$B$10*$B$14*$B$16*$B$20*$B$22,0)</f>
        <v/>
      </c>
      <c r="AP40" s="10">
        <f>ROUND(($B$4+$B$5*1+$B$6*2+$B$7*1)*$B$10*$B$14*$B$16*$B$20*$B$21,0)</f>
        <v/>
      </c>
      <c r="AQ40" s="10">
        <f>ROUND(($B$4+$B$5*1+$B$6*2+$B$7*1)*$B$10*$B$14*$B$16*$B$20*$B$22,0)</f>
        <v/>
      </c>
    </row>
    <row r="41" ht="20.1" customHeight="1" s="62">
      <c r="A41" s="67" t="n"/>
      <c r="B41" s="58" t="n"/>
      <c r="C41" s="57" t="inlineStr">
        <is>
          <t>Activité modérée</t>
        </is>
      </c>
      <c r="D41" s="10">
        <f>ROUND(($B$4+$B$5*1+$B$6*0+$B$7*0)*$B$10*$B$14*$B$17*$B$19*$B$21,0)</f>
        <v/>
      </c>
      <c r="E41" s="10">
        <f>ROUND(($B$4+$B$5*1+$B$6*0+$B$7*0)*$B$10*$B$14*$B$17*$B$19*$B$22,0)</f>
        <v/>
      </c>
      <c r="F41" s="10">
        <f>ROUND(($B$4+$B$5*0+$B$6*1+$B$7*0)*$B$10*$B$14*$B$17*$B$19*$B$21,0)</f>
        <v/>
      </c>
      <c r="G41" s="10">
        <f>ROUND(($B$4+$B$5*0+$B$6*1+$B$7*0)*$B$10*$B$14*$B$17*$B$19*$B$22,0)</f>
        <v/>
      </c>
      <c r="H41" s="10">
        <f>ROUND(($B$4+$B$5*0+$B$6*2+$B$7*0)*$B$10*$B$14*$B$17*$B$19*$B$21,0)</f>
        <v/>
      </c>
      <c r="I41" s="10">
        <f>ROUND(($B$4+$B$5*0+$B$6*2+$B$7*0)*$B$10*$B$14*$B$17*$B$19*$B$22,0)</f>
        <v/>
      </c>
      <c r="J41" s="10">
        <f>ROUND(($B$4+$B$5*0+$B$6*3+$B$7*0)*$B$10*$B$14*$B$17*$B$19*$B$21,0)</f>
        <v/>
      </c>
      <c r="K41" s="10">
        <f>ROUND(($B$4+$B$5*0+$B$6*3+$B$7*0)*$B$10*$B$14*$B$17*$B$19*$B$22,0)</f>
        <v/>
      </c>
      <c r="L41" s="10">
        <f>ROUND(($B$4+$B$5*0+$B$6*0+$B$7*1)*$B$10*$B$14*$B$17*$B$19*$B$21,0)</f>
        <v/>
      </c>
      <c r="M41" s="10">
        <f>ROUND(($B$4+$B$5*0+$B$6*0+$B$7*1)*$B$10*$B$14*$B$17*$B$19*$B$22,0)</f>
        <v/>
      </c>
      <c r="N41" s="10">
        <f>ROUND(($B$4+$B$5*1+$B$6*1+$B$7*0)*$B$10*$B$14*$B$17*$B$19*$B$21,0)</f>
        <v/>
      </c>
      <c r="O41" s="10">
        <f>ROUND(($B$4+$B$5*1+$B$6*1+$B$7*0)*$B$10*$B$14*$B$17*$B$19*$B$22,0)</f>
        <v/>
      </c>
      <c r="P41" s="10">
        <f>ROUND(($B$4+$B$5*1+$B$6*2+$B$7*0)*$B$10*$B$14*$B$17*$B$19*$B$21,0)</f>
        <v/>
      </c>
      <c r="Q41" s="10">
        <f>ROUND(($B$4+$B$5*1+$B$6*2+$B$7*0)*$B$10*$B$14*$B$17*$B$19*$B$22,0)</f>
        <v/>
      </c>
      <c r="R41" s="10">
        <f>ROUND(($B$4+$B$5*1+$B$6*0+$B$7*1)*$B$10*$B$14*$B$17*$B$19*$B$21,0)</f>
        <v/>
      </c>
      <c r="S41" s="10">
        <f>ROUND(($B$4+$B$5*1+$B$6*0+$B$7*1)*$B$10*$B$14*$B$17*$B$19*$B$22,0)</f>
        <v/>
      </c>
      <c r="T41" s="10">
        <f>ROUND(($B$4+$B$5*0+$B$6*2+$B$7*1)*$B$10*$B$14*$B$17*$B$19*$B$21,0)</f>
        <v/>
      </c>
      <c r="U41" s="10">
        <f>ROUND(($B$4+$B$5*0+$B$6*2+$B$7*1)*$B$10*$B$14*$B$17*$B$19*$B$22,0)</f>
        <v/>
      </c>
      <c r="V41" s="10">
        <f>ROUND(($B$4+$B$5*1+$B$6*2+$B$7*1)*$B$10*$B$14*$B$17*$B$19*$B$21,0)</f>
        <v/>
      </c>
      <c r="W41" s="10">
        <f>ROUND(($B$4+$B$5*1+$B$6*2+$B$7*1)*$B$10*$B$14*$B$17*$B$19*$B$22,0)</f>
        <v/>
      </c>
      <c r="X41" s="10">
        <f>ROUND(($B$4+$B$5*1+$B$6*0+$B$7*0)*$B$10*$B$14*$B$17*$B$20*$B$21,0)</f>
        <v/>
      </c>
      <c r="Y41" s="10">
        <f>ROUND(($B$4+$B$5*1+$B$6*0+$B$7*0)*$B$10*$B$14*$B$17*$B$20*$B$22,0)</f>
        <v/>
      </c>
      <c r="Z41" s="10">
        <f>ROUND(($B$4+$B$5*0+$B$6*1+$B$7*0)*$B$10*$B$14*$B$17*$B$20*$B$21,0)</f>
        <v/>
      </c>
      <c r="AA41" s="10">
        <f>ROUND(($B$4+$B$5*0+$B$6*1+$B$7*0)*$B$10*$B$14*$B$17*$B$20*$B$22,0)</f>
        <v/>
      </c>
      <c r="AB41" s="10">
        <f>ROUND(($B$4+$B$5*0+$B$6*2+$B$7*0)*$B$10*$B$14*$B$17*$B$20*$B$21,0)</f>
        <v/>
      </c>
      <c r="AC41" s="10">
        <f>ROUND(($B$4+$B$5*0+$B$6*2+$B$7*0)*$B$10*$B$14*$B$17*$B$20*$B$22,0)</f>
        <v/>
      </c>
      <c r="AD41" s="10">
        <f>ROUND(($B$4+$B$5*0+$B$6*3+$B$7*0)*$B$10*$B$14*$B$17*$B$20*$B$21,0)</f>
        <v/>
      </c>
      <c r="AE41" s="10">
        <f>ROUND(($B$4+$B$5*0+$B$6*3+$B$7*0)*$B$10*$B$14*$B$17*$B$20*$B$22,0)</f>
        <v/>
      </c>
      <c r="AF41" s="10">
        <f>ROUND(($B$4+$B$5*0+$B$6*0+$B$7*1)*$B$10*$B$14*$B$17*$B$20*$B$21,0)</f>
        <v/>
      </c>
      <c r="AG41" s="10">
        <f>ROUND(($B$4+$B$5*0+$B$6*0+$B$7*1)*$B$10*$B$14*$B$17*$B$20*$B$22,0)</f>
        <v/>
      </c>
      <c r="AH41" s="10">
        <f>ROUND(($B$4+$B$5*1+$B$6*1+$B$7*0)*$B$10*$B$14*$B$17*$B$20*$B$21,0)</f>
        <v/>
      </c>
      <c r="AI41" s="10">
        <f>ROUND(($B$4+$B$5*1+$B$6*1+$B$7*0)*$B$10*$B$14*$B$17*$B$20*$B$22,0)</f>
        <v/>
      </c>
      <c r="AJ41" s="10">
        <f>ROUND(($B$4+$B$5*1+$B$6*2+$B$7*0)*$B$10*$B$14*$B$17*$B$20*$B$21,0)</f>
        <v/>
      </c>
      <c r="AK41" s="10">
        <f>ROUND(($B$4+$B$5*1+$B$6*2+$B$7*0)*$B$10*$B$14*$B$17*$B$20*$B$22,0)</f>
        <v/>
      </c>
      <c r="AL41" s="10">
        <f>ROUND(($B$4+$B$5*1+$B$6*0+$B$7*1)*$B$10*$B$14*$B$17*$B$20*$B$21,0)</f>
        <v/>
      </c>
      <c r="AM41" s="10">
        <f>ROUND(($B$4+$B$5*1+$B$6*0+$B$7*1)*$B$10*$B$14*$B$17*$B$20*$B$22,0)</f>
        <v/>
      </c>
      <c r="AN41" s="10">
        <f>ROUND(($B$4+$B$5*0+$B$6*2+$B$7*1)*$B$10*$B$14*$B$17*$B$20*$B$21,0)</f>
        <v/>
      </c>
      <c r="AO41" s="10">
        <f>ROUND(($B$4+$B$5*0+$B$6*2+$B$7*1)*$B$10*$B$14*$B$17*$B$20*$B$22,0)</f>
        <v/>
      </c>
      <c r="AP41" s="10">
        <f>ROUND(($B$4+$B$5*1+$B$6*2+$B$7*1)*$B$10*$B$14*$B$17*$B$20*$B$21,0)</f>
        <v/>
      </c>
      <c r="AQ41" s="10">
        <f>ROUND(($B$4+$B$5*1+$B$6*2+$B$7*1)*$B$10*$B$14*$B$17*$B$20*$B$22,0)</f>
        <v/>
      </c>
    </row>
    <row r="42" ht="20.1" customHeight="1" s="62">
      <c r="A42" s="67" t="n"/>
      <c r="B42" s="59" t="n"/>
      <c r="C42" s="15" t="inlineStr">
        <is>
          <t>Activité complexe / multi-offres</t>
        </is>
      </c>
      <c r="D42" s="10">
        <f>ROUND(($B$4+$B$5*1+$B$6*0+$B$7*0)*$B$10*$B$14*$B$18*$B$19*$B$21,0)</f>
        <v/>
      </c>
      <c r="E42" s="10">
        <f>ROUND(($B$4+$B$5*1+$B$6*0+$B$7*0)*$B$10*$B$14*$B$18*$B$19*$B$22,0)</f>
        <v/>
      </c>
      <c r="F42" s="10">
        <f>ROUND(($B$4+$B$5*0+$B$6*1+$B$7*0)*$B$10*$B$14*$B$18*$B$19*$B$21,0)</f>
        <v/>
      </c>
      <c r="G42" s="10">
        <f>ROUND(($B$4+$B$5*0+$B$6*1+$B$7*0)*$B$10*$B$14*$B$18*$B$19*$B$22,0)</f>
        <v/>
      </c>
      <c r="H42" s="10">
        <f>ROUND(($B$4+$B$5*0+$B$6*2+$B$7*0)*$B$10*$B$14*$B$18*$B$19*$B$21,0)</f>
        <v/>
      </c>
      <c r="I42" s="10">
        <f>ROUND(($B$4+$B$5*0+$B$6*2+$B$7*0)*$B$10*$B$14*$B$18*$B$19*$B$22,0)</f>
        <v/>
      </c>
      <c r="J42" s="10">
        <f>ROUND(($B$4+$B$5*0+$B$6*3+$B$7*0)*$B$10*$B$14*$B$18*$B$19*$B$21,0)</f>
        <v/>
      </c>
      <c r="K42" s="10">
        <f>ROUND(($B$4+$B$5*0+$B$6*3+$B$7*0)*$B$10*$B$14*$B$18*$B$19*$B$22,0)</f>
        <v/>
      </c>
      <c r="L42" s="10">
        <f>ROUND(($B$4+$B$5*0+$B$6*0+$B$7*1)*$B$10*$B$14*$B$18*$B$19*$B$21,0)</f>
        <v/>
      </c>
      <c r="M42" s="10">
        <f>ROUND(($B$4+$B$5*0+$B$6*0+$B$7*1)*$B$10*$B$14*$B$18*$B$19*$B$22,0)</f>
        <v/>
      </c>
      <c r="N42" s="10">
        <f>ROUND(($B$4+$B$5*1+$B$6*1+$B$7*0)*$B$10*$B$14*$B$18*$B$19*$B$21,0)</f>
        <v/>
      </c>
      <c r="O42" s="10">
        <f>ROUND(($B$4+$B$5*1+$B$6*1+$B$7*0)*$B$10*$B$14*$B$18*$B$19*$B$22,0)</f>
        <v/>
      </c>
      <c r="P42" s="10">
        <f>ROUND(($B$4+$B$5*1+$B$6*2+$B$7*0)*$B$10*$B$14*$B$18*$B$19*$B$21,0)</f>
        <v/>
      </c>
      <c r="Q42" s="10">
        <f>ROUND(($B$4+$B$5*1+$B$6*2+$B$7*0)*$B$10*$B$14*$B$18*$B$19*$B$22,0)</f>
        <v/>
      </c>
      <c r="R42" s="10">
        <f>ROUND(($B$4+$B$5*1+$B$6*0+$B$7*1)*$B$10*$B$14*$B$18*$B$19*$B$21,0)</f>
        <v/>
      </c>
      <c r="S42" s="10">
        <f>ROUND(($B$4+$B$5*1+$B$6*0+$B$7*1)*$B$10*$B$14*$B$18*$B$19*$B$22,0)</f>
        <v/>
      </c>
      <c r="T42" s="10">
        <f>ROUND(($B$4+$B$5*0+$B$6*2+$B$7*1)*$B$10*$B$14*$B$18*$B$19*$B$21,0)</f>
        <v/>
      </c>
      <c r="U42" s="10">
        <f>ROUND(($B$4+$B$5*0+$B$6*2+$B$7*1)*$B$10*$B$14*$B$18*$B$19*$B$22,0)</f>
        <v/>
      </c>
      <c r="V42" s="10">
        <f>ROUND(($B$4+$B$5*1+$B$6*2+$B$7*1)*$B$10*$B$14*$B$18*$B$19*$B$21,0)</f>
        <v/>
      </c>
      <c r="W42" s="10">
        <f>ROUND(($B$4+$B$5*1+$B$6*2+$B$7*1)*$B$10*$B$14*$B$18*$B$19*$B$22,0)</f>
        <v/>
      </c>
      <c r="X42" s="10">
        <f>ROUND(($B$4+$B$5*1+$B$6*0+$B$7*0)*$B$10*$B$14*$B$18*$B$20*$B$21,0)</f>
        <v/>
      </c>
      <c r="Y42" s="10">
        <f>ROUND(($B$4+$B$5*1+$B$6*0+$B$7*0)*$B$10*$B$14*$B$18*$B$20*$B$22,0)</f>
        <v/>
      </c>
      <c r="Z42" s="10">
        <f>ROUND(($B$4+$B$5*0+$B$6*1+$B$7*0)*$B$10*$B$14*$B$18*$B$20*$B$21,0)</f>
        <v/>
      </c>
      <c r="AA42" s="10">
        <f>ROUND(($B$4+$B$5*0+$B$6*1+$B$7*0)*$B$10*$B$14*$B$18*$B$20*$B$22,0)</f>
        <v/>
      </c>
      <c r="AB42" s="10">
        <f>ROUND(($B$4+$B$5*0+$B$6*2+$B$7*0)*$B$10*$B$14*$B$18*$B$20*$B$21,0)</f>
        <v/>
      </c>
      <c r="AC42" s="10">
        <f>ROUND(($B$4+$B$5*0+$B$6*2+$B$7*0)*$B$10*$B$14*$B$18*$B$20*$B$22,0)</f>
        <v/>
      </c>
      <c r="AD42" s="10">
        <f>ROUND(($B$4+$B$5*0+$B$6*3+$B$7*0)*$B$10*$B$14*$B$18*$B$20*$B$21,0)</f>
        <v/>
      </c>
      <c r="AE42" s="10">
        <f>ROUND(($B$4+$B$5*0+$B$6*3+$B$7*0)*$B$10*$B$14*$B$18*$B$20*$B$22,0)</f>
        <v/>
      </c>
      <c r="AF42" s="10">
        <f>ROUND(($B$4+$B$5*0+$B$6*0+$B$7*1)*$B$10*$B$14*$B$18*$B$20*$B$21,0)</f>
        <v/>
      </c>
      <c r="AG42" s="10">
        <f>ROUND(($B$4+$B$5*0+$B$6*0+$B$7*1)*$B$10*$B$14*$B$18*$B$20*$B$22,0)</f>
        <v/>
      </c>
      <c r="AH42" s="10">
        <f>ROUND(($B$4+$B$5*1+$B$6*1+$B$7*0)*$B$10*$B$14*$B$18*$B$20*$B$21,0)</f>
        <v/>
      </c>
      <c r="AI42" s="10">
        <f>ROUND(($B$4+$B$5*1+$B$6*1+$B$7*0)*$B$10*$B$14*$B$18*$B$20*$B$22,0)</f>
        <v/>
      </c>
      <c r="AJ42" s="10">
        <f>ROUND(($B$4+$B$5*1+$B$6*2+$B$7*0)*$B$10*$B$14*$B$18*$B$20*$B$21,0)</f>
        <v/>
      </c>
      <c r="AK42" s="10">
        <f>ROUND(($B$4+$B$5*1+$B$6*2+$B$7*0)*$B$10*$B$14*$B$18*$B$20*$B$22,0)</f>
        <v/>
      </c>
      <c r="AL42" s="10">
        <f>ROUND(($B$4+$B$5*1+$B$6*0+$B$7*1)*$B$10*$B$14*$B$18*$B$20*$B$21,0)</f>
        <v/>
      </c>
      <c r="AM42" s="10">
        <f>ROUND(($B$4+$B$5*1+$B$6*0+$B$7*1)*$B$10*$B$14*$B$18*$B$20*$B$22,0)</f>
        <v/>
      </c>
      <c r="AN42" s="10">
        <f>ROUND(($B$4+$B$5*0+$B$6*2+$B$7*1)*$B$10*$B$14*$B$18*$B$20*$B$21,0)</f>
        <v/>
      </c>
      <c r="AO42" s="10">
        <f>ROUND(($B$4+$B$5*0+$B$6*2+$B$7*1)*$B$10*$B$14*$B$18*$B$20*$B$22,0)</f>
        <v/>
      </c>
      <c r="AP42" s="10">
        <f>ROUND(($B$4+$B$5*1+$B$6*2+$B$7*1)*$B$10*$B$14*$B$18*$B$20*$B$21,0)</f>
        <v/>
      </c>
      <c r="AQ42" s="10">
        <f>ROUND(($B$4+$B$5*1+$B$6*2+$B$7*1)*$B$10*$B$14*$B$18*$B$20*$B$22,0)</f>
        <v/>
      </c>
    </row>
    <row r="43" ht="20.1" customHeight="1" s="62">
      <c r="A43" s="67" t="n"/>
      <c r="B43" s="57" t="inlineStr">
        <is>
          <t>Avancée (présence établie)</t>
        </is>
      </c>
      <c r="C43" s="14" t="inlineStr">
        <is>
          <t>Activité simple</t>
        </is>
      </c>
      <c r="D43" s="10">
        <f>ROUND(($B$4+$B$5*1+$B$6*0+$B$7*0)*$B$10*$B$15*$B$16*$B$19*$B$21,0)</f>
        <v/>
      </c>
      <c r="E43" s="10">
        <f>ROUND(($B$4+$B$5*1+$B$6*0+$B$7*0)*$B$10*$B$15*$B$16*$B$19*$B$22,0)</f>
        <v/>
      </c>
      <c r="F43" s="10">
        <f>ROUND(($B$4+$B$5*0+$B$6*1+$B$7*0)*$B$10*$B$15*$B$16*$B$19*$B$21,0)</f>
        <v/>
      </c>
      <c r="G43" s="10">
        <f>ROUND(($B$4+$B$5*0+$B$6*1+$B$7*0)*$B$10*$B$15*$B$16*$B$19*$B$22,0)</f>
        <v/>
      </c>
      <c r="H43" s="10">
        <f>ROUND(($B$4+$B$5*0+$B$6*2+$B$7*0)*$B$10*$B$15*$B$16*$B$19*$B$21,0)</f>
        <v/>
      </c>
      <c r="I43" s="10">
        <f>ROUND(($B$4+$B$5*0+$B$6*2+$B$7*0)*$B$10*$B$15*$B$16*$B$19*$B$22,0)</f>
        <v/>
      </c>
      <c r="J43" s="10">
        <f>ROUND(($B$4+$B$5*0+$B$6*3+$B$7*0)*$B$10*$B$15*$B$16*$B$19*$B$21,0)</f>
        <v/>
      </c>
      <c r="K43" s="10">
        <f>ROUND(($B$4+$B$5*0+$B$6*3+$B$7*0)*$B$10*$B$15*$B$16*$B$19*$B$22,0)</f>
        <v/>
      </c>
      <c r="L43" s="10">
        <f>ROUND(($B$4+$B$5*0+$B$6*0+$B$7*1)*$B$10*$B$15*$B$16*$B$19*$B$21,0)</f>
        <v/>
      </c>
      <c r="M43" s="10">
        <f>ROUND(($B$4+$B$5*0+$B$6*0+$B$7*1)*$B$10*$B$15*$B$16*$B$19*$B$22,0)</f>
        <v/>
      </c>
      <c r="N43" s="10">
        <f>ROUND(($B$4+$B$5*1+$B$6*1+$B$7*0)*$B$10*$B$15*$B$16*$B$19*$B$21,0)</f>
        <v/>
      </c>
      <c r="O43" s="10">
        <f>ROUND(($B$4+$B$5*1+$B$6*1+$B$7*0)*$B$10*$B$15*$B$16*$B$19*$B$22,0)</f>
        <v/>
      </c>
      <c r="P43" s="10">
        <f>ROUND(($B$4+$B$5*1+$B$6*2+$B$7*0)*$B$10*$B$15*$B$16*$B$19*$B$21,0)</f>
        <v/>
      </c>
      <c r="Q43" s="10">
        <f>ROUND(($B$4+$B$5*1+$B$6*2+$B$7*0)*$B$10*$B$15*$B$16*$B$19*$B$22,0)</f>
        <v/>
      </c>
      <c r="R43" s="10">
        <f>ROUND(($B$4+$B$5*1+$B$6*0+$B$7*1)*$B$10*$B$15*$B$16*$B$19*$B$21,0)</f>
        <v/>
      </c>
      <c r="S43" s="10">
        <f>ROUND(($B$4+$B$5*1+$B$6*0+$B$7*1)*$B$10*$B$15*$B$16*$B$19*$B$22,0)</f>
        <v/>
      </c>
      <c r="T43" s="10">
        <f>ROUND(($B$4+$B$5*0+$B$6*2+$B$7*1)*$B$10*$B$15*$B$16*$B$19*$B$21,0)</f>
        <v/>
      </c>
      <c r="U43" s="10">
        <f>ROUND(($B$4+$B$5*0+$B$6*2+$B$7*1)*$B$10*$B$15*$B$16*$B$19*$B$22,0)</f>
        <v/>
      </c>
      <c r="V43" s="10">
        <f>ROUND(($B$4+$B$5*1+$B$6*2+$B$7*1)*$B$10*$B$15*$B$16*$B$19*$B$21,0)</f>
        <v/>
      </c>
      <c r="W43" s="10">
        <f>ROUND(($B$4+$B$5*1+$B$6*2+$B$7*1)*$B$10*$B$15*$B$16*$B$19*$B$22,0)</f>
        <v/>
      </c>
      <c r="X43" s="10">
        <f>ROUND(($B$4+$B$5*1+$B$6*0+$B$7*0)*$B$10*$B$15*$B$16*$B$20*$B$21,0)</f>
        <v/>
      </c>
      <c r="Y43" s="10">
        <f>ROUND(($B$4+$B$5*1+$B$6*0+$B$7*0)*$B$10*$B$15*$B$16*$B$20*$B$22,0)</f>
        <v/>
      </c>
      <c r="Z43" s="10">
        <f>ROUND(($B$4+$B$5*0+$B$6*1+$B$7*0)*$B$10*$B$15*$B$16*$B$20*$B$21,0)</f>
        <v/>
      </c>
      <c r="AA43" s="10">
        <f>ROUND(($B$4+$B$5*0+$B$6*1+$B$7*0)*$B$10*$B$15*$B$16*$B$20*$B$22,0)</f>
        <v/>
      </c>
      <c r="AB43" s="10">
        <f>ROUND(($B$4+$B$5*0+$B$6*2+$B$7*0)*$B$10*$B$15*$B$16*$B$20*$B$21,0)</f>
        <v/>
      </c>
      <c r="AC43" s="10">
        <f>ROUND(($B$4+$B$5*0+$B$6*2+$B$7*0)*$B$10*$B$15*$B$16*$B$20*$B$22,0)</f>
        <v/>
      </c>
      <c r="AD43" s="10">
        <f>ROUND(($B$4+$B$5*0+$B$6*3+$B$7*0)*$B$10*$B$15*$B$16*$B$20*$B$21,0)</f>
        <v/>
      </c>
      <c r="AE43" s="10">
        <f>ROUND(($B$4+$B$5*0+$B$6*3+$B$7*0)*$B$10*$B$15*$B$16*$B$20*$B$22,0)</f>
        <v/>
      </c>
      <c r="AF43" s="10">
        <f>ROUND(($B$4+$B$5*0+$B$6*0+$B$7*1)*$B$10*$B$15*$B$16*$B$20*$B$21,0)</f>
        <v/>
      </c>
      <c r="AG43" s="10">
        <f>ROUND(($B$4+$B$5*0+$B$6*0+$B$7*1)*$B$10*$B$15*$B$16*$B$20*$B$22,0)</f>
        <v/>
      </c>
      <c r="AH43" s="10">
        <f>ROUND(($B$4+$B$5*1+$B$6*1+$B$7*0)*$B$10*$B$15*$B$16*$B$20*$B$21,0)</f>
        <v/>
      </c>
      <c r="AI43" s="10">
        <f>ROUND(($B$4+$B$5*1+$B$6*1+$B$7*0)*$B$10*$B$15*$B$16*$B$20*$B$22,0)</f>
        <v/>
      </c>
      <c r="AJ43" s="10">
        <f>ROUND(($B$4+$B$5*1+$B$6*2+$B$7*0)*$B$10*$B$15*$B$16*$B$20*$B$21,0)</f>
        <v/>
      </c>
      <c r="AK43" s="10">
        <f>ROUND(($B$4+$B$5*1+$B$6*2+$B$7*0)*$B$10*$B$15*$B$16*$B$20*$B$22,0)</f>
        <v/>
      </c>
      <c r="AL43" s="10">
        <f>ROUND(($B$4+$B$5*1+$B$6*0+$B$7*1)*$B$10*$B$15*$B$16*$B$20*$B$21,0)</f>
        <v/>
      </c>
      <c r="AM43" s="10">
        <f>ROUND(($B$4+$B$5*1+$B$6*0+$B$7*1)*$B$10*$B$15*$B$16*$B$20*$B$22,0)</f>
        <v/>
      </c>
      <c r="AN43" s="10">
        <f>ROUND(($B$4+$B$5*0+$B$6*2+$B$7*1)*$B$10*$B$15*$B$16*$B$20*$B$21,0)</f>
        <v/>
      </c>
      <c r="AO43" s="10">
        <f>ROUND(($B$4+$B$5*0+$B$6*2+$B$7*1)*$B$10*$B$15*$B$16*$B$20*$B$22,0)</f>
        <v/>
      </c>
      <c r="AP43" s="10">
        <f>ROUND(($B$4+$B$5*1+$B$6*2+$B$7*1)*$B$10*$B$15*$B$16*$B$20*$B$21,0)</f>
        <v/>
      </c>
      <c r="AQ43" s="10">
        <f>ROUND(($B$4+$B$5*1+$B$6*2+$B$7*1)*$B$10*$B$15*$B$16*$B$20*$B$22,0)</f>
        <v/>
      </c>
    </row>
    <row r="44" ht="20.1" customHeight="1" s="62">
      <c r="A44" s="67" t="n"/>
      <c r="B44" s="58" t="n"/>
      <c r="C44" s="57" t="inlineStr">
        <is>
          <t>Activité modérée</t>
        </is>
      </c>
      <c r="D44" s="10">
        <f>ROUND(($B$4+$B$5*1+$B$6*0+$B$7*0)*$B$10*$B$15*$B$17*$B$19*$B$21,0)</f>
        <v/>
      </c>
      <c r="E44" s="10">
        <f>ROUND(($B$4+$B$5*1+$B$6*0+$B$7*0)*$B$10*$B$15*$B$17*$B$19*$B$22,0)</f>
        <v/>
      </c>
      <c r="F44" s="10">
        <f>ROUND(($B$4+$B$5*0+$B$6*1+$B$7*0)*$B$10*$B$15*$B$17*$B$19*$B$21,0)</f>
        <v/>
      </c>
      <c r="G44" s="10">
        <f>ROUND(($B$4+$B$5*0+$B$6*1+$B$7*0)*$B$10*$B$15*$B$17*$B$19*$B$22,0)</f>
        <v/>
      </c>
      <c r="H44" s="10">
        <f>ROUND(($B$4+$B$5*0+$B$6*2+$B$7*0)*$B$10*$B$15*$B$17*$B$19*$B$21,0)</f>
        <v/>
      </c>
      <c r="I44" s="10">
        <f>ROUND(($B$4+$B$5*0+$B$6*2+$B$7*0)*$B$10*$B$15*$B$17*$B$19*$B$22,0)</f>
        <v/>
      </c>
      <c r="J44" s="10">
        <f>ROUND(($B$4+$B$5*0+$B$6*3+$B$7*0)*$B$10*$B$15*$B$17*$B$19*$B$21,0)</f>
        <v/>
      </c>
      <c r="K44" s="10">
        <f>ROUND(($B$4+$B$5*0+$B$6*3+$B$7*0)*$B$10*$B$15*$B$17*$B$19*$B$22,0)</f>
        <v/>
      </c>
      <c r="L44" s="10">
        <f>ROUND(($B$4+$B$5*0+$B$6*0+$B$7*1)*$B$10*$B$15*$B$17*$B$19*$B$21,0)</f>
        <v/>
      </c>
      <c r="M44" s="10">
        <f>ROUND(($B$4+$B$5*0+$B$6*0+$B$7*1)*$B$10*$B$15*$B$17*$B$19*$B$22,0)</f>
        <v/>
      </c>
      <c r="N44" s="10">
        <f>ROUND(($B$4+$B$5*1+$B$6*1+$B$7*0)*$B$10*$B$15*$B$17*$B$19*$B$21,0)</f>
        <v/>
      </c>
      <c r="O44" s="10">
        <f>ROUND(($B$4+$B$5*1+$B$6*1+$B$7*0)*$B$10*$B$15*$B$17*$B$19*$B$22,0)</f>
        <v/>
      </c>
      <c r="P44" s="10">
        <f>ROUND(($B$4+$B$5*1+$B$6*2+$B$7*0)*$B$10*$B$15*$B$17*$B$19*$B$21,0)</f>
        <v/>
      </c>
      <c r="Q44" s="10">
        <f>ROUND(($B$4+$B$5*1+$B$6*2+$B$7*0)*$B$10*$B$15*$B$17*$B$19*$B$22,0)</f>
        <v/>
      </c>
      <c r="R44" s="10">
        <f>ROUND(($B$4+$B$5*1+$B$6*0+$B$7*1)*$B$10*$B$15*$B$17*$B$19*$B$21,0)</f>
        <v/>
      </c>
      <c r="S44" s="10">
        <f>ROUND(($B$4+$B$5*1+$B$6*0+$B$7*1)*$B$10*$B$15*$B$17*$B$19*$B$22,0)</f>
        <v/>
      </c>
      <c r="T44" s="10">
        <f>ROUND(($B$4+$B$5*0+$B$6*2+$B$7*1)*$B$10*$B$15*$B$17*$B$19*$B$21,0)</f>
        <v/>
      </c>
      <c r="U44" s="10">
        <f>ROUND(($B$4+$B$5*0+$B$6*2+$B$7*1)*$B$10*$B$15*$B$17*$B$19*$B$22,0)</f>
        <v/>
      </c>
      <c r="V44" s="10">
        <f>ROUND(($B$4+$B$5*1+$B$6*2+$B$7*1)*$B$10*$B$15*$B$17*$B$19*$B$21,0)</f>
        <v/>
      </c>
      <c r="W44" s="10">
        <f>ROUND(($B$4+$B$5*1+$B$6*2+$B$7*1)*$B$10*$B$15*$B$17*$B$19*$B$22,0)</f>
        <v/>
      </c>
      <c r="X44" s="10">
        <f>ROUND(($B$4+$B$5*1+$B$6*0+$B$7*0)*$B$10*$B$15*$B$17*$B$20*$B$21,0)</f>
        <v/>
      </c>
      <c r="Y44" s="10">
        <f>ROUND(($B$4+$B$5*1+$B$6*0+$B$7*0)*$B$10*$B$15*$B$17*$B$20*$B$22,0)</f>
        <v/>
      </c>
      <c r="Z44" s="10">
        <f>ROUND(($B$4+$B$5*0+$B$6*1+$B$7*0)*$B$10*$B$15*$B$17*$B$20*$B$21,0)</f>
        <v/>
      </c>
      <c r="AA44" s="10">
        <f>ROUND(($B$4+$B$5*0+$B$6*1+$B$7*0)*$B$10*$B$15*$B$17*$B$20*$B$22,0)</f>
        <v/>
      </c>
      <c r="AB44" s="10">
        <f>ROUND(($B$4+$B$5*0+$B$6*2+$B$7*0)*$B$10*$B$15*$B$17*$B$20*$B$21,0)</f>
        <v/>
      </c>
      <c r="AC44" s="10">
        <f>ROUND(($B$4+$B$5*0+$B$6*2+$B$7*0)*$B$10*$B$15*$B$17*$B$20*$B$22,0)</f>
        <v/>
      </c>
      <c r="AD44" s="10">
        <f>ROUND(($B$4+$B$5*0+$B$6*3+$B$7*0)*$B$10*$B$15*$B$17*$B$20*$B$21,0)</f>
        <v/>
      </c>
      <c r="AE44" s="10">
        <f>ROUND(($B$4+$B$5*0+$B$6*3+$B$7*0)*$B$10*$B$15*$B$17*$B$20*$B$22,0)</f>
        <v/>
      </c>
      <c r="AF44" s="10">
        <f>ROUND(($B$4+$B$5*0+$B$6*0+$B$7*1)*$B$10*$B$15*$B$17*$B$20*$B$21,0)</f>
        <v/>
      </c>
      <c r="AG44" s="10">
        <f>ROUND(($B$4+$B$5*0+$B$6*0+$B$7*1)*$B$10*$B$15*$B$17*$B$20*$B$22,0)</f>
        <v/>
      </c>
      <c r="AH44" s="10">
        <f>ROUND(($B$4+$B$5*1+$B$6*1+$B$7*0)*$B$10*$B$15*$B$17*$B$20*$B$21,0)</f>
        <v/>
      </c>
      <c r="AI44" s="10">
        <f>ROUND(($B$4+$B$5*1+$B$6*1+$B$7*0)*$B$10*$B$15*$B$17*$B$20*$B$22,0)</f>
        <v/>
      </c>
      <c r="AJ44" s="10">
        <f>ROUND(($B$4+$B$5*1+$B$6*2+$B$7*0)*$B$10*$B$15*$B$17*$B$20*$B$21,0)</f>
        <v/>
      </c>
      <c r="AK44" s="10">
        <f>ROUND(($B$4+$B$5*1+$B$6*2+$B$7*0)*$B$10*$B$15*$B$17*$B$20*$B$22,0)</f>
        <v/>
      </c>
      <c r="AL44" s="10">
        <f>ROUND(($B$4+$B$5*1+$B$6*0+$B$7*1)*$B$10*$B$15*$B$17*$B$20*$B$21,0)</f>
        <v/>
      </c>
      <c r="AM44" s="10">
        <f>ROUND(($B$4+$B$5*1+$B$6*0+$B$7*1)*$B$10*$B$15*$B$17*$B$20*$B$22,0)</f>
        <v/>
      </c>
      <c r="AN44" s="10">
        <f>ROUND(($B$4+$B$5*0+$B$6*2+$B$7*1)*$B$10*$B$15*$B$17*$B$20*$B$21,0)</f>
        <v/>
      </c>
      <c r="AO44" s="10">
        <f>ROUND(($B$4+$B$5*0+$B$6*2+$B$7*1)*$B$10*$B$15*$B$17*$B$20*$B$22,0)</f>
        <v/>
      </c>
      <c r="AP44" s="10">
        <f>ROUND(($B$4+$B$5*1+$B$6*2+$B$7*1)*$B$10*$B$15*$B$17*$B$20*$B$21,0)</f>
        <v/>
      </c>
      <c r="AQ44" s="10">
        <f>ROUND(($B$4+$B$5*1+$B$6*2+$B$7*1)*$B$10*$B$15*$B$17*$B$20*$B$22,0)</f>
        <v/>
      </c>
    </row>
    <row r="45" ht="20.1" customHeight="1" s="62">
      <c r="A45" s="68" t="n"/>
      <c r="B45" s="59" t="n"/>
      <c r="C45" s="15" t="inlineStr">
        <is>
          <t>Activité complexe / multi-offres</t>
        </is>
      </c>
      <c r="D45" s="10">
        <f>ROUND(($B$4+$B$5*1+$B$6*0+$B$7*0)*$B$10*$B$15*$B$18*$B$19*$B$21,0)</f>
        <v/>
      </c>
      <c r="E45" s="10">
        <f>ROUND(($B$4+$B$5*1+$B$6*0+$B$7*0)*$B$10*$B$15*$B$18*$B$19*$B$22,0)</f>
        <v/>
      </c>
      <c r="F45" s="10">
        <f>ROUND(($B$4+$B$5*0+$B$6*1+$B$7*0)*$B$10*$B$15*$B$18*$B$19*$B$21,0)</f>
        <v/>
      </c>
      <c r="G45" s="10">
        <f>ROUND(($B$4+$B$5*0+$B$6*1+$B$7*0)*$B$10*$B$15*$B$18*$B$19*$B$22,0)</f>
        <v/>
      </c>
      <c r="H45" s="10">
        <f>ROUND(($B$4+$B$5*0+$B$6*2+$B$7*0)*$B$10*$B$15*$B$18*$B$19*$B$21,0)</f>
        <v/>
      </c>
      <c r="I45" s="10">
        <f>ROUND(($B$4+$B$5*0+$B$6*2+$B$7*0)*$B$10*$B$15*$B$18*$B$19*$B$22,0)</f>
        <v/>
      </c>
      <c r="J45" s="10">
        <f>ROUND(($B$4+$B$5*0+$B$6*3+$B$7*0)*$B$10*$B$15*$B$18*$B$19*$B$21,0)</f>
        <v/>
      </c>
      <c r="K45" s="10">
        <f>ROUND(($B$4+$B$5*0+$B$6*3+$B$7*0)*$B$10*$B$15*$B$18*$B$19*$B$22,0)</f>
        <v/>
      </c>
      <c r="L45" s="10">
        <f>ROUND(($B$4+$B$5*0+$B$6*0+$B$7*1)*$B$10*$B$15*$B$18*$B$19*$B$21,0)</f>
        <v/>
      </c>
      <c r="M45" s="10">
        <f>ROUND(($B$4+$B$5*0+$B$6*0+$B$7*1)*$B$10*$B$15*$B$18*$B$19*$B$22,0)</f>
        <v/>
      </c>
      <c r="N45" s="10">
        <f>ROUND(($B$4+$B$5*1+$B$6*1+$B$7*0)*$B$10*$B$15*$B$18*$B$19*$B$21,0)</f>
        <v/>
      </c>
      <c r="O45" s="10">
        <f>ROUND(($B$4+$B$5*1+$B$6*1+$B$7*0)*$B$10*$B$15*$B$18*$B$19*$B$22,0)</f>
        <v/>
      </c>
      <c r="P45" s="10">
        <f>ROUND(($B$4+$B$5*1+$B$6*2+$B$7*0)*$B$10*$B$15*$B$18*$B$19*$B$21,0)</f>
        <v/>
      </c>
      <c r="Q45" s="10">
        <f>ROUND(($B$4+$B$5*1+$B$6*2+$B$7*0)*$B$10*$B$15*$B$18*$B$19*$B$22,0)</f>
        <v/>
      </c>
      <c r="R45" s="10">
        <f>ROUND(($B$4+$B$5*1+$B$6*0+$B$7*1)*$B$10*$B$15*$B$18*$B$19*$B$21,0)</f>
        <v/>
      </c>
      <c r="S45" s="10">
        <f>ROUND(($B$4+$B$5*1+$B$6*0+$B$7*1)*$B$10*$B$15*$B$18*$B$19*$B$22,0)</f>
        <v/>
      </c>
      <c r="T45" s="10">
        <f>ROUND(($B$4+$B$5*0+$B$6*2+$B$7*1)*$B$10*$B$15*$B$18*$B$19*$B$21,0)</f>
        <v/>
      </c>
      <c r="U45" s="10">
        <f>ROUND(($B$4+$B$5*0+$B$6*2+$B$7*1)*$B$10*$B$15*$B$18*$B$19*$B$22,0)</f>
        <v/>
      </c>
      <c r="V45" s="10">
        <f>ROUND(($B$4+$B$5*1+$B$6*2+$B$7*1)*$B$10*$B$15*$B$18*$B$19*$B$21,0)</f>
        <v/>
      </c>
      <c r="W45" s="10">
        <f>ROUND(($B$4+$B$5*1+$B$6*2+$B$7*1)*$B$10*$B$15*$B$18*$B$19*$B$22,0)</f>
        <v/>
      </c>
      <c r="X45" s="10">
        <f>ROUND(($B$4+$B$5*1+$B$6*0+$B$7*0)*$B$10*$B$15*$B$18*$B$20*$B$21,0)</f>
        <v/>
      </c>
      <c r="Y45" s="10">
        <f>ROUND(($B$4+$B$5*1+$B$6*0+$B$7*0)*$B$10*$B$15*$B$18*$B$20*$B$22,0)</f>
        <v/>
      </c>
      <c r="Z45" s="10">
        <f>ROUND(($B$4+$B$5*0+$B$6*1+$B$7*0)*$B$10*$B$15*$B$18*$B$20*$B$21,0)</f>
        <v/>
      </c>
      <c r="AA45" s="10">
        <f>ROUND(($B$4+$B$5*0+$B$6*1+$B$7*0)*$B$10*$B$15*$B$18*$B$20*$B$22,0)</f>
        <v/>
      </c>
      <c r="AB45" s="10">
        <f>ROUND(($B$4+$B$5*0+$B$6*2+$B$7*0)*$B$10*$B$15*$B$18*$B$20*$B$21,0)</f>
        <v/>
      </c>
      <c r="AC45" s="10">
        <f>ROUND(($B$4+$B$5*0+$B$6*2+$B$7*0)*$B$10*$B$15*$B$18*$B$20*$B$22,0)</f>
        <v/>
      </c>
      <c r="AD45" s="10">
        <f>ROUND(($B$4+$B$5*0+$B$6*3+$B$7*0)*$B$10*$B$15*$B$18*$B$20*$B$21,0)</f>
        <v/>
      </c>
      <c r="AE45" s="10">
        <f>ROUND(($B$4+$B$5*0+$B$6*3+$B$7*0)*$B$10*$B$15*$B$18*$B$20*$B$22,0)</f>
        <v/>
      </c>
      <c r="AF45" s="10">
        <f>ROUND(($B$4+$B$5*0+$B$6*0+$B$7*1)*$B$10*$B$15*$B$18*$B$20*$B$21,0)</f>
        <v/>
      </c>
      <c r="AG45" s="10">
        <f>ROUND(($B$4+$B$5*0+$B$6*0+$B$7*1)*$B$10*$B$15*$B$18*$B$20*$B$22,0)</f>
        <v/>
      </c>
      <c r="AH45" s="10">
        <f>ROUND(($B$4+$B$5*1+$B$6*1+$B$7*0)*$B$10*$B$15*$B$18*$B$20*$B$21,0)</f>
        <v/>
      </c>
      <c r="AI45" s="10">
        <f>ROUND(($B$4+$B$5*1+$B$6*1+$B$7*0)*$B$10*$B$15*$B$18*$B$20*$B$22,0)</f>
        <v/>
      </c>
      <c r="AJ45" s="10">
        <f>ROUND(($B$4+$B$5*1+$B$6*2+$B$7*0)*$B$10*$B$15*$B$18*$B$20*$B$21,0)</f>
        <v/>
      </c>
      <c r="AK45" s="10">
        <f>ROUND(($B$4+$B$5*1+$B$6*2+$B$7*0)*$B$10*$B$15*$B$18*$B$20*$B$22,0)</f>
        <v/>
      </c>
      <c r="AL45" s="10">
        <f>ROUND(($B$4+$B$5*1+$B$6*0+$B$7*1)*$B$10*$B$15*$B$18*$B$20*$B$21,0)</f>
        <v/>
      </c>
      <c r="AM45" s="10">
        <f>ROUND(($B$4+$B$5*1+$B$6*0+$B$7*1)*$B$10*$B$15*$B$18*$B$20*$B$22,0)</f>
        <v/>
      </c>
      <c r="AN45" s="10">
        <f>ROUND(($B$4+$B$5*0+$B$6*2+$B$7*1)*$B$10*$B$15*$B$18*$B$20*$B$21,0)</f>
        <v/>
      </c>
      <c r="AO45" s="10">
        <f>ROUND(($B$4+$B$5*0+$B$6*2+$B$7*1)*$B$10*$B$15*$B$18*$B$20*$B$22,0)</f>
        <v/>
      </c>
      <c r="AP45" s="10">
        <f>ROUND(($B$4+$B$5*1+$B$6*2+$B$7*1)*$B$10*$B$15*$B$18*$B$20*$B$21,0)</f>
        <v/>
      </c>
      <c r="AQ45" s="10">
        <f>ROUND(($B$4+$B$5*1+$B$6*2+$B$7*1)*$B$10*$B$15*$B$18*$B$20*$B$22,0)</f>
        <v/>
      </c>
    </row>
    <row r="46" ht="20.1" customHeight="1" s="62">
      <c r="A46" s="66" t="inlineStr">
        <is>
          <t>PME (20-99 sal.)</t>
        </is>
      </c>
      <c r="B46" s="57" t="inlineStr">
        <is>
          <t>Faible (peu/pas de présence digitale)</t>
        </is>
      </c>
      <c r="C46" s="14" t="inlineStr">
        <is>
          <t>Activité simple</t>
        </is>
      </c>
      <c r="D46" s="10">
        <f>ROUND(($B$4+$B$5*1+$B$6*0+$B$7*0)*$B$11*$B$13*$B$16*$B$19*$B$21,0)</f>
        <v/>
      </c>
      <c r="E46" s="10">
        <f>ROUND(($B$4+$B$5*1+$B$6*0+$B$7*0)*$B$11*$B$13*$B$16*$B$19*$B$22,0)</f>
        <v/>
      </c>
      <c r="F46" s="10">
        <f>ROUND(($B$4+$B$5*0+$B$6*1+$B$7*0)*$B$11*$B$13*$B$16*$B$19*$B$21,0)</f>
        <v/>
      </c>
      <c r="G46" s="10">
        <f>ROUND(($B$4+$B$5*0+$B$6*1+$B$7*0)*$B$11*$B$13*$B$16*$B$19*$B$22,0)</f>
        <v/>
      </c>
      <c r="H46" s="10">
        <f>ROUND(($B$4+$B$5*0+$B$6*2+$B$7*0)*$B$11*$B$13*$B$16*$B$19*$B$21,0)</f>
        <v/>
      </c>
      <c r="I46" s="10">
        <f>ROUND(($B$4+$B$5*0+$B$6*2+$B$7*0)*$B$11*$B$13*$B$16*$B$19*$B$22,0)</f>
        <v/>
      </c>
      <c r="J46" s="10">
        <f>ROUND(($B$4+$B$5*0+$B$6*3+$B$7*0)*$B$11*$B$13*$B$16*$B$19*$B$21,0)</f>
        <v/>
      </c>
      <c r="K46" s="10">
        <f>ROUND(($B$4+$B$5*0+$B$6*3+$B$7*0)*$B$11*$B$13*$B$16*$B$19*$B$22,0)</f>
        <v/>
      </c>
      <c r="L46" s="10">
        <f>ROUND(($B$4+$B$5*0+$B$6*0+$B$7*1)*$B$11*$B$13*$B$16*$B$19*$B$21,0)</f>
        <v/>
      </c>
      <c r="M46" s="10">
        <f>ROUND(($B$4+$B$5*0+$B$6*0+$B$7*1)*$B$11*$B$13*$B$16*$B$19*$B$22,0)</f>
        <v/>
      </c>
      <c r="N46" s="10">
        <f>ROUND(($B$4+$B$5*1+$B$6*1+$B$7*0)*$B$11*$B$13*$B$16*$B$19*$B$21,0)</f>
        <v/>
      </c>
      <c r="O46" s="10">
        <f>ROUND(($B$4+$B$5*1+$B$6*1+$B$7*0)*$B$11*$B$13*$B$16*$B$19*$B$22,0)</f>
        <v/>
      </c>
      <c r="P46" s="10">
        <f>ROUND(($B$4+$B$5*1+$B$6*2+$B$7*0)*$B$11*$B$13*$B$16*$B$19*$B$21,0)</f>
        <v/>
      </c>
      <c r="Q46" s="10">
        <f>ROUND(($B$4+$B$5*1+$B$6*2+$B$7*0)*$B$11*$B$13*$B$16*$B$19*$B$22,0)</f>
        <v/>
      </c>
      <c r="R46" s="10">
        <f>ROUND(($B$4+$B$5*1+$B$6*0+$B$7*1)*$B$11*$B$13*$B$16*$B$19*$B$21,0)</f>
        <v/>
      </c>
      <c r="S46" s="10">
        <f>ROUND(($B$4+$B$5*1+$B$6*0+$B$7*1)*$B$11*$B$13*$B$16*$B$19*$B$22,0)</f>
        <v/>
      </c>
      <c r="T46" s="10">
        <f>ROUND(($B$4+$B$5*0+$B$6*2+$B$7*1)*$B$11*$B$13*$B$16*$B$19*$B$21,0)</f>
        <v/>
      </c>
      <c r="U46" s="10">
        <f>ROUND(($B$4+$B$5*0+$B$6*2+$B$7*1)*$B$11*$B$13*$B$16*$B$19*$B$22,0)</f>
        <v/>
      </c>
      <c r="V46" s="10">
        <f>ROUND(($B$4+$B$5*1+$B$6*2+$B$7*1)*$B$11*$B$13*$B$16*$B$19*$B$21,0)</f>
        <v/>
      </c>
      <c r="W46" s="10">
        <f>ROUND(($B$4+$B$5*1+$B$6*2+$B$7*1)*$B$11*$B$13*$B$16*$B$19*$B$22,0)</f>
        <v/>
      </c>
      <c r="X46" s="10">
        <f>ROUND(($B$4+$B$5*1+$B$6*0+$B$7*0)*$B$11*$B$13*$B$16*$B$20*$B$21,0)</f>
        <v/>
      </c>
      <c r="Y46" s="10">
        <f>ROUND(($B$4+$B$5*1+$B$6*0+$B$7*0)*$B$11*$B$13*$B$16*$B$20*$B$22,0)</f>
        <v/>
      </c>
      <c r="Z46" s="10">
        <f>ROUND(($B$4+$B$5*0+$B$6*1+$B$7*0)*$B$11*$B$13*$B$16*$B$20*$B$21,0)</f>
        <v/>
      </c>
      <c r="AA46" s="10">
        <f>ROUND(($B$4+$B$5*0+$B$6*1+$B$7*0)*$B$11*$B$13*$B$16*$B$20*$B$22,0)</f>
        <v/>
      </c>
      <c r="AB46" s="10">
        <f>ROUND(($B$4+$B$5*0+$B$6*2+$B$7*0)*$B$11*$B$13*$B$16*$B$20*$B$21,0)</f>
        <v/>
      </c>
      <c r="AC46" s="10">
        <f>ROUND(($B$4+$B$5*0+$B$6*2+$B$7*0)*$B$11*$B$13*$B$16*$B$20*$B$22,0)</f>
        <v/>
      </c>
      <c r="AD46" s="10">
        <f>ROUND(($B$4+$B$5*0+$B$6*3+$B$7*0)*$B$11*$B$13*$B$16*$B$20*$B$21,0)</f>
        <v/>
      </c>
      <c r="AE46" s="10">
        <f>ROUND(($B$4+$B$5*0+$B$6*3+$B$7*0)*$B$11*$B$13*$B$16*$B$20*$B$22,0)</f>
        <v/>
      </c>
      <c r="AF46" s="10">
        <f>ROUND(($B$4+$B$5*0+$B$6*0+$B$7*1)*$B$11*$B$13*$B$16*$B$20*$B$21,0)</f>
        <v/>
      </c>
      <c r="AG46" s="10">
        <f>ROUND(($B$4+$B$5*0+$B$6*0+$B$7*1)*$B$11*$B$13*$B$16*$B$20*$B$22,0)</f>
        <v/>
      </c>
      <c r="AH46" s="10">
        <f>ROUND(($B$4+$B$5*1+$B$6*1+$B$7*0)*$B$11*$B$13*$B$16*$B$20*$B$21,0)</f>
        <v/>
      </c>
      <c r="AI46" s="10">
        <f>ROUND(($B$4+$B$5*1+$B$6*1+$B$7*0)*$B$11*$B$13*$B$16*$B$20*$B$22,0)</f>
        <v/>
      </c>
      <c r="AJ46" s="10">
        <f>ROUND(($B$4+$B$5*1+$B$6*2+$B$7*0)*$B$11*$B$13*$B$16*$B$20*$B$21,0)</f>
        <v/>
      </c>
      <c r="AK46" s="10">
        <f>ROUND(($B$4+$B$5*1+$B$6*2+$B$7*0)*$B$11*$B$13*$B$16*$B$20*$B$22,0)</f>
        <v/>
      </c>
      <c r="AL46" s="10">
        <f>ROUND(($B$4+$B$5*1+$B$6*0+$B$7*1)*$B$11*$B$13*$B$16*$B$20*$B$21,0)</f>
        <v/>
      </c>
      <c r="AM46" s="10">
        <f>ROUND(($B$4+$B$5*1+$B$6*0+$B$7*1)*$B$11*$B$13*$B$16*$B$20*$B$22,0)</f>
        <v/>
      </c>
      <c r="AN46" s="10">
        <f>ROUND(($B$4+$B$5*0+$B$6*2+$B$7*1)*$B$11*$B$13*$B$16*$B$20*$B$21,0)</f>
        <v/>
      </c>
      <c r="AO46" s="10">
        <f>ROUND(($B$4+$B$5*0+$B$6*2+$B$7*1)*$B$11*$B$13*$B$16*$B$20*$B$22,0)</f>
        <v/>
      </c>
      <c r="AP46" s="10">
        <f>ROUND(($B$4+$B$5*1+$B$6*2+$B$7*1)*$B$11*$B$13*$B$16*$B$20*$B$21,0)</f>
        <v/>
      </c>
      <c r="AQ46" s="10">
        <f>ROUND(($B$4+$B$5*1+$B$6*2+$B$7*1)*$B$11*$B$13*$B$16*$B$20*$B$22,0)</f>
        <v/>
      </c>
    </row>
    <row r="47" ht="20.1" customHeight="1" s="62">
      <c r="A47" s="67" t="n"/>
      <c r="B47" s="58" t="n"/>
      <c r="C47" s="57" t="inlineStr">
        <is>
          <t>Activité modérée</t>
        </is>
      </c>
      <c r="D47" s="10">
        <f>ROUND(($B$4+$B$5*1+$B$6*0+$B$7*0)*$B$11*$B$13*$B$17*$B$19*$B$21,0)</f>
        <v/>
      </c>
      <c r="E47" s="10">
        <f>ROUND(($B$4+$B$5*1+$B$6*0+$B$7*0)*$B$11*$B$13*$B$17*$B$19*$B$22,0)</f>
        <v/>
      </c>
      <c r="F47" s="10">
        <f>ROUND(($B$4+$B$5*0+$B$6*1+$B$7*0)*$B$11*$B$13*$B$17*$B$19*$B$21,0)</f>
        <v/>
      </c>
      <c r="G47" s="10">
        <f>ROUND(($B$4+$B$5*0+$B$6*1+$B$7*0)*$B$11*$B$13*$B$17*$B$19*$B$22,0)</f>
        <v/>
      </c>
      <c r="H47" s="10">
        <f>ROUND(($B$4+$B$5*0+$B$6*2+$B$7*0)*$B$11*$B$13*$B$17*$B$19*$B$21,0)</f>
        <v/>
      </c>
      <c r="I47" s="10">
        <f>ROUND(($B$4+$B$5*0+$B$6*2+$B$7*0)*$B$11*$B$13*$B$17*$B$19*$B$22,0)</f>
        <v/>
      </c>
      <c r="J47" s="10">
        <f>ROUND(($B$4+$B$5*0+$B$6*3+$B$7*0)*$B$11*$B$13*$B$17*$B$19*$B$21,0)</f>
        <v/>
      </c>
      <c r="K47" s="10">
        <f>ROUND(($B$4+$B$5*0+$B$6*3+$B$7*0)*$B$11*$B$13*$B$17*$B$19*$B$22,0)</f>
        <v/>
      </c>
      <c r="L47" s="10">
        <f>ROUND(($B$4+$B$5*0+$B$6*0+$B$7*1)*$B$11*$B$13*$B$17*$B$19*$B$21,0)</f>
        <v/>
      </c>
      <c r="M47" s="10">
        <f>ROUND(($B$4+$B$5*0+$B$6*0+$B$7*1)*$B$11*$B$13*$B$17*$B$19*$B$22,0)</f>
        <v/>
      </c>
      <c r="N47" s="10">
        <f>ROUND(($B$4+$B$5*1+$B$6*1+$B$7*0)*$B$11*$B$13*$B$17*$B$19*$B$21,0)</f>
        <v/>
      </c>
      <c r="O47" s="10">
        <f>ROUND(($B$4+$B$5*1+$B$6*1+$B$7*0)*$B$11*$B$13*$B$17*$B$19*$B$22,0)</f>
        <v/>
      </c>
      <c r="P47" s="10">
        <f>ROUND(($B$4+$B$5*1+$B$6*2+$B$7*0)*$B$11*$B$13*$B$17*$B$19*$B$21,0)</f>
        <v/>
      </c>
      <c r="Q47" s="10">
        <f>ROUND(($B$4+$B$5*1+$B$6*2+$B$7*0)*$B$11*$B$13*$B$17*$B$19*$B$22,0)</f>
        <v/>
      </c>
      <c r="R47" s="10">
        <f>ROUND(($B$4+$B$5*1+$B$6*0+$B$7*1)*$B$11*$B$13*$B$17*$B$19*$B$21,0)</f>
        <v/>
      </c>
      <c r="S47" s="10">
        <f>ROUND(($B$4+$B$5*1+$B$6*0+$B$7*1)*$B$11*$B$13*$B$17*$B$19*$B$22,0)</f>
        <v/>
      </c>
      <c r="T47" s="10">
        <f>ROUND(($B$4+$B$5*0+$B$6*2+$B$7*1)*$B$11*$B$13*$B$17*$B$19*$B$21,0)</f>
        <v/>
      </c>
      <c r="U47" s="10">
        <f>ROUND(($B$4+$B$5*0+$B$6*2+$B$7*1)*$B$11*$B$13*$B$17*$B$19*$B$22,0)</f>
        <v/>
      </c>
      <c r="V47" s="10">
        <f>ROUND(($B$4+$B$5*1+$B$6*2+$B$7*1)*$B$11*$B$13*$B$17*$B$19*$B$21,0)</f>
        <v/>
      </c>
      <c r="W47" s="10">
        <f>ROUND(($B$4+$B$5*1+$B$6*2+$B$7*1)*$B$11*$B$13*$B$17*$B$19*$B$22,0)</f>
        <v/>
      </c>
      <c r="X47" s="10">
        <f>ROUND(($B$4+$B$5*1+$B$6*0+$B$7*0)*$B$11*$B$13*$B$17*$B$20*$B$21,0)</f>
        <v/>
      </c>
      <c r="Y47" s="10">
        <f>ROUND(($B$4+$B$5*1+$B$6*0+$B$7*0)*$B$11*$B$13*$B$17*$B$20*$B$22,0)</f>
        <v/>
      </c>
      <c r="Z47" s="10">
        <f>ROUND(($B$4+$B$5*0+$B$6*1+$B$7*0)*$B$11*$B$13*$B$17*$B$20*$B$21,0)</f>
        <v/>
      </c>
      <c r="AA47" s="10">
        <f>ROUND(($B$4+$B$5*0+$B$6*1+$B$7*0)*$B$11*$B$13*$B$17*$B$20*$B$22,0)</f>
        <v/>
      </c>
      <c r="AB47" s="10">
        <f>ROUND(($B$4+$B$5*0+$B$6*2+$B$7*0)*$B$11*$B$13*$B$17*$B$20*$B$21,0)</f>
        <v/>
      </c>
      <c r="AC47" s="10">
        <f>ROUND(($B$4+$B$5*0+$B$6*2+$B$7*0)*$B$11*$B$13*$B$17*$B$20*$B$22,0)</f>
        <v/>
      </c>
      <c r="AD47" s="10">
        <f>ROUND(($B$4+$B$5*0+$B$6*3+$B$7*0)*$B$11*$B$13*$B$17*$B$20*$B$21,0)</f>
        <v/>
      </c>
      <c r="AE47" s="10">
        <f>ROUND(($B$4+$B$5*0+$B$6*3+$B$7*0)*$B$11*$B$13*$B$17*$B$20*$B$22,0)</f>
        <v/>
      </c>
      <c r="AF47" s="10">
        <f>ROUND(($B$4+$B$5*0+$B$6*0+$B$7*1)*$B$11*$B$13*$B$17*$B$20*$B$21,0)</f>
        <v/>
      </c>
      <c r="AG47" s="10">
        <f>ROUND(($B$4+$B$5*0+$B$6*0+$B$7*1)*$B$11*$B$13*$B$17*$B$20*$B$22,0)</f>
        <v/>
      </c>
      <c r="AH47" s="10">
        <f>ROUND(($B$4+$B$5*1+$B$6*1+$B$7*0)*$B$11*$B$13*$B$17*$B$20*$B$21,0)</f>
        <v/>
      </c>
      <c r="AI47" s="10">
        <f>ROUND(($B$4+$B$5*1+$B$6*1+$B$7*0)*$B$11*$B$13*$B$17*$B$20*$B$22,0)</f>
        <v/>
      </c>
      <c r="AJ47" s="10">
        <f>ROUND(($B$4+$B$5*1+$B$6*2+$B$7*0)*$B$11*$B$13*$B$17*$B$20*$B$21,0)</f>
        <v/>
      </c>
      <c r="AK47" s="10">
        <f>ROUND(($B$4+$B$5*1+$B$6*2+$B$7*0)*$B$11*$B$13*$B$17*$B$20*$B$22,0)</f>
        <v/>
      </c>
      <c r="AL47" s="10">
        <f>ROUND(($B$4+$B$5*1+$B$6*0+$B$7*1)*$B$11*$B$13*$B$17*$B$20*$B$21,0)</f>
        <v/>
      </c>
      <c r="AM47" s="10">
        <f>ROUND(($B$4+$B$5*1+$B$6*0+$B$7*1)*$B$11*$B$13*$B$17*$B$20*$B$22,0)</f>
        <v/>
      </c>
      <c r="AN47" s="10">
        <f>ROUND(($B$4+$B$5*0+$B$6*2+$B$7*1)*$B$11*$B$13*$B$17*$B$20*$B$21,0)</f>
        <v/>
      </c>
      <c r="AO47" s="10">
        <f>ROUND(($B$4+$B$5*0+$B$6*2+$B$7*1)*$B$11*$B$13*$B$17*$B$20*$B$22,0)</f>
        <v/>
      </c>
      <c r="AP47" s="10">
        <f>ROUND(($B$4+$B$5*1+$B$6*2+$B$7*1)*$B$11*$B$13*$B$17*$B$20*$B$21,0)</f>
        <v/>
      </c>
      <c r="AQ47" s="10">
        <f>ROUND(($B$4+$B$5*1+$B$6*2+$B$7*1)*$B$11*$B$13*$B$17*$B$20*$B$22,0)</f>
        <v/>
      </c>
    </row>
    <row r="48" ht="20.1" customHeight="1" s="62">
      <c r="A48" s="67" t="n"/>
      <c r="B48" s="59" t="n"/>
      <c r="C48" s="15" t="inlineStr">
        <is>
          <t>Activité complexe / multi-offres</t>
        </is>
      </c>
      <c r="D48" s="10">
        <f>ROUND(($B$4+$B$5*1+$B$6*0+$B$7*0)*$B$11*$B$13*$B$18*$B$19*$B$21,0)</f>
        <v/>
      </c>
      <c r="E48" s="10">
        <f>ROUND(($B$4+$B$5*1+$B$6*0+$B$7*0)*$B$11*$B$13*$B$18*$B$19*$B$22,0)</f>
        <v/>
      </c>
      <c r="F48" s="10">
        <f>ROUND(($B$4+$B$5*0+$B$6*1+$B$7*0)*$B$11*$B$13*$B$18*$B$19*$B$21,0)</f>
        <v/>
      </c>
      <c r="G48" s="10">
        <f>ROUND(($B$4+$B$5*0+$B$6*1+$B$7*0)*$B$11*$B$13*$B$18*$B$19*$B$22,0)</f>
        <v/>
      </c>
      <c r="H48" s="10">
        <f>ROUND(($B$4+$B$5*0+$B$6*2+$B$7*0)*$B$11*$B$13*$B$18*$B$19*$B$21,0)</f>
        <v/>
      </c>
      <c r="I48" s="10">
        <f>ROUND(($B$4+$B$5*0+$B$6*2+$B$7*0)*$B$11*$B$13*$B$18*$B$19*$B$22,0)</f>
        <v/>
      </c>
      <c r="J48" s="10">
        <f>ROUND(($B$4+$B$5*0+$B$6*3+$B$7*0)*$B$11*$B$13*$B$18*$B$19*$B$21,0)</f>
        <v/>
      </c>
      <c r="K48" s="10">
        <f>ROUND(($B$4+$B$5*0+$B$6*3+$B$7*0)*$B$11*$B$13*$B$18*$B$19*$B$22,0)</f>
        <v/>
      </c>
      <c r="L48" s="10">
        <f>ROUND(($B$4+$B$5*0+$B$6*0+$B$7*1)*$B$11*$B$13*$B$18*$B$19*$B$21,0)</f>
        <v/>
      </c>
      <c r="M48" s="10">
        <f>ROUND(($B$4+$B$5*0+$B$6*0+$B$7*1)*$B$11*$B$13*$B$18*$B$19*$B$22,0)</f>
        <v/>
      </c>
      <c r="N48" s="10">
        <f>ROUND(($B$4+$B$5*1+$B$6*1+$B$7*0)*$B$11*$B$13*$B$18*$B$19*$B$21,0)</f>
        <v/>
      </c>
      <c r="O48" s="10">
        <f>ROUND(($B$4+$B$5*1+$B$6*1+$B$7*0)*$B$11*$B$13*$B$18*$B$19*$B$22,0)</f>
        <v/>
      </c>
      <c r="P48" s="10">
        <f>ROUND(($B$4+$B$5*1+$B$6*2+$B$7*0)*$B$11*$B$13*$B$18*$B$19*$B$21,0)</f>
        <v/>
      </c>
      <c r="Q48" s="10">
        <f>ROUND(($B$4+$B$5*1+$B$6*2+$B$7*0)*$B$11*$B$13*$B$18*$B$19*$B$22,0)</f>
        <v/>
      </c>
      <c r="R48" s="10">
        <f>ROUND(($B$4+$B$5*1+$B$6*0+$B$7*1)*$B$11*$B$13*$B$18*$B$19*$B$21,0)</f>
        <v/>
      </c>
      <c r="S48" s="10">
        <f>ROUND(($B$4+$B$5*1+$B$6*0+$B$7*1)*$B$11*$B$13*$B$18*$B$19*$B$22,0)</f>
        <v/>
      </c>
      <c r="T48" s="10">
        <f>ROUND(($B$4+$B$5*0+$B$6*2+$B$7*1)*$B$11*$B$13*$B$18*$B$19*$B$21,0)</f>
        <v/>
      </c>
      <c r="U48" s="10">
        <f>ROUND(($B$4+$B$5*0+$B$6*2+$B$7*1)*$B$11*$B$13*$B$18*$B$19*$B$22,0)</f>
        <v/>
      </c>
      <c r="V48" s="10">
        <f>ROUND(($B$4+$B$5*1+$B$6*2+$B$7*1)*$B$11*$B$13*$B$18*$B$19*$B$21,0)</f>
        <v/>
      </c>
      <c r="W48" s="10">
        <f>ROUND(($B$4+$B$5*1+$B$6*2+$B$7*1)*$B$11*$B$13*$B$18*$B$19*$B$22,0)</f>
        <v/>
      </c>
      <c r="X48" s="10">
        <f>ROUND(($B$4+$B$5*1+$B$6*0+$B$7*0)*$B$11*$B$13*$B$18*$B$20*$B$21,0)</f>
        <v/>
      </c>
      <c r="Y48" s="10">
        <f>ROUND(($B$4+$B$5*1+$B$6*0+$B$7*0)*$B$11*$B$13*$B$18*$B$20*$B$22,0)</f>
        <v/>
      </c>
      <c r="Z48" s="10">
        <f>ROUND(($B$4+$B$5*0+$B$6*1+$B$7*0)*$B$11*$B$13*$B$18*$B$20*$B$21,0)</f>
        <v/>
      </c>
      <c r="AA48" s="10">
        <f>ROUND(($B$4+$B$5*0+$B$6*1+$B$7*0)*$B$11*$B$13*$B$18*$B$20*$B$22,0)</f>
        <v/>
      </c>
      <c r="AB48" s="10">
        <f>ROUND(($B$4+$B$5*0+$B$6*2+$B$7*0)*$B$11*$B$13*$B$18*$B$20*$B$21,0)</f>
        <v/>
      </c>
      <c r="AC48" s="10">
        <f>ROUND(($B$4+$B$5*0+$B$6*2+$B$7*0)*$B$11*$B$13*$B$18*$B$20*$B$22,0)</f>
        <v/>
      </c>
      <c r="AD48" s="10">
        <f>ROUND(($B$4+$B$5*0+$B$6*3+$B$7*0)*$B$11*$B$13*$B$18*$B$20*$B$21,0)</f>
        <v/>
      </c>
      <c r="AE48" s="10">
        <f>ROUND(($B$4+$B$5*0+$B$6*3+$B$7*0)*$B$11*$B$13*$B$18*$B$20*$B$22,0)</f>
        <v/>
      </c>
      <c r="AF48" s="10">
        <f>ROUND(($B$4+$B$5*0+$B$6*0+$B$7*1)*$B$11*$B$13*$B$18*$B$20*$B$21,0)</f>
        <v/>
      </c>
      <c r="AG48" s="10">
        <f>ROUND(($B$4+$B$5*0+$B$6*0+$B$7*1)*$B$11*$B$13*$B$18*$B$20*$B$22,0)</f>
        <v/>
      </c>
      <c r="AH48" s="10">
        <f>ROUND(($B$4+$B$5*1+$B$6*1+$B$7*0)*$B$11*$B$13*$B$18*$B$20*$B$21,0)</f>
        <v/>
      </c>
      <c r="AI48" s="10">
        <f>ROUND(($B$4+$B$5*1+$B$6*1+$B$7*0)*$B$11*$B$13*$B$18*$B$20*$B$22,0)</f>
        <v/>
      </c>
      <c r="AJ48" s="10">
        <f>ROUND(($B$4+$B$5*1+$B$6*2+$B$7*0)*$B$11*$B$13*$B$18*$B$20*$B$21,0)</f>
        <v/>
      </c>
      <c r="AK48" s="10">
        <f>ROUND(($B$4+$B$5*1+$B$6*2+$B$7*0)*$B$11*$B$13*$B$18*$B$20*$B$22,0)</f>
        <v/>
      </c>
      <c r="AL48" s="10">
        <f>ROUND(($B$4+$B$5*1+$B$6*0+$B$7*1)*$B$11*$B$13*$B$18*$B$20*$B$21,0)</f>
        <v/>
      </c>
      <c r="AM48" s="10">
        <f>ROUND(($B$4+$B$5*1+$B$6*0+$B$7*1)*$B$11*$B$13*$B$18*$B$20*$B$22,0)</f>
        <v/>
      </c>
      <c r="AN48" s="10">
        <f>ROUND(($B$4+$B$5*0+$B$6*2+$B$7*1)*$B$11*$B$13*$B$18*$B$20*$B$21,0)</f>
        <v/>
      </c>
      <c r="AO48" s="10">
        <f>ROUND(($B$4+$B$5*0+$B$6*2+$B$7*1)*$B$11*$B$13*$B$18*$B$20*$B$22,0)</f>
        <v/>
      </c>
      <c r="AP48" s="10">
        <f>ROUND(($B$4+$B$5*1+$B$6*2+$B$7*1)*$B$11*$B$13*$B$18*$B$20*$B$21,0)</f>
        <v/>
      </c>
      <c r="AQ48" s="10">
        <f>ROUND(($B$4+$B$5*1+$B$6*2+$B$7*1)*$B$11*$B$13*$B$18*$B$20*$B$22,0)</f>
        <v/>
      </c>
    </row>
    <row r="49" ht="20.1" customHeight="1" s="62">
      <c r="A49" s="67" t="n"/>
      <c r="B49" s="57" t="inlineStr">
        <is>
          <t>Intermédiaire (présence partielle)</t>
        </is>
      </c>
      <c r="C49" s="14" t="inlineStr">
        <is>
          <t>Activité simple</t>
        </is>
      </c>
      <c r="D49" s="10">
        <f>ROUND(($B$4+$B$5*1+$B$6*0+$B$7*0)*$B$11*$B$14*$B$16*$B$19*$B$21,0)</f>
        <v/>
      </c>
      <c r="E49" s="10">
        <f>ROUND(($B$4+$B$5*1+$B$6*0+$B$7*0)*$B$11*$B$14*$B$16*$B$19*$B$22,0)</f>
        <v/>
      </c>
      <c r="F49" s="10">
        <f>ROUND(($B$4+$B$5*0+$B$6*1+$B$7*0)*$B$11*$B$14*$B$16*$B$19*$B$21,0)</f>
        <v/>
      </c>
      <c r="G49" s="10">
        <f>ROUND(($B$4+$B$5*0+$B$6*1+$B$7*0)*$B$11*$B$14*$B$16*$B$19*$B$22,0)</f>
        <v/>
      </c>
      <c r="H49" s="10">
        <f>ROUND(($B$4+$B$5*0+$B$6*2+$B$7*0)*$B$11*$B$14*$B$16*$B$19*$B$21,0)</f>
        <v/>
      </c>
      <c r="I49" s="10">
        <f>ROUND(($B$4+$B$5*0+$B$6*2+$B$7*0)*$B$11*$B$14*$B$16*$B$19*$B$22,0)</f>
        <v/>
      </c>
      <c r="J49" s="10">
        <f>ROUND(($B$4+$B$5*0+$B$6*3+$B$7*0)*$B$11*$B$14*$B$16*$B$19*$B$21,0)</f>
        <v/>
      </c>
      <c r="K49" s="10">
        <f>ROUND(($B$4+$B$5*0+$B$6*3+$B$7*0)*$B$11*$B$14*$B$16*$B$19*$B$22,0)</f>
        <v/>
      </c>
      <c r="L49" s="10">
        <f>ROUND(($B$4+$B$5*0+$B$6*0+$B$7*1)*$B$11*$B$14*$B$16*$B$19*$B$21,0)</f>
        <v/>
      </c>
      <c r="M49" s="10">
        <f>ROUND(($B$4+$B$5*0+$B$6*0+$B$7*1)*$B$11*$B$14*$B$16*$B$19*$B$22,0)</f>
        <v/>
      </c>
      <c r="N49" s="10">
        <f>ROUND(($B$4+$B$5*1+$B$6*1+$B$7*0)*$B$11*$B$14*$B$16*$B$19*$B$21,0)</f>
        <v/>
      </c>
      <c r="O49" s="10">
        <f>ROUND(($B$4+$B$5*1+$B$6*1+$B$7*0)*$B$11*$B$14*$B$16*$B$19*$B$22,0)</f>
        <v/>
      </c>
      <c r="P49" s="10">
        <f>ROUND(($B$4+$B$5*1+$B$6*2+$B$7*0)*$B$11*$B$14*$B$16*$B$19*$B$21,0)</f>
        <v/>
      </c>
      <c r="Q49" s="10">
        <f>ROUND(($B$4+$B$5*1+$B$6*2+$B$7*0)*$B$11*$B$14*$B$16*$B$19*$B$22,0)</f>
        <v/>
      </c>
      <c r="R49" s="10">
        <f>ROUND(($B$4+$B$5*1+$B$6*0+$B$7*1)*$B$11*$B$14*$B$16*$B$19*$B$21,0)</f>
        <v/>
      </c>
      <c r="S49" s="10">
        <f>ROUND(($B$4+$B$5*1+$B$6*0+$B$7*1)*$B$11*$B$14*$B$16*$B$19*$B$22,0)</f>
        <v/>
      </c>
      <c r="T49" s="10">
        <f>ROUND(($B$4+$B$5*0+$B$6*2+$B$7*1)*$B$11*$B$14*$B$16*$B$19*$B$21,0)</f>
        <v/>
      </c>
      <c r="U49" s="10">
        <f>ROUND(($B$4+$B$5*0+$B$6*2+$B$7*1)*$B$11*$B$14*$B$16*$B$19*$B$22,0)</f>
        <v/>
      </c>
      <c r="V49" s="10">
        <f>ROUND(($B$4+$B$5*1+$B$6*2+$B$7*1)*$B$11*$B$14*$B$16*$B$19*$B$21,0)</f>
        <v/>
      </c>
      <c r="W49" s="10">
        <f>ROUND(($B$4+$B$5*1+$B$6*2+$B$7*1)*$B$11*$B$14*$B$16*$B$19*$B$22,0)</f>
        <v/>
      </c>
      <c r="X49" s="10">
        <f>ROUND(($B$4+$B$5*1+$B$6*0+$B$7*0)*$B$11*$B$14*$B$16*$B$20*$B$21,0)</f>
        <v/>
      </c>
      <c r="Y49" s="10">
        <f>ROUND(($B$4+$B$5*1+$B$6*0+$B$7*0)*$B$11*$B$14*$B$16*$B$20*$B$22,0)</f>
        <v/>
      </c>
      <c r="Z49" s="10">
        <f>ROUND(($B$4+$B$5*0+$B$6*1+$B$7*0)*$B$11*$B$14*$B$16*$B$20*$B$21,0)</f>
        <v/>
      </c>
      <c r="AA49" s="10">
        <f>ROUND(($B$4+$B$5*0+$B$6*1+$B$7*0)*$B$11*$B$14*$B$16*$B$20*$B$22,0)</f>
        <v/>
      </c>
      <c r="AB49" s="10">
        <f>ROUND(($B$4+$B$5*0+$B$6*2+$B$7*0)*$B$11*$B$14*$B$16*$B$20*$B$21,0)</f>
        <v/>
      </c>
      <c r="AC49" s="10">
        <f>ROUND(($B$4+$B$5*0+$B$6*2+$B$7*0)*$B$11*$B$14*$B$16*$B$20*$B$22,0)</f>
        <v/>
      </c>
      <c r="AD49" s="10">
        <f>ROUND(($B$4+$B$5*0+$B$6*3+$B$7*0)*$B$11*$B$14*$B$16*$B$20*$B$21,0)</f>
        <v/>
      </c>
      <c r="AE49" s="10">
        <f>ROUND(($B$4+$B$5*0+$B$6*3+$B$7*0)*$B$11*$B$14*$B$16*$B$20*$B$22,0)</f>
        <v/>
      </c>
      <c r="AF49" s="10">
        <f>ROUND(($B$4+$B$5*0+$B$6*0+$B$7*1)*$B$11*$B$14*$B$16*$B$20*$B$21,0)</f>
        <v/>
      </c>
      <c r="AG49" s="10">
        <f>ROUND(($B$4+$B$5*0+$B$6*0+$B$7*1)*$B$11*$B$14*$B$16*$B$20*$B$22,0)</f>
        <v/>
      </c>
      <c r="AH49" s="10">
        <f>ROUND(($B$4+$B$5*1+$B$6*1+$B$7*0)*$B$11*$B$14*$B$16*$B$20*$B$21,0)</f>
        <v/>
      </c>
      <c r="AI49" s="10">
        <f>ROUND(($B$4+$B$5*1+$B$6*1+$B$7*0)*$B$11*$B$14*$B$16*$B$20*$B$22,0)</f>
        <v/>
      </c>
      <c r="AJ49" s="10">
        <f>ROUND(($B$4+$B$5*1+$B$6*2+$B$7*0)*$B$11*$B$14*$B$16*$B$20*$B$21,0)</f>
        <v/>
      </c>
      <c r="AK49" s="10">
        <f>ROUND(($B$4+$B$5*1+$B$6*2+$B$7*0)*$B$11*$B$14*$B$16*$B$20*$B$22,0)</f>
        <v/>
      </c>
      <c r="AL49" s="10">
        <f>ROUND(($B$4+$B$5*1+$B$6*0+$B$7*1)*$B$11*$B$14*$B$16*$B$20*$B$21,0)</f>
        <v/>
      </c>
      <c r="AM49" s="10">
        <f>ROUND(($B$4+$B$5*1+$B$6*0+$B$7*1)*$B$11*$B$14*$B$16*$B$20*$B$22,0)</f>
        <v/>
      </c>
      <c r="AN49" s="10">
        <f>ROUND(($B$4+$B$5*0+$B$6*2+$B$7*1)*$B$11*$B$14*$B$16*$B$20*$B$21,0)</f>
        <v/>
      </c>
      <c r="AO49" s="10">
        <f>ROUND(($B$4+$B$5*0+$B$6*2+$B$7*1)*$B$11*$B$14*$B$16*$B$20*$B$22,0)</f>
        <v/>
      </c>
      <c r="AP49" s="10">
        <f>ROUND(($B$4+$B$5*1+$B$6*2+$B$7*1)*$B$11*$B$14*$B$16*$B$20*$B$21,0)</f>
        <v/>
      </c>
      <c r="AQ49" s="10">
        <f>ROUND(($B$4+$B$5*1+$B$6*2+$B$7*1)*$B$11*$B$14*$B$16*$B$20*$B$22,0)</f>
        <v/>
      </c>
    </row>
    <row r="50" ht="20.1" customHeight="1" s="62">
      <c r="A50" s="67" t="n"/>
      <c r="B50" s="58" t="n"/>
      <c r="C50" s="57" t="inlineStr">
        <is>
          <t>Activité modérée</t>
        </is>
      </c>
      <c r="D50" s="10">
        <f>ROUND(($B$4+$B$5*1+$B$6*0+$B$7*0)*$B$11*$B$14*$B$17*$B$19*$B$21,0)</f>
        <v/>
      </c>
      <c r="E50" s="10">
        <f>ROUND(($B$4+$B$5*1+$B$6*0+$B$7*0)*$B$11*$B$14*$B$17*$B$19*$B$22,0)</f>
        <v/>
      </c>
      <c r="F50" s="10">
        <f>ROUND(($B$4+$B$5*0+$B$6*1+$B$7*0)*$B$11*$B$14*$B$17*$B$19*$B$21,0)</f>
        <v/>
      </c>
      <c r="G50" s="10">
        <f>ROUND(($B$4+$B$5*0+$B$6*1+$B$7*0)*$B$11*$B$14*$B$17*$B$19*$B$22,0)</f>
        <v/>
      </c>
      <c r="H50" s="10">
        <f>ROUND(($B$4+$B$5*0+$B$6*2+$B$7*0)*$B$11*$B$14*$B$17*$B$19*$B$21,0)</f>
        <v/>
      </c>
      <c r="I50" s="10">
        <f>ROUND(($B$4+$B$5*0+$B$6*2+$B$7*0)*$B$11*$B$14*$B$17*$B$19*$B$22,0)</f>
        <v/>
      </c>
      <c r="J50" s="10">
        <f>ROUND(($B$4+$B$5*0+$B$6*3+$B$7*0)*$B$11*$B$14*$B$17*$B$19*$B$21,0)</f>
        <v/>
      </c>
      <c r="K50" s="10">
        <f>ROUND(($B$4+$B$5*0+$B$6*3+$B$7*0)*$B$11*$B$14*$B$17*$B$19*$B$22,0)</f>
        <v/>
      </c>
      <c r="L50" s="10">
        <f>ROUND(($B$4+$B$5*0+$B$6*0+$B$7*1)*$B$11*$B$14*$B$17*$B$19*$B$21,0)</f>
        <v/>
      </c>
      <c r="M50" s="10">
        <f>ROUND(($B$4+$B$5*0+$B$6*0+$B$7*1)*$B$11*$B$14*$B$17*$B$19*$B$22,0)</f>
        <v/>
      </c>
      <c r="N50" s="10">
        <f>ROUND(($B$4+$B$5*1+$B$6*1+$B$7*0)*$B$11*$B$14*$B$17*$B$19*$B$21,0)</f>
        <v/>
      </c>
      <c r="O50" s="10">
        <f>ROUND(($B$4+$B$5*1+$B$6*1+$B$7*0)*$B$11*$B$14*$B$17*$B$19*$B$22,0)</f>
        <v/>
      </c>
      <c r="P50" s="10">
        <f>ROUND(($B$4+$B$5*1+$B$6*2+$B$7*0)*$B$11*$B$14*$B$17*$B$19*$B$21,0)</f>
        <v/>
      </c>
      <c r="Q50" s="10">
        <f>ROUND(($B$4+$B$5*1+$B$6*2+$B$7*0)*$B$11*$B$14*$B$17*$B$19*$B$22,0)</f>
        <v/>
      </c>
      <c r="R50" s="10">
        <f>ROUND(($B$4+$B$5*1+$B$6*0+$B$7*1)*$B$11*$B$14*$B$17*$B$19*$B$21,0)</f>
        <v/>
      </c>
      <c r="S50" s="10">
        <f>ROUND(($B$4+$B$5*1+$B$6*0+$B$7*1)*$B$11*$B$14*$B$17*$B$19*$B$22,0)</f>
        <v/>
      </c>
      <c r="T50" s="10">
        <f>ROUND(($B$4+$B$5*0+$B$6*2+$B$7*1)*$B$11*$B$14*$B$17*$B$19*$B$21,0)</f>
        <v/>
      </c>
      <c r="U50" s="10">
        <f>ROUND(($B$4+$B$5*0+$B$6*2+$B$7*1)*$B$11*$B$14*$B$17*$B$19*$B$22,0)</f>
        <v/>
      </c>
      <c r="V50" s="10">
        <f>ROUND(($B$4+$B$5*1+$B$6*2+$B$7*1)*$B$11*$B$14*$B$17*$B$19*$B$21,0)</f>
        <v/>
      </c>
      <c r="W50" s="10">
        <f>ROUND(($B$4+$B$5*1+$B$6*2+$B$7*1)*$B$11*$B$14*$B$17*$B$19*$B$22,0)</f>
        <v/>
      </c>
      <c r="X50" s="10">
        <f>ROUND(($B$4+$B$5*1+$B$6*0+$B$7*0)*$B$11*$B$14*$B$17*$B$20*$B$21,0)</f>
        <v/>
      </c>
      <c r="Y50" s="10">
        <f>ROUND(($B$4+$B$5*1+$B$6*0+$B$7*0)*$B$11*$B$14*$B$17*$B$20*$B$22,0)</f>
        <v/>
      </c>
      <c r="Z50" s="10">
        <f>ROUND(($B$4+$B$5*0+$B$6*1+$B$7*0)*$B$11*$B$14*$B$17*$B$20*$B$21,0)</f>
        <v/>
      </c>
      <c r="AA50" s="10">
        <f>ROUND(($B$4+$B$5*0+$B$6*1+$B$7*0)*$B$11*$B$14*$B$17*$B$20*$B$22,0)</f>
        <v/>
      </c>
      <c r="AB50" s="10">
        <f>ROUND(($B$4+$B$5*0+$B$6*2+$B$7*0)*$B$11*$B$14*$B$17*$B$20*$B$21,0)</f>
        <v/>
      </c>
      <c r="AC50" s="10">
        <f>ROUND(($B$4+$B$5*0+$B$6*2+$B$7*0)*$B$11*$B$14*$B$17*$B$20*$B$22,0)</f>
        <v/>
      </c>
      <c r="AD50" s="10">
        <f>ROUND(($B$4+$B$5*0+$B$6*3+$B$7*0)*$B$11*$B$14*$B$17*$B$20*$B$21,0)</f>
        <v/>
      </c>
      <c r="AE50" s="10">
        <f>ROUND(($B$4+$B$5*0+$B$6*3+$B$7*0)*$B$11*$B$14*$B$17*$B$20*$B$22,0)</f>
        <v/>
      </c>
      <c r="AF50" s="10">
        <f>ROUND(($B$4+$B$5*0+$B$6*0+$B$7*1)*$B$11*$B$14*$B$17*$B$20*$B$21,0)</f>
        <v/>
      </c>
      <c r="AG50" s="10">
        <f>ROUND(($B$4+$B$5*0+$B$6*0+$B$7*1)*$B$11*$B$14*$B$17*$B$20*$B$22,0)</f>
        <v/>
      </c>
      <c r="AH50" s="10">
        <f>ROUND(($B$4+$B$5*1+$B$6*1+$B$7*0)*$B$11*$B$14*$B$17*$B$20*$B$21,0)</f>
        <v/>
      </c>
      <c r="AI50" s="10">
        <f>ROUND(($B$4+$B$5*1+$B$6*1+$B$7*0)*$B$11*$B$14*$B$17*$B$20*$B$22,0)</f>
        <v/>
      </c>
      <c r="AJ50" s="10">
        <f>ROUND(($B$4+$B$5*1+$B$6*2+$B$7*0)*$B$11*$B$14*$B$17*$B$20*$B$21,0)</f>
        <v/>
      </c>
      <c r="AK50" s="10">
        <f>ROUND(($B$4+$B$5*1+$B$6*2+$B$7*0)*$B$11*$B$14*$B$17*$B$20*$B$22,0)</f>
        <v/>
      </c>
      <c r="AL50" s="10">
        <f>ROUND(($B$4+$B$5*1+$B$6*0+$B$7*1)*$B$11*$B$14*$B$17*$B$20*$B$21,0)</f>
        <v/>
      </c>
      <c r="AM50" s="10">
        <f>ROUND(($B$4+$B$5*1+$B$6*0+$B$7*1)*$B$11*$B$14*$B$17*$B$20*$B$22,0)</f>
        <v/>
      </c>
      <c r="AN50" s="10">
        <f>ROUND(($B$4+$B$5*0+$B$6*2+$B$7*1)*$B$11*$B$14*$B$17*$B$20*$B$21,0)</f>
        <v/>
      </c>
      <c r="AO50" s="10">
        <f>ROUND(($B$4+$B$5*0+$B$6*2+$B$7*1)*$B$11*$B$14*$B$17*$B$20*$B$22,0)</f>
        <v/>
      </c>
      <c r="AP50" s="10">
        <f>ROUND(($B$4+$B$5*1+$B$6*2+$B$7*1)*$B$11*$B$14*$B$17*$B$20*$B$21,0)</f>
        <v/>
      </c>
      <c r="AQ50" s="10">
        <f>ROUND(($B$4+$B$5*1+$B$6*2+$B$7*1)*$B$11*$B$14*$B$17*$B$20*$B$22,0)</f>
        <v/>
      </c>
    </row>
    <row r="51" ht="20.1" customHeight="1" s="62">
      <c r="A51" s="67" t="n"/>
      <c r="B51" s="59" t="n"/>
      <c r="C51" s="15" t="inlineStr">
        <is>
          <t>Activité complexe / multi-offres</t>
        </is>
      </c>
      <c r="D51" s="10">
        <f>ROUND(($B$4+$B$5*1+$B$6*0+$B$7*0)*$B$11*$B$14*$B$18*$B$19*$B$21,0)</f>
        <v/>
      </c>
      <c r="E51" s="10">
        <f>ROUND(($B$4+$B$5*1+$B$6*0+$B$7*0)*$B$11*$B$14*$B$18*$B$19*$B$22,0)</f>
        <v/>
      </c>
      <c r="F51" s="10">
        <f>ROUND(($B$4+$B$5*0+$B$6*1+$B$7*0)*$B$11*$B$14*$B$18*$B$19*$B$21,0)</f>
        <v/>
      </c>
      <c r="G51" s="10">
        <f>ROUND(($B$4+$B$5*0+$B$6*1+$B$7*0)*$B$11*$B$14*$B$18*$B$19*$B$22,0)</f>
        <v/>
      </c>
      <c r="H51" s="10">
        <f>ROUND(($B$4+$B$5*0+$B$6*2+$B$7*0)*$B$11*$B$14*$B$18*$B$19*$B$21,0)</f>
        <v/>
      </c>
      <c r="I51" s="10">
        <f>ROUND(($B$4+$B$5*0+$B$6*2+$B$7*0)*$B$11*$B$14*$B$18*$B$19*$B$22,0)</f>
        <v/>
      </c>
      <c r="J51" s="10">
        <f>ROUND(($B$4+$B$5*0+$B$6*3+$B$7*0)*$B$11*$B$14*$B$18*$B$19*$B$21,0)</f>
        <v/>
      </c>
      <c r="K51" s="10">
        <f>ROUND(($B$4+$B$5*0+$B$6*3+$B$7*0)*$B$11*$B$14*$B$18*$B$19*$B$22,0)</f>
        <v/>
      </c>
      <c r="L51" s="10">
        <f>ROUND(($B$4+$B$5*0+$B$6*0+$B$7*1)*$B$11*$B$14*$B$18*$B$19*$B$21,0)</f>
        <v/>
      </c>
      <c r="M51" s="10">
        <f>ROUND(($B$4+$B$5*0+$B$6*0+$B$7*1)*$B$11*$B$14*$B$18*$B$19*$B$22,0)</f>
        <v/>
      </c>
      <c r="N51" s="10">
        <f>ROUND(($B$4+$B$5*1+$B$6*1+$B$7*0)*$B$11*$B$14*$B$18*$B$19*$B$21,0)</f>
        <v/>
      </c>
      <c r="O51" s="10">
        <f>ROUND(($B$4+$B$5*1+$B$6*1+$B$7*0)*$B$11*$B$14*$B$18*$B$19*$B$22,0)</f>
        <v/>
      </c>
      <c r="P51" s="10">
        <f>ROUND(($B$4+$B$5*1+$B$6*2+$B$7*0)*$B$11*$B$14*$B$18*$B$19*$B$21,0)</f>
        <v/>
      </c>
      <c r="Q51" s="10">
        <f>ROUND(($B$4+$B$5*1+$B$6*2+$B$7*0)*$B$11*$B$14*$B$18*$B$19*$B$22,0)</f>
        <v/>
      </c>
      <c r="R51" s="10">
        <f>ROUND(($B$4+$B$5*1+$B$6*0+$B$7*1)*$B$11*$B$14*$B$18*$B$19*$B$21,0)</f>
        <v/>
      </c>
      <c r="S51" s="10">
        <f>ROUND(($B$4+$B$5*1+$B$6*0+$B$7*1)*$B$11*$B$14*$B$18*$B$19*$B$22,0)</f>
        <v/>
      </c>
      <c r="T51" s="10">
        <f>ROUND(($B$4+$B$5*0+$B$6*2+$B$7*1)*$B$11*$B$14*$B$18*$B$19*$B$21,0)</f>
        <v/>
      </c>
      <c r="U51" s="10">
        <f>ROUND(($B$4+$B$5*0+$B$6*2+$B$7*1)*$B$11*$B$14*$B$18*$B$19*$B$22,0)</f>
        <v/>
      </c>
      <c r="V51" s="10">
        <f>ROUND(($B$4+$B$5*1+$B$6*2+$B$7*1)*$B$11*$B$14*$B$18*$B$19*$B$21,0)</f>
        <v/>
      </c>
      <c r="W51" s="10">
        <f>ROUND(($B$4+$B$5*1+$B$6*2+$B$7*1)*$B$11*$B$14*$B$18*$B$19*$B$22,0)</f>
        <v/>
      </c>
      <c r="X51" s="10">
        <f>ROUND(($B$4+$B$5*1+$B$6*0+$B$7*0)*$B$11*$B$14*$B$18*$B$20*$B$21,0)</f>
        <v/>
      </c>
      <c r="Y51" s="10">
        <f>ROUND(($B$4+$B$5*1+$B$6*0+$B$7*0)*$B$11*$B$14*$B$18*$B$20*$B$22,0)</f>
        <v/>
      </c>
      <c r="Z51" s="10">
        <f>ROUND(($B$4+$B$5*0+$B$6*1+$B$7*0)*$B$11*$B$14*$B$18*$B$20*$B$21,0)</f>
        <v/>
      </c>
      <c r="AA51" s="10">
        <f>ROUND(($B$4+$B$5*0+$B$6*1+$B$7*0)*$B$11*$B$14*$B$18*$B$20*$B$22,0)</f>
        <v/>
      </c>
      <c r="AB51" s="10">
        <f>ROUND(($B$4+$B$5*0+$B$6*2+$B$7*0)*$B$11*$B$14*$B$18*$B$20*$B$21,0)</f>
        <v/>
      </c>
      <c r="AC51" s="10">
        <f>ROUND(($B$4+$B$5*0+$B$6*2+$B$7*0)*$B$11*$B$14*$B$18*$B$20*$B$22,0)</f>
        <v/>
      </c>
      <c r="AD51" s="10">
        <f>ROUND(($B$4+$B$5*0+$B$6*3+$B$7*0)*$B$11*$B$14*$B$18*$B$20*$B$21,0)</f>
        <v/>
      </c>
      <c r="AE51" s="10">
        <f>ROUND(($B$4+$B$5*0+$B$6*3+$B$7*0)*$B$11*$B$14*$B$18*$B$20*$B$22,0)</f>
        <v/>
      </c>
      <c r="AF51" s="10">
        <f>ROUND(($B$4+$B$5*0+$B$6*0+$B$7*1)*$B$11*$B$14*$B$18*$B$20*$B$21,0)</f>
        <v/>
      </c>
      <c r="AG51" s="10">
        <f>ROUND(($B$4+$B$5*0+$B$6*0+$B$7*1)*$B$11*$B$14*$B$18*$B$20*$B$22,0)</f>
        <v/>
      </c>
      <c r="AH51" s="10">
        <f>ROUND(($B$4+$B$5*1+$B$6*1+$B$7*0)*$B$11*$B$14*$B$18*$B$20*$B$21,0)</f>
        <v/>
      </c>
      <c r="AI51" s="10">
        <f>ROUND(($B$4+$B$5*1+$B$6*1+$B$7*0)*$B$11*$B$14*$B$18*$B$20*$B$22,0)</f>
        <v/>
      </c>
      <c r="AJ51" s="10">
        <f>ROUND(($B$4+$B$5*1+$B$6*2+$B$7*0)*$B$11*$B$14*$B$18*$B$20*$B$21,0)</f>
        <v/>
      </c>
      <c r="AK51" s="10">
        <f>ROUND(($B$4+$B$5*1+$B$6*2+$B$7*0)*$B$11*$B$14*$B$18*$B$20*$B$22,0)</f>
        <v/>
      </c>
      <c r="AL51" s="10">
        <f>ROUND(($B$4+$B$5*1+$B$6*0+$B$7*1)*$B$11*$B$14*$B$18*$B$20*$B$21,0)</f>
        <v/>
      </c>
      <c r="AM51" s="10">
        <f>ROUND(($B$4+$B$5*1+$B$6*0+$B$7*1)*$B$11*$B$14*$B$18*$B$20*$B$22,0)</f>
        <v/>
      </c>
      <c r="AN51" s="10">
        <f>ROUND(($B$4+$B$5*0+$B$6*2+$B$7*1)*$B$11*$B$14*$B$18*$B$20*$B$21,0)</f>
        <v/>
      </c>
      <c r="AO51" s="10">
        <f>ROUND(($B$4+$B$5*0+$B$6*2+$B$7*1)*$B$11*$B$14*$B$18*$B$20*$B$22,0)</f>
        <v/>
      </c>
      <c r="AP51" s="10">
        <f>ROUND(($B$4+$B$5*1+$B$6*2+$B$7*1)*$B$11*$B$14*$B$18*$B$20*$B$21,0)</f>
        <v/>
      </c>
      <c r="AQ51" s="10">
        <f>ROUND(($B$4+$B$5*1+$B$6*2+$B$7*1)*$B$11*$B$14*$B$18*$B$20*$B$22,0)</f>
        <v/>
      </c>
    </row>
    <row r="52" ht="20.1" customHeight="1" s="62">
      <c r="A52" s="67" t="n"/>
      <c r="B52" s="57" t="inlineStr">
        <is>
          <t>Avancée (présence établie)</t>
        </is>
      </c>
      <c r="C52" s="14" t="inlineStr">
        <is>
          <t>Activité simple</t>
        </is>
      </c>
      <c r="D52" s="10">
        <f>ROUND(($B$4+$B$5*1+$B$6*0+$B$7*0)*$B$11*$B$15*$B$16*$B$19*$B$21,0)</f>
        <v/>
      </c>
      <c r="E52" s="10">
        <f>ROUND(($B$4+$B$5*1+$B$6*0+$B$7*0)*$B$11*$B$15*$B$16*$B$19*$B$22,0)</f>
        <v/>
      </c>
      <c r="F52" s="10">
        <f>ROUND(($B$4+$B$5*0+$B$6*1+$B$7*0)*$B$11*$B$15*$B$16*$B$19*$B$21,0)</f>
        <v/>
      </c>
      <c r="G52" s="10">
        <f>ROUND(($B$4+$B$5*0+$B$6*1+$B$7*0)*$B$11*$B$15*$B$16*$B$19*$B$22,0)</f>
        <v/>
      </c>
      <c r="H52" s="10">
        <f>ROUND(($B$4+$B$5*0+$B$6*2+$B$7*0)*$B$11*$B$15*$B$16*$B$19*$B$21,0)</f>
        <v/>
      </c>
      <c r="I52" s="10">
        <f>ROUND(($B$4+$B$5*0+$B$6*2+$B$7*0)*$B$11*$B$15*$B$16*$B$19*$B$22,0)</f>
        <v/>
      </c>
      <c r="J52" s="10">
        <f>ROUND(($B$4+$B$5*0+$B$6*3+$B$7*0)*$B$11*$B$15*$B$16*$B$19*$B$21,0)</f>
        <v/>
      </c>
      <c r="K52" s="10">
        <f>ROUND(($B$4+$B$5*0+$B$6*3+$B$7*0)*$B$11*$B$15*$B$16*$B$19*$B$22,0)</f>
        <v/>
      </c>
      <c r="L52" s="10">
        <f>ROUND(($B$4+$B$5*0+$B$6*0+$B$7*1)*$B$11*$B$15*$B$16*$B$19*$B$21,0)</f>
        <v/>
      </c>
      <c r="M52" s="10">
        <f>ROUND(($B$4+$B$5*0+$B$6*0+$B$7*1)*$B$11*$B$15*$B$16*$B$19*$B$22,0)</f>
        <v/>
      </c>
      <c r="N52" s="10">
        <f>ROUND(($B$4+$B$5*1+$B$6*1+$B$7*0)*$B$11*$B$15*$B$16*$B$19*$B$21,0)</f>
        <v/>
      </c>
      <c r="O52" s="10">
        <f>ROUND(($B$4+$B$5*1+$B$6*1+$B$7*0)*$B$11*$B$15*$B$16*$B$19*$B$22,0)</f>
        <v/>
      </c>
      <c r="P52" s="10">
        <f>ROUND(($B$4+$B$5*1+$B$6*2+$B$7*0)*$B$11*$B$15*$B$16*$B$19*$B$21,0)</f>
        <v/>
      </c>
      <c r="Q52" s="10">
        <f>ROUND(($B$4+$B$5*1+$B$6*2+$B$7*0)*$B$11*$B$15*$B$16*$B$19*$B$22,0)</f>
        <v/>
      </c>
      <c r="R52" s="10">
        <f>ROUND(($B$4+$B$5*1+$B$6*0+$B$7*1)*$B$11*$B$15*$B$16*$B$19*$B$21,0)</f>
        <v/>
      </c>
      <c r="S52" s="10">
        <f>ROUND(($B$4+$B$5*1+$B$6*0+$B$7*1)*$B$11*$B$15*$B$16*$B$19*$B$22,0)</f>
        <v/>
      </c>
      <c r="T52" s="10">
        <f>ROUND(($B$4+$B$5*0+$B$6*2+$B$7*1)*$B$11*$B$15*$B$16*$B$19*$B$21,0)</f>
        <v/>
      </c>
      <c r="U52" s="10">
        <f>ROUND(($B$4+$B$5*0+$B$6*2+$B$7*1)*$B$11*$B$15*$B$16*$B$19*$B$22,0)</f>
        <v/>
      </c>
      <c r="V52" s="10">
        <f>ROUND(($B$4+$B$5*1+$B$6*2+$B$7*1)*$B$11*$B$15*$B$16*$B$19*$B$21,0)</f>
        <v/>
      </c>
      <c r="W52" s="10">
        <f>ROUND(($B$4+$B$5*1+$B$6*2+$B$7*1)*$B$11*$B$15*$B$16*$B$19*$B$22,0)</f>
        <v/>
      </c>
      <c r="X52" s="10">
        <f>ROUND(($B$4+$B$5*1+$B$6*0+$B$7*0)*$B$11*$B$15*$B$16*$B$20*$B$21,0)</f>
        <v/>
      </c>
      <c r="Y52" s="10">
        <f>ROUND(($B$4+$B$5*1+$B$6*0+$B$7*0)*$B$11*$B$15*$B$16*$B$20*$B$22,0)</f>
        <v/>
      </c>
      <c r="Z52" s="10">
        <f>ROUND(($B$4+$B$5*0+$B$6*1+$B$7*0)*$B$11*$B$15*$B$16*$B$20*$B$21,0)</f>
        <v/>
      </c>
      <c r="AA52" s="10">
        <f>ROUND(($B$4+$B$5*0+$B$6*1+$B$7*0)*$B$11*$B$15*$B$16*$B$20*$B$22,0)</f>
        <v/>
      </c>
      <c r="AB52" s="10">
        <f>ROUND(($B$4+$B$5*0+$B$6*2+$B$7*0)*$B$11*$B$15*$B$16*$B$20*$B$21,0)</f>
        <v/>
      </c>
      <c r="AC52" s="10">
        <f>ROUND(($B$4+$B$5*0+$B$6*2+$B$7*0)*$B$11*$B$15*$B$16*$B$20*$B$22,0)</f>
        <v/>
      </c>
      <c r="AD52" s="10">
        <f>ROUND(($B$4+$B$5*0+$B$6*3+$B$7*0)*$B$11*$B$15*$B$16*$B$20*$B$21,0)</f>
        <v/>
      </c>
      <c r="AE52" s="10">
        <f>ROUND(($B$4+$B$5*0+$B$6*3+$B$7*0)*$B$11*$B$15*$B$16*$B$20*$B$22,0)</f>
        <v/>
      </c>
      <c r="AF52" s="10">
        <f>ROUND(($B$4+$B$5*0+$B$6*0+$B$7*1)*$B$11*$B$15*$B$16*$B$20*$B$21,0)</f>
        <v/>
      </c>
      <c r="AG52" s="10">
        <f>ROUND(($B$4+$B$5*0+$B$6*0+$B$7*1)*$B$11*$B$15*$B$16*$B$20*$B$22,0)</f>
        <v/>
      </c>
      <c r="AH52" s="10">
        <f>ROUND(($B$4+$B$5*1+$B$6*1+$B$7*0)*$B$11*$B$15*$B$16*$B$20*$B$21,0)</f>
        <v/>
      </c>
      <c r="AI52" s="10">
        <f>ROUND(($B$4+$B$5*1+$B$6*1+$B$7*0)*$B$11*$B$15*$B$16*$B$20*$B$22,0)</f>
        <v/>
      </c>
      <c r="AJ52" s="10">
        <f>ROUND(($B$4+$B$5*1+$B$6*2+$B$7*0)*$B$11*$B$15*$B$16*$B$20*$B$21,0)</f>
        <v/>
      </c>
      <c r="AK52" s="10">
        <f>ROUND(($B$4+$B$5*1+$B$6*2+$B$7*0)*$B$11*$B$15*$B$16*$B$20*$B$22,0)</f>
        <v/>
      </c>
      <c r="AL52" s="10">
        <f>ROUND(($B$4+$B$5*1+$B$6*0+$B$7*1)*$B$11*$B$15*$B$16*$B$20*$B$21,0)</f>
        <v/>
      </c>
      <c r="AM52" s="10">
        <f>ROUND(($B$4+$B$5*1+$B$6*0+$B$7*1)*$B$11*$B$15*$B$16*$B$20*$B$22,0)</f>
        <v/>
      </c>
      <c r="AN52" s="10">
        <f>ROUND(($B$4+$B$5*0+$B$6*2+$B$7*1)*$B$11*$B$15*$B$16*$B$20*$B$21,0)</f>
        <v/>
      </c>
      <c r="AO52" s="10">
        <f>ROUND(($B$4+$B$5*0+$B$6*2+$B$7*1)*$B$11*$B$15*$B$16*$B$20*$B$22,0)</f>
        <v/>
      </c>
      <c r="AP52" s="10">
        <f>ROUND(($B$4+$B$5*1+$B$6*2+$B$7*1)*$B$11*$B$15*$B$16*$B$20*$B$21,0)</f>
        <v/>
      </c>
      <c r="AQ52" s="10">
        <f>ROUND(($B$4+$B$5*1+$B$6*2+$B$7*1)*$B$11*$B$15*$B$16*$B$20*$B$22,0)</f>
        <v/>
      </c>
    </row>
    <row r="53" ht="20.1" customHeight="1" s="62">
      <c r="A53" s="67" t="n"/>
      <c r="B53" s="58" t="n"/>
      <c r="C53" s="57" t="inlineStr">
        <is>
          <t>Activité modérée</t>
        </is>
      </c>
      <c r="D53" s="10">
        <f>ROUND(($B$4+$B$5*1+$B$6*0+$B$7*0)*$B$11*$B$15*$B$17*$B$19*$B$21,0)</f>
        <v/>
      </c>
      <c r="E53" s="10">
        <f>ROUND(($B$4+$B$5*1+$B$6*0+$B$7*0)*$B$11*$B$15*$B$17*$B$19*$B$22,0)</f>
        <v/>
      </c>
      <c r="F53" s="10">
        <f>ROUND(($B$4+$B$5*0+$B$6*1+$B$7*0)*$B$11*$B$15*$B$17*$B$19*$B$21,0)</f>
        <v/>
      </c>
      <c r="G53" s="10">
        <f>ROUND(($B$4+$B$5*0+$B$6*1+$B$7*0)*$B$11*$B$15*$B$17*$B$19*$B$22,0)</f>
        <v/>
      </c>
      <c r="H53" s="10">
        <f>ROUND(($B$4+$B$5*0+$B$6*2+$B$7*0)*$B$11*$B$15*$B$17*$B$19*$B$21,0)</f>
        <v/>
      </c>
      <c r="I53" s="10">
        <f>ROUND(($B$4+$B$5*0+$B$6*2+$B$7*0)*$B$11*$B$15*$B$17*$B$19*$B$22,0)</f>
        <v/>
      </c>
      <c r="J53" s="10">
        <f>ROUND(($B$4+$B$5*0+$B$6*3+$B$7*0)*$B$11*$B$15*$B$17*$B$19*$B$21,0)</f>
        <v/>
      </c>
      <c r="K53" s="10">
        <f>ROUND(($B$4+$B$5*0+$B$6*3+$B$7*0)*$B$11*$B$15*$B$17*$B$19*$B$22,0)</f>
        <v/>
      </c>
      <c r="L53" s="10">
        <f>ROUND(($B$4+$B$5*0+$B$6*0+$B$7*1)*$B$11*$B$15*$B$17*$B$19*$B$21,0)</f>
        <v/>
      </c>
      <c r="M53" s="10">
        <f>ROUND(($B$4+$B$5*0+$B$6*0+$B$7*1)*$B$11*$B$15*$B$17*$B$19*$B$22,0)</f>
        <v/>
      </c>
      <c r="N53" s="10">
        <f>ROUND(($B$4+$B$5*1+$B$6*1+$B$7*0)*$B$11*$B$15*$B$17*$B$19*$B$21,0)</f>
        <v/>
      </c>
      <c r="O53" s="10">
        <f>ROUND(($B$4+$B$5*1+$B$6*1+$B$7*0)*$B$11*$B$15*$B$17*$B$19*$B$22,0)</f>
        <v/>
      </c>
      <c r="P53" s="10">
        <f>ROUND(($B$4+$B$5*1+$B$6*2+$B$7*0)*$B$11*$B$15*$B$17*$B$19*$B$21,0)</f>
        <v/>
      </c>
      <c r="Q53" s="10">
        <f>ROUND(($B$4+$B$5*1+$B$6*2+$B$7*0)*$B$11*$B$15*$B$17*$B$19*$B$22,0)</f>
        <v/>
      </c>
      <c r="R53" s="10">
        <f>ROUND(($B$4+$B$5*1+$B$6*0+$B$7*1)*$B$11*$B$15*$B$17*$B$19*$B$21,0)</f>
        <v/>
      </c>
      <c r="S53" s="10">
        <f>ROUND(($B$4+$B$5*1+$B$6*0+$B$7*1)*$B$11*$B$15*$B$17*$B$19*$B$22,0)</f>
        <v/>
      </c>
      <c r="T53" s="10">
        <f>ROUND(($B$4+$B$5*0+$B$6*2+$B$7*1)*$B$11*$B$15*$B$17*$B$19*$B$21,0)</f>
        <v/>
      </c>
      <c r="U53" s="10">
        <f>ROUND(($B$4+$B$5*0+$B$6*2+$B$7*1)*$B$11*$B$15*$B$17*$B$19*$B$22,0)</f>
        <v/>
      </c>
      <c r="V53" s="10">
        <f>ROUND(($B$4+$B$5*1+$B$6*2+$B$7*1)*$B$11*$B$15*$B$17*$B$19*$B$21,0)</f>
        <v/>
      </c>
      <c r="W53" s="10">
        <f>ROUND(($B$4+$B$5*1+$B$6*2+$B$7*1)*$B$11*$B$15*$B$17*$B$19*$B$22,0)</f>
        <v/>
      </c>
      <c r="X53" s="10">
        <f>ROUND(($B$4+$B$5*1+$B$6*0+$B$7*0)*$B$11*$B$15*$B$17*$B$20*$B$21,0)</f>
        <v/>
      </c>
      <c r="Y53" s="10">
        <f>ROUND(($B$4+$B$5*1+$B$6*0+$B$7*0)*$B$11*$B$15*$B$17*$B$20*$B$22,0)</f>
        <v/>
      </c>
      <c r="Z53" s="10">
        <f>ROUND(($B$4+$B$5*0+$B$6*1+$B$7*0)*$B$11*$B$15*$B$17*$B$20*$B$21,0)</f>
        <v/>
      </c>
      <c r="AA53" s="10">
        <f>ROUND(($B$4+$B$5*0+$B$6*1+$B$7*0)*$B$11*$B$15*$B$17*$B$20*$B$22,0)</f>
        <v/>
      </c>
      <c r="AB53" s="10">
        <f>ROUND(($B$4+$B$5*0+$B$6*2+$B$7*0)*$B$11*$B$15*$B$17*$B$20*$B$21,0)</f>
        <v/>
      </c>
      <c r="AC53" s="10">
        <f>ROUND(($B$4+$B$5*0+$B$6*2+$B$7*0)*$B$11*$B$15*$B$17*$B$20*$B$22,0)</f>
        <v/>
      </c>
      <c r="AD53" s="10">
        <f>ROUND(($B$4+$B$5*0+$B$6*3+$B$7*0)*$B$11*$B$15*$B$17*$B$20*$B$21,0)</f>
        <v/>
      </c>
      <c r="AE53" s="10">
        <f>ROUND(($B$4+$B$5*0+$B$6*3+$B$7*0)*$B$11*$B$15*$B$17*$B$20*$B$22,0)</f>
        <v/>
      </c>
      <c r="AF53" s="10">
        <f>ROUND(($B$4+$B$5*0+$B$6*0+$B$7*1)*$B$11*$B$15*$B$17*$B$20*$B$21,0)</f>
        <v/>
      </c>
      <c r="AG53" s="10">
        <f>ROUND(($B$4+$B$5*0+$B$6*0+$B$7*1)*$B$11*$B$15*$B$17*$B$20*$B$22,0)</f>
        <v/>
      </c>
      <c r="AH53" s="10">
        <f>ROUND(($B$4+$B$5*1+$B$6*1+$B$7*0)*$B$11*$B$15*$B$17*$B$20*$B$21,0)</f>
        <v/>
      </c>
      <c r="AI53" s="10">
        <f>ROUND(($B$4+$B$5*1+$B$6*1+$B$7*0)*$B$11*$B$15*$B$17*$B$20*$B$22,0)</f>
        <v/>
      </c>
      <c r="AJ53" s="10">
        <f>ROUND(($B$4+$B$5*1+$B$6*2+$B$7*0)*$B$11*$B$15*$B$17*$B$20*$B$21,0)</f>
        <v/>
      </c>
      <c r="AK53" s="10">
        <f>ROUND(($B$4+$B$5*1+$B$6*2+$B$7*0)*$B$11*$B$15*$B$17*$B$20*$B$22,0)</f>
        <v/>
      </c>
      <c r="AL53" s="10">
        <f>ROUND(($B$4+$B$5*1+$B$6*0+$B$7*1)*$B$11*$B$15*$B$17*$B$20*$B$21,0)</f>
        <v/>
      </c>
      <c r="AM53" s="10">
        <f>ROUND(($B$4+$B$5*1+$B$6*0+$B$7*1)*$B$11*$B$15*$B$17*$B$20*$B$22,0)</f>
        <v/>
      </c>
      <c r="AN53" s="10">
        <f>ROUND(($B$4+$B$5*0+$B$6*2+$B$7*1)*$B$11*$B$15*$B$17*$B$20*$B$21,0)</f>
        <v/>
      </c>
      <c r="AO53" s="10">
        <f>ROUND(($B$4+$B$5*0+$B$6*2+$B$7*1)*$B$11*$B$15*$B$17*$B$20*$B$22,0)</f>
        <v/>
      </c>
      <c r="AP53" s="10">
        <f>ROUND(($B$4+$B$5*1+$B$6*2+$B$7*1)*$B$11*$B$15*$B$17*$B$20*$B$21,0)</f>
        <v/>
      </c>
      <c r="AQ53" s="10">
        <f>ROUND(($B$4+$B$5*1+$B$6*2+$B$7*1)*$B$11*$B$15*$B$17*$B$20*$B$22,0)</f>
        <v/>
      </c>
    </row>
    <row r="54" ht="20.1" customHeight="1" s="62">
      <c r="A54" s="68" t="n"/>
      <c r="B54" s="59" t="n"/>
      <c r="C54" s="15" t="inlineStr">
        <is>
          <t>Activité complexe / multi-offres</t>
        </is>
      </c>
      <c r="D54" s="10">
        <f>ROUND(($B$4+$B$5*1+$B$6*0+$B$7*0)*$B$11*$B$15*$B$18*$B$19*$B$21,0)</f>
        <v/>
      </c>
      <c r="E54" s="10">
        <f>ROUND(($B$4+$B$5*1+$B$6*0+$B$7*0)*$B$11*$B$15*$B$18*$B$19*$B$22,0)</f>
        <v/>
      </c>
      <c r="F54" s="10">
        <f>ROUND(($B$4+$B$5*0+$B$6*1+$B$7*0)*$B$11*$B$15*$B$18*$B$19*$B$21,0)</f>
        <v/>
      </c>
      <c r="G54" s="10">
        <f>ROUND(($B$4+$B$5*0+$B$6*1+$B$7*0)*$B$11*$B$15*$B$18*$B$19*$B$22,0)</f>
        <v/>
      </c>
      <c r="H54" s="10">
        <f>ROUND(($B$4+$B$5*0+$B$6*2+$B$7*0)*$B$11*$B$15*$B$18*$B$19*$B$21,0)</f>
        <v/>
      </c>
      <c r="I54" s="10">
        <f>ROUND(($B$4+$B$5*0+$B$6*2+$B$7*0)*$B$11*$B$15*$B$18*$B$19*$B$22,0)</f>
        <v/>
      </c>
      <c r="J54" s="10">
        <f>ROUND(($B$4+$B$5*0+$B$6*3+$B$7*0)*$B$11*$B$15*$B$18*$B$19*$B$21,0)</f>
        <v/>
      </c>
      <c r="K54" s="10">
        <f>ROUND(($B$4+$B$5*0+$B$6*3+$B$7*0)*$B$11*$B$15*$B$18*$B$19*$B$22,0)</f>
        <v/>
      </c>
      <c r="L54" s="10">
        <f>ROUND(($B$4+$B$5*0+$B$6*0+$B$7*1)*$B$11*$B$15*$B$18*$B$19*$B$21,0)</f>
        <v/>
      </c>
      <c r="M54" s="10">
        <f>ROUND(($B$4+$B$5*0+$B$6*0+$B$7*1)*$B$11*$B$15*$B$18*$B$19*$B$22,0)</f>
        <v/>
      </c>
      <c r="N54" s="10">
        <f>ROUND(($B$4+$B$5*1+$B$6*1+$B$7*0)*$B$11*$B$15*$B$18*$B$19*$B$21,0)</f>
        <v/>
      </c>
      <c r="O54" s="10">
        <f>ROUND(($B$4+$B$5*1+$B$6*1+$B$7*0)*$B$11*$B$15*$B$18*$B$19*$B$22,0)</f>
        <v/>
      </c>
      <c r="P54" s="10">
        <f>ROUND(($B$4+$B$5*1+$B$6*2+$B$7*0)*$B$11*$B$15*$B$18*$B$19*$B$21,0)</f>
        <v/>
      </c>
      <c r="Q54" s="10">
        <f>ROUND(($B$4+$B$5*1+$B$6*2+$B$7*0)*$B$11*$B$15*$B$18*$B$19*$B$22,0)</f>
        <v/>
      </c>
      <c r="R54" s="10">
        <f>ROUND(($B$4+$B$5*1+$B$6*0+$B$7*1)*$B$11*$B$15*$B$18*$B$19*$B$21,0)</f>
        <v/>
      </c>
      <c r="S54" s="10">
        <f>ROUND(($B$4+$B$5*1+$B$6*0+$B$7*1)*$B$11*$B$15*$B$18*$B$19*$B$22,0)</f>
        <v/>
      </c>
      <c r="T54" s="10">
        <f>ROUND(($B$4+$B$5*0+$B$6*2+$B$7*1)*$B$11*$B$15*$B$18*$B$19*$B$21,0)</f>
        <v/>
      </c>
      <c r="U54" s="10">
        <f>ROUND(($B$4+$B$5*0+$B$6*2+$B$7*1)*$B$11*$B$15*$B$18*$B$19*$B$22,0)</f>
        <v/>
      </c>
      <c r="V54" s="10">
        <f>ROUND(($B$4+$B$5*1+$B$6*2+$B$7*1)*$B$11*$B$15*$B$18*$B$19*$B$21,0)</f>
        <v/>
      </c>
      <c r="W54" s="10">
        <f>ROUND(($B$4+$B$5*1+$B$6*2+$B$7*1)*$B$11*$B$15*$B$18*$B$19*$B$22,0)</f>
        <v/>
      </c>
      <c r="X54" s="10">
        <f>ROUND(($B$4+$B$5*1+$B$6*0+$B$7*0)*$B$11*$B$15*$B$18*$B$20*$B$21,0)</f>
        <v/>
      </c>
      <c r="Y54" s="10">
        <f>ROUND(($B$4+$B$5*1+$B$6*0+$B$7*0)*$B$11*$B$15*$B$18*$B$20*$B$22,0)</f>
        <v/>
      </c>
      <c r="Z54" s="10">
        <f>ROUND(($B$4+$B$5*0+$B$6*1+$B$7*0)*$B$11*$B$15*$B$18*$B$20*$B$21,0)</f>
        <v/>
      </c>
      <c r="AA54" s="10">
        <f>ROUND(($B$4+$B$5*0+$B$6*1+$B$7*0)*$B$11*$B$15*$B$18*$B$20*$B$22,0)</f>
        <v/>
      </c>
      <c r="AB54" s="10">
        <f>ROUND(($B$4+$B$5*0+$B$6*2+$B$7*0)*$B$11*$B$15*$B$18*$B$20*$B$21,0)</f>
        <v/>
      </c>
      <c r="AC54" s="10">
        <f>ROUND(($B$4+$B$5*0+$B$6*2+$B$7*0)*$B$11*$B$15*$B$18*$B$20*$B$22,0)</f>
        <v/>
      </c>
      <c r="AD54" s="10">
        <f>ROUND(($B$4+$B$5*0+$B$6*3+$B$7*0)*$B$11*$B$15*$B$18*$B$20*$B$21,0)</f>
        <v/>
      </c>
      <c r="AE54" s="10">
        <f>ROUND(($B$4+$B$5*0+$B$6*3+$B$7*0)*$B$11*$B$15*$B$18*$B$20*$B$22,0)</f>
        <v/>
      </c>
      <c r="AF54" s="10">
        <f>ROUND(($B$4+$B$5*0+$B$6*0+$B$7*1)*$B$11*$B$15*$B$18*$B$20*$B$21,0)</f>
        <v/>
      </c>
      <c r="AG54" s="10">
        <f>ROUND(($B$4+$B$5*0+$B$6*0+$B$7*1)*$B$11*$B$15*$B$18*$B$20*$B$22,0)</f>
        <v/>
      </c>
      <c r="AH54" s="10">
        <f>ROUND(($B$4+$B$5*1+$B$6*1+$B$7*0)*$B$11*$B$15*$B$18*$B$20*$B$21,0)</f>
        <v/>
      </c>
      <c r="AI54" s="10">
        <f>ROUND(($B$4+$B$5*1+$B$6*1+$B$7*0)*$B$11*$B$15*$B$18*$B$20*$B$22,0)</f>
        <v/>
      </c>
      <c r="AJ54" s="10">
        <f>ROUND(($B$4+$B$5*1+$B$6*2+$B$7*0)*$B$11*$B$15*$B$18*$B$20*$B$21,0)</f>
        <v/>
      </c>
      <c r="AK54" s="10">
        <f>ROUND(($B$4+$B$5*1+$B$6*2+$B$7*0)*$B$11*$B$15*$B$18*$B$20*$B$22,0)</f>
        <v/>
      </c>
      <c r="AL54" s="10">
        <f>ROUND(($B$4+$B$5*1+$B$6*0+$B$7*1)*$B$11*$B$15*$B$18*$B$20*$B$21,0)</f>
        <v/>
      </c>
      <c r="AM54" s="10">
        <f>ROUND(($B$4+$B$5*1+$B$6*0+$B$7*1)*$B$11*$B$15*$B$18*$B$20*$B$22,0)</f>
        <v/>
      </c>
      <c r="AN54" s="10">
        <f>ROUND(($B$4+$B$5*0+$B$6*2+$B$7*1)*$B$11*$B$15*$B$18*$B$20*$B$21,0)</f>
        <v/>
      </c>
      <c r="AO54" s="10">
        <f>ROUND(($B$4+$B$5*0+$B$6*2+$B$7*1)*$B$11*$B$15*$B$18*$B$20*$B$22,0)</f>
        <v/>
      </c>
      <c r="AP54" s="10">
        <f>ROUND(($B$4+$B$5*1+$B$6*2+$B$7*1)*$B$11*$B$15*$B$18*$B$20*$B$21,0)</f>
        <v/>
      </c>
      <c r="AQ54" s="10">
        <f>ROUND(($B$4+$B$5*1+$B$6*2+$B$7*1)*$B$11*$B$15*$B$18*$B$20*$B$22,0)</f>
        <v/>
      </c>
    </row>
    <row r="55" ht="20.1" customHeight="1" s="62">
      <c r="A55" s="66" t="inlineStr">
        <is>
          <t>ETI / Grand compte (100+)</t>
        </is>
      </c>
      <c r="B55" s="57" t="inlineStr">
        <is>
          <t>Faible (peu/pas de présence digitale)</t>
        </is>
      </c>
      <c r="C55" s="14" t="inlineStr">
        <is>
          <t>Activité simple</t>
        </is>
      </c>
      <c r="D55" s="10">
        <f>ROUND(($B$4+$B$5*1+$B$6*0+$B$7*0)*$B$12*$B$13*$B$16*$B$19*$B$21,0)</f>
        <v/>
      </c>
      <c r="E55" s="10">
        <f>ROUND(($B$4+$B$5*1+$B$6*0+$B$7*0)*$B$12*$B$13*$B$16*$B$19*$B$22,0)</f>
        <v/>
      </c>
      <c r="F55" s="10">
        <f>ROUND(($B$4+$B$5*0+$B$6*1+$B$7*0)*$B$12*$B$13*$B$16*$B$19*$B$21,0)</f>
        <v/>
      </c>
      <c r="G55" s="10">
        <f>ROUND(($B$4+$B$5*0+$B$6*1+$B$7*0)*$B$12*$B$13*$B$16*$B$19*$B$22,0)</f>
        <v/>
      </c>
      <c r="H55" s="10">
        <f>ROUND(($B$4+$B$5*0+$B$6*2+$B$7*0)*$B$12*$B$13*$B$16*$B$19*$B$21,0)</f>
        <v/>
      </c>
      <c r="I55" s="10">
        <f>ROUND(($B$4+$B$5*0+$B$6*2+$B$7*0)*$B$12*$B$13*$B$16*$B$19*$B$22,0)</f>
        <v/>
      </c>
      <c r="J55" s="10">
        <f>ROUND(($B$4+$B$5*0+$B$6*3+$B$7*0)*$B$12*$B$13*$B$16*$B$19*$B$21,0)</f>
        <v/>
      </c>
      <c r="K55" s="10">
        <f>ROUND(($B$4+$B$5*0+$B$6*3+$B$7*0)*$B$12*$B$13*$B$16*$B$19*$B$22,0)</f>
        <v/>
      </c>
      <c r="L55" s="10">
        <f>ROUND(($B$4+$B$5*0+$B$6*0+$B$7*1)*$B$12*$B$13*$B$16*$B$19*$B$21,0)</f>
        <v/>
      </c>
      <c r="M55" s="10">
        <f>ROUND(($B$4+$B$5*0+$B$6*0+$B$7*1)*$B$12*$B$13*$B$16*$B$19*$B$22,0)</f>
        <v/>
      </c>
      <c r="N55" s="10">
        <f>ROUND(($B$4+$B$5*1+$B$6*1+$B$7*0)*$B$12*$B$13*$B$16*$B$19*$B$21,0)</f>
        <v/>
      </c>
      <c r="O55" s="10">
        <f>ROUND(($B$4+$B$5*1+$B$6*1+$B$7*0)*$B$12*$B$13*$B$16*$B$19*$B$22,0)</f>
        <v/>
      </c>
      <c r="P55" s="10">
        <f>ROUND(($B$4+$B$5*1+$B$6*2+$B$7*0)*$B$12*$B$13*$B$16*$B$19*$B$21,0)</f>
        <v/>
      </c>
      <c r="Q55" s="10">
        <f>ROUND(($B$4+$B$5*1+$B$6*2+$B$7*0)*$B$12*$B$13*$B$16*$B$19*$B$22,0)</f>
        <v/>
      </c>
      <c r="R55" s="10">
        <f>ROUND(($B$4+$B$5*1+$B$6*0+$B$7*1)*$B$12*$B$13*$B$16*$B$19*$B$21,0)</f>
        <v/>
      </c>
      <c r="S55" s="10">
        <f>ROUND(($B$4+$B$5*1+$B$6*0+$B$7*1)*$B$12*$B$13*$B$16*$B$19*$B$22,0)</f>
        <v/>
      </c>
      <c r="T55" s="10">
        <f>ROUND(($B$4+$B$5*0+$B$6*2+$B$7*1)*$B$12*$B$13*$B$16*$B$19*$B$21,0)</f>
        <v/>
      </c>
      <c r="U55" s="10">
        <f>ROUND(($B$4+$B$5*0+$B$6*2+$B$7*1)*$B$12*$B$13*$B$16*$B$19*$B$22,0)</f>
        <v/>
      </c>
      <c r="V55" s="10">
        <f>ROUND(($B$4+$B$5*1+$B$6*2+$B$7*1)*$B$12*$B$13*$B$16*$B$19*$B$21,0)</f>
        <v/>
      </c>
      <c r="W55" s="10">
        <f>ROUND(($B$4+$B$5*1+$B$6*2+$B$7*1)*$B$12*$B$13*$B$16*$B$19*$B$22,0)</f>
        <v/>
      </c>
      <c r="X55" s="10">
        <f>ROUND(($B$4+$B$5*1+$B$6*0+$B$7*0)*$B$12*$B$13*$B$16*$B$20*$B$21,0)</f>
        <v/>
      </c>
      <c r="Y55" s="10">
        <f>ROUND(($B$4+$B$5*1+$B$6*0+$B$7*0)*$B$12*$B$13*$B$16*$B$20*$B$22,0)</f>
        <v/>
      </c>
      <c r="Z55" s="10">
        <f>ROUND(($B$4+$B$5*0+$B$6*1+$B$7*0)*$B$12*$B$13*$B$16*$B$20*$B$21,0)</f>
        <v/>
      </c>
      <c r="AA55" s="10">
        <f>ROUND(($B$4+$B$5*0+$B$6*1+$B$7*0)*$B$12*$B$13*$B$16*$B$20*$B$22,0)</f>
        <v/>
      </c>
      <c r="AB55" s="10">
        <f>ROUND(($B$4+$B$5*0+$B$6*2+$B$7*0)*$B$12*$B$13*$B$16*$B$20*$B$21,0)</f>
        <v/>
      </c>
      <c r="AC55" s="10">
        <f>ROUND(($B$4+$B$5*0+$B$6*2+$B$7*0)*$B$12*$B$13*$B$16*$B$20*$B$22,0)</f>
        <v/>
      </c>
      <c r="AD55" s="10">
        <f>ROUND(($B$4+$B$5*0+$B$6*3+$B$7*0)*$B$12*$B$13*$B$16*$B$20*$B$21,0)</f>
        <v/>
      </c>
      <c r="AE55" s="10">
        <f>ROUND(($B$4+$B$5*0+$B$6*3+$B$7*0)*$B$12*$B$13*$B$16*$B$20*$B$22,0)</f>
        <v/>
      </c>
      <c r="AF55" s="10">
        <f>ROUND(($B$4+$B$5*0+$B$6*0+$B$7*1)*$B$12*$B$13*$B$16*$B$20*$B$21,0)</f>
        <v/>
      </c>
      <c r="AG55" s="10">
        <f>ROUND(($B$4+$B$5*0+$B$6*0+$B$7*1)*$B$12*$B$13*$B$16*$B$20*$B$22,0)</f>
        <v/>
      </c>
      <c r="AH55" s="10">
        <f>ROUND(($B$4+$B$5*1+$B$6*1+$B$7*0)*$B$12*$B$13*$B$16*$B$20*$B$21,0)</f>
        <v/>
      </c>
      <c r="AI55" s="10">
        <f>ROUND(($B$4+$B$5*1+$B$6*1+$B$7*0)*$B$12*$B$13*$B$16*$B$20*$B$22,0)</f>
        <v/>
      </c>
      <c r="AJ55" s="10">
        <f>ROUND(($B$4+$B$5*1+$B$6*2+$B$7*0)*$B$12*$B$13*$B$16*$B$20*$B$21,0)</f>
        <v/>
      </c>
      <c r="AK55" s="10">
        <f>ROUND(($B$4+$B$5*1+$B$6*2+$B$7*0)*$B$12*$B$13*$B$16*$B$20*$B$22,0)</f>
        <v/>
      </c>
      <c r="AL55" s="10">
        <f>ROUND(($B$4+$B$5*1+$B$6*0+$B$7*1)*$B$12*$B$13*$B$16*$B$20*$B$21,0)</f>
        <v/>
      </c>
      <c r="AM55" s="10">
        <f>ROUND(($B$4+$B$5*1+$B$6*0+$B$7*1)*$B$12*$B$13*$B$16*$B$20*$B$22,0)</f>
        <v/>
      </c>
      <c r="AN55" s="10">
        <f>ROUND(($B$4+$B$5*0+$B$6*2+$B$7*1)*$B$12*$B$13*$B$16*$B$20*$B$21,0)</f>
        <v/>
      </c>
      <c r="AO55" s="10">
        <f>ROUND(($B$4+$B$5*0+$B$6*2+$B$7*1)*$B$12*$B$13*$B$16*$B$20*$B$22,0)</f>
        <v/>
      </c>
      <c r="AP55" s="10">
        <f>ROUND(($B$4+$B$5*1+$B$6*2+$B$7*1)*$B$12*$B$13*$B$16*$B$20*$B$21,0)</f>
        <v/>
      </c>
      <c r="AQ55" s="10">
        <f>ROUND(($B$4+$B$5*1+$B$6*2+$B$7*1)*$B$12*$B$13*$B$16*$B$20*$B$22,0)</f>
        <v/>
      </c>
    </row>
    <row r="56" ht="20.1" customHeight="1" s="62">
      <c r="A56" s="67" t="n"/>
      <c r="B56" s="58" t="n"/>
      <c r="C56" s="57" t="inlineStr">
        <is>
          <t>Activité modérée</t>
        </is>
      </c>
      <c r="D56" s="10">
        <f>ROUND(($B$4+$B$5*1+$B$6*0+$B$7*0)*$B$12*$B$13*$B$17*$B$19*$B$21,0)</f>
        <v/>
      </c>
      <c r="E56" s="10">
        <f>ROUND(($B$4+$B$5*1+$B$6*0+$B$7*0)*$B$12*$B$13*$B$17*$B$19*$B$22,0)</f>
        <v/>
      </c>
      <c r="F56" s="10">
        <f>ROUND(($B$4+$B$5*0+$B$6*1+$B$7*0)*$B$12*$B$13*$B$17*$B$19*$B$21,0)</f>
        <v/>
      </c>
      <c r="G56" s="10">
        <f>ROUND(($B$4+$B$5*0+$B$6*1+$B$7*0)*$B$12*$B$13*$B$17*$B$19*$B$22,0)</f>
        <v/>
      </c>
      <c r="H56" s="10">
        <f>ROUND(($B$4+$B$5*0+$B$6*2+$B$7*0)*$B$12*$B$13*$B$17*$B$19*$B$21,0)</f>
        <v/>
      </c>
      <c r="I56" s="10">
        <f>ROUND(($B$4+$B$5*0+$B$6*2+$B$7*0)*$B$12*$B$13*$B$17*$B$19*$B$22,0)</f>
        <v/>
      </c>
      <c r="J56" s="10">
        <f>ROUND(($B$4+$B$5*0+$B$6*3+$B$7*0)*$B$12*$B$13*$B$17*$B$19*$B$21,0)</f>
        <v/>
      </c>
      <c r="K56" s="10">
        <f>ROUND(($B$4+$B$5*0+$B$6*3+$B$7*0)*$B$12*$B$13*$B$17*$B$19*$B$22,0)</f>
        <v/>
      </c>
      <c r="L56" s="10">
        <f>ROUND(($B$4+$B$5*0+$B$6*0+$B$7*1)*$B$12*$B$13*$B$17*$B$19*$B$21,0)</f>
        <v/>
      </c>
      <c r="M56" s="10">
        <f>ROUND(($B$4+$B$5*0+$B$6*0+$B$7*1)*$B$12*$B$13*$B$17*$B$19*$B$22,0)</f>
        <v/>
      </c>
      <c r="N56" s="10">
        <f>ROUND(($B$4+$B$5*1+$B$6*1+$B$7*0)*$B$12*$B$13*$B$17*$B$19*$B$21,0)</f>
        <v/>
      </c>
      <c r="O56" s="10">
        <f>ROUND(($B$4+$B$5*1+$B$6*1+$B$7*0)*$B$12*$B$13*$B$17*$B$19*$B$22,0)</f>
        <v/>
      </c>
      <c r="P56" s="10">
        <f>ROUND(($B$4+$B$5*1+$B$6*2+$B$7*0)*$B$12*$B$13*$B$17*$B$19*$B$21,0)</f>
        <v/>
      </c>
      <c r="Q56" s="10">
        <f>ROUND(($B$4+$B$5*1+$B$6*2+$B$7*0)*$B$12*$B$13*$B$17*$B$19*$B$22,0)</f>
        <v/>
      </c>
      <c r="R56" s="10">
        <f>ROUND(($B$4+$B$5*1+$B$6*0+$B$7*1)*$B$12*$B$13*$B$17*$B$19*$B$21,0)</f>
        <v/>
      </c>
      <c r="S56" s="10">
        <f>ROUND(($B$4+$B$5*1+$B$6*0+$B$7*1)*$B$12*$B$13*$B$17*$B$19*$B$22,0)</f>
        <v/>
      </c>
      <c r="T56" s="10">
        <f>ROUND(($B$4+$B$5*0+$B$6*2+$B$7*1)*$B$12*$B$13*$B$17*$B$19*$B$21,0)</f>
        <v/>
      </c>
      <c r="U56" s="10">
        <f>ROUND(($B$4+$B$5*0+$B$6*2+$B$7*1)*$B$12*$B$13*$B$17*$B$19*$B$22,0)</f>
        <v/>
      </c>
      <c r="V56" s="10">
        <f>ROUND(($B$4+$B$5*1+$B$6*2+$B$7*1)*$B$12*$B$13*$B$17*$B$19*$B$21,0)</f>
        <v/>
      </c>
      <c r="W56" s="10">
        <f>ROUND(($B$4+$B$5*1+$B$6*2+$B$7*1)*$B$12*$B$13*$B$17*$B$19*$B$22,0)</f>
        <v/>
      </c>
      <c r="X56" s="10">
        <f>ROUND(($B$4+$B$5*1+$B$6*0+$B$7*0)*$B$12*$B$13*$B$17*$B$20*$B$21,0)</f>
        <v/>
      </c>
      <c r="Y56" s="10">
        <f>ROUND(($B$4+$B$5*1+$B$6*0+$B$7*0)*$B$12*$B$13*$B$17*$B$20*$B$22,0)</f>
        <v/>
      </c>
      <c r="Z56" s="10">
        <f>ROUND(($B$4+$B$5*0+$B$6*1+$B$7*0)*$B$12*$B$13*$B$17*$B$20*$B$21,0)</f>
        <v/>
      </c>
      <c r="AA56" s="10">
        <f>ROUND(($B$4+$B$5*0+$B$6*1+$B$7*0)*$B$12*$B$13*$B$17*$B$20*$B$22,0)</f>
        <v/>
      </c>
      <c r="AB56" s="10">
        <f>ROUND(($B$4+$B$5*0+$B$6*2+$B$7*0)*$B$12*$B$13*$B$17*$B$20*$B$21,0)</f>
        <v/>
      </c>
      <c r="AC56" s="10">
        <f>ROUND(($B$4+$B$5*0+$B$6*2+$B$7*0)*$B$12*$B$13*$B$17*$B$20*$B$22,0)</f>
        <v/>
      </c>
      <c r="AD56" s="10">
        <f>ROUND(($B$4+$B$5*0+$B$6*3+$B$7*0)*$B$12*$B$13*$B$17*$B$20*$B$21,0)</f>
        <v/>
      </c>
      <c r="AE56" s="10">
        <f>ROUND(($B$4+$B$5*0+$B$6*3+$B$7*0)*$B$12*$B$13*$B$17*$B$20*$B$22,0)</f>
        <v/>
      </c>
      <c r="AF56" s="10">
        <f>ROUND(($B$4+$B$5*0+$B$6*0+$B$7*1)*$B$12*$B$13*$B$17*$B$20*$B$21,0)</f>
        <v/>
      </c>
      <c r="AG56" s="10">
        <f>ROUND(($B$4+$B$5*0+$B$6*0+$B$7*1)*$B$12*$B$13*$B$17*$B$20*$B$22,0)</f>
        <v/>
      </c>
      <c r="AH56" s="10">
        <f>ROUND(($B$4+$B$5*1+$B$6*1+$B$7*0)*$B$12*$B$13*$B$17*$B$20*$B$21,0)</f>
        <v/>
      </c>
      <c r="AI56" s="10">
        <f>ROUND(($B$4+$B$5*1+$B$6*1+$B$7*0)*$B$12*$B$13*$B$17*$B$20*$B$22,0)</f>
        <v/>
      </c>
      <c r="AJ56" s="10">
        <f>ROUND(($B$4+$B$5*1+$B$6*2+$B$7*0)*$B$12*$B$13*$B$17*$B$20*$B$21,0)</f>
        <v/>
      </c>
      <c r="AK56" s="10">
        <f>ROUND(($B$4+$B$5*1+$B$6*2+$B$7*0)*$B$12*$B$13*$B$17*$B$20*$B$22,0)</f>
        <v/>
      </c>
      <c r="AL56" s="10">
        <f>ROUND(($B$4+$B$5*1+$B$6*0+$B$7*1)*$B$12*$B$13*$B$17*$B$20*$B$21,0)</f>
        <v/>
      </c>
      <c r="AM56" s="10">
        <f>ROUND(($B$4+$B$5*1+$B$6*0+$B$7*1)*$B$12*$B$13*$B$17*$B$20*$B$22,0)</f>
        <v/>
      </c>
      <c r="AN56" s="10">
        <f>ROUND(($B$4+$B$5*0+$B$6*2+$B$7*1)*$B$12*$B$13*$B$17*$B$20*$B$21,0)</f>
        <v/>
      </c>
      <c r="AO56" s="10">
        <f>ROUND(($B$4+$B$5*0+$B$6*2+$B$7*1)*$B$12*$B$13*$B$17*$B$20*$B$22,0)</f>
        <v/>
      </c>
      <c r="AP56" s="10">
        <f>ROUND(($B$4+$B$5*1+$B$6*2+$B$7*1)*$B$12*$B$13*$B$17*$B$20*$B$21,0)</f>
        <v/>
      </c>
      <c r="AQ56" s="10">
        <f>ROUND(($B$4+$B$5*1+$B$6*2+$B$7*1)*$B$12*$B$13*$B$17*$B$20*$B$22,0)</f>
        <v/>
      </c>
    </row>
    <row r="57" ht="20.1" customHeight="1" s="62">
      <c r="A57" s="67" t="n"/>
      <c r="B57" s="59" t="n"/>
      <c r="C57" s="15" t="inlineStr">
        <is>
          <t>Activité complexe / multi-offres</t>
        </is>
      </c>
      <c r="D57" s="10">
        <f>ROUND(($B$4+$B$5*1+$B$6*0+$B$7*0)*$B$12*$B$13*$B$18*$B$19*$B$21,0)</f>
        <v/>
      </c>
      <c r="E57" s="10">
        <f>ROUND(($B$4+$B$5*1+$B$6*0+$B$7*0)*$B$12*$B$13*$B$18*$B$19*$B$22,0)</f>
        <v/>
      </c>
      <c r="F57" s="10">
        <f>ROUND(($B$4+$B$5*0+$B$6*1+$B$7*0)*$B$12*$B$13*$B$18*$B$19*$B$21,0)</f>
        <v/>
      </c>
      <c r="G57" s="10">
        <f>ROUND(($B$4+$B$5*0+$B$6*1+$B$7*0)*$B$12*$B$13*$B$18*$B$19*$B$22,0)</f>
        <v/>
      </c>
      <c r="H57" s="10">
        <f>ROUND(($B$4+$B$5*0+$B$6*2+$B$7*0)*$B$12*$B$13*$B$18*$B$19*$B$21,0)</f>
        <v/>
      </c>
      <c r="I57" s="10">
        <f>ROUND(($B$4+$B$5*0+$B$6*2+$B$7*0)*$B$12*$B$13*$B$18*$B$19*$B$22,0)</f>
        <v/>
      </c>
      <c r="J57" s="10">
        <f>ROUND(($B$4+$B$5*0+$B$6*3+$B$7*0)*$B$12*$B$13*$B$18*$B$19*$B$21,0)</f>
        <v/>
      </c>
      <c r="K57" s="10">
        <f>ROUND(($B$4+$B$5*0+$B$6*3+$B$7*0)*$B$12*$B$13*$B$18*$B$19*$B$22,0)</f>
        <v/>
      </c>
      <c r="L57" s="10">
        <f>ROUND(($B$4+$B$5*0+$B$6*0+$B$7*1)*$B$12*$B$13*$B$18*$B$19*$B$21,0)</f>
        <v/>
      </c>
      <c r="M57" s="10">
        <f>ROUND(($B$4+$B$5*0+$B$6*0+$B$7*1)*$B$12*$B$13*$B$18*$B$19*$B$22,0)</f>
        <v/>
      </c>
      <c r="N57" s="10">
        <f>ROUND(($B$4+$B$5*1+$B$6*1+$B$7*0)*$B$12*$B$13*$B$18*$B$19*$B$21,0)</f>
        <v/>
      </c>
      <c r="O57" s="10">
        <f>ROUND(($B$4+$B$5*1+$B$6*1+$B$7*0)*$B$12*$B$13*$B$18*$B$19*$B$22,0)</f>
        <v/>
      </c>
      <c r="P57" s="10">
        <f>ROUND(($B$4+$B$5*1+$B$6*2+$B$7*0)*$B$12*$B$13*$B$18*$B$19*$B$21,0)</f>
        <v/>
      </c>
      <c r="Q57" s="10">
        <f>ROUND(($B$4+$B$5*1+$B$6*2+$B$7*0)*$B$12*$B$13*$B$18*$B$19*$B$22,0)</f>
        <v/>
      </c>
      <c r="R57" s="10">
        <f>ROUND(($B$4+$B$5*1+$B$6*0+$B$7*1)*$B$12*$B$13*$B$18*$B$19*$B$21,0)</f>
        <v/>
      </c>
      <c r="S57" s="10">
        <f>ROUND(($B$4+$B$5*1+$B$6*0+$B$7*1)*$B$12*$B$13*$B$18*$B$19*$B$22,0)</f>
        <v/>
      </c>
      <c r="T57" s="10">
        <f>ROUND(($B$4+$B$5*0+$B$6*2+$B$7*1)*$B$12*$B$13*$B$18*$B$19*$B$21,0)</f>
        <v/>
      </c>
      <c r="U57" s="10">
        <f>ROUND(($B$4+$B$5*0+$B$6*2+$B$7*1)*$B$12*$B$13*$B$18*$B$19*$B$22,0)</f>
        <v/>
      </c>
      <c r="V57" s="10">
        <f>ROUND(($B$4+$B$5*1+$B$6*2+$B$7*1)*$B$12*$B$13*$B$18*$B$19*$B$21,0)</f>
        <v/>
      </c>
      <c r="W57" s="10">
        <f>ROUND(($B$4+$B$5*1+$B$6*2+$B$7*1)*$B$12*$B$13*$B$18*$B$19*$B$22,0)</f>
        <v/>
      </c>
      <c r="X57" s="10">
        <f>ROUND(($B$4+$B$5*1+$B$6*0+$B$7*0)*$B$12*$B$13*$B$18*$B$20*$B$21,0)</f>
        <v/>
      </c>
      <c r="Y57" s="10">
        <f>ROUND(($B$4+$B$5*1+$B$6*0+$B$7*0)*$B$12*$B$13*$B$18*$B$20*$B$22,0)</f>
        <v/>
      </c>
      <c r="Z57" s="10">
        <f>ROUND(($B$4+$B$5*0+$B$6*1+$B$7*0)*$B$12*$B$13*$B$18*$B$20*$B$21,0)</f>
        <v/>
      </c>
      <c r="AA57" s="10">
        <f>ROUND(($B$4+$B$5*0+$B$6*1+$B$7*0)*$B$12*$B$13*$B$18*$B$20*$B$22,0)</f>
        <v/>
      </c>
      <c r="AB57" s="10">
        <f>ROUND(($B$4+$B$5*0+$B$6*2+$B$7*0)*$B$12*$B$13*$B$18*$B$20*$B$21,0)</f>
        <v/>
      </c>
      <c r="AC57" s="10">
        <f>ROUND(($B$4+$B$5*0+$B$6*2+$B$7*0)*$B$12*$B$13*$B$18*$B$20*$B$22,0)</f>
        <v/>
      </c>
      <c r="AD57" s="10">
        <f>ROUND(($B$4+$B$5*0+$B$6*3+$B$7*0)*$B$12*$B$13*$B$18*$B$20*$B$21,0)</f>
        <v/>
      </c>
      <c r="AE57" s="10">
        <f>ROUND(($B$4+$B$5*0+$B$6*3+$B$7*0)*$B$12*$B$13*$B$18*$B$20*$B$22,0)</f>
        <v/>
      </c>
      <c r="AF57" s="10">
        <f>ROUND(($B$4+$B$5*0+$B$6*0+$B$7*1)*$B$12*$B$13*$B$18*$B$20*$B$21,0)</f>
        <v/>
      </c>
      <c r="AG57" s="10">
        <f>ROUND(($B$4+$B$5*0+$B$6*0+$B$7*1)*$B$12*$B$13*$B$18*$B$20*$B$22,0)</f>
        <v/>
      </c>
      <c r="AH57" s="10">
        <f>ROUND(($B$4+$B$5*1+$B$6*1+$B$7*0)*$B$12*$B$13*$B$18*$B$20*$B$21,0)</f>
        <v/>
      </c>
      <c r="AI57" s="10">
        <f>ROUND(($B$4+$B$5*1+$B$6*1+$B$7*0)*$B$12*$B$13*$B$18*$B$20*$B$22,0)</f>
        <v/>
      </c>
      <c r="AJ57" s="10">
        <f>ROUND(($B$4+$B$5*1+$B$6*2+$B$7*0)*$B$12*$B$13*$B$18*$B$20*$B$21,0)</f>
        <v/>
      </c>
      <c r="AK57" s="10">
        <f>ROUND(($B$4+$B$5*1+$B$6*2+$B$7*0)*$B$12*$B$13*$B$18*$B$20*$B$22,0)</f>
        <v/>
      </c>
      <c r="AL57" s="10">
        <f>ROUND(($B$4+$B$5*1+$B$6*0+$B$7*1)*$B$12*$B$13*$B$18*$B$20*$B$21,0)</f>
        <v/>
      </c>
      <c r="AM57" s="10">
        <f>ROUND(($B$4+$B$5*1+$B$6*0+$B$7*1)*$B$12*$B$13*$B$18*$B$20*$B$22,0)</f>
        <v/>
      </c>
      <c r="AN57" s="10">
        <f>ROUND(($B$4+$B$5*0+$B$6*2+$B$7*1)*$B$12*$B$13*$B$18*$B$20*$B$21,0)</f>
        <v/>
      </c>
      <c r="AO57" s="10">
        <f>ROUND(($B$4+$B$5*0+$B$6*2+$B$7*1)*$B$12*$B$13*$B$18*$B$20*$B$22,0)</f>
        <v/>
      </c>
      <c r="AP57" s="10">
        <f>ROUND(($B$4+$B$5*1+$B$6*2+$B$7*1)*$B$12*$B$13*$B$18*$B$20*$B$21,0)</f>
        <v/>
      </c>
      <c r="AQ57" s="10">
        <f>ROUND(($B$4+$B$5*1+$B$6*2+$B$7*1)*$B$12*$B$13*$B$18*$B$20*$B$22,0)</f>
        <v/>
      </c>
    </row>
    <row r="58" ht="20.1" customHeight="1" s="62">
      <c r="A58" s="67" t="n"/>
      <c r="B58" s="57" t="inlineStr">
        <is>
          <t>Intermédiaire (présence partielle)</t>
        </is>
      </c>
      <c r="C58" s="14" t="inlineStr">
        <is>
          <t>Activité simple</t>
        </is>
      </c>
      <c r="D58" s="10">
        <f>ROUND(($B$4+$B$5*1+$B$6*0+$B$7*0)*$B$12*$B$14*$B$16*$B$19*$B$21,0)</f>
        <v/>
      </c>
      <c r="E58" s="10">
        <f>ROUND(($B$4+$B$5*1+$B$6*0+$B$7*0)*$B$12*$B$14*$B$16*$B$19*$B$22,0)</f>
        <v/>
      </c>
      <c r="F58" s="10">
        <f>ROUND(($B$4+$B$5*0+$B$6*1+$B$7*0)*$B$12*$B$14*$B$16*$B$19*$B$21,0)</f>
        <v/>
      </c>
      <c r="G58" s="10">
        <f>ROUND(($B$4+$B$5*0+$B$6*1+$B$7*0)*$B$12*$B$14*$B$16*$B$19*$B$22,0)</f>
        <v/>
      </c>
      <c r="H58" s="10">
        <f>ROUND(($B$4+$B$5*0+$B$6*2+$B$7*0)*$B$12*$B$14*$B$16*$B$19*$B$21,0)</f>
        <v/>
      </c>
      <c r="I58" s="10">
        <f>ROUND(($B$4+$B$5*0+$B$6*2+$B$7*0)*$B$12*$B$14*$B$16*$B$19*$B$22,0)</f>
        <v/>
      </c>
      <c r="J58" s="10">
        <f>ROUND(($B$4+$B$5*0+$B$6*3+$B$7*0)*$B$12*$B$14*$B$16*$B$19*$B$21,0)</f>
        <v/>
      </c>
      <c r="K58" s="10">
        <f>ROUND(($B$4+$B$5*0+$B$6*3+$B$7*0)*$B$12*$B$14*$B$16*$B$19*$B$22,0)</f>
        <v/>
      </c>
      <c r="L58" s="10">
        <f>ROUND(($B$4+$B$5*0+$B$6*0+$B$7*1)*$B$12*$B$14*$B$16*$B$19*$B$21,0)</f>
        <v/>
      </c>
      <c r="M58" s="10">
        <f>ROUND(($B$4+$B$5*0+$B$6*0+$B$7*1)*$B$12*$B$14*$B$16*$B$19*$B$22,0)</f>
        <v/>
      </c>
      <c r="N58" s="10">
        <f>ROUND(($B$4+$B$5*1+$B$6*1+$B$7*0)*$B$12*$B$14*$B$16*$B$19*$B$21,0)</f>
        <v/>
      </c>
      <c r="O58" s="10">
        <f>ROUND(($B$4+$B$5*1+$B$6*1+$B$7*0)*$B$12*$B$14*$B$16*$B$19*$B$22,0)</f>
        <v/>
      </c>
      <c r="P58" s="10">
        <f>ROUND(($B$4+$B$5*1+$B$6*2+$B$7*0)*$B$12*$B$14*$B$16*$B$19*$B$21,0)</f>
        <v/>
      </c>
      <c r="Q58" s="10">
        <f>ROUND(($B$4+$B$5*1+$B$6*2+$B$7*0)*$B$12*$B$14*$B$16*$B$19*$B$22,0)</f>
        <v/>
      </c>
      <c r="R58" s="10">
        <f>ROUND(($B$4+$B$5*1+$B$6*0+$B$7*1)*$B$12*$B$14*$B$16*$B$19*$B$21,0)</f>
        <v/>
      </c>
      <c r="S58" s="10">
        <f>ROUND(($B$4+$B$5*1+$B$6*0+$B$7*1)*$B$12*$B$14*$B$16*$B$19*$B$22,0)</f>
        <v/>
      </c>
      <c r="T58" s="10">
        <f>ROUND(($B$4+$B$5*0+$B$6*2+$B$7*1)*$B$12*$B$14*$B$16*$B$19*$B$21,0)</f>
        <v/>
      </c>
      <c r="U58" s="10">
        <f>ROUND(($B$4+$B$5*0+$B$6*2+$B$7*1)*$B$12*$B$14*$B$16*$B$19*$B$22,0)</f>
        <v/>
      </c>
      <c r="V58" s="10">
        <f>ROUND(($B$4+$B$5*1+$B$6*2+$B$7*1)*$B$12*$B$14*$B$16*$B$19*$B$21,0)</f>
        <v/>
      </c>
      <c r="W58" s="10">
        <f>ROUND(($B$4+$B$5*1+$B$6*2+$B$7*1)*$B$12*$B$14*$B$16*$B$19*$B$22,0)</f>
        <v/>
      </c>
      <c r="X58" s="10">
        <f>ROUND(($B$4+$B$5*1+$B$6*0+$B$7*0)*$B$12*$B$14*$B$16*$B$20*$B$21,0)</f>
        <v/>
      </c>
      <c r="Y58" s="10">
        <f>ROUND(($B$4+$B$5*1+$B$6*0+$B$7*0)*$B$12*$B$14*$B$16*$B$20*$B$22,0)</f>
        <v/>
      </c>
      <c r="Z58" s="10">
        <f>ROUND(($B$4+$B$5*0+$B$6*1+$B$7*0)*$B$12*$B$14*$B$16*$B$20*$B$21,0)</f>
        <v/>
      </c>
      <c r="AA58" s="10">
        <f>ROUND(($B$4+$B$5*0+$B$6*1+$B$7*0)*$B$12*$B$14*$B$16*$B$20*$B$22,0)</f>
        <v/>
      </c>
      <c r="AB58" s="10">
        <f>ROUND(($B$4+$B$5*0+$B$6*2+$B$7*0)*$B$12*$B$14*$B$16*$B$20*$B$21,0)</f>
        <v/>
      </c>
      <c r="AC58" s="10">
        <f>ROUND(($B$4+$B$5*0+$B$6*2+$B$7*0)*$B$12*$B$14*$B$16*$B$20*$B$22,0)</f>
        <v/>
      </c>
      <c r="AD58" s="10">
        <f>ROUND(($B$4+$B$5*0+$B$6*3+$B$7*0)*$B$12*$B$14*$B$16*$B$20*$B$21,0)</f>
        <v/>
      </c>
      <c r="AE58" s="10">
        <f>ROUND(($B$4+$B$5*0+$B$6*3+$B$7*0)*$B$12*$B$14*$B$16*$B$20*$B$22,0)</f>
        <v/>
      </c>
      <c r="AF58" s="10">
        <f>ROUND(($B$4+$B$5*0+$B$6*0+$B$7*1)*$B$12*$B$14*$B$16*$B$20*$B$21,0)</f>
        <v/>
      </c>
      <c r="AG58" s="10">
        <f>ROUND(($B$4+$B$5*0+$B$6*0+$B$7*1)*$B$12*$B$14*$B$16*$B$20*$B$22,0)</f>
        <v/>
      </c>
      <c r="AH58" s="10">
        <f>ROUND(($B$4+$B$5*1+$B$6*1+$B$7*0)*$B$12*$B$14*$B$16*$B$20*$B$21,0)</f>
        <v/>
      </c>
      <c r="AI58" s="10">
        <f>ROUND(($B$4+$B$5*1+$B$6*1+$B$7*0)*$B$12*$B$14*$B$16*$B$20*$B$22,0)</f>
        <v/>
      </c>
      <c r="AJ58" s="10">
        <f>ROUND(($B$4+$B$5*1+$B$6*2+$B$7*0)*$B$12*$B$14*$B$16*$B$20*$B$21,0)</f>
        <v/>
      </c>
      <c r="AK58" s="10">
        <f>ROUND(($B$4+$B$5*1+$B$6*2+$B$7*0)*$B$12*$B$14*$B$16*$B$20*$B$22,0)</f>
        <v/>
      </c>
      <c r="AL58" s="10">
        <f>ROUND(($B$4+$B$5*1+$B$6*0+$B$7*1)*$B$12*$B$14*$B$16*$B$20*$B$21,0)</f>
        <v/>
      </c>
      <c r="AM58" s="10">
        <f>ROUND(($B$4+$B$5*1+$B$6*0+$B$7*1)*$B$12*$B$14*$B$16*$B$20*$B$22,0)</f>
        <v/>
      </c>
      <c r="AN58" s="10">
        <f>ROUND(($B$4+$B$5*0+$B$6*2+$B$7*1)*$B$12*$B$14*$B$16*$B$20*$B$21,0)</f>
        <v/>
      </c>
      <c r="AO58" s="10">
        <f>ROUND(($B$4+$B$5*0+$B$6*2+$B$7*1)*$B$12*$B$14*$B$16*$B$20*$B$22,0)</f>
        <v/>
      </c>
      <c r="AP58" s="10">
        <f>ROUND(($B$4+$B$5*1+$B$6*2+$B$7*1)*$B$12*$B$14*$B$16*$B$20*$B$21,0)</f>
        <v/>
      </c>
      <c r="AQ58" s="10">
        <f>ROUND(($B$4+$B$5*1+$B$6*2+$B$7*1)*$B$12*$B$14*$B$16*$B$20*$B$22,0)</f>
        <v/>
      </c>
    </row>
    <row r="59" ht="20.1" customHeight="1" s="62">
      <c r="A59" s="67" t="n"/>
      <c r="B59" s="58" t="n"/>
      <c r="C59" s="57" t="inlineStr">
        <is>
          <t>Activité modérée</t>
        </is>
      </c>
      <c r="D59" s="10">
        <f>ROUND(($B$4+$B$5*1+$B$6*0+$B$7*0)*$B$12*$B$14*$B$17*$B$19*$B$21,0)</f>
        <v/>
      </c>
      <c r="E59" s="10">
        <f>ROUND(($B$4+$B$5*1+$B$6*0+$B$7*0)*$B$12*$B$14*$B$17*$B$19*$B$22,0)</f>
        <v/>
      </c>
      <c r="F59" s="10">
        <f>ROUND(($B$4+$B$5*0+$B$6*1+$B$7*0)*$B$12*$B$14*$B$17*$B$19*$B$21,0)</f>
        <v/>
      </c>
      <c r="G59" s="10">
        <f>ROUND(($B$4+$B$5*0+$B$6*1+$B$7*0)*$B$12*$B$14*$B$17*$B$19*$B$22,0)</f>
        <v/>
      </c>
      <c r="H59" s="10">
        <f>ROUND(($B$4+$B$5*0+$B$6*2+$B$7*0)*$B$12*$B$14*$B$17*$B$19*$B$21,0)</f>
        <v/>
      </c>
      <c r="I59" s="10">
        <f>ROUND(($B$4+$B$5*0+$B$6*2+$B$7*0)*$B$12*$B$14*$B$17*$B$19*$B$22,0)</f>
        <v/>
      </c>
      <c r="J59" s="10">
        <f>ROUND(($B$4+$B$5*0+$B$6*3+$B$7*0)*$B$12*$B$14*$B$17*$B$19*$B$21,0)</f>
        <v/>
      </c>
      <c r="K59" s="10">
        <f>ROUND(($B$4+$B$5*0+$B$6*3+$B$7*0)*$B$12*$B$14*$B$17*$B$19*$B$22,0)</f>
        <v/>
      </c>
      <c r="L59" s="10">
        <f>ROUND(($B$4+$B$5*0+$B$6*0+$B$7*1)*$B$12*$B$14*$B$17*$B$19*$B$21,0)</f>
        <v/>
      </c>
      <c r="M59" s="10">
        <f>ROUND(($B$4+$B$5*0+$B$6*0+$B$7*1)*$B$12*$B$14*$B$17*$B$19*$B$22,0)</f>
        <v/>
      </c>
      <c r="N59" s="10">
        <f>ROUND(($B$4+$B$5*1+$B$6*1+$B$7*0)*$B$12*$B$14*$B$17*$B$19*$B$21,0)</f>
        <v/>
      </c>
      <c r="O59" s="10">
        <f>ROUND(($B$4+$B$5*1+$B$6*1+$B$7*0)*$B$12*$B$14*$B$17*$B$19*$B$22,0)</f>
        <v/>
      </c>
      <c r="P59" s="10">
        <f>ROUND(($B$4+$B$5*1+$B$6*2+$B$7*0)*$B$12*$B$14*$B$17*$B$19*$B$21,0)</f>
        <v/>
      </c>
      <c r="Q59" s="10">
        <f>ROUND(($B$4+$B$5*1+$B$6*2+$B$7*0)*$B$12*$B$14*$B$17*$B$19*$B$22,0)</f>
        <v/>
      </c>
      <c r="R59" s="10">
        <f>ROUND(($B$4+$B$5*1+$B$6*0+$B$7*1)*$B$12*$B$14*$B$17*$B$19*$B$21,0)</f>
        <v/>
      </c>
      <c r="S59" s="10">
        <f>ROUND(($B$4+$B$5*1+$B$6*0+$B$7*1)*$B$12*$B$14*$B$17*$B$19*$B$22,0)</f>
        <v/>
      </c>
      <c r="T59" s="10">
        <f>ROUND(($B$4+$B$5*0+$B$6*2+$B$7*1)*$B$12*$B$14*$B$17*$B$19*$B$21,0)</f>
        <v/>
      </c>
      <c r="U59" s="10">
        <f>ROUND(($B$4+$B$5*0+$B$6*2+$B$7*1)*$B$12*$B$14*$B$17*$B$19*$B$22,0)</f>
        <v/>
      </c>
      <c r="V59" s="10">
        <f>ROUND(($B$4+$B$5*1+$B$6*2+$B$7*1)*$B$12*$B$14*$B$17*$B$19*$B$21,0)</f>
        <v/>
      </c>
      <c r="W59" s="10">
        <f>ROUND(($B$4+$B$5*1+$B$6*2+$B$7*1)*$B$12*$B$14*$B$17*$B$19*$B$22,0)</f>
        <v/>
      </c>
      <c r="X59" s="10">
        <f>ROUND(($B$4+$B$5*1+$B$6*0+$B$7*0)*$B$12*$B$14*$B$17*$B$20*$B$21,0)</f>
        <v/>
      </c>
      <c r="Y59" s="10">
        <f>ROUND(($B$4+$B$5*1+$B$6*0+$B$7*0)*$B$12*$B$14*$B$17*$B$20*$B$22,0)</f>
        <v/>
      </c>
      <c r="Z59" s="10">
        <f>ROUND(($B$4+$B$5*0+$B$6*1+$B$7*0)*$B$12*$B$14*$B$17*$B$20*$B$21,0)</f>
        <v/>
      </c>
      <c r="AA59" s="10">
        <f>ROUND(($B$4+$B$5*0+$B$6*1+$B$7*0)*$B$12*$B$14*$B$17*$B$20*$B$22,0)</f>
        <v/>
      </c>
      <c r="AB59" s="10">
        <f>ROUND(($B$4+$B$5*0+$B$6*2+$B$7*0)*$B$12*$B$14*$B$17*$B$20*$B$21,0)</f>
        <v/>
      </c>
      <c r="AC59" s="10">
        <f>ROUND(($B$4+$B$5*0+$B$6*2+$B$7*0)*$B$12*$B$14*$B$17*$B$20*$B$22,0)</f>
        <v/>
      </c>
      <c r="AD59" s="10">
        <f>ROUND(($B$4+$B$5*0+$B$6*3+$B$7*0)*$B$12*$B$14*$B$17*$B$20*$B$21,0)</f>
        <v/>
      </c>
      <c r="AE59" s="10">
        <f>ROUND(($B$4+$B$5*0+$B$6*3+$B$7*0)*$B$12*$B$14*$B$17*$B$20*$B$22,0)</f>
        <v/>
      </c>
      <c r="AF59" s="10">
        <f>ROUND(($B$4+$B$5*0+$B$6*0+$B$7*1)*$B$12*$B$14*$B$17*$B$20*$B$21,0)</f>
        <v/>
      </c>
      <c r="AG59" s="10">
        <f>ROUND(($B$4+$B$5*0+$B$6*0+$B$7*1)*$B$12*$B$14*$B$17*$B$20*$B$22,0)</f>
        <v/>
      </c>
      <c r="AH59" s="10">
        <f>ROUND(($B$4+$B$5*1+$B$6*1+$B$7*0)*$B$12*$B$14*$B$17*$B$20*$B$21,0)</f>
        <v/>
      </c>
      <c r="AI59" s="10">
        <f>ROUND(($B$4+$B$5*1+$B$6*1+$B$7*0)*$B$12*$B$14*$B$17*$B$20*$B$22,0)</f>
        <v/>
      </c>
      <c r="AJ59" s="10">
        <f>ROUND(($B$4+$B$5*1+$B$6*2+$B$7*0)*$B$12*$B$14*$B$17*$B$20*$B$21,0)</f>
        <v/>
      </c>
      <c r="AK59" s="10">
        <f>ROUND(($B$4+$B$5*1+$B$6*2+$B$7*0)*$B$12*$B$14*$B$17*$B$20*$B$22,0)</f>
        <v/>
      </c>
      <c r="AL59" s="10">
        <f>ROUND(($B$4+$B$5*1+$B$6*0+$B$7*1)*$B$12*$B$14*$B$17*$B$20*$B$21,0)</f>
        <v/>
      </c>
      <c r="AM59" s="10">
        <f>ROUND(($B$4+$B$5*1+$B$6*0+$B$7*1)*$B$12*$B$14*$B$17*$B$20*$B$22,0)</f>
        <v/>
      </c>
      <c r="AN59" s="10">
        <f>ROUND(($B$4+$B$5*0+$B$6*2+$B$7*1)*$B$12*$B$14*$B$17*$B$20*$B$21,0)</f>
        <v/>
      </c>
      <c r="AO59" s="10">
        <f>ROUND(($B$4+$B$5*0+$B$6*2+$B$7*1)*$B$12*$B$14*$B$17*$B$20*$B$22,0)</f>
        <v/>
      </c>
      <c r="AP59" s="10">
        <f>ROUND(($B$4+$B$5*1+$B$6*2+$B$7*1)*$B$12*$B$14*$B$17*$B$20*$B$21,0)</f>
        <v/>
      </c>
      <c r="AQ59" s="10">
        <f>ROUND(($B$4+$B$5*1+$B$6*2+$B$7*1)*$B$12*$B$14*$B$17*$B$20*$B$22,0)</f>
        <v/>
      </c>
    </row>
    <row r="60" ht="20.1" customHeight="1" s="62">
      <c r="A60" s="67" t="n"/>
      <c r="B60" s="59" t="n"/>
      <c r="C60" s="15" t="inlineStr">
        <is>
          <t>Activité complexe / multi-offres</t>
        </is>
      </c>
      <c r="D60" s="10">
        <f>ROUND(($B$4+$B$5*1+$B$6*0+$B$7*0)*$B$12*$B$14*$B$18*$B$19*$B$21,0)</f>
        <v/>
      </c>
      <c r="E60" s="10">
        <f>ROUND(($B$4+$B$5*1+$B$6*0+$B$7*0)*$B$12*$B$14*$B$18*$B$19*$B$22,0)</f>
        <v/>
      </c>
      <c r="F60" s="10">
        <f>ROUND(($B$4+$B$5*0+$B$6*1+$B$7*0)*$B$12*$B$14*$B$18*$B$19*$B$21,0)</f>
        <v/>
      </c>
      <c r="G60" s="10">
        <f>ROUND(($B$4+$B$5*0+$B$6*1+$B$7*0)*$B$12*$B$14*$B$18*$B$19*$B$22,0)</f>
        <v/>
      </c>
      <c r="H60" s="10">
        <f>ROUND(($B$4+$B$5*0+$B$6*2+$B$7*0)*$B$12*$B$14*$B$18*$B$19*$B$21,0)</f>
        <v/>
      </c>
      <c r="I60" s="10">
        <f>ROUND(($B$4+$B$5*0+$B$6*2+$B$7*0)*$B$12*$B$14*$B$18*$B$19*$B$22,0)</f>
        <v/>
      </c>
      <c r="J60" s="10">
        <f>ROUND(($B$4+$B$5*0+$B$6*3+$B$7*0)*$B$12*$B$14*$B$18*$B$19*$B$21,0)</f>
        <v/>
      </c>
      <c r="K60" s="10">
        <f>ROUND(($B$4+$B$5*0+$B$6*3+$B$7*0)*$B$12*$B$14*$B$18*$B$19*$B$22,0)</f>
        <v/>
      </c>
      <c r="L60" s="10">
        <f>ROUND(($B$4+$B$5*0+$B$6*0+$B$7*1)*$B$12*$B$14*$B$18*$B$19*$B$21,0)</f>
        <v/>
      </c>
      <c r="M60" s="10">
        <f>ROUND(($B$4+$B$5*0+$B$6*0+$B$7*1)*$B$12*$B$14*$B$18*$B$19*$B$22,0)</f>
        <v/>
      </c>
      <c r="N60" s="10">
        <f>ROUND(($B$4+$B$5*1+$B$6*1+$B$7*0)*$B$12*$B$14*$B$18*$B$19*$B$21,0)</f>
        <v/>
      </c>
      <c r="O60" s="10">
        <f>ROUND(($B$4+$B$5*1+$B$6*1+$B$7*0)*$B$12*$B$14*$B$18*$B$19*$B$22,0)</f>
        <v/>
      </c>
      <c r="P60" s="10">
        <f>ROUND(($B$4+$B$5*1+$B$6*2+$B$7*0)*$B$12*$B$14*$B$18*$B$19*$B$21,0)</f>
        <v/>
      </c>
      <c r="Q60" s="10">
        <f>ROUND(($B$4+$B$5*1+$B$6*2+$B$7*0)*$B$12*$B$14*$B$18*$B$19*$B$22,0)</f>
        <v/>
      </c>
      <c r="R60" s="10">
        <f>ROUND(($B$4+$B$5*1+$B$6*0+$B$7*1)*$B$12*$B$14*$B$18*$B$19*$B$21,0)</f>
        <v/>
      </c>
      <c r="S60" s="10">
        <f>ROUND(($B$4+$B$5*1+$B$6*0+$B$7*1)*$B$12*$B$14*$B$18*$B$19*$B$22,0)</f>
        <v/>
      </c>
      <c r="T60" s="10">
        <f>ROUND(($B$4+$B$5*0+$B$6*2+$B$7*1)*$B$12*$B$14*$B$18*$B$19*$B$21,0)</f>
        <v/>
      </c>
      <c r="U60" s="10">
        <f>ROUND(($B$4+$B$5*0+$B$6*2+$B$7*1)*$B$12*$B$14*$B$18*$B$19*$B$22,0)</f>
        <v/>
      </c>
      <c r="V60" s="10">
        <f>ROUND(($B$4+$B$5*1+$B$6*2+$B$7*1)*$B$12*$B$14*$B$18*$B$19*$B$21,0)</f>
        <v/>
      </c>
      <c r="W60" s="10">
        <f>ROUND(($B$4+$B$5*1+$B$6*2+$B$7*1)*$B$12*$B$14*$B$18*$B$19*$B$22,0)</f>
        <v/>
      </c>
      <c r="X60" s="10">
        <f>ROUND(($B$4+$B$5*1+$B$6*0+$B$7*0)*$B$12*$B$14*$B$18*$B$20*$B$21,0)</f>
        <v/>
      </c>
      <c r="Y60" s="10">
        <f>ROUND(($B$4+$B$5*1+$B$6*0+$B$7*0)*$B$12*$B$14*$B$18*$B$20*$B$22,0)</f>
        <v/>
      </c>
      <c r="Z60" s="10">
        <f>ROUND(($B$4+$B$5*0+$B$6*1+$B$7*0)*$B$12*$B$14*$B$18*$B$20*$B$21,0)</f>
        <v/>
      </c>
      <c r="AA60" s="10">
        <f>ROUND(($B$4+$B$5*0+$B$6*1+$B$7*0)*$B$12*$B$14*$B$18*$B$20*$B$22,0)</f>
        <v/>
      </c>
      <c r="AB60" s="10">
        <f>ROUND(($B$4+$B$5*0+$B$6*2+$B$7*0)*$B$12*$B$14*$B$18*$B$20*$B$21,0)</f>
        <v/>
      </c>
      <c r="AC60" s="10">
        <f>ROUND(($B$4+$B$5*0+$B$6*2+$B$7*0)*$B$12*$B$14*$B$18*$B$20*$B$22,0)</f>
        <v/>
      </c>
      <c r="AD60" s="10">
        <f>ROUND(($B$4+$B$5*0+$B$6*3+$B$7*0)*$B$12*$B$14*$B$18*$B$20*$B$21,0)</f>
        <v/>
      </c>
      <c r="AE60" s="10">
        <f>ROUND(($B$4+$B$5*0+$B$6*3+$B$7*0)*$B$12*$B$14*$B$18*$B$20*$B$22,0)</f>
        <v/>
      </c>
      <c r="AF60" s="10">
        <f>ROUND(($B$4+$B$5*0+$B$6*0+$B$7*1)*$B$12*$B$14*$B$18*$B$20*$B$21,0)</f>
        <v/>
      </c>
      <c r="AG60" s="10">
        <f>ROUND(($B$4+$B$5*0+$B$6*0+$B$7*1)*$B$12*$B$14*$B$18*$B$20*$B$22,0)</f>
        <v/>
      </c>
      <c r="AH60" s="10">
        <f>ROUND(($B$4+$B$5*1+$B$6*1+$B$7*0)*$B$12*$B$14*$B$18*$B$20*$B$21,0)</f>
        <v/>
      </c>
      <c r="AI60" s="10">
        <f>ROUND(($B$4+$B$5*1+$B$6*1+$B$7*0)*$B$12*$B$14*$B$18*$B$20*$B$22,0)</f>
        <v/>
      </c>
      <c r="AJ60" s="10">
        <f>ROUND(($B$4+$B$5*1+$B$6*2+$B$7*0)*$B$12*$B$14*$B$18*$B$20*$B$21,0)</f>
        <v/>
      </c>
      <c r="AK60" s="10">
        <f>ROUND(($B$4+$B$5*1+$B$6*2+$B$7*0)*$B$12*$B$14*$B$18*$B$20*$B$22,0)</f>
        <v/>
      </c>
      <c r="AL60" s="10">
        <f>ROUND(($B$4+$B$5*1+$B$6*0+$B$7*1)*$B$12*$B$14*$B$18*$B$20*$B$21,0)</f>
        <v/>
      </c>
      <c r="AM60" s="10">
        <f>ROUND(($B$4+$B$5*1+$B$6*0+$B$7*1)*$B$12*$B$14*$B$18*$B$20*$B$22,0)</f>
        <v/>
      </c>
      <c r="AN60" s="10">
        <f>ROUND(($B$4+$B$5*0+$B$6*2+$B$7*1)*$B$12*$B$14*$B$18*$B$20*$B$21,0)</f>
        <v/>
      </c>
      <c r="AO60" s="10">
        <f>ROUND(($B$4+$B$5*0+$B$6*2+$B$7*1)*$B$12*$B$14*$B$18*$B$20*$B$22,0)</f>
        <v/>
      </c>
      <c r="AP60" s="10">
        <f>ROUND(($B$4+$B$5*1+$B$6*2+$B$7*1)*$B$12*$B$14*$B$18*$B$20*$B$21,0)</f>
        <v/>
      </c>
      <c r="AQ60" s="10">
        <f>ROUND(($B$4+$B$5*1+$B$6*2+$B$7*1)*$B$12*$B$14*$B$18*$B$20*$B$22,0)</f>
        <v/>
      </c>
    </row>
    <row r="61" ht="20.1" customHeight="1" s="62">
      <c r="A61" s="67" t="n"/>
      <c r="B61" s="57" t="inlineStr">
        <is>
          <t>Avancée (présence établie)</t>
        </is>
      </c>
      <c r="C61" s="14" t="inlineStr">
        <is>
          <t>Activité simple</t>
        </is>
      </c>
      <c r="D61" s="10">
        <f>ROUND(($B$4+$B$5*1+$B$6*0+$B$7*0)*$B$12*$B$15*$B$16*$B$19*$B$21,0)</f>
        <v/>
      </c>
      <c r="E61" s="10">
        <f>ROUND(($B$4+$B$5*1+$B$6*0+$B$7*0)*$B$12*$B$15*$B$16*$B$19*$B$22,0)</f>
        <v/>
      </c>
      <c r="F61" s="10">
        <f>ROUND(($B$4+$B$5*0+$B$6*1+$B$7*0)*$B$12*$B$15*$B$16*$B$19*$B$21,0)</f>
        <v/>
      </c>
      <c r="G61" s="10">
        <f>ROUND(($B$4+$B$5*0+$B$6*1+$B$7*0)*$B$12*$B$15*$B$16*$B$19*$B$22,0)</f>
        <v/>
      </c>
      <c r="H61" s="10">
        <f>ROUND(($B$4+$B$5*0+$B$6*2+$B$7*0)*$B$12*$B$15*$B$16*$B$19*$B$21,0)</f>
        <v/>
      </c>
      <c r="I61" s="10">
        <f>ROUND(($B$4+$B$5*0+$B$6*2+$B$7*0)*$B$12*$B$15*$B$16*$B$19*$B$22,0)</f>
        <v/>
      </c>
      <c r="J61" s="10">
        <f>ROUND(($B$4+$B$5*0+$B$6*3+$B$7*0)*$B$12*$B$15*$B$16*$B$19*$B$21,0)</f>
        <v/>
      </c>
      <c r="K61" s="10">
        <f>ROUND(($B$4+$B$5*0+$B$6*3+$B$7*0)*$B$12*$B$15*$B$16*$B$19*$B$22,0)</f>
        <v/>
      </c>
      <c r="L61" s="10">
        <f>ROUND(($B$4+$B$5*0+$B$6*0+$B$7*1)*$B$12*$B$15*$B$16*$B$19*$B$21,0)</f>
        <v/>
      </c>
      <c r="M61" s="10">
        <f>ROUND(($B$4+$B$5*0+$B$6*0+$B$7*1)*$B$12*$B$15*$B$16*$B$19*$B$22,0)</f>
        <v/>
      </c>
      <c r="N61" s="10">
        <f>ROUND(($B$4+$B$5*1+$B$6*1+$B$7*0)*$B$12*$B$15*$B$16*$B$19*$B$21,0)</f>
        <v/>
      </c>
      <c r="O61" s="10">
        <f>ROUND(($B$4+$B$5*1+$B$6*1+$B$7*0)*$B$12*$B$15*$B$16*$B$19*$B$22,0)</f>
        <v/>
      </c>
      <c r="P61" s="10">
        <f>ROUND(($B$4+$B$5*1+$B$6*2+$B$7*0)*$B$12*$B$15*$B$16*$B$19*$B$21,0)</f>
        <v/>
      </c>
      <c r="Q61" s="10">
        <f>ROUND(($B$4+$B$5*1+$B$6*2+$B$7*0)*$B$12*$B$15*$B$16*$B$19*$B$22,0)</f>
        <v/>
      </c>
      <c r="R61" s="10">
        <f>ROUND(($B$4+$B$5*1+$B$6*0+$B$7*1)*$B$12*$B$15*$B$16*$B$19*$B$21,0)</f>
        <v/>
      </c>
      <c r="S61" s="10">
        <f>ROUND(($B$4+$B$5*1+$B$6*0+$B$7*1)*$B$12*$B$15*$B$16*$B$19*$B$22,0)</f>
        <v/>
      </c>
      <c r="T61" s="10">
        <f>ROUND(($B$4+$B$5*0+$B$6*2+$B$7*1)*$B$12*$B$15*$B$16*$B$19*$B$21,0)</f>
        <v/>
      </c>
      <c r="U61" s="10">
        <f>ROUND(($B$4+$B$5*0+$B$6*2+$B$7*1)*$B$12*$B$15*$B$16*$B$19*$B$22,0)</f>
        <v/>
      </c>
      <c r="V61" s="10">
        <f>ROUND(($B$4+$B$5*1+$B$6*2+$B$7*1)*$B$12*$B$15*$B$16*$B$19*$B$21,0)</f>
        <v/>
      </c>
      <c r="W61" s="10">
        <f>ROUND(($B$4+$B$5*1+$B$6*2+$B$7*1)*$B$12*$B$15*$B$16*$B$19*$B$22,0)</f>
        <v/>
      </c>
      <c r="X61" s="10">
        <f>ROUND(($B$4+$B$5*1+$B$6*0+$B$7*0)*$B$12*$B$15*$B$16*$B$20*$B$21,0)</f>
        <v/>
      </c>
      <c r="Y61" s="10">
        <f>ROUND(($B$4+$B$5*1+$B$6*0+$B$7*0)*$B$12*$B$15*$B$16*$B$20*$B$22,0)</f>
        <v/>
      </c>
      <c r="Z61" s="10">
        <f>ROUND(($B$4+$B$5*0+$B$6*1+$B$7*0)*$B$12*$B$15*$B$16*$B$20*$B$21,0)</f>
        <v/>
      </c>
      <c r="AA61" s="10">
        <f>ROUND(($B$4+$B$5*0+$B$6*1+$B$7*0)*$B$12*$B$15*$B$16*$B$20*$B$22,0)</f>
        <v/>
      </c>
      <c r="AB61" s="10">
        <f>ROUND(($B$4+$B$5*0+$B$6*2+$B$7*0)*$B$12*$B$15*$B$16*$B$20*$B$21,0)</f>
        <v/>
      </c>
      <c r="AC61" s="10">
        <f>ROUND(($B$4+$B$5*0+$B$6*2+$B$7*0)*$B$12*$B$15*$B$16*$B$20*$B$22,0)</f>
        <v/>
      </c>
      <c r="AD61" s="10">
        <f>ROUND(($B$4+$B$5*0+$B$6*3+$B$7*0)*$B$12*$B$15*$B$16*$B$20*$B$21,0)</f>
        <v/>
      </c>
      <c r="AE61" s="10">
        <f>ROUND(($B$4+$B$5*0+$B$6*3+$B$7*0)*$B$12*$B$15*$B$16*$B$20*$B$22,0)</f>
        <v/>
      </c>
      <c r="AF61" s="10">
        <f>ROUND(($B$4+$B$5*0+$B$6*0+$B$7*1)*$B$12*$B$15*$B$16*$B$20*$B$21,0)</f>
        <v/>
      </c>
      <c r="AG61" s="10">
        <f>ROUND(($B$4+$B$5*0+$B$6*0+$B$7*1)*$B$12*$B$15*$B$16*$B$20*$B$22,0)</f>
        <v/>
      </c>
      <c r="AH61" s="10">
        <f>ROUND(($B$4+$B$5*1+$B$6*1+$B$7*0)*$B$12*$B$15*$B$16*$B$20*$B$21,0)</f>
        <v/>
      </c>
      <c r="AI61" s="10">
        <f>ROUND(($B$4+$B$5*1+$B$6*1+$B$7*0)*$B$12*$B$15*$B$16*$B$20*$B$22,0)</f>
        <v/>
      </c>
      <c r="AJ61" s="10">
        <f>ROUND(($B$4+$B$5*1+$B$6*2+$B$7*0)*$B$12*$B$15*$B$16*$B$20*$B$21,0)</f>
        <v/>
      </c>
      <c r="AK61" s="10">
        <f>ROUND(($B$4+$B$5*1+$B$6*2+$B$7*0)*$B$12*$B$15*$B$16*$B$20*$B$22,0)</f>
        <v/>
      </c>
      <c r="AL61" s="10">
        <f>ROUND(($B$4+$B$5*1+$B$6*0+$B$7*1)*$B$12*$B$15*$B$16*$B$20*$B$21,0)</f>
        <v/>
      </c>
      <c r="AM61" s="10">
        <f>ROUND(($B$4+$B$5*1+$B$6*0+$B$7*1)*$B$12*$B$15*$B$16*$B$20*$B$22,0)</f>
        <v/>
      </c>
      <c r="AN61" s="10">
        <f>ROUND(($B$4+$B$5*0+$B$6*2+$B$7*1)*$B$12*$B$15*$B$16*$B$20*$B$21,0)</f>
        <v/>
      </c>
      <c r="AO61" s="10">
        <f>ROUND(($B$4+$B$5*0+$B$6*2+$B$7*1)*$B$12*$B$15*$B$16*$B$20*$B$22,0)</f>
        <v/>
      </c>
      <c r="AP61" s="10">
        <f>ROUND(($B$4+$B$5*1+$B$6*2+$B$7*1)*$B$12*$B$15*$B$16*$B$20*$B$21,0)</f>
        <v/>
      </c>
      <c r="AQ61" s="10">
        <f>ROUND(($B$4+$B$5*1+$B$6*2+$B$7*1)*$B$12*$B$15*$B$16*$B$20*$B$22,0)</f>
        <v/>
      </c>
    </row>
    <row r="62" ht="20.1" customHeight="1" s="62">
      <c r="A62" s="67" t="n"/>
      <c r="B62" s="58" t="n"/>
      <c r="C62" s="57" t="inlineStr">
        <is>
          <t>Activité modérée</t>
        </is>
      </c>
      <c r="D62" s="10">
        <f>ROUND(($B$4+$B$5*1+$B$6*0+$B$7*0)*$B$12*$B$15*$B$17*$B$19*$B$21,0)</f>
        <v/>
      </c>
      <c r="E62" s="10">
        <f>ROUND(($B$4+$B$5*1+$B$6*0+$B$7*0)*$B$12*$B$15*$B$17*$B$19*$B$22,0)</f>
        <v/>
      </c>
      <c r="F62" s="10">
        <f>ROUND(($B$4+$B$5*0+$B$6*1+$B$7*0)*$B$12*$B$15*$B$17*$B$19*$B$21,0)</f>
        <v/>
      </c>
      <c r="G62" s="10">
        <f>ROUND(($B$4+$B$5*0+$B$6*1+$B$7*0)*$B$12*$B$15*$B$17*$B$19*$B$22,0)</f>
        <v/>
      </c>
      <c r="H62" s="10">
        <f>ROUND(($B$4+$B$5*0+$B$6*2+$B$7*0)*$B$12*$B$15*$B$17*$B$19*$B$21,0)</f>
        <v/>
      </c>
      <c r="I62" s="10">
        <f>ROUND(($B$4+$B$5*0+$B$6*2+$B$7*0)*$B$12*$B$15*$B$17*$B$19*$B$22,0)</f>
        <v/>
      </c>
      <c r="J62" s="10">
        <f>ROUND(($B$4+$B$5*0+$B$6*3+$B$7*0)*$B$12*$B$15*$B$17*$B$19*$B$21,0)</f>
        <v/>
      </c>
      <c r="K62" s="10">
        <f>ROUND(($B$4+$B$5*0+$B$6*3+$B$7*0)*$B$12*$B$15*$B$17*$B$19*$B$22,0)</f>
        <v/>
      </c>
      <c r="L62" s="10">
        <f>ROUND(($B$4+$B$5*0+$B$6*0+$B$7*1)*$B$12*$B$15*$B$17*$B$19*$B$21,0)</f>
        <v/>
      </c>
      <c r="M62" s="10">
        <f>ROUND(($B$4+$B$5*0+$B$6*0+$B$7*1)*$B$12*$B$15*$B$17*$B$19*$B$22,0)</f>
        <v/>
      </c>
      <c r="N62" s="10">
        <f>ROUND(($B$4+$B$5*1+$B$6*1+$B$7*0)*$B$12*$B$15*$B$17*$B$19*$B$21,0)</f>
        <v/>
      </c>
      <c r="O62" s="10">
        <f>ROUND(($B$4+$B$5*1+$B$6*1+$B$7*0)*$B$12*$B$15*$B$17*$B$19*$B$22,0)</f>
        <v/>
      </c>
      <c r="P62" s="10">
        <f>ROUND(($B$4+$B$5*1+$B$6*2+$B$7*0)*$B$12*$B$15*$B$17*$B$19*$B$21,0)</f>
        <v/>
      </c>
      <c r="Q62" s="10">
        <f>ROUND(($B$4+$B$5*1+$B$6*2+$B$7*0)*$B$12*$B$15*$B$17*$B$19*$B$22,0)</f>
        <v/>
      </c>
      <c r="R62" s="10">
        <f>ROUND(($B$4+$B$5*1+$B$6*0+$B$7*1)*$B$12*$B$15*$B$17*$B$19*$B$21,0)</f>
        <v/>
      </c>
      <c r="S62" s="10">
        <f>ROUND(($B$4+$B$5*1+$B$6*0+$B$7*1)*$B$12*$B$15*$B$17*$B$19*$B$22,0)</f>
        <v/>
      </c>
      <c r="T62" s="10">
        <f>ROUND(($B$4+$B$5*0+$B$6*2+$B$7*1)*$B$12*$B$15*$B$17*$B$19*$B$21,0)</f>
        <v/>
      </c>
      <c r="U62" s="10">
        <f>ROUND(($B$4+$B$5*0+$B$6*2+$B$7*1)*$B$12*$B$15*$B$17*$B$19*$B$22,0)</f>
        <v/>
      </c>
      <c r="V62" s="10">
        <f>ROUND(($B$4+$B$5*1+$B$6*2+$B$7*1)*$B$12*$B$15*$B$17*$B$19*$B$21,0)</f>
        <v/>
      </c>
      <c r="W62" s="10">
        <f>ROUND(($B$4+$B$5*1+$B$6*2+$B$7*1)*$B$12*$B$15*$B$17*$B$19*$B$22,0)</f>
        <v/>
      </c>
      <c r="X62" s="10">
        <f>ROUND(($B$4+$B$5*1+$B$6*0+$B$7*0)*$B$12*$B$15*$B$17*$B$20*$B$21,0)</f>
        <v/>
      </c>
      <c r="Y62" s="10">
        <f>ROUND(($B$4+$B$5*1+$B$6*0+$B$7*0)*$B$12*$B$15*$B$17*$B$20*$B$22,0)</f>
        <v/>
      </c>
      <c r="Z62" s="10">
        <f>ROUND(($B$4+$B$5*0+$B$6*1+$B$7*0)*$B$12*$B$15*$B$17*$B$20*$B$21,0)</f>
        <v/>
      </c>
      <c r="AA62" s="10">
        <f>ROUND(($B$4+$B$5*0+$B$6*1+$B$7*0)*$B$12*$B$15*$B$17*$B$20*$B$22,0)</f>
        <v/>
      </c>
      <c r="AB62" s="10">
        <f>ROUND(($B$4+$B$5*0+$B$6*2+$B$7*0)*$B$12*$B$15*$B$17*$B$20*$B$21,0)</f>
        <v/>
      </c>
      <c r="AC62" s="10">
        <f>ROUND(($B$4+$B$5*0+$B$6*2+$B$7*0)*$B$12*$B$15*$B$17*$B$20*$B$22,0)</f>
        <v/>
      </c>
      <c r="AD62" s="10">
        <f>ROUND(($B$4+$B$5*0+$B$6*3+$B$7*0)*$B$12*$B$15*$B$17*$B$20*$B$21,0)</f>
        <v/>
      </c>
      <c r="AE62" s="10">
        <f>ROUND(($B$4+$B$5*0+$B$6*3+$B$7*0)*$B$12*$B$15*$B$17*$B$20*$B$22,0)</f>
        <v/>
      </c>
      <c r="AF62" s="10">
        <f>ROUND(($B$4+$B$5*0+$B$6*0+$B$7*1)*$B$12*$B$15*$B$17*$B$20*$B$21,0)</f>
        <v/>
      </c>
      <c r="AG62" s="10">
        <f>ROUND(($B$4+$B$5*0+$B$6*0+$B$7*1)*$B$12*$B$15*$B$17*$B$20*$B$22,0)</f>
        <v/>
      </c>
      <c r="AH62" s="10">
        <f>ROUND(($B$4+$B$5*1+$B$6*1+$B$7*0)*$B$12*$B$15*$B$17*$B$20*$B$21,0)</f>
        <v/>
      </c>
      <c r="AI62" s="10">
        <f>ROUND(($B$4+$B$5*1+$B$6*1+$B$7*0)*$B$12*$B$15*$B$17*$B$20*$B$22,0)</f>
        <v/>
      </c>
      <c r="AJ62" s="10">
        <f>ROUND(($B$4+$B$5*1+$B$6*2+$B$7*0)*$B$12*$B$15*$B$17*$B$20*$B$21,0)</f>
        <v/>
      </c>
      <c r="AK62" s="10">
        <f>ROUND(($B$4+$B$5*1+$B$6*2+$B$7*0)*$B$12*$B$15*$B$17*$B$20*$B$22,0)</f>
        <v/>
      </c>
      <c r="AL62" s="10">
        <f>ROUND(($B$4+$B$5*1+$B$6*0+$B$7*1)*$B$12*$B$15*$B$17*$B$20*$B$21,0)</f>
        <v/>
      </c>
      <c r="AM62" s="10">
        <f>ROUND(($B$4+$B$5*1+$B$6*0+$B$7*1)*$B$12*$B$15*$B$17*$B$20*$B$22,0)</f>
        <v/>
      </c>
      <c r="AN62" s="10">
        <f>ROUND(($B$4+$B$5*0+$B$6*2+$B$7*1)*$B$12*$B$15*$B$17*$B$20*$B$21,0)</f>
        <v/>
      </c>
      <c r="AO62" s="10">
        <f>ROUND(($B$4+$B$5*0+$B$6*2+$B$7*1)*$B$12*$B$15*$B$17*$B$20*$B$22,0)</f>
        <v/>
      </c>
      <c r="AP62" s="10">
        <f>ROUND(($B$4+$B$5*1+$B$6*2+$B$7*1)*$B$12*$B$15*$B$17*$B$20*$B$21,0)</f>
        <v/>
      </c>
      <c r="AQ62" s="10">
        <f>ROUND(($B$4+$B$5*1+$B$6*2+$B$7*1)*$B$12*$B$15*$B$17*$B$20*$B$22,0)</f>
        <v/>
      </c>
    </row>
    <row r="63" ht="20.1" customHeight="1" s="62">
      <c r="A63" s="68" t="n"/>
      <c r="B63" s="59" t="n"/>
      <c r="C63" s="15" t="inlineStr">
        <is>
          <t>Activité complexe / multi-offres</t>
        </is>
      </c>
      <c r="D63" s="10">
        <f>ROUND(($B$4+$B$5*1+$B$6*0+$B$7*0)*$B$12*$B$15*$B$18*$B$19*$B$21,0)</f>
        <v/>
      </c>
      <c r="E63" s="10">
        <f>ROUND(($B$4+$B$5*1+$B$6*0+$B$7*0)*$B$12*$B$15*$B$18*$B$19*$B$22,0)</f>
        <v/>
      </c>
      <c r="F63" s="10">
        <f>ROUND(($B$4+$B$5*0+$B$6*1+$B$7*0)*$B$12*$B$15*$B$18*$B$19*$B$21,0)</f>
        <v/>
      </c>
      <c r="G63" s="10">
        <f>ROUND(($B$4+$B$5*0+$B$6*1+$B$7*0)*$B$12*$B$15*$B$18*$B$19*$B$22,0)</f>
        <v/>
      </c>
      <c r="H63" s="10">
        <f>ROUND(($B$4+$B$5*0+$B$6*2+$B$7*0)*$B$12*$B$15*$B$18*$B$19*$B$21,0)</f>
        <v/>
      </c>
      <c r="I63" s="10">
        <f>ROUND(($B$4+$B$5*0+$B$6*2+$B$7*0)*$B$12*$B$15*$B$18*$B$19*$B$22,0)</f>
        <v/>
      </c>
      <c r="J63" s="10">
        <f>ROUND(($B$4+$B$5*0+$B$6*3+$B$7*0)*$B$12*$B$15*$B$18*$B$19*$B$21,0)</f>
        <v/>
      </c>
      <c r="K63" s="10">
        <f>ROUND(($B$4+$B$5*0+$B$6*3+$B$7*0)*$B$12*$B$15*$B$18*$B$19*$B$22,0)</f>
        <v/>
      </c>
      <c r="L63" s="10">
        <f>ROUND(($B$4+$B$5*0+$B$6*0+$B$7*1)*$B$12*$B$15*$B$18*$B$19*$B$21,0)</f>
        <v/>
      </c>
      <c r="M63" s="10">
        <f>ROUND(($B$4+$B$5*0+$B$6*0+$B$7*1)*$B$12*$B$15*$B$18*$B$19*$B$22,0)</f>
        <v/>
      </c>
      <c r="N63" s="10">
        <f>ROUND(($B$4+$B$5*1+$B$6*1+$B$7*0)*$B$12*$B$15*$B$18*$B$19*$B$21,0)</f>
        <v/>
      </c>
      <c r="O63" s="10">
        <f>ROUND(($B$4+$B$5*1+$B$6*1+$B$7*0)*$B$12*$B$15*$B$18*$B$19*$B$22,0)</f>
        <v/>
      </c>
      <c r="P63" s="10">
        <f>ROUND(($B$4+$B$5*1+$B$6*2+$B$7*0)*$B$12*$B$15*$B$18*$B$19*$B$21,0)</f>
        <v/>
      </c>
      <c r="Q63" s="10">
        <f>ROUND(($B$4+$B$5*1+$B$6*2+$B$7*0)*$B$12*$B$15*$B$18*$B$19*$B$22,0)</f>
        <v/>
      </c>
      <c r="R63" s="10">
        <f>ROUND(($B$4+$B$5*1+$B$6*0+$B$7*1)*$B$12*$B$15*$B$18*$B$19*$B$21,0)</f>
        <v/>
      </c>
      <c r="S63" s="10">
        <f>ROUND(($B$4+$B$5*1+$B$6*0+$B$7*1)*$B$12*$B$15*$B$18*$B$19*$B$22,0)</f>
        <v/>
      </c>
      <c r="T63" s="10">
        <f>ROUND(($B$4+$B$5*0+$B$6*2+$B$7*1)*$B$12*$B$15*$B$18*$B$19*$B$21,0)</f>
        <v/>
      </c>
      <c r="U63" s="10">
        <f>ROUND(($B$4+$B$5*0+$B$6*2+$B$7*1)*$B$12*$B$15*$B$18*$B$19*$B$22,0)</f>
        <v/>
      </c>
      <c r="V63" s="10">
        <f>ROUND(($B$4+$B$5*1+$B$6*2+$B$7*1)*$B$12*$B$15*$B$18*$B$19*$B$21,0)</f>
        <v/>
      </c>
      <c r="W63" s="10">
        <f>ROUND(($B$4+$B$5*1+$B$6*2+$B$7*1)*$B$12*$B$15*$B$18*$B$19*$B$22,0)</f>
        <v/>
      </c>
      <c r="X63" s="10">
        <f>ROUND(($B$4+$B$5*1+$B$6*0+$B$7*0)*$B$12*$B$15*$B$18*$B$20*$B$21,0)</f>
        <v/>
      </c>
      <c r="Y63" s="10">
        <f>ROUND(($B$4+$B$5*1+$B$6*0+$B$7*0)*$B$12*$B$15*$B$18*$B$20*$B$22,0)</f>
        <v/>
      </c>
      <c r="Z63" s="10">
        <f>ROUND(($B$4+$B$5*0+$B$6*1+$B$7*0)*$B$12*$B$15*$B$18*$B$20*$B$21,0)</f>
        <v/>
      </c>
      <c r="AA63" s="10">
        <f>ROUND(($B$4+$B$5*0+$B$6*1+$B$7*0)*$B$12*$B$15*$B$18*$B$20*$B$22,0)</f>
        <v/>
      </c>
      <c r="AB63" s="10">
        <f>ROUND(($B$4+$B$5*0+$B$6*2+$B$7*0)*$B$12*$B$15*$B$18*$B$20*$B$21,0)</f>
        <v/>
      </c>
      <c r="AC63" s="10">
        <f>ROUND(($B$4+$B$5*0+$B$6*2+$B$7*0)*$B$12*$B$15*$B$18*$B$20*$B$22,0)</f>
        <v/>
      </c>
      <c r="AD63" s="10">
        <f>ROUND(($B$4+$B$5*0+$B$6*3+$B$7*0)*$B$12*$B$15*$B$18*$B$20*$B$21,0)</f>
        <v/>
      </c>
      <c r="AE63" s="10">
        <f>ROUND(($B$4+$B$5*0+$B$6*3+$B$7*0)*$B$12*$B$15*$B$18*$B$20*$B$22,0)</f>
        <v/>
      </c>
      <c r="AF63" s="10">
        <f>ROUND(($B$4+$B$5*0+$B$6*0+$B$7*1)*$B$12*$B$15*$B$18*$B$20*$B$21,0)</f>
        <v/>
      </c>
      <c r="AG63" s="10">
        <f>ROUND(($B$4+$B$5*0+$B$6*0+$B$7*1)*$B$12*$B$15*$B$18*$B$20*$B$22,0)</f>
        <v/>
      </c>
      <c r="AH63" s="10">
        <f>ROUND(($B$4+$B$5*1+$B$6*1+$B$7*0)*$B$12*$B$15*$B$18*$B$20*$B$21,0)</f>
        <v/>
      </c>
      <c r="AI63" s="10">
        <f>ROUND(($B$4+$B$5*1+$B$6*1+$B$7*0)*$B$12*$B$15*$B$18*$B$20*$B$22,0)</f>
        <v/>
      </c>
      <c r="AJ63" s="10">
        <f>ROUND(($B$4+$B$5*1+$B$6*2+$B$7*0)*$B$12*$B$15*$B$18*$B$20*$B$21,0)</f>
        <v/>
      </c>
      <c r="AK63" s="10">
        <f>ROUND(($B$4+$B$5*1+$B$6*2+$B$7*0)*$B$12*$B$15*$B$18*$B$20*$B$22,0)</f>
        <v/>
      </c>
      <c r="AL63" s="10">
        <f>ROUND(($B$4+$B$5*1+$B$6*0+$B$7*1)*$B$12*$B$15*$B$18*$B$20*$B$21,0)</f>
        <v/>
      </c>
      <c r="AM63" s="10">
        <f>ROUND(($B$4+$B$5*1+$B$6*0+$B$7*1)*$B$12*$B$15*$B$18*$B$20*$B$22,0)</f>
        <v/>
      </c>
      <c r="AN63" s="10">
        <f>ROUND(($B$4+$B$5*0+$B$6*2+$B$7*1)*$B$12*$B$15*$B$18*$B$20*$B$21,0)</f>
        <v/>
      </c>
      <c r="AO63" s="10">
        <f>ROUND(($B$4+$B$5*0+$B$6*2+$B$7*1)*$B$12*$B$15*$B$18*$B$20*$B$22,0)</f>
        <v/>
      </c>
      <c r="AP63" s="10">
        <f>ROUND(($B$4+$B$5*1+$B$6*2+$B$7*1)*$B$12*$B$15*$B$18*$B$20*$B$21,0)</f>
        <v/>
      </c>
      <c r="AQ63" s="10">
        <f>ROUND(($B$4+$B$5*1+$B$6*2+$B$7*1)*$B$12*$B$15*$B$18*$B$20*$B$22,0)</f>
        <v/>
      </c>
    </row>
  </sheetData>
  <mergeCells count="46">
    <mergeCell ref="N26:O26"/>
    <mergeCell ref="P26:Q26"/>
    <mergeCell ref="A3:AQ3"/>
    <mergeCell ref="B49:B51"/>
    <mergeCell ref="B34:B36"/>
    <mergeCell ref="B40:B42"/>
    <mergeCell ref="A2:AQ2"/>
    <mergeCell ref="A55:A63"/>
    <mergeCell ref="B55:B57"/>
    <mergeCell ref="A37:A45"/>
    <mergeCell ref="A23:AQ23"/>
    <mergeCell ref="Z26:AA26"/>
    <mergeCell ref="A8:AQ8"/>
    <mergeCell ref="AB26:AC26"/>
    <mergeCell ref="AL26:AM26"/>
    <mergeCell ref="AN26:AO26"/>
    <mergeCell ref="A46:A54"/>
    <mergeCell ref="AP26:AQ26"/>
    <mergeCell ref="B25:B27"/>
    <mergeCell ref="F26:G26"/>
    <mergeCell ref="J26:K26"/>
    <mergeCell ref="L26:M26"/>
    <mergeCell ref="R26:S26"/>
    <mergeCell ref="B31:B33"/>
    <mergeCell ref="T26:U26"/>
    <mergeCell ref="B43:B45"/>
    <mergeCell ref="B52:B54"/>
    <mergeCell ref="A28:A36"/>
    <mergeCell ref="B46:B48"/>
    <mergeCell ref="V26:W26"/>
    <mergeCell ref="A1:AQ1"/>
    <mergeCell ref="X26:Y26"/>
    <mergeCell ref="AD26:AE26"/>
    <mergeCell ref="B58:B60"/>
    <mergeCell ref="AF26:AG26"/>
    <mergeCell ref="AH26:AI26"/>
    <mergeCell ref="B61:B63"/>
    <mergeCell ref="AJ26:AK26"/>
    <mergeCell ref="C25:C27"/>
    <mergeCell ref="H26:I26"/>
    <mergeCell ref="A25:A27"/>
    <mergeCell ref="D25:W25"/>
    <mergeCell ref="X25:AQ25"/>
    <mergeCell ref="D26:E26"/>
    <mergeCell ref="B28:B30"/>
    <mergeCell ref="B37:B3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2D1B5E"/>
    <outlinePr summaryBelow="1" summaryRight="1"/>
    <pageSetUpPr/>
  </sheetPr>
  <dimension ref="A1:AI66"/>
  <sheetViews>
    <sheetView topLeftCell="A2" workbookViewId="0">
      <pane xSplit="3" topLeftCell="D1" activePane="topRight" state="frozen"/>
      <selection pane="topRight" activeCell="A25" sqref="A25:AI25"/>
    </sheetView>
  </sheetViews>
  <sheetFormatPr baseColWidth="10" defaultColWidth="9.140625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35"/>
  </cols>
  <sheetData>
    <row r="1" ht="33.95" customHeight="1" s="62">
      <c r="A1" s="92" t="inlineStr">
        <is>
          <t>GRILLE TARIFAIRE — Optimisation du tunnel de conversion</t>
        </is>
      </c>
    </row>
    <row r="2" ht="26.1" customHeight="1" s="62">
      <c r="A2" s="96" t="inlineStr">
        <is>
          <t>⚙  ZONE DE PARAMÉTRAGE — Remplissez uniquement les cases jaunes. Le tableau se calcule automatiquement.</t>
        </is>
      </c>
    </row>
    <row r="3" ht="21.95" customHeight="1" s="62">
      <c r="A3" s="95" t="inlineStr">
        <is>
          <t>TARIFS DE BASE (€)  —  Par niveau de prestation</t>
        </is>
      </c>
    </row>
    <row r="4" ht="21.95" customHeight="1" s="62">
      <c r="A4" s="32" t="inlineStr">
        <is>
          <t>Tarif de base — Optimisation simple</t>
        </is>
      </c>
      <c r="B4" s="33" t="n">
        <v>2500</v>
      </c>
      <c r="C4" s="34" t="inlineStr">
        <is>
          <t>Fourchette : 1 500 – 4 000 €</t>
        </is>
      </c>
    </row>
    <row r="5" ht="21.95" customHeight="1" s="62">
      <c r="A5" s="32" t="inlineStr">
        <is>
          <t>Tarif de base — Optimisation structurée</t>
        </is>
      </c>
      <c r="B5" s="33" t="n">
        <v>6000</v>
      </c>
      <c r="C5" s="34" t="inlineStr">
        <is>
          <t>Fourchette : 4 000 – 10 000 €</t>
        </is>
      </c>
    </row>
    <row r="6" ht="21.95" customHeight="1" s="62">
      <c r="A6" s="32" t="inlineStr">
        <is>
          <t>Tarif de base — Optimisation avancée (CRO)</t>
        </is>
      </c>
      <c r="B6" s="33" t="n">
        <v>12000</v>
      </c>
      <c r="C6" s="34" t="inlineStr">
        <is>
          <t>Fourchette : 10 000 – 25 000 €</t>
        </is>
      </c>
    </row>
    <row r="7" ht="21.95" customHeight="1" s="62">
      <c r="A7" s="32" t="inlineStr">
        <is>
          <t>Tarif de base — Accompagnement mensuel</t>
        </is>
      </c>
      <c r="B7" s="35" t="n">
        <v>1500</v>
      </c>
      <c r="C7" s="34" t="inlineStr">
        <is>
          <t>Fourchette : 800 – 2 500 €/mois</t>
        </is>
      </c>
    </row>
    <row r="8" ht="21.95" customHeight="1" s="62">
      <c r="A8" s="75" t="inlineStr">
        <is>
          <t>COEFFICIENTS MULTIPLICATEURS  —  1,00 = neutre. Ex : 1,20 = +20 %</t>
        </is>
      </c>
    </row>
    <row r="9" ht="20.1" customHeight="1" s="62">
      <c r="A9" s="19" t="inlineStr">
        <is>
          <t>Coeff. complexité — Simple (1-3 étapes)</t>
        </is>
      </c>
      <c r="B9" s="36" t="n">
        <v>0.9</v>
      </c>
      <c r="C9" s="37" t="inlineStr">
        <is>
          <t>Tunnel court</t>
        </is>
      </c>
    </row>
    <row r="10" ht="20.1" customHeight="1" s="62">
      <c r="A10" s="19" t="inlineStr">
        <is>
          <t>Coeff. complexité — Structuré (4-7 étapes)</t>
        </is>
      </c>
      <c r="B10" s="36" t="n">
        <v>1</v>
      </c>
      <c r="C10" s="37" t="inlineStr">
        <is>
          <t>Référence</t>
        </is>
      </c>
    </row>
    <row r="11" ht="20.1" customHeight="1" s="62">
      <c r="A11" s="19" t="inlineStr">
        <is>
          <t>Coeff. complexité — Avancé (8+ étapes)</t>
        </is>
      </c>
      <c r="B11" s="36" t="n">
        <v>1.6</v>
      </c>
      <c r="C11" s="37" t="inlineStr">
        <is>
          <t>Tunnel long et complexe</t>
        </is>
      </c>
    </row>
    <row r="12" ht="20.1" customHeight="1" s="62">
      <c r="A12" s="19" t="inlineStr">
        <is>
          <t>Coeff. trafic — Faible (&lt; 1k/mois)</t>
        </is>
      </c>
      <c r="B12" s="36" t="n">
        <v>0.9</v>
      </c>
      <c r="C12" s="37" t="inlineStr">
        <is>
          <t>Peu de données à analyser</t>
        </is>
      </c>
    </row>
    <row r="13" ht="20.1" customHeight="1" s="62">
      <c r="A13" s="19" t="inlineStr">
        <is>
          <t>Coeff. trafic — Moyen (1k-10k/mois)</t>
        </is>
      </c>
      <c r="B13" s="36" t="n">
        <v>1</v>
      </c>
      <c r="C13" s="37" t="inlineStr">
        <is>
          <t>Référence</t>
        </is>
      </c>
    </row>
    <row r="14" ht="20.1" customHeight="1" s="62">
      <c r="A14" s="19" t="inlineStr">
        <is>
          <t>Coeff. trafic — Élevé (10k+/mois)</t>
        </is>
      </c>
      <c r="B14" s="36" t="n">
        <v>1.4</v>
      </c>
      <c r="C14" s="37" t="inlineStr">
        <is>
          <t>Volume important, analyse riche</t>
        </is>
      </c>
    </row>
    <row r="15" ht="20.1" customHeight="1" s="62">
      <c r="A15" s="19" t="inlineStr">
        <is>
          <t>Coeff. type — Lead</t>
        </is>
      </c>
      <c r="B15" s="36" t="n">
        <v>1</v>
      </c>
      <c r="C15" s="37" t="inlineStr">
        <is>
          <t>Référence</t>
        </is>
      </c>
    </row>
    <row r="16" ht="20.1" customHeight="1" s="62">
      <c r="A16" s="19" t="inlineStr">
        <is>
          <t>Coeff. type — E-commerce</t>
        </is>
      </c>
      <c r="B16" s="36" t="n">
        <v>1.2</v>
      </c>
      <c r="C16" s="37" t="inlineStr">
        <is>
          <t>Panier, checkout, upsell</t>
        </is>
      </c>
    </row>
    <row r="17" ht="20.1" customHeight="1" s="62">
      <c r="A17" s="19" t="inlineStr">
        <is>
          <t>Coeff. type — Service</t>
        </is>
      </c>
      <c r="B17" s="36" t="n">
        <v>0.9</v>
      </c>
      <c r="C17" s="37" t="inlineStr">
        <is>
          <t>Prise de RDV, devis</t>
        </is>
      </c>
    </row>
    <row r="18" ht="20.1" customHeight="1" s="62">
      <c r="A18" s="19" t="inlineStr">
        <is>
          <t>Coeff. type — Multi-objectifs</t>
        </is>
      </c>
      <c r="B18" s="36" t="n">
        <v>1.4</v>
      </c>
      <c r="C18" s="37" t="inlineStr">
        <is>
          <t>Plusieurs tunnels combinés</t>
        </is>
      </c>
    </row>
    <row r="19" ht="20.1" customHeight="1" s="62">
      <c r="A19" s="19" t="inlineStr">
        <is>
          <t>Coeff. secteur — Standard</t>
        </is>
      </c>
      <c r="B19" s="36" t="n">
        <v>1</v>
      </c>
      <c r="C19" s="37" t="inlineStr">
        <is>
          <t>Référence</t>
        </is>
      </c>
    </row>
    <row r="20" ht="20.1" customHeight="1" s="62">
      <c r="A20" s="19" t="inlineStr">
        <is>
          <t>Coeff. secteur — Concurrentiel</t>
        </is>
      </c>
      <c r="B20" s="36" t="n">
        <v>1.3</v>
      </c>
      <c r="C20" s="37" t="inlineStr">
        <is>
          <t>Forte pression concurrentielle</t>
        </is>
      </c>
    </row>
    <row r="21" ht="20.1" customHeight="1" s="62">
      <c r="A21" s="19" t="inlineStr">
        <is>
          <t>Coeff. données — Peu de données</t>
        </is>
      </c>
      <c r="B21" s="36" t="n">
        <v>1.1</v>
      </c>
      <c r="C21" s="37" t="inlineStr">
        <is>
          <t>Mise en place tracking nécessaire</t>
        </is>
      </c>
    </row>
    <row r="22" ht="20.1" customHeight="1" s="62">
      <c r="A22" s="19" t="inlineStr">
        <is>
          <t>Coeff. données — Analytics complet</t>
        </is>
      </c>
      <c r="B22" s="36" t="n">
        <v>1</v>
      </c>
      <c r="C22" s="37" t="inlineStr">
        <is>
          <t>Référence</t>
        </is>
      </c>
    </row>
    <row r="23" ht="20.1" customHeight="1" s="62">
      <c r="A23" s="19" t="inlineStr">
        <is>
          <t>Coeff. mode — Distanciel</t>
        </is>
      </c>
      <c r="B23" s="36" t="n">
        <v>1</v>
      </c>
      <c r="C23" s="37" t="inlineStr">
        <is>
          <t>Référence</t>
        </is>
      </c>
    </row>
    <row r="24" ht="20.1" customHeight="1" s="62">
      <c r="A24" s="19" t="inlineStr">
        <is>
          <t>Coeff. mode — Présentiel</t>
        </is>
      </c>
      <c r="B24" s="36" t="n">
        <v>1.3</v>
      </c>
      <c r="C24" s="37" t="inlineStr">
        <is>
          <t>Ateliers et sessions sur site</t>
        </is>
      </c>
    </row>
    <row r="25" ht="24" customHeight="1" s="62">
      <c r="A25" s="94" t="inlineStr">
        <is>
          <t>▼  GRILLE TARIFAIRE CALCULÉE AUTOMATIQUEMENT  — Les cellules violettes sont en lecture seule (formules).</t>
        </is>
      </c>
    </row>
    <row r="26" ht="6" customHeight="1" s="62"/>
    <row r="27" ht="38.1" customHeight="1" s="62">
      <c r="A27" s="93" t="inlineStr">
        <is>
          <t>Complexité du tunnel</t>
        </is>
      </c>
      <c r="B27" s="86" t="inlineStr">
        <is>
          <t>Volume de trafic</t>
        </is>
      </c>
      <c r="C27" s="88" t="inlineStr">
        <is>
          <t>Type de tunnel</t>
        </is>
      </c>
      <c r="D27" s="93" t="inlineStr">
        <is>
          <t>Optimisation simple</t>
        </is>
      </c>
      <c r="E27" s="55" t="n"/>
      <c r="F27" s="55" t="n"/>
      <c r="G27" s="55" t="n"/>
      <c r="H27" s="55" t="n"/>
      <c r="I27" s="55" t="n"/>
      <c r="J27" s="55" t="n"/>
      <c r="K27" s="56" t="n"/>
      <c r="L27" s="93" t="inlineStr">
        <is>
          <t>Optimisation structurée</t>
        </is>
      </c>
      <c r="M27" s="55" t="n"/>
      <c r="N27" s="55" t="n"/>
      <c r="O27" s="55" t="n"/>
      <c r="P27" s="55" t="n"/>
      <c r="Q27" s="55" t="n"/>
      <c r="R27" s="55" t="n"/>
      <c r="S27" s="56" t="n"/>
      <c r="T27" s="93" t="inlineStr">
        <is>
          <t>Optimisation avancée (CRO)</t>
        </is>
      </c>
      <c r="U27" s="55" t="n"/>
      <c r="V27" s="55" t="n"/>
      <c r="W27" s="55" t="n"/>
      <c r="X27" s="55" t="n"/>
      <c r="Y27" s="55" t="n"/>
      <c r="Z27" s="55" t="n"/>
      <c r="AA27" s="56" t="n"/>
      <c r="AB27" s="93" t="inlineStr">
        <is>
          <t>Accompagnement mensuel</t>
        </is>
      </c>
      <c r="AC27" s="55" t="n"/>
      <c r="AD27" s="55" t="n"/>
      <c r="AE27" s="55" t="n"/>
      <c r="AF27" s="55" t="n"/>
      <c r="AG27" s="55" t="n"/>
      <c r="AH27" s="55" t="n"/>
      <c r="AI27" s="56" t="n"/>
    </row>
    <row r="28" ht="38.1" customHeight="1" s="62">
      <c r="A28" s="64" t="n"/>
      <c r="B28" s="64" t="n"/>
      <c r="C28" s="64" t="n"/>
      <c r="D28" s="86" t="inlineStr">
        <is>
          <t>Secteur standard</t>
        </is>
      </c>
      <c r="E28" s="55" t="n"/>
      <c r="F28" s="55" t="n"/>
      <c r="G28" s="56" t="n"/>
      <c r="H28" s="86" t="inlineStr">
        <is>
          <t>Secteur concurrentiel</t>
        </is>
      </c>
      <c r="I28" s="55" t="n"/>
      <c r="J28" s="55" t="n"/>
      <c r="K28" s="56" t="n"/>
      <c r="L28" s="86" t="inlineStr">
        <is>
          <t>Secteur standard</t>
        </is>
      </c>
      <c r="M28" s="55" t="n"/>
      <c r="N28" s="55" t="n"/>
      <c r="O28" s="56" t="n"/>
      <c r="P28" s="86" t="inlineStr">
        <is>
          <t>Secteur concurrentiel</t>
        </is>
      </c>
      <c r="Q28" s="55" t="n"/>
      <c r="R28" s="55" t="n"/>
      <c r="S28" s="56" t="n"/>
      <c r="T28" s="86" t="inlineStr">
        <is>
          <t>Secteur standard</t>
        </is>
      </c>
      <c r="U28" s="55" t="n"/>
      <c r="V28" s="55" t="n"/>
      <c r="W28" s="56" t="n"/>
      <c r="X28" s="86" t="inlineStr">
        <is>
          <t>Secteur concurrentiel</t>
        </is>
      </c>
      <c r="Y28" s="55" t="n"/>
      <c r="Z28" s="55" t="n"/>
      <c r="AA28" s="56" t="n"/>
      <c r="AB28" s="86" t="inlineStr">
        <is>
          <t>Secteur standard</t>
        </is>
      </c>
      <c r="AC28" s="55" t="n"/>
      <c r="AD28" s="55" t="n"/>
      <c r="AE28" s="56" t="n"/>
      <c r="AF28" s="86" t="inlineStr">
        <is>
          <t>Secteur concurrentiel</t>
        </is>
      </c>
      <c r="AG28" s="55" t="n"/>
      <c r="AH28" s="55" t="n"/>
      <c r="AI28" s="56" t="n"/>
    </row>
    <row r="29" ht="38.1" customHeight="1" s="62">
      <c r="A29" s="64" t="n"/>
      <c r="B29" s="64" t="n"/>
      <c r="C29" s="64" t="n"/>
      <c r="D29" s="88" t="inlineStr">
        <is>
          <t>Peu de données</t>
        </is>
      </c>
      <c r="E29" s="56" t="n"/>
      <c r="F29" s="88" t="inlineStr">
        <is>
          <t>Analytics complet</t>
        </is>
      </c>
      <c r="G29" s="56" t="n"/>
      <c r="H29" s="88" t="inlineStr">
        <is>
          <t>Peu de données</t>
        </is>
      </c>
      <c r="I29" s="56" t="n"/>
      <c r="J29" s="88" t="inlineStr">
        <is>
          <t>Analytics complet</t>
        </is>
      </c>
      <c r="K29" s="56" t="n"/>
      <c r="L29" s="88" t="inlineStr">
        <is>
          <t>Peu de données</t>
        </is>
      </c>
      <c r="M29" s="56" t="n"/>
      <c r="N29" s="88" t="inlineStr">
        <is>
          <t>Analytics complet</t>
        </is>
      </c>
      <c r="O29" s="56" t="n"/>
      <c r="P29" s="88" t="inlineStr">
        <is>
          <t>Peu de données</t>
        </is>
      </c>
      <c r="Q29" s="56" t="n"/>
      <c r="R29" s="88" t="inlineStr">
        <is>
          <t>Analytics complet</t>
        </is>
      </c>
      <c r="S29" s="56" t="n"/>
      <c r="T29" s="88" t="inlineStr">
        <is>
          <t>Peu de données</t>
        </is>
      </c>
      <c r="U29" s="56" t="n"/>
      <c r="V29" s="88" t="inlineStr">
        <is>
          <t>Analytics complet</t>
        </is>
      </c>
      <c r="W29" s="56" t="n"/>
      <c r="X29" s="88" t="inlineStr">
        <is>
          <t>Peu de données</t>
        </is>
      </c>
      <c r="Y29" s="56" t="n"/>
      <c r="Z29" s="88" t="inlineStr">
        <is>
          <t>Analytics complet</t>
        </is>
      </c>
      <c r="AA29" s="56" t="n"/>
      <c r="AB29" s="88" t="inlineStr">
        <is>
          <t>Peu de données</t>
        </is>
      </c>
      <c r="AC29" s="56" t="n"/>
      <c r="AD29" s="88" t="inlineStr">
        <is>
          <t>Analytics complet</t>
        </is>
      </c>
      <c r="AE29" s="56" t="n"/>
      <c r="AF29" s="88" t="inlineStr">
        <is>
          <t>Peu de données</t>
        </is>
      </c>
      <c r="AG29" s="56" t="n"/>
      <c r="AH29" s="88" t="inlineStr">
        <is>
          <t>Analytics complet</t>
        </is>
      </c>
      <c r="AI29" s="56" t="n"/>
    </row>
    <row r="30" ht="38.1" customHeight="1" s="62">
      <c r="A30" s="65" t="n"/>
      <c r="B30" s="65" t="n"/>
      <c r="C30" s="65" t="n"/>
      <c r="D30" s="22" t="inlineStr">
        <is>
          <t>Distanciel</t>
        </is>
      </c>
      <c r="E30" s="22" t="inlineStr">
        <is>
          <t>Présentiel</t>
        </is>
      </c>
      <c r="F30" s="22" t="inlineStr">
        <is>
          <t>Distanciel</t>
        </is>
      </c>
      <c r="G30" s="22" t="inlineStr">
        <is>
          <t>Présentiel</t>
        </is>
      </c>
      <c r="H30" s="22" t="inlineStr">
        <is>
          <t>Distanciel</t>
        </is>
      </c>
      <c r="I30" s="22" t="inlineStr">
        <is>
          <t>Présentiel</t>
        </is>
      </c>
      <c r="J30" s="22" t="inlineStr">
        <is>
          <t>Distanciel</t>
        </is>
      </c>
      <c r="K30" s="22" t="inlineStr">
        <is>
          <t>Présentiel</t>
        </is>
      </c>
      <c r="L30" s="22" t="inlineStr">
        <is>
          <t>Distanciel</t>
        </is>
      </c>
      <c r="M30" s="22" t="inlineStr">
        <is>
          <t>Présentiel</t>
        </is>
      </c>
      <c r="N30" s="22" t="inlineStr">
        <is>
          <t>Distanciel</t>
        </is>
      </c>
      <c r="O30" s="22" t="inlineStr">
        <is>
          <t>Présentiel</t>
        </is>
      </c>
      <c r="P30" s="22" t="inlineStr">
        <is>
          <t>Distanciel</t>
        </is>
      </c>
      <c r="Q30" s="22" t="inlineStr">
        <is>
          <t>Présentiel</t>
        </is>
      </c>
      <c r="R30" s="22" t="inlineStr">
        <is>
          <t>Distanciel</t>
        </is>
      </c>
      <c r="S30" s="22" t="inlineStr">
        <is>
          <t>Présentiel</t>
        </is>
      </c>
      <c r="T30" s="22" t="inlineStr">
        <is>
          <t>Distanciel</t>
        </is>
      </c>
      <c r="U30" s="22" t="inlineStr">
        <is>
          <t>Présentiel</t>
        </is>
      </c>
      <c r="V30" s="22" t="inlineStr">
        <is>
          <t>Distanciel</t>
        </is>
      </c>
      <c r="W30" s="22" t="inlineStr">
        <is>
          <t>Présentiel</t>
        </is>
      </c>
      <c r="X30" s="22" t="inlineStr">
        <is>
          <t>Distanciel</t>
        </is>
      </c>
      <c r="Y30" s="22" t="inlineStr">
        <is>
          <t>Présentiel</t>
        </is>
      </c>
      <c r="Z30" s="22" t="inlineStr">
        <is>
          <t>Distanciel</t>
        </is>
      </c>
      <c r="AA30" s="22" t="inlineStr">
        <is>
          <t>Présentiel</t>
        </is>
      </c>
      <c r="AB30" s="22" t="inlineStr">
        <is>
          <t>Distanciel</t>
        </is>
      </c>
      <c r="AC30" s="22" t="inlineStr">
        <is>
          <t>Présentiel</t>
        </is>
      </c>
      <c r="AD30" s="22" t="inlineStr">
        <is>
          <t>Distanciel</t>
        </is>
      </c>
      <c r="AE30" s="22" t="inlineStr">
        <is>
          <t>Présentiel</t>
        </is>
      </c>
      <c r="AF30" s="22" t="inlineStr">
        <is>
          <t>Distanciel</t>
        </is>
      </c>
      <c r="AG30" s="22" t="inlineStr">
        <is>
          <t>Présentiel</t>
        </is>
      </c>
      <c r="AH30" s="22" t="inlineStr">
        <is>
          <t>Distanciel</t>
        </is>
      </c>
      <c r="AI30" s="22" t="inlineStr">
        <is>
          <t>Présentiel</t>
        </is>
      </c>
    </row>
    <row r="31" ht="20.1" customHeight="1" s="62">
      <c r="A31" s="89" t="inlineStr">
        <is>
          <t>Simple (1-3 étapes)</t>
        </is>
      </c>
      <c r="B31" s="87" t="inlineStr">
        <is>
          <t>Faible (&lt; 1k/mois)</t>
        </is>
      </c>
      <c r="C31" s="39" t="inlineStr">
        <is>
          <t>Lead</t>
        </is>
      </c>
      <c r="D31" s="40">
        <f>ROUND($B$4*$B$9*$B$12*$B$15*$B$19*$B$21*$B$23,0)</f>
        <v/>
      </c>
      <c r="E31" s="40">
        <f>ROUND($B$4*$B$9*$B$12*$B$15*$B$19*$B$21*$B$24,0)</f>
        <v/>
      </c>
      <c r="F31" s="40">
        <f>ROUND($B$4*$B$9*$B$12*$B$15*$B$19*$B$22*$B$23,0)</f>
        <v/>
      </c>
      <c r="G31" s="40">
        <f>ROUND($B$4*$B$9*$B$12*$B$15*$B$19*$B$22*$B$24,0)</f>
        <v/>
      </c>
      <c r="H31" s="40">
        <f>ROUND($B$4*$B$9*$B$12*$B$15*$B$20*$B$21*$B$23,0)</f>
        <v/>
      </c>
      <c r="I31" s="40">
        <f>ROUND($B$4*$B$9*$B$12*$B$15*$B$20*$B$21*$B$24,0)</f>
        <v/>
      </c>
      <c r="J31" s="40">
        <f>ROUND($B$4*$B$9*$B$12*$B$15*$B$20*$B$22*$B$23,0)</f>
        <v/>
      </c>
      <c r="K31" s="40">
        <f>ROUND($B$4*$B$9*$B$12*$B$15*$B$20*$B$22*$B$24,0)</f>
        <v/>
      </c>
      <c r="L31" s="40">
        <f>ROUND($B$5*$B$9*$B$12*$B$15*$B$19*$B$21*$B$23,0)</f>
        <v/>
      </c>
      <c r="M31" s="40">
        <f>ROUND($B$5*$B$9*$B$12*$B$15*$B$19*$B$21*$B$24,0)</f>
        <v/>
      </c>
      <c r="N31" s="40">
        <f>ROUND($B$5*$B$9*$B$12*$B$15*$B$19*$B$22*$B$23,0)</f>
        <v/>
      </c>
      <c r="O31" s="40">
        <f>ROUND($B$5*$B$9*$B$12*$B$15*$B$19*$B$22*$B$24,0)</f>
        <v/>
      </c>
      <c r="P31" s="40">
        <f>ROUND($B$5*$B$9*$B$12*$B$15*$B$20*$B$21*$B$23,0)</f>
        <v/>
      </c>
      <c r="Q31" s="40">
        <f>ROUND($B$5*$B$9*$B$12*$B$15*$B$20*$B$21*$B$24,0)</f>
        <v/>
      </c>
      <c r="R31" s="40">
        <f>ROUND($B$5*$B$9*$B$12*$B$15*$B$20*$B$22*$B$23,0)</f>
        <v/>
      </c>
      <c r="S31" s="40">
        <f>ROUND($B$5*$B$9*$B$12*$B$15*$B$20*$B$22*$B$24,0)</f>
        <v/>
      </c>
      <c r="T31" s="40">
        <f>ROUND($B$6*$B$9*$B$12*$B$15*$B$19*$B$21*$B$23,0)</f>
        <v/>
      </c>
      <c r="U31" s="40">
        <f>ROUND($B$6*$B$9*$B$12*$B$15*$B$19*$B$21*$B$24,0)</f>
        <v/>
      </c>
      <c r="V31" s="40">
        <f>ROUND($B$6*$B$9*$B$12*$B$15*$B$19*$B$22*$B$23,0)</f>
        <v/>
      </c>
      <c r="W31" s="40">
        <f>ROUND($B$6*$B$9*$B$12*$B$15*$B$19*$B$22*$B$24,0)</f>
        <v/>
      </c>
      <c r="X31" s="40">
        <f>ROUND($B$6*$B$9*$B$12*$B$15*$B$20*$B$21*$B$23,0)</f>
        <v/>
      </c>
      <c r="Y31" s="40">
        <f>ROUND($B$6*$B$9*$B$12*$B$15*$B$20*$B$21*$B$24,0)</f>
        <v/>
      </c>
      <c r="Z31" s="40">
        <f>ROUND($B$6*$B$9*$B$12*$B$15*$B$20*$B$22*$B$23,0)</f>
        <v/>
      </c>
      <c r="AA31" s="40">
        <f>ROUND($B$6*$B$9*$B$12*$B$15*$B$20*$B$22*$B$24,0)</f>
        <v/>
      </c>
      <c r="AB31" s="41">
        <f>ROUND($B$7*$B$9*$B$12*$B$15*$B$19*$B$21*$B$23,0)</f>
        <v/>
      </c>
      <c r="AC31" s="41">
        <f>ROUND($B$7*$B$9*$B$12*$B$15*$B$19*$B$21*$B$24,0)</f>
        <v/>
      </c>
      <c r="AD31" s="41">
        <f>ROUND($B$7*$B$9*$B$12*$B$15*$B$19*$B$22*$B$23,0)</f>
        <v/>
      </c>
      <c r="AE31" s="41">
        <f>ROUND($B$7*$B$9*$B$12*$B$15*$B$19*$B$22*$B$24,0)</f>
        <v/>
      </c>
      <c r="AF31" s="41">
        <f>ROUND($B$7*$B$9*$B$12*$B$15*$B$20*$B$21*$B$23,0)</f>
        <v/>
      </c>
      <c r="AG31" s="41">
        <f>ROUND($B$7*$B$9*$B$12*$B$15*$B$20*$B$21*$B$24,0)</f>
        <v/>
      </c>
      <c r="AH31" s="41">
        <f>ROUND($B$7*$B$9*$B$12*$B$15*$B$20*$B$22*$B$23,0)</f>
        <v/>
      </c>
      <c r="AI31" s="41">
        <f>ROUND($B$7*$B$9*$B$12*$B$15*$B$20*$B$22*$B$24,0)</f>
        <v/>
      </c>
    </row>
    <row r="32" ht="20.1" customHeight="1" s="62">
      <c r="A32" s="90" t="n"/>
      <c r="B32" s="58" t="n"/>
      <c r="C32" s="87" t="inlineStr">
        <is>
          <t>E-commerce</t>
        </is>
      </c>
      <c r="D32" s="40">
        <f>ROUND($B$4*$B$9*$B$12*$B$16*$B$19*$B$21*$B$23,0)</f>
        <v/>
      </c>
      <c r="E32" s="40">
        <f>ROUND($B$4*$B$9*$B$12*$B$16*$B$19*$B$21*$B$24,0)</f>
        <v/>
      </c>
      <c r="F32" s="40">
        <f>ROUND($B$4*$B$9*$B$12*$B$16*$B$19*$B$22*$B$23,0)</f>
        <v/>
      </c>
      <c r="G32" s="40">
        <f>ROUND($B$4*$B$9*$B$12*$B$16*$B$19*$B$22*$B$24,0)</f>
        <v/>
      </c>
      <c r="H32" s="40">
        <f>ROUND($B$4*$B$9*$B$12*$B$16*$B$20*$B$21*$B$23,0)</f>
        <v/>
      </c>
      <c r="I32" s="40">
        <f>ROUND($B$4*$B$9*$B$12*$B$16*$B$20*$B$21*$B$24,0)</f>
        <v/>
      </c>
      <c r="J32" s="40">
        <f>ROUND($B$4*$B$9*$B$12*$B$16*$B$20*$B$22*$B$23,0)</f>
        <v/>
      </c>
      <c r="K32" s="40">
        <f>ROUND($B$4*$B$9*$B$12*$B$16*$B$20*$B$22*$B$24,0)</f>
        <v/>
      </c>
      <c r="L32" s="40">
        <f>ROUND($B$5*$B$9*$B$12*$B$16*$B$19*$B$21*$B$23,0)</f>
        <v/>
      </c>
      <c r="M32" s="40">
        <f>ROUND($B$5*$B$9*$B$12*$B$16*$B$19*$B$21*$B$24,0)</f>
        <v/>
      </c>
      <c r="N32" s="40">
        <f>ROUND($B$5*$B$9*$B$12*$B$16*$B$19*$B$22*$B$23,0)</f>
        <v/>
      </c>
      <c r="O32" s="40">
        <f>ROUND($B$5*$B$9*$B$12*$B$16*$B$19*$B$22*$B$24,0)</f>
        <v/>
      </c>
      <c r="P32" s="40">
        <f>ROUND($B$5*$B$9*$B$12*$B$16*$B$20*$B$21*$B$23,0)</f>
        <v/>
      </c>
      <c r="Q32" s="40">
        <f>ROUND($B$5*$B$9*$B$12*$B$16*$B$20*$B$21*$B$24,0)</f>
        <v/>
      </c>
      <c r="R32" s="40">
        <f>ROUND($B$5*$B$9*$B$12*$B$16*$B$20*$B$22*$B$23,0)</f>
        <v/>
      </c>
      <c r="S32" s="40">
        <f>ROUND($B$5*$B$9*$B$12*$B$16*$B$20*$B$22*$B$24,0)</f>
        <v/>
      </c>
      <c r="T32" s="40">
        <f>ROUND($B$6*$B$9*$B$12*$B$16*$B$19*$B$21*$B$23,0)</f>
        <v/>
      </c>
      <c r="U32" s="40">
        <f>ROUND($B$6*$B$9*$B$12*$B$16*$B$19*$B$21*$B$24,0)</f>
        <v/>
      </c>
      <c r="V32" s="40">
        <f>ROUND($B$6*$B$9*$B$12*$B$16*$B$19*$B$22*$B$23,0)</f>
        <v/>
      </c>
      <c r="W32" s="40">
        <f>ROUND($B$6*$B$9*$B$12*$B$16*$B$19*$B$22*$B$24,0)</f>
        <v/>
      </c>
      <c r="X32" s="40">
        <f>ROUND($B$6*$B$9*$B$12*$B$16*$B$20*$B$21*$B$23,0)</f>
        <v/>
      </c>
      <c r="Y32" s="40">
        <f>ROUND($B$6*$B$9*$B$12*$B$16*$B$20*$B$21*$B$24,0)</f>
        <v/>
      </c>
      <c r="Z32" s="40">
        <f>ROUND($B$6*$B$9*$B$12*$B$16*$B$20*$B$22*$B$23,0)</f>
        <v/>
      </c>
      <c r="AA32" s="40">
        <f>ROUND($B$6*$B$9*$B$12*$B$16*$B$20*$B$22*$B$24,0)</f>
        <v/>
      </c>
      <c r="AB32" s="41">
        <f>ROUND($B$7*$B$9*$B$12*$B$16*$B$19*$B$21*$B$23,0)</f>
        <v/>
      </c>
      <c r="AC32" s="41">
        <f>ROUND($B$7*$B$9*$B$12*$B$16*$B$19*$B$21*$B$24,0)</f>
        <v/>
      </c>
      <c r="AD32" s="41">
        <f>ROUND($B$7*$B$9*$B$12*$B$16*$B$19*$B$22*$B$23,0)</f>
        <v/>
      </c>
      <c r="AE32" s="41">
        <f>ROUND($B$7*$B$9*$B$12*$B$16*$B$19*$B$22*$B$24,0)</f>
        <v/>
      </c>
      <c r="AF32" s="41">
        <f>ROUND($B$7*$B$9*$B$12*$B$16*$B$20*$B$21*$B$23,0)</f>
        <v/>
      </c>
      <c r="AG32" s="41">
        <f>ROUND($B$7*$B$9*$B$12*$B$16*$B$20*$B$21*$B$24,0)</f>
        <v/>
      </c>
      <c r="AH32" s="41">
        <f>ROUND($B$7*$B$9*$B$12*$B$16*$B$20*$B$22*$B$23,0)</f>
        <v/>
      </c>
      <c r="AI32" s="41">
        <f>ROUND($B$7*$B$9*$B$12*$B$16*$B$20*$B$22*$B$24,0)</f>
        <v/>
      </c>
    </row>
    <row r="33" ht="20.1" customHeight="1" s="62">
      <c r="A33" s="90" t="n"/>
      <c r="B33" s="58" t="n"/>
      <c r="C33" s="42" t="inlineStr">
        <is>
          <t>Service</t>
        </is>
      </c>
      <c r="D33" s="40">
        <f>ROUND($B$4*$B$9*$B$12*$B$17*$B$19*$B$21*$B$23,0)</f>
        <v/>
      </c>
      <c r="E33" s="40">
        <f>ROUND($B$4*$B$9*$B$12*$B$17*$B$19*$B$21*$B$24,0)</f>
        <v/>
      </c>
      <c r="F33" s="40">
        <f>ROUND($B$4*$B$9*$B$12*$B$17*$B$19*$B$22*$B$23,0)</f>
        <v/>
      </c>
      <c r="G33" s="40">
        <f>ROUND($B$4*$B$9*$B$12*$B$17*$B$19*$B$22*$B$24,0)</f>
        <v/>
      </c>
      <c r="H33" s="40">
        <f>ROUND($B$4*$B$9*$B$12*$B$17*$B$20*$B$21*$B$23,0)</f>
        <v/>
      </c>
      <c r="I33" s="40">
        <f>ROUND($B$4*$B$9*$B$12*$B$17*$B$20*$B$21*$B$24,0)</f>
        <v/>
      </c>
      <c r="J33" s="40">
        <f>ROUND($B$4*$B$9*$B$12*$B$17*$B$20*$B$22*$B$23,0)</f>
        <v/>
      </c>
      <c r="K33" s="40">
        <f>ROUND($B$4*$B$9*$B$12*$B$17*$B$20*$B$22*$B$24,0)</f>
        <v/>
      </c>
      <c r="L33" s="40">
        <f>ROUND($B$5*$B$9*$B$12*$B$17*$B$19*$B$21*$B$23,0)</f>
        <v/>
      </c>
      <c r="M33" s="40">
        <f>ROUND($B$5*$B$9*$B$12*$B$17*$B$19*$B$21*$B$24,0)</f>
        <v/>
      </c>
      <c r="N33" s="40">
        <f>ROUND($B$5*$B$9*$B$12*$B$17*$B$19*$B$22*$B$23,0)</f>
        <v/>
      </c>
      <c r="O33" s="40">
        <f>ROUND($B$5*$B$9*$B$12*$B$17*$B$19*$B$22*$B$24,0)</f>
        <v/>
      </c>
      <c r="P33" s="40">
        <f>ROUND($B$5*$B$9*$B$12*$B$17*$B$20*$B$21*$B$23,0)</f>
        <v/>
      </c>
      <c r="Q33" s="40">
        <f>ROUND($B$5*$B$9*$B$12*$B$17*$B$20*$B$21*$B$24,0)</f>
        <v/>
      </c>
      <c r="R33" s="40">
        <f>ROUND($B$5*$B$9*$B$12*$B$17*$B$20*$B$22*$B$23,0)</f>
        <v/>
      </c>
      <c r="S33" s="40">
        <f>ROUND($B$5*$B$9*$B$12*$B$17*$B$20*$B$22*$B$24,0)</f>
        <v/>
      </c>
      <c r="T33" s="40">
        <f>ROUND($B$6*$B$9*$B$12*$B$17*$B$19*$B$21*$B$23,0)</f>
        <v/>
      </c>
      <c r="U33" s="40">
        <f>ROUND($B$6*$B$9*$B$12*$B$17*$B$19*$B$21*$B$24,0)</f>
        <v/>
      </c>
      <c r="V33" s="40">
        <f>ROUND($B$6*$B$9*$B$12*$B$17*$B$19*$B$22*$B$23,0)</f>
        <v/>
      </c>
      <c r="W33" s="40">
        <f>ROUND($B$6*$B$9*$B$12*$B$17*$B$19*$B$22*$B$24,0)</f>
        <v/>
      </c>
      <c r="X33" s="40">
        <f>ROUND($B$6*$B$9*$B$12*$B$17*$B$20*$B$21*$B$23,0)</f>
        <v/>
      </c>
      <c r="Y33" s="40">
        <f>ROUND($B$6*$B$9*$B$12*$B$17*$B$20*$B$21*$B$24,0)</f>
        <v/>
      </c>
      <c r="Z33" s="40">
        <f>ROUND($B$6*$B$9*$B$12*$B$17*$B$20*$B$22*$B$23,0)</f>
        <v/>
      </c>
      <c r="AA33" s="40">
        <f>ROUND($B$6*$B$9*$B$12*$B$17*$B$20*$B$22*$B$24,0)</f>
        <v/>
      </c>
      <c r="AB33" s="41">
        <f>ROUND($B$7*$B$9*$B$12*$B$17*$B$19*$B$21*$B$23,0)</f>
        <v/>
      </c>
      <c r="AC33" s="41">
        <f>ROUND($B$7*$B$9*$B$12*$B$17*$B$19*$B$21*$B$24,0)</f>
        <v/>
      </c>
      <c r="AD33" s="41">
        <f>ROUND($B$7*$B$9*$B$12*$B$17*$B$19*$B$22*$B$23,0)</f>
        <v/>
      </c>
      <c r="AE33" s="41">
        <f>ROUND($B$7*$B$9*$B$12*$B$17*$B$19*$B$22*$B$24,0)</f>
        <v/>
      </c>
      <c r="AF33" s="41">
        <f>ROUND($B$7*$B$9*$B$12*$B$17*$B$20*$B$21*$B$23,0)</f>
        <v/>
      </c>
      <c r="AG33" s="41">
        <f>ROUND($B$7*$B$9*$B$12*$B$17*$B$20*$B$21*$B$24,0)</f>
        <v/>
      </c>
      <c r="AH33" s="41">
        <f>ROUND($B$7*$B$9*$B$12*$B$17*$B$20*$B$22*$B$23,0)</f>
        <v/>
      </c>
      <c r="AI33" s="41">
        <f>ROUND($B$7*$B$9*$B$12*$B$17*$B$20*$B$22*$B$24,0)</f>
        <v/>
      </c>
    </row>
    <row r="34" ht="20.1" customHeight="1" s="62">
      <c r="A34" s="90" t="n"/>
      <c r="B34" s="59" t="n"/>
      <c r="C34" s="39" t="inlineStr">
        <is>
          <t>Multi-objectifs</t>
        </is>
      </c>
      <c r="D34" s="40">
        <f>ROUND($B$4*$B$9*$B$12*$B$18*$B$19*$B$21*$B$23,0)</f>
        <v/>
      </c>
      <c r="E34" s="40">
        <f>ROUND($B$4*$B$9*$B$12*$B$18*$B$19*$B$21*$B$24,0)</f>
        <v/>
      </c>
      <c r="F34" s="40">
        <f>ROUND($B$4*$B$9*$B$12*$B$18*$B$19*$B$22*$B$23,0)</f>
        <v/>
      </c>
      <c r="G34" s="40">
        <f>ROUND($B$4*$B$9*$B$12*$B$18*$B$19*$B$22*$B$24,0)</f>
        <v/>
      </c>
      <c r="H34" s="40">
        <f>ROUND($B$4*$B$9*$B$12*$B$18*$B$20*$B$21*$B$23,0)</f>
        <v/>
      </c>
      <c r="I34" s="40">
        <f>ROUND($B$4*$B$9*$B$12*$B$18*$B$20*$B$21*$B$24,0)</f>
        <v/>
      </c>
      <c r="J34" s="40">
        <f>ROUND($B$4*$B$9*$B$12*$B$18*$B$20*$B$22*$B$23,0)</f>
        <v/>
      </c>
      <c r="K34" s="40">
        <f>ROUND($B$4*$B$9*$B$12*$B$18*$B$20*$B$22*$B$24,0)</f>
        <v/>
      </c>
      <c r="L34" s="40">
        <f>ROUND($B$5*$B$9*$B$12*$B$18*$B$19*$B$21*$B$23,0)</f>
        <v/>
      </c>
      <c r="M34" s="40">
        <f>ROUND($B$5*$B$9*$B$12*$B$18*$B$19*$B$21*$B$24,0)</f>
        <v/>
      </c>
      <c r="N34" s="40">
        <f>ROUND($B$5*$B$9*$B$12*$B$18*$B$19*$B$22*$B$23,0)</f>
        <v/>
      </c>
      <c r="O34" s="40">
        <f>ROUND($B$5*$B$9*$B$12*$B$18*$B$19*$B$22*$B$24,0)</f>
        <v/>
      </c>
      <c r="P34" s="40">
        <f>ROUND($B$5*$B$9*$B$12*$B$18*$B$20*$B$21*$B$23,0)</f>
        <v/>
      </c>
      <c r="Q34" s="40">
        <f>ROUND($B$5*$B$9*$B$12*$B$18*$B$20*$B$21*$B$24,0)</f>
        <v/>
      </c>
      <c r="R34" s="40">
        <f>ROUND($B$5*$B$9*$B$12*$B$18*$B$20*$B$22*$B$23,0)</f>
        <v/>
      </c>
      <c r="S34" s="40">
        <f>ROUND($B$5*$B$9*$B$12*$B$18*$B$20*$B$22*$B$24,0)</f>
        <v/>
      </c>
      <c r="T34" s="40">
        <f>ROUND($B$6*$B$9*$B$12*$B$18*$B$19*$B$21*$B$23,0)</f>
        <v/>
      </c>
      <c r="U34" s="40">
        <f>ROUND($B$6*$B$9*$B$12*$B$18*$B$19*$B$21*$B$24,0)</f>
        <v/>
      </c>
      <c r="V34" s="40">
        <f>ROUND($B$6*$B$9*$B$12*$B$18*$B$19*$B$22*$B$23,0)</f>
        <v/>
      </c>
      <c r="W34" s="40">
        <f>ROUND($B$6*$B$9*$B$12*$B$18*$B$19*$B$22*$B$24,0)</f>
        <v/>
      </c>
      <c r="X34" s="40">
        <f>ROUND($B$6*$B$9*$B$12*$B$18*$B$20*$B$21*$B$23,0)</f>
        <v/>
      </c>
      <c r="Y34" s="40">
        <f>ROUND($B$6*$B$9*$B$12*$B$18*$B$20*$B$21*$B$24,0)</f>
        <v/>
      </c>
      <c r="Z34" s="40">
        <f>ROUND($B$6*$B$9*$B$12*$B$18*$B$20*$B$22*$B$23,0)</f>
        <v/>
      </c>
      <c r="AA34" s="40">
        <f>ROUND($B$6*$B$9*$B$12*$B$18*$B$20*$B$22*$B$24,0)</f>
        <v/>
      </c>
      <c r="AB34" s="41">
        <f>ROUND($B$7*$B$9*$B$12*$B$18*$B$19*$B$21*$B$23,0)</f>
        <v/>
      </c>
      <c r="AC34" s="41">
        <f>ROUND($B$7*$B$9*$B$12*$B$18*$B$19*$B$21*$B$24,0)</f>
        <v/>
      </c>
      <c r="AD34" s="41">
        <f>ROUND($B$7*$B$9*$B$12*$B$18*$B$19*$B$22*$B$23,0)</f>
        <v/>
      </c>
      <c r="AE34" s="41">
        <f>ROUND($B$7*$B$9*$B$12*$B$18*$B$19*$B$22*$B$24,0)</f>
        <v/>
      </c>
      <c r="AF34" s="41">
        <f>ROUND($B$7*$B$9*$B$12*$B$18*$B$20*$B$21*$B$23,0)</f>
        <v/>
      </c>
      <c r="AG34" s="41">
        <f>ROUND($B$7*$B$9*$B$12*$B$18*$B$20*$B$21*$B$24,0)</f>
        <v/>
      </c>
      <c r="AH34" s="41">
        <f>ROUND($B$7*$B$9*$B$12*$B$18*$B$20*$B$22*$B$23,0)</f>
        <v/>
      </c>
      <c r="AI34" s="41">
        <f>ROUND($B$7*$B$9*$B$12*$B$18*$B$20*$B$22*$B$24,0)</f>
        <v/>
      </c>
    </row>
    <row r="35" ht="20.1" customHeight="1" s="62">
      <c r="A35" s="90" t="n"/>
      <c r="B35" s="87" t="inlineStr">
        <is>
          <t>Moyen (1k-10k/mois)</t>
        </is>
      </c>
      <c r="C35" s="87" t="inlineStr">
        <is>
          <t>Lead</t>
        </is>
      </c>
      <c r="D35" s="40">
        <f>ROUND($B$4*$B$9*$B$13*$B$15*$B$19*$B$21*$B$23,0)</f>
        <v/>
      </c>
      <c r="E35" s="40">
        <f>ROUND($B$4*$B$9*$B$13*$B$15*$B$19*$B$21*$B$24,0)</f>
        <v/>
      </c>
      <c r="F35" s="40">
        <f>ROUND($B$4*$B$9*$B$13*$B$15*$B$19*$B$22*$B$23,0)</f>
        <v/>
      </c>
      <c r="G35" s="40">
        <f>ROUND($B$4*$B$9*$B$13*$B$15*$B$19*$B$22*$B$24,0)</f>
        <v/>
      </c>
      <c r="H35" s="40">
        <f>ROUND($B$4*$B$9*$B$13*$B$15*$B$20*$B$21*$B$23,0)</f>
        <v/>
      </c>
      <c r="I35" s="40">
        <f>ROUND($B$4*$B$9*$B$13*$B$15*$B$20*$B$21*$B$24,0)</f>
        <v/>
      </c>
      <c r="J35" s="40">
        <f>ROUND($B$4*$B$9*$B$13*$B$15*$B$20*$B$22*$B$23,0)</f>
        <v/>
      </c>
      <c r="K35" s="40">
        <f>ROUND($B$4*$B$9*$B$13*$B$15*$B$20*$B$22*$B$24,0)</f>
        <v/>
      </c>
      <c r="L35" s="40">
        <f>ROUND($B$5*$B$9*$B$13*$B$15*$B$19*$B$21*$B$23,0)</f>
        <v/>
      </c>
      <c r="M35" s="40">
        <f>ROUND($B$5*$B$9*$B$13*$B$15*$B$19*$B$21*$B$24,0)</f>
        <v/>
      </c>
      <c r="N35" s="40">
        <f>ROUND($B$5*$B$9*$B$13*$B$15*$B$19*$B$22*$B$23,0)</f>
        <v/>
      </c>
      <c r="O35" s="40">
        <f>ROUND($B$5*$B$9*$B$13*$B$15*$B$19*$B$22*$B$24,0)</f>
        <v/>
      </c>
      <c r="P35" s="40">
        <f>ROUND($B$5*$B$9*$B$13*$B$15*$B$20*$B$21*$B$23,0)</f>
        <v/>
      </c>
      <c r="Q35" s="40">
        <f>ROUND($B$5*$B$9*$B$13*$B$15*$B$20*$B$21*$B$24,0)</f>
        <v/>
      </c>
      <c r="R35" s="40">
        <f>ROUND($B$5*$B$9*$B$13*$B$15*$B$20*$B$22*$B$23,0)</f>
        <v/>
      </c>
      <c r="S35" s="40">
        <f>ROUND($B$5*$B$9*$B$13*$B$15*$B$20*$B$22*$B$24,0)</f>
        <v/>
      </c>
      <c r="T35" s="40">
        <f>ROUND($B$6*$B$9*$B$13*$B$15*$B$19*$B$21*$B$23,0)</f>
        <v/>
      </c>
      <c r="U35" s="40">
        <f>ROUND($B$6*$B$9*$B$13*$B$15*$B$19*$B$21*$B$24,0)</f>
        <v/>
      </c>
      <c r="V35" s="40">
        <f>ROUND($B$6*$B$9*$B$13*$B$15*$B$19*$B$22*$B$23,0)</f>
        <v/>
      </c>
      <c r="W35" s="40">
        <f>ROUND($B$6*$B$9*$B$13*$B$15*$B$19*$B$22*$B$24,0)</f>
        <v/>
      </c>
      <c r="X35" s="40">
        <f>ROUND($B$6*$B$9*$B$13*$B$15*$B$20*$B$21*$B$23,0)</f>
        <v/>
      </c>
      <c r="Y35" s="40">
        <f>ROUND($B$6*$B$9*$B$13*$B$15*$B$20*$B$21*$B$24,0)</f>
        <v/>
      </c>
      <c r="Z35" s="40">
        <f>ROUND($B$6*$B$9*$B$13*$B$15*$B$20*$B$22*$B$23,0)</f>
        <v/>
      </c>
      <c r="AA35" s="40">
        <f>ROUND($B$6*$B$9*$B$13*$B$15*$B$20*$B$22*$B$24,0)</f>
        <v/>
      </c>
      <c r="AB35" s="41">
        <f>ROUND($B$7*$B$9*$B$13*$B$15*$B$19*$B$21*$B$23,0)</f>
        <v/>
      </c>
      <c r="AC35" s="41">
        <f>ROUND($B$7*$B$9*$B$13*$B$15*$B$19*$B$21*$B$24,0)</f>
        <v/>
      </c>
      <c r="AD35" s="41">
        <f>ROUND($B$7*$B$9*$B$13*$B$15*$B$19*$B$22*$B$23,0)</f>
        <v/>
      </c>
      <c r="AE35" s="41">
        <f>ROUND($B$7*$B$9*$B$13*$B$15*$B$19*$B$22*$B$24,0)</f>
        <v/>
      </c>
      <c r="AF35" s="41">
        <f>ROUND($B$7*$B$9*$B$13*$B$15*$B$20*$B$21*$B$23,0)</f>
        <v/>
      </c>
      <c r="AG35" s="41">
        <f>ROUND($B$7*$B$9*$B$13*$B$15*$B$20*$B$21*$B$24,0)</f>
        <v/>
      </c>
      <c r="AH35" s="41">
        <f>ROUND($B$7*$B$9*$B$13*$B$15*$B$20*$B$22*$B$23,0)</f>
        <v/>
      </c>
      <c r="AI35" s="41">
        <f>ROUND($B$7*$B$9*$B$13*$B$15*$B$20*$B$22*$B$24,0)</f>
        <v/>
      </c>
    </row>
    <row r="36" ht="20.1" customHeight="1" s="62">
      <c r="A36" s="90" t="n"/>
      <c r="B36" s="58" t="n"/>
      <c r="C36" s="42" t="inlineStr">
        <is>
          <t>E-commerce</t>
        </is>
      </c>
      <c r="D36" s="40">
        <f>ROUND($B$4*$B$9*$B$13*$B$16*$B$19*$B$21*$B$23,0)</f>
        <v/>
      </c>
      <c r="E36" s="40">
        <f>ROUND($B$4*$B$9*$B$13*$B$16*$B$19*$B$21*$B$24,0)</f>
        <v/>
      </c>
      <c r="F36" s="40">
        <f>ROUND($B$4*$B$9*$B$13*$B$16*$B$19*$B$22*$B$23,0)</f>
        <v/>
      </c>
      <c r="G36" s="40">
        <f>ROUND($B$4*$B$9*$B$13*$B$16*$B$19*$B$22*$B$24,0)</f>
        <v/>
      </c>
      <c r="H36" s="40">
        <f>ROUND($B$4*$B$9*$B$13*$B$16*$B$20*$B$21*$B$23,0)</f>
        <v/>
      </c>
      <c r="I36" s="40">
        <f>ROUND($B$4*$B$9*$B$13*$B$16*$B$20*$B$21*$B$24,0)</f>
        <v/>
      </c>
      <c r="J36" s="40">
        <f>ROUND($B$4*$B$9*$B$13*$B$16*$B$20*$B$22*$B$23,0)</f>
        <v/>
      </c>
      <c r="K36" s="40">
        <f>ROUND($B$4*$B$9*$B$13*$B$16*$B$20*$B$22*$B$24,0)</f>
        <v/>
      </c>
      <c r="L36" s="40">
        <f>ROUND($B$5*$B$9*$B$13*$B$16*$B$19*$B$21*$B$23,0)</f>
        <v/>
      </c>
      <c r="M36" s="40">
        <f>ROUND($B$5*$B$9*$B$13*$B$16*$B$19*$B$21*$B$24,0)</f>
        <v/>
      </c>
      <c r="N36" s="40">
        <f>ROUND($B$5*$B$9*$B$13*$B$16*$B$19*$B$22*$B$23,0)</f>
        <v/>
      </c>
      <c r="O36" s="40">
        <f>ROUND($B$5*$B$9*$B$13*$B$16*$B$19*$B$22*$B$24,0)</f>
        <v/>
      </c>
      <c r="P36" s="40">
        <f>ROUND($B$5*$B$9*$B$13*$B$16*$B$20*$B$21*$B$23,0)</f>
        <v/>
      </c>
      <c r="Q36" s="40">
        <f>ROUND($B$5*$B$9*$B$13*$B$16*$B$20*$B$21*$B$24,0)</f>
        <v/>
      </c>
      <c r="R36" s="40">
        <f>ROUND($B$5*$B$9*$B$13*$B$16*$B$20*$B$22*$B$23,0)</f>
        <v/>
      </c>
      <c r="S36" s="40">
        <f>ROUND($B$5*$B$9*$B$13*$B$16*$B$20*$B$22*$B$24,0)</f>
        <v/>
      </c>
      <c r="T36" s="40">
        <f>ROUND($B$6*$B$9*$B$13*$B$16*$B$19*$B$21*$B$23,0)</f>
        <v/>
      </c>
      <c r="U36" s="40">
        <f>ROUND($B$6*$B$9*$B$13*$B$16*$B$19*$B$21*$B$24,0)</f>
        <v/>
      </c>
      <c r="V36" s="40">
        <f>ROUND($B$6*$B$9*$B$13*$B$16*$B$19*$B$22*$B$23,0)</f>
        <v/>
      </c>
      <c r="W36" s="40">
        <f>ROUND($B$6*$B$9*$B$13*$B$16*$B$19*$B$22*$B$24,0)</f>
        <v/>
      </c>
      <c r="X36" s="40">
        <f>ROUND($B$6*$B$9*$B$13*$B$16*$B$20*$B$21*$B$23,0)</f>
        <v/>
      </c>
      <c r="Y36" s="40">
        <f>ROUND($B$6*$B$9*$B$13*$B$16*$B$20*$B$21*$B$24,0)</f>
        <v/>
      </c>
      <c r="Z36" s="40">
        <f>ROUND($B$6*$B$9*$B$13*$B$16*$B$20*$B$22*$B$23,0)</f>
        <v/>
      </c>
      <c r="AA36" s="40">
        <f>ROUND($B$6*$B$9*$B$13*$B$16*$B$20*$B$22*$B$24,0)</f>
        <v/>
      </c>
      <c r="AB36" s="41">
        <f>ROUND($B$7*$B$9*$B$13*$B$16*$B$19*$B$21*$B$23,0)</f>
        <v/>
      </c>
      <c r="AC36" s="41">
        <f>ROUND($B$7*$B$9*$B$13*$B$16*$B$19*$B$21*$B$24,0)</f>
        <v/>
      </c>
      <c r="AD36" s="41">
        <f>ROUND($B$7*$B$9*$B$13*$B$16*$B$19*$B$22*$B$23,0)</f>
        <v/>
      </c>
      <c r="AE36" s="41">
        <f>ROUND($B$7*$B$9*$B$13*$B$16*$B$19*$B$22*$B$24,0)</f>
        <v/>
      </c>
      <c r="AF36" s="41">
        <f>ROUND($B$7*$B$9*$B$13*$B$16*$B$20*$B$21*$B$23,0)</f>
        <v/>
      </c>
      <c r="AG36" s="41">
        <f>ROUND($B$7*$B$9*$B$13*$B$16*$B$20*$B$21*$B$24,0)</f>
        <v/>
      </c>
      <c r="AH36" s="41">
        <f>ROUND($B$7*$B$9*$B$13*$B$16*$B$20*$B$22*$B$23,0)</f>
        <v/>
      </c>
      <c r="AI36" s="41">
        <f>ROUND($B$7*$B$9*$B$13*$B$16*$B$20*$B$22*$B$24,0)</f>
        <v/>
      </c>
    </row>
    <row r="37" ht="20.1" customHeight="1" s="62">
      <c r="A37" s="90" t="n"/>
      <c r="B37" s="58" t="n"/>
      <c r="C37" s="39" t="inlineStr">
        <is>
          <t>Service</t>
        </is>
      </c>
      <c r="D37" s="40">
        <f>ROUND($B$4*$B$9*$B$13*$B$17*$B$19*$B$21*$B$23,0)</f>
        <v/>
      </c>
      <c r="E37" s="40">
        <f>ROUND($B$4*$B$9*$B$13*$B$17*$B$19*$B$21*$B$24,0)</f>
        <v/>
      </c>
      <c r="F37" s="40">
        <f>ROUND($B$4*$B$9*$B$13*$B$17*$B$19*$B$22*$B$23,0)</f>
        <v/>
      </c>
      <c r="G37" s="40">
        <f>ROUND($B$4*$B$9*$B$13*$B$17*$B$19*$B$22*$B$24,0)</f>
        <v/>
      </c>
      <c r="H37" s="40">
        <f>ROUND($B$4*$B$9*$B$13*$B$17*$B$20*$B$21*$B$23,0)</f>
        <v/>
      </c>
      <c r="I37" s="40">
        <f>ROUND($B$4*$B$9*$B$13*$B$17*$B$20*$B$21*$B$24,0)</f>
        <v/>
      </c>
      <c r="J37" s="40">
        <f>ROUND($B$4*$B$9*$B$13*$B$17*$B$20*$B$22*$B$23,0)</f>
        <v/>
      </c>
      <c r="K37" s="40">
        <f>ROUND($B$4*$B$9*$B$13*$B$17*$B$20*$B$22*$B$24,0)</f>
        <v/>
      </c>
      <c r="L37" s="40">
        <f>ROUND($B$5*$B$9*$B$13*$B$17*$B$19*$B$21*$B$23,0)</f>
        <v/>
      </c>
      <c r="M37" s="40">
        <f>ROUND($B$5*$B$9*$B$13*$B$17*$B$19*$B$21*$B$24,0)</f>
        <v/>
      </c>
      <c r="N37" s="40">
        <f>ROUND($B$5*$B$9*$B$13*$B$17*$B$19*$B$22*$B$23,0)</f>
        <v/>
      </c>
      <c r="O37" s="40">
        <f>ROUND($B$5*$B$9*$B$13*$B$17*$B$19*$B$22*$B$24,0)</f>
        <v/>
      </c>
      <c r="P37" s="40">
        <f>ROUND($B$5*$B$9*$B$13*$B$17*$B$20*$B$21*$B$23,0)</f>
        <v/>
      </c>
      <c r="Q37" s="40">
        <f>ROUND($B$5*$B$9*$B$13*$B$17*$B$20*$B$21*$B$24,0)</f>
        <v/>
      </c>
      <c r="R37" s="40">
        <f>ROUND($B$5*$B$9*$B$13*$B$17*$B$20*$B$22*$B$23,0)</f>
        <v/>
      </c>
      <c r="S37" s="40">
        <f>ROUND($B$5*$B$9*$B$13*$B$17*$B$20*$B$22*$B$24,0)</f>
        <v/>
      </c>
      <c r="T37" s="40">
        <f>ROUND($B$6*$B$9*$B$13*$B$17*$B$19*$B$21*$B$23,0)</f>
        <v/>
      </c>
      <c r="U37" s="40">
        <f>ROUND($B$6*$B$9*$B$13*$B$17*$B$19*$B$21*$B$24,0)</f>
        <v/>
      </c>
      <c r="V37" s="40">
        <f>ROUND($B$6*$B$9*$B$13*$B$17*$B$19*$B$22*$B$23,0)</f>
        <v/>
      </c>
      <c r="W37" s="40">
        <f>ROUND($B$6*$B$9*$B$13*$B$17*$B$19*$B$22*$B$24,0)</f>
        <v/>
      </c>
      <c r="X37" s="40">
        <f>ROUND($B$6*$B$9*$B$13*$B$17*$B$20*$B$21*$B$23,0)</f>
        <v/>
      </c>
      <c r="Y37" s="40">
        <f>ROUND($B$6*$B$9*$B$13*$B$17*$B$20*$B$21*$B$24,0)</f>
        <v/>
      </c>
      <c r="Z37" s="40">
        <f>ROUND($B$6*$B$9*$B$13*$B$17*$B$20*$B$22*$B$23,0)</f>
        <v/>
      </c>
      <c r="AA37" s="40">
        <f>ROUND($B$6*$B$9*$B$13*$B$17*$B$20*$B$22*$B$24,0)</f>
        <v/>
      </c>
      <c r="AB37" s="41">
        <f>ROUND($B$7*$B$9*$B$13*$B$17*$B$19*$B$21*$B$23,0)</f>
        <v/>
      </c>
      <c r="AC37" s="41">
        <f>ROUND($B$7*$B$9*$B$13*$B$17*$B$19*$B$21*$B$24,0)</f>
        <v/>
      </c>
      <c r="AD37" s="41">
        <f>ROUND($B$7*$B$9*$B$13*$B$17*$B$19*$B$22*$B$23,0)</f>
        <v/>
      </c>
      <c r="AE37" s="41">
        <f>ROUND($B$7*$B$9*$B$13*$B$17*$B$19*$B$22*$B$24,0)</f>
        <v/>
      </c>
      <c r="AF37" s="41">
        <f>ROUND($B$7*$B$9*$B$13*$B$17*$B$20*$B$21*$B$23,0)</f>
        <v/>
      </c>
      <c r="AG37" s="41">
        <f>ROUND($B$7*$B$9*$B$13*$B$17*$B$20*$B$21*$B$24,0)</f>
        <v/>
      </c>
      <c r="AH37" s="41">
        <f>ROUND($B$7*$B$9*$B$13*$B$17*$B$20*$B$22*$B$23,0)</f>
        <v/>
      </c>
      <c r="AI37" s="41">
        <f>ROUND($B$7*$B$9*$B$13*$B$17*$B$20*$B$22*$B$24,0)</f>
        <v/>
      </c>
    </row>
    <row r="38" ht="20.1" customHeight="1" s="62">
      <c r="A38" s="90" t="n"/>
      <c r="B38" s="59" t="n"/>
      <c r="C38" s="87" t="inlineStr">
        <is>
          <t>Multi-objectifs</t>
        </is>
      </c>
      <c r="D38" s="40">
        <f>ROUND($B$4*$B$9*$B$13*$B$18*$B$19*$B$21*$B$23,0)</f>
        <v/>
      </c>
      <c r="E38" s="40">
        <f>ROUND($B$4*$B$9*$B$13*$B$18*$B$19*$B$21*$B$24,0)</f>
        <v/>
      </c>
      <c r="F38" s="40">
        <f>ROUND($B$4*$B$9*$B$13*$B$18*$B$19*$B$22*$B$23,0)</f>
        <v/>
      </c>
      <c r="G38" s="40">
        <f>ROUND($B$4*$B$9*$B$13*$B$18*$B$19*$B$22*$B$24,0)</f>
        <v/>
      </c>
      <c r="H38" s="40">
        <f>ROUND($B$4*$B$9*$B$13*$B$18*$B$20*$B$21*$B$23,0)</f>
        <v/>
      </c>
      <c r="I38" s="40">
        <f>ROUND($B$4*$B$9*$B$13*$B$18*$B$20*$B$21*$B$24,0)</f>
        <v/>
      </c>
      <c r="J38" s="40">
        <f>ROUND($B$4*$B$9*$B$13*$B$18*$B$20*$B$22*$B$23,0)</f>
        <v/>
      </c>
      <c r="K38" s="40">
        <f>ROUND($B$4*$B$9*$B$13*$B$18*$B$20*$B$22*$B$24,0)</f>
        <v/>
      </c>
      <c r="L38" s="40">
        <f>ROUND($B$5*$B$9*$B$13*$B$18*$B$19*$B$21*$B$23,0)</f>
        <v/>
      </c>
      <c r="M38" s="40">
        <f>ROUND($B$5*$B$9*$B$13*$B$18*$B$19*$B$21*$B$24,0)</f>
        <v/>
      </c>
      <c r="N38" s="40">
        <f>ROUND($B$5*$B$9*$B$13*$B$18*$B$19*$B$22*$B$23,0)</f>
        <v/>
      </c>
      <c r="O38" s="40">
        <f>ROUND($B$5*$B$9*$B$13*$B$18*$B$19*$B$22*$B$24,0)</f>
        <v/>
      </c>
      <c r="P38" s="40">
        <f>ROUND($B$5*$B$9*$B$13*$B$18*$B$20*$B$21*$B$23,0)</f>
        <v/>
      </c>
      <c r="Q38" s="40">
        <f>ROUND($B$5*$B$9*$B$13*$B$18*$B$20*$B$21*$B$24,0)</f>
        <v/>
      </c>
      <c r="R38" s="40">
        <f>ROUND($B$5*$B$9*$B$13*$B$18*$B$20*$B$22*$B$23,0)</f>
        <v/>
      </c>
      <c r="S38" s="40">
        <f>ROUND($B$5*$B$9*$B$13*$B$18*$B$20*$B$22*$B$24,0)</f>
        <v/>
      </c>
      <c r="T38" s="40">
        <f>ROUND($B$6*$B$9*$B$13*$B$18*$B$19*$B$21*$B$23,0)</f>
        <v/>
      </c>
      <c r="U38" s="40">
        <f>ROUND($B$6*$B$9*$B$13*$B$18*$B$19*$B$21*$B$24,0)</f>
        <v/>
      </c>
      <c r="V38" s="40">
        <f>ROUND($B$6*$B$9*$B$13*$B$18*$B$19*$B$22*$B$23,0)</f>
        <v/>
      </c>
      <c r="W38" s="40">
        <f>ROUND($B$6*$B$9*$B$13*$B$18*$B$19*$B$22*$B$24,0)</f>
        <v/>
      </c>
      <c r="X38" s="40">
        <f>ROUND($B$6*$B$9*$B$13*$B$18*$B$20*$B$21*$B$23,0)</f>
        <v/>
      </c>
      <c r="Y38" s="40">
        <f>ROUND($B$6*$B$9*$B$13*$B$18*$B$20*$B$21*$B$24,0)</f>
        <v/>
      </c>
      <c r="Z38" s="40">
        <f>ROUND($B$6*$B$9*$B$13*$B$18*$B$20*$B$22*$B$23,0)</f>
        <v/>
      </c>
      <c r="AA38" s="40">
        <f>ROUND($B$6*$B$9*$B$13*$B$18*$B$20*$B$22*$B$24,0)</f>
        <v/>
      </c>
      <c r="AB38" s="41">
        <f>ROUND($B$7*$B$9*$B$13*$B$18*$B$19*$B$21*$B$23,0)</f>
        <v/>
      </c>
      <c r="AC38" s="41">
        <f>ROUND($B$7*$B$9*$B$13*$B$18*$B$19*$B$21*$B$24,0)</f>
        <v/>
      </c>
      <c r="AD38" s="41">
        <f>ROUND($B$7*$B$9*$B$13*$B$18*$B$19*$B$22*$B$23,0)</f>
        <v/>
      </c>
      <c r="AE38" s="41">
        <f>ROUND($B$7*$B$9*$B$13*$B$18*$B$19*$B$22*$B$24,0)</f>
        <v/>
      </c>
      <c r="AF38" s="41">
        <f>ROUND($B$7*$B$9*$B$13*$B$18*$B$20*$B$21*$B$23,0)</f>
        <v/>
      </c>
      <c r="AG38" s="41">
        <f>ROUND($B$7*$B$9*$B$13*$B$18*$B$20*$B$21*$B$24,0)</f>
        <v/>
      </c>
      <c r="AH38" s="41">
        <f>ROUND($B$7*$B$9*$B$13*$B$18*$B$20*$B$22*$B$23,0)</f>
        <v/>
      </c>
      <c r="AI38" s="41">
        <f>ROUND($B$7*$B$9*$B$13*$B$18*$B$20*$B$22*$B$24,0)</f>
        <v/>
      </c>
    </row>
    <row r="39" ht="20.1" customHeight="1" s="62">
      <c r="A39" s="90" t="n"/>
      <c r="B39" s="87" t="inlineStr">
        <is>
          <t>Élevé (10k+/mois)</t>
        </is>
      </c>
      <c r="C39" s="42" t="inlineStr">
        <is>
          <t>Lead</t>
        </is>
      </c>
      <c r="D39" s="40">
        <f>ROUND($B$4*$B$9*$B$14*$B$15*$B$19*$B$21*$B$23,0)</f>
        <v/>
      </c>
      <c r="E39" s="40">
        <f>ROUND($B$4*$B$9*$B$14*$B$15*$B$19*$B$21*$B$24,0)</f>
        <v/>
      </c>
      <c r="F39" s="40">
        <f>ROUND($B$4*$B$9*$B$14*$B$15*$B$19*$B$22*$B$23,0)</f>
        <v/>
      </c>
      <c r="G39" s="40">
        <f>ROUND($B$4*$B$9*$B$14*$B$15*$B$19*$B$22*$B$24,0)</f>
        <v/>
      </c>
      <c r="H39" s="40">
        <f>ROUND($B$4*$B$9*$B$14*$B$15*$B$20*$B$21*$B$23,0)</f>
        <v/>
      </c>
      <c r="I39" s="40">
        <f>ROUND($B$4*$B$9*$B$14*$B$15*$B$20*$B$21*$B$24,0)</f>
        <v/>
      </c>
      <c r="J39" s="40">
        <f>ROUND($B$4*$B$9*$B$14*$B$15*$B$20*$B$22*$B$23,0)</f>
        <v/>
      </c>
      <c r="K39" s="40">
        <f>ROUND($B$4*$B$9*$B$14*$B$15*$B$20*$B$22*$B$24,0)</f>
        <v/>
      </c>
      <c r="L39" s="40">
        <f>ROUND($B$5*$B$9*$B$14*$B$15*$B$19*$B$21*$B$23,0)</f>
        <v/>
      </c>
      <c r="M39" s="40">
        <f>ROUND($B$5*$B$9*$B$14*$B$15*$B$19*$B$21*$B$24,0)</f>
        <v/>
      </c>
      <c r="N39" s="40">
        <f>ROUND($B$5*$B$9*$B$14*$B$15*$B$19*$B$22*$B$23,0)</f>
        <v/>
      </c>
      <c r="O39" s="40">
        <f>ROUND($B$5*$B$9*$B$14*$B$15*$B$19*$B$22*$B$24,0)</f>
        <v/>
      </c>
      <c r="P39" s="40">
        <f>ROUND($B$5*$B$9*$B$14*$B$15*$B$20*$B$21*$B$23,0)</f>
        <v/>
      </c>
      <c r="Q39" s="40">
        <f>ROUND($B$5*$B$9*$B$14*$B$15*$B$20*$B$21*$B$24,0)</f>
        <v/>
      </c>
      <c r="R39" s="40">
        <f>ROUND($B$5*$B$9*$B$14*$B$15*$B$20*$B$22*$B$23,0)</f>
        <v/>
      </c>
      <c r="S39" s="40">
        <f>ROUND($B$5*$B$9*$B$14*$B$15*$B$20*$B$22*$B$24,0)</f>
        <v/>
      </c>
      <c r="T39" s="40">
        <f>ROUND($B$6*$B$9*$B$14*$B$15*$B$19*$B$21*$B$23,0)</f>
        <v/>
      </c>
      <c r="U39" s="40">
        <f>ROUND($B$6*$B$9*$B$14*$B$15*$B$19*$B$21*$B$24,0)</f>
        <v/>
      </c>
      <c r="V39" s="40">
        <f>ROUND($B$6*$B$9*$B$14*$B$15*$B$19*$B$22*$B$23,0)</f>
        <v/>
      </c>
      <c r="W39" s="40">
        <f>ROUND($B$6*$B$9*$B$14*$B$15*$B$19*$B$22*$B$24,0)</f>
        <v/>
      </c>
      <c r="X39" s="40">
        <f>ROUND($B$6*$B$9*$B$14*$B$15*$B$20*$B$21*$B$23,0)</f>
        <v/>
      </c>
      <c r="Y39" s="40">
        <f>ROUND($B$6*$B$9*$B$14*$B$15*$B$20*$B$21*$B$24,0)</f>
        <v/>
      </c>
      <c r="Z39" s="40">
        <f>ROUND($B$6*$B$9*$B$14*$B$15*$B$20*$B$22*$B$23,0)</f>
        <v/>
      </c>
      <c r="AA39" s="40">
        <f>ROUND($B$6*$B$9*$B$14*$B$15*$B$20*$B$22*$B$24,0)</f>
        <v/>
      </c>
      <c r="AB39" s="41">
        <f>ROUND($B$7*$B$9*$B$14*$B$15*$B$19*$B$21*$B$23,0)</f>
        <v/>
      </c>
      <c r="AC39" s="41">
        <f>ROUND($B$7*$B$9*$B$14*$B$15*$B$19*$B$21*$B$24,0)</f>
        <v/>
      </c>
      <c r="AD39" s="41">
        <f>ROUND($B$7*$B$9*$B$14*$B$15*$B$19*$B$22*$B$23,0)</f>
        <v/>
      </c>
      <c r="AE39" s="41">
        <f>ROUND($B$7*$B$9*$B$14*$B$15*$B$19*$B$22*$B$24,0)</f>
        <v/>
      </c>
      <c r="AF39" s="41">
        <f>ROUND($B$7*$B$9*$B$14*$B$15*$B$20*$B$21*$B$23,0)</f>
        <v/>
      </c>
      <c r="AG39" s="41">
        <f>ROUND($B$7*$B$9*$B$14*$B$15*$B$20*$B$21*$B$24,0)</f>
        <v/>
      </c>
      <c r="AH39" s="41">
        <f>ROUND($B$7*$B$9*$B$14*$B$15*$B$20*$B$22*$B$23,0)</f>
        <v/>
      </c>
      <c r="AI39" s="41">
        <f>ROUND($B$7*$B$9*$B$14*$B$15*$B$20*$B$22*$B$24,0)</f>
        <v/>
      </c>
    </row>
    <row r="40" ht="20.1" customHeight="1" s="62">
      <c r="A40" s="90" t="n"/>
      <c r="B40" s="58" t="n"/>
      <c r="C40" s="39" t="inlineStr">
        <is>
          <t>E-commerce</t>
        </is>
      </c>
      <c r="D40" s="40">
        <f>ROUND($B$4*$B$9*$B$14*$B$16*$B$19*$B$21*$B$23,0)</f>
        <v/>
      </c>
      <c r="E40" s="40">
        <f>ROUND($B$4*$B$9*$B$14*$B$16*$B$19*$B$21*$B$24,0)</f>
        <v/>
      </c>
      <c r="F40" s="40">
        <f>ROUND($B$4*$B$9*$B$14*$B$16*$B$19*$B$22*$B$23,0)</f>
        <v/>
      </c>
      <c r="G40" s="40">
        <f>ROUND($B$4*$B$9*$B$14*$B$16*$B$19*$B$22*$B$24,0)</f>
        <v/>
      </c>
      <c r="H40" s="40">
        <f>ROUND($B$4*$B$9*$B$14*$B$16*$B$20*$B$21*$B$23,0)</f>
        <v/>
      </c>
      <c r="I40" s="40">
        <f>ROUND($B$4*$B$9*$B$14*$B$16*$B$20*$B$21*$B$24,0)</f>
        <v/>
      </c>
      <c r="J40" s="40">
        <f>ROUND($B$4*$B$9*$B$14*$B$16*$B$20*$B$22*$B$23,0)</f>
        <v/>
      </c>
      <c r="K40" s="40">
        <f>ROUND($B$4*$B$9*$B$14*$B$16*$B$20*$B$22*$B$24,0)</f>
        <v/>
      </c>
      <c r="L40" s="40">
        <f>ROUND($B$5*$B$9*$B$14*$B$16*$B$19*$B$21*$B$23,0)</f>
        <v/>
      </c>
      <c r="M40" s="40">
        <f>ROUND($B$5*$B$9*$B$14*$B$16*$B$19*$B$21*$B$24,0)</f>
        <v/>
      </c>
      <c r="N40" s="40">
        <f>ROUND($B$5*$B$9*$B$14*$B$16*$B$19*$B$22*$B$23,0)</f>
        <v/>
      </c>
      <c r="O40" s="40">
        <f>ROUND($B$5*$B$9*$B$14*$B$16*$B$19*$B$22*$B$24,0)</f>
        <v/>
      </c>
      <c r="P40" s="40">
        <f>ROUND($B$5*$B$9*$B$14*$B$16*$B$20*$B$21*$B$23,0)</f>
        <v/>
      </c>
      <c r="Q40" s="40">
        <f>ROUND($B$5*$B$9*$B$14*$B$16*$B$20*$B$21*$B$24,0)</f>
        <v/>
      </c>
      <c r="R40" s="40">
        <f>ROUND($B$5*$B$9*$B$14*$B$16*$B$20*$B$22*$B$23,0)</f>
        <v/>
      </c>
      <c r="S40" s="40">
        <f>ROUND($B$5*$B$9*$B$14*$B$16*$B$20*$B$22*$B$24,0)</f>
        <v/>
      </c>
      <c r="T40" s="40">
        <f>ROUND($B$6*$B$9*$B$14*$B$16*$B$19*$B$21*$B$23,0)</f>
        <v/>
      </c>
      <c r="U40" s="40">
        <f>ROUND($B$6*$B$9*$B$14*$B$16*$B$19*$B$21*$B$24,0)</f>
        <v/>
      </c>
      <c r="V40" s="40">
        <f>ROUND($B$6*$B$9*$B$14*$B$16*$B$19*$B$22*$B$23,0)</f>
        <v/>
      </c>
      <c r="W40" s="40">
        <f>ROUND($B$6*$B$9*$B$14*$B$16*$B$19*$B$22*$B$24,0)</f>
        <v/>
      </c>
      <c r="X40" s="40">
        <f>ROUND($B$6*$B$9*$B$14*$B$16*$B$20*$B$21*$B$23,0)</f>
        <v/>
      </c>
      <c r="Y40" s="40">
        <f>ROUND($B$6*$B$9*$B$14*$B$16*$B$20*$B$21*$B$24,0)</f>
        <v/>
      </c>
      <c r="Z40" s="40">
        <f>ROUND($B$6*$B$9*$B$14*$B$16*$B$20*$B$22*$B$23,0)</f>
        <v/>
      </c>
      <c r="AA40" s="40">
        <f>ROUND($B$6*$B$9*$B$14*$B$16*$B$20*$B$22*$B$24,0)</f>
        <v/>
      </c>
      <c r="AB40" s="41">
        <f>ROUND($B$7*$B$9*$B$14*$B$16*$B$19*$B$21*$B$23,0)</f>
        <v/>
      </c>
      <c r="AC40" s="41">
        <f>ROUND($B$7*$B$9*$B$14*$B$16*$B$19*$B$21*$B$24,0)</f>
        <v/>
      </c>
      <c r="AD40" s="41">
        <f>ROUND($B$7*$B$9*$B$14*$B$16*$B$19*$B$22*$B$23,0)</f>
        <v/>
      </c>
      <c r="AE40" s="41">
        <f>ROUND($B$7*$B$9*$B$14*$B$16*$B$19*$B$22*$B$24,0)</f>
        <v/>
      </c>
      <c r="AF40" s="41">
        <f>ROUND($B$7*$B$9*$B$14*$B$16*$B$20*$B$21*$B$23,0)</f>
        <v/>
      </c>
      <c r="AG40" s="41">
        <f>ROUND($B$7*$B$9*$B$14*$B$16*$B$20*$B$21*$B$24,0)</f>
        <v/>
      </c>
      <c r="AH40" s="41">
        <f>ROUND($B$7*$B$9*$B$14*$B$16*$B$20*$B$22*$B$23,0)</f>
        <v/>
      </c>
      <c r="AI40" s="41">
        <f>ROUND($B$7*$B$9*$B$14*$B$16*$B$20*$B$22*$B$24,0)</f>
        <v/>
      </c>
    </row>
    <row r="41" ht="20.1" customHeight="1" s="62">
      <c r="A41" s="90" t="n"/>
      <c r="B41" s="58" t="n"/>
      <c r="C41" s="87" t="inlineStr">
        <is>
          <t>Service</t>
        </is>
      </c>
      <c r="D41" s="40">
        <f>ROUND($B$4*$B$9*$B$14*$B$17*$B$19*$B$21*$B$23,0)</f>
        <v/>
      </c>
      <c r="E41" s="40">
        <f>ROUND($B$4*$B$9*$B$14*$B$17*$B$19*$B$21*$B$24,0)</f>
        <v/>
      </c>
      <c r="F41" s="40">
        <f>ROUND($B$4*$B$9*$B$14*$B$17*$B$19*$B$22*$B$23,0)</f>
        <v/>
      </c>
      <c r="G41" s="40">
        <f>ROUND($B$4*$B$9*$B$14*$B$17*$B$19*$B$22*$B$24,0)</f>
        <v/>
      </c>
      <c r="H41" s="40">
        <f>ROUND($B$4*$B$9*$B$14*$B$17*$B$20*$B$21*$B$23,0)</f>
        <v/>
      </c>
      <c r="I41" s="40">
        <f>ROUND($B$4*$B$9*$B$14*$B$17*$B$20*$B$21*$B$24,0)</f>
        <v/>
      </c>
      <c r="J41" s="40">
        <f>ROUND($B$4*$B$9*$B$14*$B$17*$B$20*$B$22*$B$23,0)</f>
        <v/>
      </c>
      <c r="K41" s="40">
        <f>ROUND($B$4*$B$9*$B$14*$B$17*$B$20*$B$22*$B$24,0)</f>
        <v/>
      </c>
      <c r="L41" s="40">
        <f>ROUND($B$5*$B$9*$B$14*$B$17*$B$19*$B$21*$B$23,0)</f>
        <v/>
      </c>
      <c r="M41" s="40">
        <f>ROUND($B$5*$B$9*$B$14*$B$17*$B$19*$B$21*$B$24,0)</f>
        <v/>
      </c>
      <c r="N41" s="40">
        <f>ROUND($B$5*$B$9*$B$14*$B$17*$B$19*$B$22*$B$23,0)</f>
        <v/>
      </c>
      <c r="O41" s="40">
        <f>ROUND($B$5*$B$9*$B$14*$B$17*$B$19*$B$22*$B$24,0)</f>
        <v/>
      </c>
      <c r="P41" s="40">
        <f>ROUND($B$5*$B$9*$B$14*$B$17*$B$20*$B$21*$B$23,0)</f>
        <v/>
      </c>
      <c r="Q41" s="40">
        <f>ROUND($B$5*$B$9*$B$14*$B$17*$B$20*$B$21*$B$24,0)</f>
        <v/>
      </c>
      <c r="R41" s="40">
        <f>ROUND($B$5*$B$9*$B$14*$B$17*$B$20*$B$22*$B$23,0)</f>
        <v/>
      </c>
      <c r="S41" s="40">
        <f>ROUND($B$5*$B$9*$B$14*$B$17*$B$20*$B$22*$B$24,0)</f>
        <v/>
      </c>
      <c r="T41" s="40">
        <f>ROUND($B$6*$B$9*$B$14*$B$17*$B$19*$B$21*$B$23,0)</f>
        <v/>
      </c>
      <c r="U41" s="40">
        <f>ROUND($B$6*$B$9*$B$14*$B$17*$B$19*$B$21*$B$24,0)</f>
        <v/>
      </c>
      <c r="V41" s="40">
        <f>ROUND($B$6*$B$9*$B$14*$B$17*$B$19*$B$22*$B$23,0)</f>
        <v/>
      </c>
      <c r="W41" s="40">
        <f>ROUND($B$6*$B$9*$B$14*$B$17*$B$19*$B$22*$B$24,0)</f>
        <v/>
      </c>
      <c r="X41" s="40">
        <f>ROUND($B$6*$B$9*$B$14*$B$17*$B$20*$B$21*$B$23,0)</f>
        <v/>
      </c>
      <c r="Y41" s="40">
        <f>ROUND($B$6*$B$9*$B$14*$B$17*$B$20*$B$21*$B$24,0)</f>
        <v/>
      </c>
      <c r="Z41" s="40">
        <f>ROUND($B$6*$B$9*$B$14*$B$17*$B$20*$B$22*$B$23,0)</f>
        <v/>
      </c>
      <c r="AA41" s="40">
        <f>ROUND($B$6*$B$9*$B$14*$B$17*$B$20*$B$22*$B$24,0)</f>
        <v/>
      </c>
      <c r="AB41" s="41">
        <f>ROUND($B$7*$B$9*$B$14*$B$17*$B$19*$B$21*$B$23,0)</f>
        <v/>
      </c>
      <c r="AC41" s="41">
        <f>ROUND($B$7*$B$9*$B$14*$B$17*$B$19*$B$21*$B$24,0)</f>
        <v/>
      </c>
      <c r="AD41" s="41">
        <f>ROUND($B$7*$B$9*$B$14*$B$17*$B$19*$B$22*$B$23,0)</f>
        <v/>
      </c>
      <c r="AE41" s="41">
        <f>ROUND($B$7*$B$9*$B$14*$B$17*$B$19*$B$22*$B$24,0)</f>
        <v/>
      </c>
      <c r="AF41" s="41">
        <f>ROUND($B$7*$B$9*$B$14*$B$17*$B$20*$B$21*$B$23,0)</f>
        <v/>
      </c>
      <c r="AG41" s="41">
        <f>ROUND($B$7*$B$9*$B$14*$B$17*$B$20*$B$21*$B$24,0)</f>
        <v/>
      </c>
      <c r="AH41" s="41">
        <f>ROUND($B$7*$B$9*$B$14*$B$17*$B$20*$B$22*$B$23,0)</f>
        <v/>
      </c>
      <c r="AI41" s="41">
        <f>ROUND($B$7*$B$9*$B$14*$B$17*$B$20*$B$22*$B$24,0)</f>
        <v/>
      </c>
    </row>
    <row r="42" ht="20.1" customHeight="1" s="62">
      <c r="A42" s="91" t="n"/>
      <c r="B42" s="59" t="n"/>
      <c r="C42" s="42" t="inlineStr">
        <is>
          <t>Multi-objectifs</t>
        </is>
      </c>
      <c r="D42" s="40">
        <f>ROUND($B$4*$B$9*$B$14*$B$18*$B$19*$B$21*$B$23,0)</f>
        <v/>
      </c>
      <c r="E42" s="40">
        <f>ROUND($B$4*$B$9*$B$14*$B$18*$B$19*$B$21*$B$24,0)</f>
        <v/>
      </c>
      <c r="F42" s="40">
        <f>ROUND($B$4*$B$9*$B$14*$B$18*$B$19*$B$22*$B$23,0)</f>
        <v/>
      </c>
      <c r="G42" s="40">
        <f>ROUND($B$4*$B$9*$B$14*$B$18*$B$19*$B$22*$B$24,0)</f>
        <v/>
      </c>
      <c r="H42" s="40">
        <f>ROUND($B$4*$B$9*$B$14*$B$18*$B$20*$B$21*$B$23,0)</f>
        <v/>
      </c>
      <c r="I42" s="40">
        <f>ROUND($B$4*$B$9*$B$14*$B$18*$B$20*$B$21*$B$24,0)</f>
        <v/>
      </c>
      <c r="J42" s="40">
        <f>ROUND($B$4*$B$9*$B$14*$B$18*$B$20*$B$22*$B$23,0)</f>
        <v/>
      </c>
      <c r="K42" s="40">
        <f>ROUND($B$4*$B$9*$B$14*$B$18*$B$20*$B$22*$B$24,0)</f>
        <v/>
      </c>
      <c r="L42" s="40">
        <f>ROUND($B$5*$B$9*$B$14*$B$18*$B$19*$B$21*$B$23,0)</f>
        <v/>
      </c>
      <c r="M42" s="40">
        <f>ROUND($B$5*$B$9*$B$14*$B$18*$B$19*$B$21*$B$24,0)</f>
        <v/>
      </c>
      <c r="N42" s="40">
        <f>ROUND($B$5*$B$9*$B$14*$B$18*$B$19*$B$22*$B$23,0)</f>
        <v/>
      </c>
      <c r="O42" s="40">
        <f>ROUND($B$5*$B$9*$B$14*$B$18*$B$19*$B$22*$B$24,0)</f>
        <v/>
      </c>
      <c r="P42" s="40">
        <f>ROUND($B$5*$B$9*$B$14*$B$18*$B$20*$B$21*$B$23,0)</f>
        <v/>
      </c>
      <c r="Q42" s="40">
        <f>ROUND($B$5*$B$9*$B$14*$B$18*$B$20*$B$21*$B$24,0)</f>
        <v/>
      </c>
      <c r="R42" s="40">
        <f>ROUND($B$5*$B$9*$B$14*$B$18*$B$20*$B$22*$B$23,0)</f>
        <v/>
      </c>
      <c r="S42" s="40">
        <f>ROUND($B$5*$B$9*$B$14*$B$18*$B$20*$B$22*$B$24,0)</f>
        <v/>
      </c>
      <c r="T42" s="40">
        <f>ROUND($B$6*$B$9*$B$14*$B$18*$B$19*$B$21*$B$23,0)</f>
        <v/>
      </c>
      <c r="U42" s="40">
        <f>ROUND($B$6*$B$9*$B$14*$B$18*$B$19*$B$21*$B$24,0)</f>
        <v/>
      </c>
      <c r="V42" s="40">
        <f>ROUND($B$6*$B$9*$B$14*$B$18*$B$19*$B$22*$B$23,0)</f>
        <v/>
      </c>
      <c r="W42" s="40">
        <f>ROUND($B$6*$B$9*$B$14*$B$18*$B$19*$B$22*$B$24,0)</f>
        <v/>
      </c>
      <c r="X42" s="40">
        <f>ROUND($B$6*$B$9*$B$14*$B$18*$B$20*$B$21*$B$23,0)</f>
        <v/>
      </c>
      <c r="Y42" s="40">
        <f>ROUND($B$6*$B$9*$B$14*$B$18*$B$20*$B$21*$B$24,0)</f>
        <v/>
      </c>
      <c r="Z42" s="40">
        <f>ROUND($B$6*$B$9*$B$14*$B$18*$B$20*$B$22*$B$23,0)</f>
        <v/>
      </c>
      <c r="AA42" s="40">
        <f>ROUND($B$6*$B$9*$B$14*$B$18*$B$20*$B$22*$B$24,0)</f>
        <v/>
      </c>
      <c r="AB42" s="41">
        <f>ROUND($B$7*$B$9*$B$14*$B$18*$B$19*$B$21*$B$23,0)</f>
        <v/>
      </c>
      <c r="AC42" s="41">
        <f>ROUND($B$7*$B$9*$B$14*$B$18*$B$19*$B$21*$B$24,0)</f>
        <v/>
      </c>
      <c r="AD42" s="41">
        <f>ROUND($B$7*$B$9*$B$14*$B$18*$B$19*$B$22*$B$23,0)</f>
        <v/>
      </c>
      <c r="AE42" s="41">
        <f>ROUND($B$7*$B$9*$B$14*$B$18*$B$19*$B$22*$B$24,0)</f>
        <v/>
      </c>
      <c r="AF42" s="41">
        <f>ROUND($B$7*$B$9*$B$14*$B$18*$B$20*$B$21*$B$23,0)</f>
        <v/>
      </c>
      <c r="AG42" s="41">
        <f>ROUND($B$7*$B$9*$B$14*$B$18*$B$20*$B$21*$B$24,0)</f>
        <v/>
      </c>
      <c r="AH42" s="41">
        <f>ROUND($B$7*$B$9*$B$14*$B$18*$B$20*$B$22*$B$23,0)</f>
        <v/>
      </c>
      <c r="AI42" s="41">
        <f>ROUND($B$7*$B$9*$B$14*$B$18*$B$20*$B$22*$B$24,0)</f>
        <v/>
      </c>
    </row>
    <row r="43" ht="20.1" customHeight="1" s="62">
      <c r="A43" s="89" t="inlineStr">
        <is>
          <t>Structuré (4-7 étapes)</t>
        </is>
      </c>
      <c r="B43" s="87" t="inlineStr">
        <is>
          <t>Faible (&lt; 1k/mois)</t>
        </is>
      </c>
      <c r="C43" s="39" t="inlineStr">
        <is>
          <t>Lead</t>
        </is>
      </c>
      <c r="D43" s="40">
        <f>ROUND($B$4*$B$10*$B$12*$B$15*$B$19*$B$21*$B$23,0)</f>
        <v/>
      </c>
      <c r="E43" s="40">
        <f>ROUND($B$4*$B$10*$B$12*$B$15*$B$19*$B$21*$B$24,0)</f>
        <v/>
      </c>
      <c r="F43" s="40">
        <f>ROUND($B$4*$B$10*$B$12*$B$15*$B$19*$B$22*$B$23,0)</f>
        <v/>
      </c>
      <c r="G43" s="40">
        <f>ROUND($B$4*$B$10*$B$12*$B$15*$B$19*$B$22*$B$24,0)</f>
        <v/>
      </c>
      <c r="H43" s="40">
        <f>ROUND($B$4*$B$10*$B$12*$B$15*$B$20*$B$21*$B$23,0)</f>
        <v/>
      </c>
      <c r="I43" s="40">
        <f>ROUND($B$4*$B$10*$B$12*$B$15*$B$20*$B$21*$B$24,0)</f>
        <v/>
      </c>
      <c r="J43" s="40">
        <f>ROUND($B$4*$B$10*$B$12*$B$15*$B$20*$B$22*$B$23,0)</f>
        <v/>
      </c>
      <c r="K43" s="40">
        <f>ROUND($B$4*$B$10*$B$12*$B$15*$B$20*$B$22*$B$24,0)</f>
        <v/>
      </c>
      <c r="L43" s="40">
        <f>ROUND($B$5*$B$10*$B$12*$B$15*$B$19*$B$21*$B$23,0)</f>
        <v/>
      </c>
      <c r="M43" s="40">
        <f>ROUND($B$5*$B$10*$B$12*$B$15*$B$19*$B$21*$B$24,0)</f>
        <v/>
      </c>
      <c r="N43" s="40">
        <f>ROUND($B$5*$B$10*$B$12*$B$15*$B$19*$B$22*$B$23,0)</f>
        <v/>
      </c>
      <c r="O43" s="40">
        <f>ROUND($B$5*$B$10*$B$12*$B$15*$B$19*$B$22*$B$24,0)</f>
        <v/>
      </c>
      <c r="P43" s="40">
        <f>ROUND($B$5*$B$10*$B$12*$B$15*$B$20*$B$21*$B$23,0)</f>
        <v/>
      </c>
      <c r="Q43" s="40">
        <f>ROUND($B$5*$B$10*$B$12*$B$15*$B$20*$B$21*$B$24,0)</f>
        <v/>
      </c>
      <c r="R43" s="40">
        <f>ROUND($B$5*$B$10*$B$12*$B$15*$B$20*$B$22*$B$23,0)</f>
        <v/>
      </c>
      <c r="S43" s="40">
        <f>ROUND($B$5*$B$10*$B$12*$B$15*$B$20*$B$22*$B$24,0)</f>
        <v/>
      </c>
      <c r="T43" s="40">
        <f>ROUND($B$6*$B$10*$B$12*$B$15*$B$19*$B$21*$B$23,0)</f>
        <v/>
      </c>
      <c r="U43" s="40">
        <f>ROUND($B$6*$B$10*$B$12*$B$15*$B$19*$B$21*$B$24,0)</f>
        <v/>
      </c>
      <c r="V43" s="40">
        <f>ROUND($B$6*$B$10*$B$12*$B$15*$B$19*$B$22*$B$23,0)</f>
        <v/>
      </c>
      <c r="W43" s="40">
        <f>ROUND($B$6*$B$10*$B$12*$B$15*$B$19*$B$22*$B$24,0)</f>
        <v/>
      </c>
      <c r="X43" s="40">
        <f>ROUND($B$6*$B$10*$B$12*$B$15*$B$20*$B$21*$B$23,0)</f>
        <v/>
      </c>
      <c r="Y43" s="40">
        <f>ROUND($B$6*$B$10*$B$12*$B$15*$B$20*$B$21*$B$24,0)</f>
        <v/>
      </c>
      <c r="Z43" s="40">
        <f>ROUND($B$6*$B$10*$B$12*$B$15*$B$20*$B$22*$B$23,0)</f>
        <v/>
      </c>
      <c r="AA43" s="40">
        <f>ROUND($B$6*$B$10*$B$12*$B$15*$B$20*$B$22*$B$24,0)</f>
        <v/>
      </c>
      <c r="AB43" s="41">
        <f>ROUND($B$7*$B$10*$B$12*$B$15*$B$19*$B$21*$B$23,0)</f>
        <v/>
      </c>
      <c r="AC43" s="41">
        <f>ROUND($B$7*$B$10*$B$12*$B$15*$B$19*$B$21*$B$24,0)</f>
        <v/>
      </c>
      <c r="AD43" s="41">
        <f>ROUND($B$7*$B$10*$B$12*$B$15*$B$19*$B$22*$B$23,0)</f>
        <v/>
      </c>
      <c r="AE43" s="41">
        <f>ROUND($B$7*$B$10*$B$12*$B$15*$B$19*$B$22*$B$24,0)</f>
        <v/>
      </c>
      <c r="AF43" s="41">
        <f>ROUND($B$7*$B$10*$B$12*$B$15*$B$20*$B$21*$B$23,0)</f>
        <v/>
      </c>
      <c r="AG43" s="41">
        <f>ROUND($B$7*$B$10*$B$12*$B$15*$B$20*$B$21*$B$24,0)</f>
        <v/>
      </c>
      <c r="AH43" s="41">
        <f>ROUND($B$7*$B$10*$B$12*$B$15*$B$20*$B$22*$B$23,0)</f>
        <v/>
      </c>
      <c r="AI43" s="41">
        <f>ROUND($B$7*$B$10*$B$12*$B$15*$B$20*$B$22*$B$24,0)</f>
        <v/>
      </c>
    </row>
    <row r="44" ht="20.1" customHeight="1" s="62">
      <c r="A44" s="90" t="n"/>
      <c r="B44" s="58" t="n"/>
      <c r="C44" s="87" t="inlineStr">
        <is>
          <t>E-commerce</t>
        </is>
      </c>
      <c r="D44" s="40">
        <f>ROUND($B$4*$B$10*$B$12*$B$16*$B$19*$B$21*$B$23,0)</f>
        <v/>
      </c>
      <c r="E44" s="40">
        <f>ROUND($B$4*$B$10*$B$12*$B$16*$B$19*$B$21*$B$24,0)</f>
        <v/>
      </c>
      <c r="F44" s="40">
        <f>ROUND($B$4*$B$10*$B$12*$B$16*$B$19*$B$22*$B$23,0)</f>
        <v/>
      </c>
      <c r="G44" s="40">
        <f>ROUND($B$4*$B$10*$B$12*$B$16*$B$19*$B$22*$B$24,0)</f>
        <v/>
      </c>
      <c r="H44" s="40">
        <f>ROUND($B$4*$B$10*$B$12*$B$16*$B$20*$B$21*$B$23,0)</f>
        <v/>
      </c>
      <c r="I44" s="40">
        <f>ROUND($B$4*$B$10*$B$12*$B$16*$B$20*$B$21*$B$24,0)</f>
        <v/>
      </c>
      <c r="J44" s="40">
        <f>ROUND($B$4*$B$10*$B$12*$B$16*$B$20*$B$22*$B$23,0)</f>
        <v/>
      </c>
      <c r="K44" s="40">
        <f>ROUND($B$4*$B$10*$B$12*$B$16*$B$20*$B$22*$B$24,0)</f>
        <v/>
      </c>
      <c r="L44" s="40">
        <f>ROUND($B$5*$B$10*$B$12*$B$16*$B$19*$B$21*$B$23,0)</f>
        <v/>
      </c>
      <c r="M44" s="40">
        <f>ROUND($B$5*$B$10*$B$12*$B$16*$B$19*$B$21*$B$24,0)</f>
        <v/>
      </c>
      <c r="N44" s="40">
        <f>ROUND($B$5*$B$10*$B$12*$B$16*$B$19*$B$22*$B$23,0)</f>
        <v/>
      </c>
      <c r="O44" s="40">
        <f>ROUND($B$5*$B$10*$B$12*$B$16*$B$19*$B$22*$B$24,0)</f>
        <v/>
      </c>
      <c r="P44" s="40">
        <f>ROUND($B$5*$B$10*$B$12*$B$16*$B$20*$B$21*$B$23,0)</f>
        <v/>
      </c>
      <c r="Q44" s="40">
        <f>ROUND($B$5*$B$10*$B$12*$B$16*$B$20*$B$21*$B$24,0)</f>
        <v/>
      </c>
      <c r="R44" s="40">
        <f>ROUND($B$5*$B$10*$B$12*$B$16*$B$20*$B$22*$B$23,0)</f>
        <v/>
      </c>
      <c r="S44" s="40">
        <f>ROUND($B$5*$B$10*$B$12*$B$16*$B$20*$B$22*$B$24,0)</f>
        <v/>
      </c>
      <c r="T44" s="40">
        <f>ROUND($B$6*$B$10*$B$12*$B$16*$B$19*$B$21*$B$23,0)</f>
        <v/>
      </c>
      <c r="U44" s="40">
        <f>ROUND($B$6*$B$10*$B$12*$B$16*$B$19*$B$21*$B$24,0)</f>
        <v/>
      </c>
      <c r="V44" s="40">
        <f>ROUND($B$6*$B$10*$B$12*$B$16*$B$19*$B$22*$B$23,0)</f>
        <v/>
      </c>
      <c r="W44" s="40">
        <f>ROUND($B$6*$B$10*$B$12*$B$16*$B$19*$B$22*$B$24,0)</f>
        <v/>
      </c>
      <c r="X44" s="40">
        <f>ROUND($B$6*$B$10*$B$12*$B$16*$B$20*$B$21*$B$23,0)</f>
        <v/>
      </c>
      <c r="Y44" s="40">
        <f>ROUND($B$6*$B$10*$B$12*$B$16*$B$20*$B$21*$B$24,0)</f>
        <v/>
      </c>
      <c r="Z44" s="40">
        <f>ROUND($B$6*$B$10*$B$12*$B$16*$B$20*$B$22*$B$23,0)</f>
        <v/>
      </c>
      <c r="AA44" s="40">
        <f>ROUND($B$6*$B$10*$B$12*$B$16*$B$20*$B$22*$B$24,0)</f>
        <v/>
      </c>
      <c r="AB44" s="41">
        <f>ROUND($B$7*$B$10*$B$12*$B$16*$B$19*$B$21*$B$23,0)</f>
        <v/>
      </c>
      <c r="AC44" s="41">
        <f>ROUND($B$7*$B$10*$B$12*$B$16*$B$19*$B$21*$B$24,0)</f>
        <v/>
      </c>
      <c r="AD44" s="41">
        <f>ROUND($B$7*$B$10*$B$12*$B$16*$B$19*$B$22*$B$23,0)</f>
        <v/>
      </c>
      <c r="AE44" s="41">
        <f>ROUND($B$7*$B$10*$B$12*$B$16*$B$19*$B$22*$B$24,0)</f>
        <v/>
      </c>
      <c r="AF44" s="41">
        <f>ROUND($B$7*$B$10*$B$12*$B$16*$B$20*$B$21*$B$23,0)</f>
        <v/>
      </c>
      <c r="AG44" s="41">
        <f>ROUND($B$7*$B$10*$B$12*$B$16*$B$20*$B$21*$B$24,0)</f>
        <v/>
      </c>
      <c r="AH44" s="41">
        <f>ROUND($B$7*$B$10*$B$12*$B$16*$B$20*$B$22*$B$23,0)</f>
        <v/>
      </c>
      <c r="AI44" s="41">
        <f>ROUND($B$7*$B$10*$B$12*$B$16*$B$20*$B$22*$B$24,0)</f>
        <v/>
      </c>
    </row>
    <row r="45" ht="20.1" customHeight="1" s="62">
      <c r="A45" s="90" t="n"/>
      <c r="B45" s="58" t="n"/>
      <c r="C45" s="42" t="inlineStr">
        <is>
          <t>Service</t>
        </is>
      </c>
      <c r="D45" s="40">
        <f>ROUND($B$4*$B$10*$B$12*$B$17*$B$19*$B$21*$B$23,0)</f>
        <v/>
      </c>
      <c r="E45" s="40">
        <f>ROUND($B$4*$B$10*$B$12*$B$17*$B$19*$B$21*$B$24,0)</f>
        <v/>
      </c>
      <c r="F45" s="40">
        <f>ROUND($B$4*$B$10*$B$12*$B$17*$B$19*$B$22*$B$23,0)</f>
        <v/>
      </c>
      <c r="G45" s="40">
        <f>ROUND($B$4*$B$10*$B$12*$B$17*$B$19*$B$22*$B$24,0)</f>
        <v/>
      </c>
      <c r="H45" s="40">
        <f>ROUND($B$4*$B$10*$B$12*$B$17*$B$20*$B$21*$B$23,0)</f>
        <v/>
      </c>
      <c r="I45" s="40">
        <f>ROUND($B$4*$B$10*$B$12*$B$17*$B$20*$B$21*$B$24,0)</f>
        <v/>
      </c>
      <c r="J45" s="40">
        <f>ROUND($B$4*$B$10*$B$12*$B$17*$B$20*$B$22*$B$23,0)</f>
        <v/>
      </c>
      <c r="K45" s="40">
        <f>ROUND($B$4*$B$10*$B$12*$B$17*$B$20*$B$22*$B$24,0)</f>
        <v/>
      </c>
      <c r="L45" s="40">
        <f>ROUND($B$5*$B$10*$B$12*$B$17*$B$19*$B$21*$B$23,0)</f>
        <v/>
      </c>
      <c r="M45" s="40">
        <f>ROUND($B$5*$B$10*$B$12*$B$17*$B$19*$B$21*$B$24,0)</f>
        <v/>
      </c>
      <c r="N45" s="40">
        <f>ROUND($B$5*$B$10*$B$12*$B$17*$B$19*$B$22*$B$23,0)</f>
        <v/>
      </c>
      <c r="O45" s="40">
        <f>ROUND($B$5*$B$10*$B$12*$B$17*$B$19*$B$22*$B$24,0)</f>
        <v/>
      </c>
      <c r="P45" s="40">
        <f>ROUND($B$5*$B$10*$B$12*$B$17*$B$20*$B$21*$B$23,0)</f>
        <v/>
      </c>
      <c r="Q45" s="40">
        <f>ROUND($B$5*$B$10*$B$12*$B$17*$B$20*$B$21*$B$24,0)</f>
        <v/>
      </c>
      <c r="R45" s="40">
        <f>ROUND($B$5*$B$10*$B$12*$B$17*$B$20*$B$22*$B$23,0)</f>
        <v/>
      </c>
      <c r="S45" s="40">
        <f>ROUND($B$5*$B$10*$B$12*$B$17*$B$20*$B$22*$B$24,0)</f>
        <v/>
      </c>
      <c r="T45" s="40">
        <f>ROUND($B$6*$B$10*$B$12*$B$17*$B$19*$B$21*$B$23,0)</f>
        <v/>
      </c>
      <c r="U45" s="40">
        <f>ROUND($B$6*$B$10*$B$12*$B$17*$B$19*$B$21*$B$24,0)</f>
        <v/>
      </c>
      <c r="V45" s="40">
        <f>ROUND($B$6*$B$10*$B$12*$B$17*$B$19*$B$22*$B$23,0)</f>
        <v/>
      </c>
      <c r="W45" s="40">
        <f>ROUND($B$6*$B$10*$B$12*$B$17*$B$19*$B$22*$B$24,0)</f>
        <v/>
      </c>
      <c r="X45" s="40">
        <f>ROUND($B$6*$B$10*$B$12*$B$17*$B$20*$B$21*$B$23,0)</f>
        <v/>
      </c>
      <c r="Y45" s="40">
        <f>ROUND($B$6*$B$10*$B$12*$B$17*$B$20*$B$21*$B$24,0)</f>
        <v/>
      </c>
      <c r="Z45" s="40">
        <f>ROUND($B$6*$B$10*$B$12*$B$17*$B$20*$B$22*$B$23,0)</f>
        <v/>
      </c>
      <c r="AA45" s="40">
        <f>ROUND($B$6*$B$10*$B$12*$B$17*$B$20*$B$22*$B$24,0)</f>
        <v/>
      </c>
      <c r="AB45" s="41">
        <f>ROUND($B$7*$B$10*$B$12*$B$17*$B$19*$B$21*$B$23,0)</f>
        <v/>
      </c>
      <c r="AC45" s="41">
        <f>ROUND($B$7*$B$10*$B$12*$B$17*$B$19*$B$21*$B$24,0)</f>
        <v/>
      </c>
      <c r="AD45" s="41">
        <f>ROUND($B$7*$B$10*$B$12*$B$17*$B$19*$B$22*$B$23,0)</f>
        <v/>
      </c>
      <c r="AE45" s="41">
        <f>ROUND($B$7*$B$10*$B$12*$B$17*$B$19*$B$22*$B$24,0)</f>
        <v/>
      </c>
      <c r="AF45" s="41">
        <f>ROUND($B$7*$B$10*$B$12*$B$17*$B$20*$B$21*$B$23,0)</f>
        <v/>
      </c>
      <c r="AG45" s="41">
        <f>ROUND($B$7*$B$10*$B$12*$B$17*$B$20*$B$21*$B$24,0)</f>
        <v/>
      </c>
      <c r="AH45" s="41">
        <f>ROUND($B$7*$B$10*$B$12*$B$17*$B$20*$B$22*$B$23,0)</f>
        <v/>
      </c>
      <c r="AI45" s="41">
        <f>ROUND($B$7*$B$10*$B$12*$B$17*$B$20*$B$22*$B$24,0)</f>
        <v/>
      </c>
    </row>
    <row r="46" ht="20.1" customHeight="1" s="62">
      <c r="A46" s="90" t="n"/>
      <c r="B46" s="59" t="n"/>
      <c r="C46" s="39" t="inlineStr">
        <is>
          <t>Multi-objectifs</t>
        </is>
      </c>
      <c r="D46" s="40">
        <f>ROUND($B$4*$B$10*$B$12*$B$18*$B$19*$B$21*$B$23,0)</f>
        <v/>
      </c>
      <c r="E46" s="40">
        <f>ROUND($B$4*$B$10*$B$12*$B$18*$B$19*$B$21*$B$24,0)</f>
        <v/>
      </c>
      <c r="F46" s="40">
        <f>ROUND($B$4*$B$10*$B$12*$B$18*$B$19*$B$22*$B$23,0)</f>
        <v/>
      </c>
      <c r="G46" s="40">
        <f>ROUND($B$4*$B$10*$B$12*$B$18*$B$19*$B$22*$B$24,0)</f>
        <v/>
      </c>
      <c r="H46" s="40">
        <f>ROUND($B$4*$B$10*$B$12*$B$18*$B$20*$B$21*$B$23,0)</f>
        <v/>
      </c>
      <c r="I46" s="40">
        <f>ROUND($B$4*$B$10*$B$12*$B$18*$B$20*$B$21*$B$24,0)</f>
        <v/>
      </c>
      <c r="J46" s="40">
        <f>ROUND($B$4*$B$10*$B$12*$B$18*$B$20*$B$22*$B$23,0)</f>
        <v/>
      </c>
      <c r="K46" s="40">
        <f>ROUND($B$4*$B$10*$B$12*$B$18*$B$20*$B$22*$B$24,0)</f>
        <v/>
      </c>
      <c r="L46" s="40">
        <f>ROUND($B$5*$B$10*$B$12*$B$18*$B$19*$B$21*$B$23,0)</f>
        <v/>
      </c>
      <c r="M46" s="40">
        <f>ROUND($B$5*$B$10*$B$12*$B$18*$B$19*$B$21*$B$24,0)</f>
        <v/>
      </c>
      <c r="N46" s="40">
        <f>ROUND($B$5*$B$10*$B$12*$B$18*$B$19*$B$22*$B$23,0)</f>
        <v/>
      </c>
      <c r="O46" s="40">
        <f>ROUND($B$5*$B$10*$B$12*$B$18*$B$19*$B$22*$B$24,0)</f>
        <v/>
      </c>
      <c r="P46" s="40">
        <f>ROUND($B$5*$B$10*$B$12*$B$18*$B$20*$B$21*$B$23,0)</f>
        <v/>
      </c>
      <c r="Q46" s="40">
        <f>ROUND($B$5*$B$10*$B$12*$B$18*$B$20*$B$21*$B$24,0)</f>
        <v/>
      </c>
      <c r="R46" s="40">
        <f>ROUND($B$5*$B$10*$B$12*$B$18*$B$20*$B$22*$B$23,0)</f>
        <v/>
      </c>
      <c r="S46" s="40">
        <f>ROUND($B$5*$B$10*$B$12*$B$18*$B$20*$B$22*$B$24,0)</f>
        <v/>
      </c>
      <c r="T46" s="40">
        <f>ROUND($B$6*$B$10*$B$12*$B$18*$B$19*$B$21*$B$23,0)</f>
        <v/>
      </c>
      <c r="U46" s="40">
        <f>ROUND($B$6*$B$10*$B$12*$B$18*$B$19*$B$21*$B$24,0)</f>
        <v/>
      </c>
      <c r="V46" s="40">
        <f>ROUND($B$6*$B$10*$B$12*$B$18*$B$19*$B$22*$B$23,0)</f>
        <v/>
      </c>
      <c r="W46" s="40">
        <f>ROUND($B$6*$B$10*$B$12*$B$18*$B$19*$B$22*$B$24,0)</f>
        <v/>
      </c>
      <c r="X46" s="40">
        <f>ROUND($B$6*$B$10*$B$12*$B$18*$B$20*$B$21*$B$23,0)</f>
        <v/>
      </c>
      <c r="Y46" s="40">
        <f>ROUND($B$6*$B$10*$B$12*$B$18*$B$20*$B$21*$B$24,0)</f>
        <v/>
      </c>
      <c r="Z46" s="40">
        <f>ROUND($B$6*$B$10*$B$12*$B$18*$B$20*$B$22*$B$23,0)</f>
        <v/>
      </c>
      <c r="AA46" s="40">
        <f>ROUND($B$6*$B$10*$B$12*$B$18*$B$20*$B$22*$B$24,0)</f>
        <v/>
      </c>
      <c r="AB46" s="41">
        <f>ROUND($B$7*$B$10*$B$12*$B$18*$B$19*$B$21*$B$23,0)</f>
        <v/>
      </c>
      <c r="AC46" s="41">
        <f>ROUND($B$7*$B$10*$B$12*$B$18*$B$19*$B$21*$B$24,0)</f>
        <v/>
      </c>
      <c r="AD46" s="41">
        <f>ROUND($B$7*$B$10*$B$12*$B$18*$B$19*$B$22*$B$23,0)</f>
        <v/>
      </c>
      <c r="AE46" s="41">
        <f>ROUND($B$7*$B$10*$B$12*$B$18*$B$19*$B$22*$B$24,0)</f>
        <v/>
      </c>
      <c r="AF46" s="41">
        <f>ROUND($B$7*$B$10*$B$12*$B$18*$B$20*$B$21*$B$23,0)</f>
        <v/>
      </c>
      <c r="AG46" s="41">
        <f>ROUND($B$7*$B$10*$B$12*$B$18*$B$20*$B$21*$B$24,0)</f>
        <v/>
      </c>
      <c r="AH46" s="41">
        <f>ROUND($B$7*$B$10*$B$12*$B$18*$B$20*$B$22*$B$23,0)</f>
        <v/>
      </c>
      <c r="AI46" s="41">
        <f>ROUND($B$7*$B$10*$B$12*$B$18*$B$20*$B$22*$B$24,0)</f>
        <v/>
      </c>
    </row>
    <row r="47" ht="20.1" customHeight="1" s="62">
      <c r="A47" s="90" t="n"/>
      <c r="B47" s="87" t="inlineStr">
        <is>
          <t>Moyen (1k-10k/mois)</t>
        </is>
      </c>
      <c r="C47" s="87" t="inlineStr">
        <is>
          <t>Lead</t>
        </is>
      </c>
      <c r="D47" s="40">
        <f>ROUND($B$4*$B$10*$B$13*$B$15*$B$19*$B$21*$B$23,0)</f>
        <v/>
      </c>
      <c r="E47" s="40">
        <f>ROUND($B$4*$B$10*$B$13*$B$15*$B$19*$B$21*$B$24,0)</f>
        <v/>
      </c>
      <c r="F47" s="40">
        <f>ROUND($B$4*$B$10*$B$13*$B$15*$B$19*$B$22*$B$23,0)</f>
        <v/>
      </c>
      <c r="G47" s="40">
        <f>ROUND($B$4*$B$10*$B$13*$B$15*$B$19*$B$22*$B$24,0)</f>
        <v/>
      </c>
      <c r="H47" s="40">
        <f>ROUND($B$4*$B$10*$B$13*$B$15*$B$20*$B$21*$B$23,0)</f>
        <v/>
      </c>
      <c r="I47" s="40">
        <f>ROUND($B$4*$B$10*$B$13*$B$15*$B$20*$B$21*$B$24,0)</f>
        <v/>
      </c>
      <c r="J47" s="40">
        <f>ROUND($B$4*$B$10*$B$13*$B$15*$B$20*$B$22*$B$23,0)</f>
        <v/>
      </c>
      <c r="K47" s="40">
        <f>ROUND($B$4*$B$10*$B$13*$B$15*$B$20*$B$22*$B$24,0)</f>
        <v/>
      </c>
      <c r="L47" s="40">
        <f>ROUND($B$5*$B$10*$B$13*$B$15*$B$19*$B$21*$B$23,0)</f>
        <v/>
      </c>
      <c r="M47" s="40">
        <f>ROUND($B$5*$B$10*$B$13*$B$15*$B$19*$B$21*$B$24,0)</f>
        <v/>
      </c>
      <c r="N47" s="40">
        <f>ROUND($B$5*$B$10*$B$13*$B$15*$B$19*$B$22*$B$23,0)</f>
        <v/>
      </c>
      <c r="O47" s="40">
        <f>ROUND($B$5*$B$10*$B$13*$B$15*$B$19*$B$22*$B$24,0)</f>
        <v/>
      </c>
      <c r="P47" s="40">
        <f>ROUND($B$5*$B$10*$B$13*$B$15*$B$20*$B$21*$B$23,0)</f>
        <v/>
      </c>
      <c r="Q47" s="40">
        <f>ROUND($B$5*$B$10*$B$13*$B$15*$B$20*$B$21*$B$24,0)</f>
        <v/>
      </c>
      <c r="R47" s="40">
        <f>ROUND($B$5*$B$10*$B$13*$B$15*$B$20*$B$22*$B$23,0)</f>
        <v/>
      </c>
      <c r="S47" s="40">
        <f>ROUND($B$5*$B$10*$B$13*$B$15*$B$20*$B$22*$B$24,0)</f>
        <v/>
      </c>
      <c r="T47" s="40">
        <f>ROUND($B$6*$B$10*$B$13*$B$15*$B$19*$B$21*$B$23,0)</f>
        <v/>
      </c>
      <c r="U47" s="40">
        <f>ROUND($B$6*$B$10*$B$13*$B$15*$B$19*$B$21*$B$24,0)</f>
        <v/>
      </c>
      <c r="V47" s="40">
        <f>ROUND($B$6*$B$10*$B$13*$B$15*$B$19*$B$22*$B$23,0)</f>
        <v/>
      </c>
      <c r="W47" s="40">
        <f>ROUND($B$6*$B$10*$B$13*$B$15*$B$19*$B$22*$B$24,0)</f>
        <v/>
      </c>
      <c r="X47" s="40">
        <f>ROUND($B$6*$B$10*$B$13*$B$15*$B$20*$B$21*$B$23,0)</f>
        <v/>
      </c>
      <c r="Y47" s="40">
        <f>ROUND($B$6*$B$10*$B$13*$B$15*$B$20*$B$21*$B$24,0)</f>
        <v/>
      </c>
      <c r="Z47" s="40">
        <f>ROUND($B$6*$B$10*$B$13*$B$15*$B$20*$B$22*$B$23,0)</f>
        <v/>
      </c>
      <c r="AA47" s="40">
        <f>ROUND($B$6*$B$10*$B$13*$B$15*$B$20*$B$22*$B$24,0)</f>
        <v/>
      </c>
      <c r="AB47" s="41">
        <f>ROUND($B$7*$B$10*$B$13*$B$15*$B$19*$B$21*$B$23,0)</f>
        <v/>
      </c>
      <c r="AC47" s="41">
        <f>ROUND($B$7*$B$10*$B$13*$B$15*$B$19*$B$21*$B$24,0)</f>
        <v/>
      </c>
      <c r="AD47" s="41">
        <f>ROUND($B$7*$B$10*$B$13*$B$15*$B$19*$B$22*$B$23,0)</f>
        <v/>
      </c>
      <c r="AE47" s="41">
        <f>ROUND($B$7*$B$10*$B$13*$B$15*$B$19*$B$22*$B$24,0)</f>
        <v/>
      </c>
      <c r="AF47" s="41">
        <f>ROUND($B$7*$B$10*$B$13*$B$15*$B$20*$B$21*$B$23,0)</f>
        <v/>
      </c>
      <c r="AG47" s="41">
        <f>ROUND($B$7*$B$10*$B$13*$B$15*$B$20*$B$21*$B$24,0)</f>
        <v/>
      </c>
      <c r="AH47" s="41">
        <f>ROUND($B$7*$B$10*$B$13*$B$15*$B$20*$B$22*$B$23,0)</f>
        <v/>
      </c>
      <c r="AI47" s="41">
        <f>ROUND($B$7*$B$10*$B$13*$B$15*$B$20*$B$22*$B$24,0)</f>
        <v/>
      </c>
    </row>
    <row r="48" ht="20.1" customHeight="1" s="62">
      <c r="A48" s="90" t="n"/>
      <c r="B48" s="58" t="n"/>
      <c r="C48" s="42" t="inlineStr">
        <is>
          <t>E-commerce</t>
        </is>
      </c>
      <c r="D48" s="40">
        <f>ROUND($B$4*$B$10*$B$13*$B$16*$B$19*$B$21*$B$23,0)</f>
        <v/>
      </c>
      <c r="E48" s="40">
        <f>ROUND($B$4*$B$10*$B$13*$B$16*$B$19*$B$21*$B$24,0)</f>
        <v/>
      </c>
      <c r="F48" s="40">
        <f>ROUND($B$4*$B$10*$B$13*$B$16*$B$19*$B$22*$B$23,0)</f>
        <v/>
      </c>
      <c r="G48" s="40">
        <f>ROUND($B$4*$B$10*$B$13*$B$16*$B$19*$B$22*$B$24,0)</f>
        <v/>
      </c>
      <c r="H48" s="40">
        <f>ROUND($B$4*$B$10*$B$13*$B$16*$B$20*$B$21*$B$23,0)</f>
        <v/>
      </c>
      <c r="I48" s="40">
        <f>ROUND($B$4*$B$10*$B$13*$B$16*$B$20*$B$21*$B$24,0)</f>
        <v/>
      </c>
      <c r="J48" s="40">
        <f>ROUND($B$4*$B$10*$B$13*$B$16*$B$20*$B$22*$B$23,0)</f>
        <v/>
      </c>
      <c r="K48" s="40">
        <f>ROUND($B$4*$B$10*$B$13*$B$16*$B$20*$B$22*$B$24,0)</f>
        <v/>
      </c>
      <c r="L48" s="40">
        <f>ROUND($B$5*$B$10*$B$13*$B$16*$B$19*$B$21*$B$23,0)</f>
        <v/>
      </c>
      <c r="M48" s="40">
        <f>ROUND($B$5*$B$10*$B$13*$B$16*$B$19*$B$21*$B$24,0)</f>
        <v/>
      </c>
      <c r="N48" s="40">
        <f>ROUND($B$5*$B$10*$B$13*$B$16*$B$19*$B$22*$B$23,0)</f>
        <v/>
      </c>
      <c r="O48" s="40">
        <f>ROUND($B$5*$B$10*$B$13*$B$16*$B$19*$B$22*$B$24,0)</f>
        <v/>
      </c>
      <c r="P48" s="40">
        <f>ROUND($B$5*$B$10*$B$13*$B$16*$B$20*$B$21*$B$23,0)</f>
        <v/>
      </c>
      <c r="Q48" s="40">
        <f>ROUND($B$5*$B$10*$B$13*$B$16*$B$20*$B$21*$B$24,0)</f>
        <v/>
      </c>
      <c r="R48" s="40">
        <f>ROUND($B$5*$B$10*$B$13*$B$16*$B$20*$B$22*$B$23,0)</f>
        <v/>
      </c>
      <c r="S48" s="40">
        <f>ROUND($B$5*$B$10*$B$13*$B$16*$B$20*$B$22*$B$24,0)</f>
        <v/>
      </c>
      <c r="T48" s="40">
        <f>ROUND($B$6*$B$10*$B$13*$B$16*$B$19*$B$21*$B$23,0)</f>
        <v/>
      </c>
      <c r="U48" s="40">
        <f>ROUND($B$6*$B$10*$B$13*$B$16*$B$19*$B$21*$B$24,0)</f>
        <v/>
      </c>
      <c r="V48" s="40">
        <f>ROUND($B$6*$B$10*$B$13*$B$16*$B$19*$B$22*$B$23,0)</f>
        <v/>
      </c>
      <c r="W48" s="40">
        <f>ROUND($B$6*$B$10*$B$13*$B$16*$B$19*$B$22*$B$24,0)</f>
        <v/>
      </c>
      <c r="X48" s="40">
        <f>ROUND($B$6*$B$10*$B$13*$B$16*$B$20*$B$21*$B$23,0)</f>
        <v/>
      </c>
      <c r="Y48" s="40">
        <f>ROUND($B$6*$B$10*$B$13*$B$16*$B$20*$B$21*$B$24,0)</f>
        <v/>
      </c>
      <c r="Z48" s="40">
        <f>ROUND($B$6*$B$10*$B$13*$B$16*$B$20*$B$22*$B$23,0)</f>
        <v/>
      </c>
      <c r="AA48" s="40">
        <f>ROUND($B$6*$B$10*$B$13*$B$16*$B$20*$B$22*$B$24,0)</f>
        <v/>
      </c>
      <c r="AB48" s="41">
        <f>ROUND($B$7*$B$10*$B$13*$B$16*$B$19*$B$21*$B$23,0)</f>
        <v/>
      </c>
      <c r="AC48" s="41">
        <f>ROUND($B$7*$B$10*$B$13*$B$16*$B$19*$B$21*$B$24,0)</f>
        <v/>
      </c>
      <c r="AD48" s="41">
        <f>ROUND($B$7*$B$10*$B$13*$B$16*$B$19*$B$22*$B$23,0)</f>
        <v/>
      </c>
      <c r="AE48" s="41">
        <f>ROUND($B$7*$B$10*$B$13*$B$16*$B$19*$B$22*$B$24,0)</f>
        <v/>
      </c>
      <c r="AF48" s="41">
        <f>ROUND($B$7*$B$10*$B$13*$B$16*$B$20*$B$21*$B$23,0)</f>
        <v/>
      </c>
      <c r="AG48" s="41">
        <f>ROUND($B$7*$B$10*$B$13*$B$16*$B$20*$B$21*$B$24,0)</f>
        <v/>
      </c>
      <c r="AH48" s="41">
        <f>ROUND($B$7*$B$10*$B$13*$B$16*$B$20*$B$22*$B$23,0)</f>
        <v/>
      </c>
      <c r="AI48" s="41">
        <f>ROUND($B$7*$B$10*$B$13*$B$16*$B$20*$B$22*$B$24,0)</f>
        <v/>
      </c>
    </row>
    <row r="49" ht="20.1" customHeight="1" s="62">
      <c r="A49" s="90" t="n"/>
      <c r="B49" s="58" t="n"/>
      <c r="C49" s="39" t="inlineStr">
        <is>
          <t>Service</t>
        </is>
      </c>
      <c r="D49" s="40">
        <f>ROUND($B$4*$B$10*$B$13*$B$17*$B$19*$B$21*$B$23,0)</f>
        <v/>
      </c>
      <c r="E49" s="40">
        <f>ROUND($B$4*$B$10*$B$13*$B$17*$B$19*$B$21*$B$24,0)</f>
        <v/>
      </c>
      <c r="F49" s="40">
        <f>ROUND($B$4*$B$10*$B$13*$B$17*$B$19*$B$22*$B$23,0)</f>
        <v/>
      </c>
      <c r="G49" s="40">
        <f>ROUND($B$4*$B$10*$B$13*$B$17*$B$19*$B$22*$B$24,0)</f>
        <v/>
      </c>
      <c r="H49" s="40">
        <f>ROUND($B$4*$B$10*$B$13*$B$17*$B$20*$B$21*$B$23,0)</f>
        <v/>
      </c>
      <c r="I49" s="40">
        <f>ROUND($B$4*$B$10*$B$13*$B$17*$B$20*$B$21*$B$24,0)</f>
        <v/>
      </c>
      <c r="J49" s="40">
        <f>ROUND($B$4*$B$10*$B$13*$B$17*$B$20*$B$22*$B$23,0)</f>
        <v/>
      </c>
      <c r="K49" s="40">
        <f>ROUND($B$4*$B$10*$B$13*$B$17*$B$20*$B$22*$B$24,0)</f>
        <v/>
      </c>
      <c r="L49" s="40">
        <f>ROUND($B$5*$B$10*$B$13*$B$17*$B$19*$B$21*$B$23,0)</f>
        <v/>
      </c>
      <c r="M49" s="40">
        <f>ROUND($B$5*$B$10*$B$13*$B$17*$B$19*$B$21*$B$24,0)</f>
        <v/>
      </c>
      <c r="N49" s="40">
        <f>ROUND($B$5*$B$10*$B$13*$B$17*$B$19*$B$22*$B$23,0)</f>
        <v/>
      </c>
      <c r="O49" s="40">
        <f>ROUND($B$5*$B$10*$B$13*$B$17*$B$19*$B$22*$B$24,0)</f>
        <v/>
      </c>
      <c r="P49" s="40">
        <f>ROUND($B$5*$B$10*$B$13*$B$17*$B$20*$B$21*$B$23,0)</f>
        <v/>
      </c>
      <c r="Q49" s="40">
        <f>ROUND($B$5*$B$10*$B$13*$B$17*$B$20*$B$21*$B$24,0)</f>
        <v/>
      </c>
      <c r="R49" s="40">
        <f>ROUND($B$5*$B$10*$B$13*$B$17*$B$20*$B$22*$B$23,0)</f>
        <v/>
      </c>
      <c r="S49" s="40">
        <f>ROUND($B$5*$B$10*$B$13*$B$17*$B$20*$B$22*$B$24,0)</f>
        <v/>
      </c>
      <c r="T49" s="40">
        <f>ROUND($B$6*$B$10*$B$13*$B$17*$B$19*$B$21*$B$23,0)</f>
        <v/>
      </c>
      <c r="U49" s="40">
        <f>ROUND($B$6*$B$10*$B$13*$B$17*$B$19*$B$21*$B$24,0)</f>
        <v/>
      </c>
      <c r="V49" s="40">
        <f>ROUND($B$6*$B$10*$B$13*$B$17*$B$19*$B$22*$B$23,0)</f>
        <v/>
      </c>
      <c r="W49" s="40">
        <f>ROUND($B$6*$B$10*$B$13*$B$17*$B$19*$B$22*$B$24,0)</f>
        <v/>
      </c>
      <c r="X49" s="40">
        <f>ROUND($B$6*$B$10*$B$13*$B$17*$B$20*$B$21*$B$23,0)</f>
        <v/>
      </c>
      <c r="Y49" s="40">
        <f>ROUND($B$6*$B$10*$B$13*$B$17*$B$20*$B$21*$B$24,0)</f>
        <v/>
      </c>
      <c r="Z49" s="40">
        <f>ROUND($B$6*$B$10*$B$13*$B$17*$B$20*$B$22*$B$23,0)</f>
        <v/>
      </c>
      <c r="AA49" s="40">
        <f>ROUND($B$6*$B$10*$B$13*$B$17*$B$20*$B$22*$B$24,0)</f>
        <v/>
      </c>
      <c r="AB49" s="41">
        <f>ROUND($B$7*$B$10*$B$13*$B$17*$B$19*$B$21*$B$23,0)</f>
        <v/>
      </c>
      <c r="AC49" s="41">
        <f>ROUND($B$7*$B$10*$B$13*$B$17*$B$19*$B$21*$B$24,0)</f>
        <v/>
      </c>
      <c r="AD49" s="41">
        <f>ROUND($B$7*$B$10*$B$13*$B$17*$B$19*$B$22*$B$23,0)</f>
        <v/>
      </c>
      <c r="AE49" s="41">
        <f>ROUND($B$7*$B$10*$B$13*$B$17*$B$19*$B$22*$B$24,0)</f>
        <v/>
      </c>
      <c r="AF49" s="41">
        <f>ROUND($B$7*$B$10*$B$13*$B$17*$B$20*$B$21*$B$23,0)</f>
        <v/>
      </c>
      <c r="AG49" s="41">
        <f>ROUND($B$7*$B$10*$B$13*$B$17*$B$20*$B$21*$B$24,0)</f>
        <v/>
      </c>
      <c r="AH49" s="41">
        <f>ROUND($B$7*$B$10*$B$13*$B$17*$B$20*$B$22*$B$23,0)</f>
        <v/>
      </c>
      <c r="AI49" s="41">
        <f>ROUND($B$7*$B$10*$B$13*$B$17*$B$20*$B$22*$B$24,0)</f>
        <v/>
      </c>
    </row>
    <row r="50" ht="20.1" customHeight="1" s="62">
      <c r="A50" s="90" t="n"/>
      <c r="B50" s="59" t="n"/>
      <c r="C50" s="87" t="inlineStr">
        <is>
          <t>Multi-objectifs</t>
        </is>
      </c>
      <c r="D50" s="40">
        <f>ROUND($B$4*$B$10*$B$13*$B$18*$B$19*$B$21*$B$23,0)</f>
        <v/>
      </c>
      <c r="E50" s="40">
        <f>ROUND($B$4*$B$10*$B$13*$B$18*$B$19*$B$21*$B$24,0)</f>
        <v/>
      </c>
      <c r="F50" s="40">
        <f>ROUND($B$4*$B$10*$B$13*$B$18*$B$19*$B$22*$B$23,0)</f>
        <v/>
      </c>
      <c r="G50" s="40">
        <f>ROUND($B$4*$B$10*$B$13*$B$18*$B$19*$B$22*$B$24,0)</f>
        <v/>
      </c>
      <c r="H50" s="40">
        <f>ROUND($B$4*$B$10*$B$13*$B$18*$B$20*$B$21*$B$23,0)</f>
        <v/>
      </c>
      <c r="I50" s="40">
        <f>ROUND($B$4*$B$10*$B$13*$B$18*$B$20*$B$21*$B$24,0)</f>
        <v/>
      </c>
      <c r="J50" s="40">
        <f>ROUND($B$4*$B$10*$B$13*$B$18*$B$20*$B$22*$B$23,0)</f>
        <v/>
      </c>
      <c r="K50" s="40">
        <f>ROUND($B$4*$B$10*$B$13*$B$18*$B$20*$B$22*$B$24,0)</f>
        <v/>
      </c>
      <c r="L50" s="40">
        <f>ROUND($B$5*$B$10*$B$13*$B$18*$B$19*$B$21*$B$23,0)</f>
        <v/>
      </c>
      <c r="M50" s="40">
        <f>ROUND($B$5*$B$10*$B$13*$B$18*$B$19*$B$21*$B$24,0)</f>
        <v/>
      </c>
      <c r="N50" s="40">
        <f>ROUND($B$5*$B$10*$B$13*$B$18*$B$19*$B$22*$B$23,0)</f>
        <v/>
      </c>
      <c r="O50" s="40">
        <f>ROUND($B$5*$B$10*$B$13*$B$18*$B$19*$B$22*$B$24,0)</f>
        <v/>
      </c>
      <c r="P50" s="40">
        <f>ROUND($B$5*$B$10*$B$13*$B$18*$B$20*$B$21*$B$23,0)</f>
        <v/>
      </c>
      <c r="Q50" s="40">
        <f>ROUND($B$5*$B$10*$B$13*$B$18*$B$20*$B$21*$B$24,0)</f>
        <v/>
      </c>
      <c r="R50" s="40">
        <f>ROUND($B$5*$B$10*$B$13*$B$18*$B$20*$B$22*$B$23,0)</f>
        <v/>
      </c>
      <c r="S50" s="40">
        <f>ROUND($B$5*$B$10*$B$13*$B$18*$B$20*$B$22*$B$24,0)</f>
        <v/>
      </c>
      <c r="T50" s="40">
        <f>ROUND($B$6*$B$10*$B$13*$B$18*$B$19*$B$21*$B$23,0)</f>
        <v/>
      </c>
      <c r="U50" s="40">
        <f>ROUND($B$6*$B$10*$B$13*$B$18*$B$19*$B$21*$B$24,0)</f>
        <v/>
      </c>
      <c r="V50" s="40">
        <f>ROUND($B$6*$B$10*$B$13*$B$18*$B$19*$B$22*$B$23,0)</f>
        <v/>
      </c>
      <c r="W50" s="40">
        <f>ROUND($B$6*$B$10*$B$13*$B$18*$B$19*$B$22*$B$24,0)</f>
        <v/>
      </c>
      <c r="X50" s="40">
        <f>ROUND($B$6*$B$10*$B$13*$B$18*$B$20*$B$21*$B$23,0)</f>
        <v/>
      </c>
      <c r="Y50" s="40">
        <f>ROUND($B$6*$B$10*$B$13*$B$18*$B$20*$B$21*$B$24,0)</f>
        <v/>
      </c>
      <c r="Z50" s="40">
        <f>ROUND($B$6*$B$10*$B$13*$B$18*$B$20*$B$22*$B$23,0)</f>
        <v/>
      </c>
      <c r="AA50" s="40">
        <f>ROUND($B$6*$B$10*$B$13*$B$18*$B$20*$B$22*$B$24,0)</f>
        <v/>
      </c>
      <c r="AB50" s="41">
        <f>ROUND($B$7*$B$10*$B$13*$B$18*$B$19*$B$21*$B$23,0)</f>
        <v/>
      </c>
      <c r="AC50" s="41">
        <f>ROUND($B$7*$B$10*$B$13*$B$18*$B$19*$B$21*$B$24,0)</f>
        <v/>
      </c>
      <c r="AD50" s="41">
        <f>ROUND($B$7*$B$10*$B$13*$B$18*$B$19*$B$22*$B$23,0)</f>
        <v/>
      </c>
      <c r="AE50" s="41">
        <f>ROUND($B$7*$B$10*$B$13*$B$18*$B$19*$B$22*$B$24,0)</f>
        <v/>
      </c>
      <c r="AF50" s="41">
        <f>ROUND($B$7*$B$10*$B$13*$B$18*$B$20*$B$21*$B$23,0)</f>
        <v/>
      </c>
      <c r="AG50" s="41">
        <f>ROUND($B$7*$B$10*$B$13*$B$18*$B$20*$B$21*$B$24,0)</f>
        <v/>
      </c>
      <c r="AH50" s="41">
        <f>ROUND($B$7*$B$10*$B$13*$B$18*$B$20*$B$22*$B$23,0)</f>
        <v/>
      </c>
      <c r="AI50" s="41">
        <f>ROUND($B$7*$B$10*$B$13*$B$18*$B$20*$B$22*$B$24,0)</f>
        <v/>
      </c>
    </row>
    <row r="51" ht="20.1" customHeight="1" s="62">
      <c r="A51" s="90" t="n"/>
      <c r="B51" s="87" t="inlineStr">
        <is>
          <t>Élevé (10k+/mois)</t>
        </is>
      </c>
      <c r="C51" s="42" t="inlineStr">
        <is>
          <t>Lead</t>
        </is>
      </c>
      <c r="D51" s="40">
        <f>ROUND($B$4*$B$10*$B$14*$B$15*$B$19*$B$21*$B$23,0)</f>
        <v/>
      </c>
      <c r="E51" s="40">
        <f>ROUND($B$4*$B$10*$B$14*$B$15*$B$19*$B$21*$B$24,0)</f>
        <v/>
      </c>
      <c r="F51" s="40">
        <f>ROUND($B$4*$B$10*$B$14*$B$15*$B$19*$B$22*$B$23,0)</f>
        <v/>
      </c>
      <c r="G51" s="40">
        <f>ROUND($B$4*$B$10*$B$14*$B$15*$B$19*$B$22*$B$24,0)</f>
        <v/>
      </c>
      <c r="H51" s="40">
        <f>ROUND($B$4*$B$10*$B$14*$B$15*$B$20*$B$21*$B$23,0)</f>
        <v/>
      </c>
      <c r="I51" s="40">
        <f>ROUND($B$4*$B$10*$B$14*$B$15*$B$20*$B$21*$B$24,0)</f>
        <v/>
      </c>
      <c r="J51" s="40">
        <f>ROUND($B$4*$B$10*$B$14*$B$15*$B$20*$B$22*$B$23,0)</f>
        <v/>
      </c>
      <c r="K51" s="40">
        <f>ROUND($B$4*$B$10*$B$14*$B$15*$B$20*$B$22*$B$24,0)</f>
        <v/>
      </c>
      <c r="L51" s="40">
        <f>ROUND($B$5*$B$10*$B$14*$B$15*$B$19*$B$21*$B$23,0)</f>
        <v/>
      </c>
      <c r="M51" s="40">
        <f>ROUND($B$5*$B$10*$B$14*$B$15*$B$19*$B$21*$B$24,0)</f>
        <v/>
      </c>
      <c r="N51" s="40">
        <f>ROUND($B$5*$B$10*$B$14*$B$15*$B$19*$B$22*$B$23,0)</f>
        <v/>
      </c>
      <c r="O51" s="40">
        <f>ROUND($B$5*$B$10*$B$14*$B$15*$B$19*$B$22*$B$24,0)</f>
        <v/>
      </c>
      <c r="P51" s="40">
        <f>ROUND($B$5*$B$10*$B$14*$B$15*$B$20*$B$21*$B$23,0)</f>
        <v/>
      </c>
      <c r="Q51" s="40">
        <f>ROUND($B$5*$B$10*$B$14*$B$15*$B$20*$B$21*$B$24,0)</f>
        <v/>
      </c>
      <c r="R51" s="40">
        <f>ROUND($B$5*$B$10*$B$14*$B$15*$B$20*$B$22*$B$23,0)</f>
        <v/>
      </c>
      <c r="S51" s="40">
        <f>ROUND($B$5*$B$10*$B$14*$B$15*$B$20*$B$22*$B$24,0)</f>
        <v/>
      </c>
      <c r="T51" s="40">
        <f>ROUND($B$6*$B$10*$B$14*$B$15*$B$19*$B$21*$B$23,0)</f>
        <v/>
      </c>
      <c r="U51" s="40">
        <f>ROUND($B$6*$B$10*$B$14*$B$15*$B$19*$B$21*$B$24,0)</f>
        <v/>
      </c>
      <c r="V51" s="40">
        <f>ROUND($B$6*$B$10*$B$14*$B$15*$B$19*$B$22*$B$23,0)</f>
        <v/>
      </c>
      <c r="W51" s="40">
        <f>ROUND($B$6*$B$10*$B$14*$B$15*$B$19*$B$22*$B$24,0)</f>
        <v/>
      </c>
      <c r="X51" s="40">
        <f>ROUND($B$6*$B$10*$B$14*$B$15*$B$20*$B$21*$B$23,0)</f>
        <v/>
      </c>
      <c r="Y51" s="40">
        <f>ROUND($B$6*$B$10*$B$14*$B$15*$B$20*$B$21*$B$24,0)</f>
        <v/>
      </c>
      <c r="Z51" s="40">
        <f>ROUND($B$6*$B$10*$B$14*$B$15*$B$20*$B$22*$B$23,0)</f>
        <v/>
      </c>
      <c r="AA51" s="40">
        <f>ROUND($B$6*$B$10*$B$14*$B$15*$B$20*$B$22*$B$24,0)</f>
        <v/>
      </c>
      <c r="AB51" s="41">
        <f>ROUND($B$7*$B$10*$B$14*$B$15*$B$19*$B$21*$B$23,0)</f>
        <v/>
      </c>
      <c r="AC51" s="41">
        <f>ROUND($B$7*$B$10*$B$14*$B$15*$B$19*$B$21*$B$24,0)</f>
        <v/>
      </c>
      <c r="AD51" s="41">
        <f>ROUND($B$7*$B$10*$B$14*$B$15*$B$19*$B$22*$B$23,0)</f>
        <v/>
      </c>
      <c r="AE51" s="41">
        <f>ROUND($B$7*$B$10*$B$14*$B$15*$B$19*$B$22*$B$24,0)</f>
        <v/>
      </c>
      <c r="AF51" s="41">
        <f>ROUND($B$7*$B$10*$B$14*$B$15*$B$20*$B$21*$B$23,0)</f>
        <v/>
      </c>
      <c r="AG51" s="41">
        <f>ROUND($B$7*$B$10*$B$14*$B$15*$B$20*$B$21*$B$24,0)</f>
        <v/>
      </c>
      <c r="AH51" s="41">
        <f>ROUND($B$7*$B$10*$B$14*$B$15*$B$20*$B$22*$B$23,0)</f>
        <v/>
      </c>
      <c r="AI51" s="41">
        <f>ROUND($B$7*$B$10*$B$14*$B$15*$B$20*$B$22*$B$24,0)</f>
        <v/>
      </c>
    </row>
    <row r="52" ht="20.1" customHeight="1" s="62">
      <c r="A52" s="90" t="n"/>
      <c r="B52" s="58" t="n"/>
      <c r="C52" s="39" t="inlineStr">
        <is>
          <t>E-commerce</t>
        </is>
      </c>
      <c r="D52" s="40">
        <f>ROUND($B$4*$B$10*$B$14*$B$16*$B$19*$B$21*$B$23,0)</f>
        <v/>
      </c>
      <c r="E52" s="40">
        <f>ROUND($B$4*$B$10*$B$14*$B$16*$B$19*$B$21*$B$24,0)</f>
        <v/>
      </c>
      <c r="F52" s="40">
        <f>ROUND($B$4*$B$10*$B$14*$B$16*$B$19*$B$22*$B$23,0)</f>
        <v/>
      </c>
      <c r="G52" s="40">
        <f>ROUND($B$4*$B$10*$B$14*$B$16*$B$19*$B$22*$B$24,0)</f>
        <v/>
      </c>
      <c r="H52" s="40">
        <f>ROUND($B$4*$B$10*$B$14*$B$16*$B$20*$B$21*$B$23,0)</f>
        <v/>
      </c>
      <c r="I52" s="40">
        <f>ROUND($B$4*$B$10*$B$14*$B$16*$B$20*$B$21*$B$24,0)</f>
        <v/>
      </c>
      <c r="J52" s="40">
        <f>ROUND($B$4*$B$10*$B$14*$B$16*$B$20*$B$22*$B$23,0)</f>
        <v/>
      </c>
      <c r="K52" s="40">
        <f>ROUND($B$4*$B$10*$B$14*$B$16*$B$20*$B$22*$B$24,0)</f>
        <v/>
      </c>
      <c r="L52" s="40">
        <f>ROUND($B$5*$B$10*$B$14*$B$16*$B$19*$B$21*$B$23,0)</f>
        <v/>
      </c>
      <c r="M52" s="40">
        <f>ROUND($B$5*$B$10*$B$14*$B$16*$B$19*$B$21*$B$24,0)</f>
        <v/>
      </c>
      <c r="N52" s="40">
        <f>ROUND($B$5*$B$10*$B$14*$B$16*$B$19*$B$22*$B$23,0)</f>
        <v/>
      </c>
      <c r="O52" s="40">
        <f>ROUND($B$5*$B$10*$B$14*$B$16*$B$19*$B$22*$B$24,0)</f>
        <v/>
      </c>
      <c r="P52" s="40">
        <f>ROUND($B$5*$B$10*$B$14*$B$16*$B$20*$B$21*$B$23,0)</f>
        <v/>
      </c>
      <c r="Q52" s="40">
        <f>ROUND($B$5*$B$10*$B$14*$B$16*$B$20*$B$21*$B$24,0)</f>
        <v/>
      </c>
      <c r="R52" s="40">
        <f>ROUND($B$5*$B$10*$B$14*$B$16*$B$20*$B$22*$B$23,0)</f>
        <v/>
      </c>
      <c r="S52" s="40">
        <f>ROUND($B$5*$B$10*$B$14*$B$16*$B$20*$B$22*$B$24,0)</f>
        <v/>
      </c>
      <c r="T52" s="40">
        <f>ROUND($B$6*$B$10*$B$14*$B$16*$B$19*$B$21*$B$23,0)</f>
        <v/>
      </c>
      <c r="U52" s="40">
        <f>ROUND($B$6*$B$10*$B$14*$B$16*$B$19*$B$21*$B$24,0)</f>
        <v/>
      </c>
      <c r="V52" s="40">
        <f>ROUND($B$6*$B$10*$B$14*$B$16*$B$19*$B$22*$B$23,0)</f>
        <v/>
      </c>
      <c r="W52" s="40">
        <f>ROUND($B$6*$B$10*$B$14*$B$16*$B$19*$B$22*$B$24,0)</f>
        <v/>
      </c>
      <c r="X52" s="40">
        <f>ROUND($B$6*$B$10*$B$14*$B$16*$B$20*$B$21*$B$23,0)</f>
        <v/>
      </c>
      <c r="Y52" s="40">
        <f>ROUND($B$6*$B$10*$B$14*$B$16*$B$20*$B$21*$B$24,0)</f>
        <v/>
      </c>
      <c r="Z52" s="40">
        <f>ROUND($B$6*$B$10*$B$14*$B$16*$B$20*$B$22*$B$23,0)</f>
        <v/>
      </c>
      <c r="AA52" s="40">
        <f>ROUND($B$6*$B$10*$B$14*$B$16*$B$20*$B$22*$B$24,0)</f>
        <v/>
      </c>
      <c r="AB52" s="41">
        <f>ROUND($B$7*$B$10*$B$14*$B$16*$B$19*$B$21*$B$23,0)</f>
        <v/>
      </c>
      <c r="AC52" s="41">
        <f>ROUND($B$7*$B$10*$B$14*$B$16*$B$19*$B$21*$B$24,0)</f>
        <v/>
      </c>
      <c r="AD52" s="41">
        <f>ROUND($B$7*$B$10*$B$14*$B$16*$B$19*$B$22*$B$23,0)</f>
        <v/>
      </c>
      <c r="AE52" s="41">
        <f>ROUND($B$7*$B$10*$B$14*$B$16*$B$19*$B$22*$B$24,0)</f>
        <v/>
      </c>
      <c r="AF52" s="41">
        <f>ROUND($B$7*$B$10*$B$14*$B$16*$B$20*$B$21*$B$23,0)</f>
        <v/>
      </c>
      <c r="AG52" s="41">
        <f>ROUND($B$7*$B$10*$B$14*$B$16*$B$20*$B$21*$B$24,0)</f>
        <v/>
      </c>
      <c r="AH52" s="41">
        <f>ROUND($B$7*$B$10*$B$14*$B$16*$B$20*$B$22*$B$23,0)</f>
        <v/>
      </c>
      <c r="AI52" s="41">
        <f>ROUND($B$7*$B$10*$B$14*$B$16*$B$20*$B$22*$B$24,0)</f>
        <v/>
      </c>
    </row>
    <row r="53" ht="20.1" customHeight="1" s="62">
      <c r="A53" s="90" t="n"/>
      <c r="B53" s="58" t="n"/>
      <c r="C53" s="87" t="inlineStr">
        <is>
          <t>Service</t>
        </is>
      </c>
      <c r="D53" s="40">
        <f>ROUND($B$4*$B$10*$B$14*$B$17*$B$19*$B$21*$B$23,0)</f>
        <v/>
      </c>
      <c r="E53" s="40">
        <f>ROUND($B$4*$B$10*$B$14*$B$17*$B$19*$B$21*$B$24,0)</f>
        <v/>
      </c>
      <c r="F53" s="40">
        <f>ROUND($B$4*$B$10*$B$14*$B$17*$B$19*$B$22*$B$23,0)</f>
        <v/>
      </c>
      <c r="G53" s="40">
        <f>ROUND($B$4*$B$10*$B$14*$B$17*$B$19*$B$22*$B$24,0)</f>
        <v/>
      </c>
      <c r="H53" s="40">
        <f>ROUND($B$4*$B$10*$B$14*$B$17*$B$20*$B$21*$B$23,0)</f>
        <v/>
      </c>
      <c r="I53" s="40">
        <f>ROUND($B$4*$B$10*$B$14*$B$17*$B$20*$B$21*$B$24,0)</f>
        <v/>
      </c>
      <c r="J53" s="40">
        <f>ROUND($B$4*$B$10*$B$14*$B$17*$B$20*$B$22*$B$23,0)</f>
        <v/>
      </c>
      <c r="K53" s="40">
        <f>ROUND($B$4*$B$10*$B$14*$B$17*$B$20*$B$22*$B$24,0)</f>
        <v/>
      </c>
      <c r="L53" s="40">
        <f>ROUND($B$5*$B$10*$B$14*$B$17*$B$19*$B$21*$B$23,0)</f>
        <v/>
      </c>
      <c r="M53" s="40">
        <f>ROUND($B$5*$B$10*$B$14*$B$17*$B$19*$B$21*$B$24,0)</f>
        <v/>
      </c>
      <c r="N53" s="40">
        <f>ROUND($B$5*$B$10*$B$14*$B$17*$B$19*$B$22*$B$23,0)</f>
        <v/>
      </c>
      <c r="O53" s="40">
        <f>ROUND($B$5*$B$10*$B$14*$B$17*$B$19*$B$22*$B$24,0)</f>
        <v/>
      </c>
      <c r="P53" s="40">
        <f>ROUND($B$5*$B$10*$B$14*$B$17*$B$20*$B$21*$B$23,0)</f>
        <v/>
      </c>
      <c r="Q53" s="40">
        <f>ROUND($B$5*$B$10*$B$14*$B$17*$B$20*$B$21*$B$24,0)</f>
        <v/>
      </c>
      <c r="R53" s="40">
        <f>ROUND($B$5*$B$10*$B$14*$B$17*$B$20*$B$22*$B$23,0)</f>
        <v/>
      </c>
      <c r="S53" s="40">
        <f>ROUND($B$5*$B$10*$B$14*$B$17*$B$20*$B$22*$B$24,0)</f>
        <v/>
      </c>
      <c r="T53" s="40">
        <f>ROUND($B$6*$B$10*$B$14*$B$17*$B$19*$B$21*$B$23,0)</f>
        <v/>
      </c>
      <c r="U53" s="40">
        <f>ROUND($B$6*$B$10*$B$14*$B$17*$B$19*$B$21*$B$24,0)</f>
        <v/>
      </c>
      <c r="V53" s="40">
        <f>ROUND($B$6*$B$10*$B$14*$B$17*$B$19*$B$22*$B$23,0)</f>
        <v/>
      </c>
      <c r="W53" s="40">
        <f>ROUND($B$6*$B$10*$B$14*$B$17*$B$19*$B$22*$B$24,0)</f>
        <v/>
      </c>
      <c r="X53" s="40">
        <f>ROUND($B$6*$B$10*$B$14*$B$17*$B$20*$B$21*$B$23,0)</f>
        <v/>
      </c>
      <c r="Y53" s="40">
        <f>ROUND($B$6*$B$10*$B$14*$B$17*$B$20*$B$21*$B$24,0)</f>
        <v/>
      </c>
      <c r="Z53" s="40">
        <f>ROUND($B$6*$B$10*$B$14*$B$17*$B$20*$B$22*$B$23,0)</f>
        <v/>
      </c>
      <c r="AA53" s="40">
        <f>ROUND($B$6*$B$10*$B$14*$B$17*$B$20*$B$22*$B$24,0)</f>
        <v/>
      </c>
      <c r="AB53" s="41">
        <f>ROUND($B$7*$B$10*$B$14*$B$17*$B$19*$B$21*$B$23,0)</f>
        <v/>
      </c>
      <c r="AC53" s="41">
        <f>ROUND($B$7*$B$10*$B$14*$B$17*$B$19*$B$21*$B$24,0)</f>
        <v/>
      </c>
      <c r="AD53" s="41">
        <f>ROUND($B$7*$B$10*$B$14*$B$17*$B$19*$B$22*$B$23,0)</f>
        <v/>
      </c>
      <c r="AE53" s="41">
        <f>ROUND($B$7*$B$10*$B$14*$B$17*$B$19*$B$22*$B$24,0)</f>
        <v/>
      </c>
      <c r="AF53" s="41">
        <f>ROUND($B$7*$B$10*$B$14*$B$17*$B$20*$B$21*$B$23,0)</f>
        <v/>
      </c>
      <c r="AG53" s="41">
        <f>ROUND($B$7*$B$10*$B$14*$B$17*$B$20*$B$21*$B$24,0)</f>
        <v/>
      </c>
      <c r="AH53" s="41">
        <f>ROUND($B$7*$B$10*$B$14*$B$17*$B$20*$B$22*$B$23,0)</f>
        <v/>
      </c>
      <c r="AI53" s="41">
        <f>ROUND($B$7*$B$10*$B$14*$B$17*$B$20*$B$22*$B$24,0)</f>
        <v/>
      </c>
    </row>
    <row r="54" ht="20.1" customHeight="1" s="62">
      <c r="A54" s="91" t="n"/>
      <c r="B54" s="59" t="n"/>
      <c r="C54" s="42" t="inlineStr">
        <is>
          <t>Multi-objectifs</t>
        </is>
      </c>
      <c r="D54" s="40">
        <f>ROUND($B$4*$B$10*$B$14*$B$18*$B$19*$B$21*$B$23,0)</f>
        <v/>
      </c>
      <c r="E54" s="40">
        <f>ROUND($B$4*$B$10*$B$14*$B$18*$B$19*$B$21*$B$24,0)</f>
        <v/>
      </c>
      <c r="F54" s="40">
        <f>ROUND($B$4*$B$10*$B$14*$B$18*$B$19*$B$22*$B$23,0)</f>
        <v/>
      </c>
      <c r="G54" s="40">
        <f>ROUND($B$4*$B$10*$B$14*$B$18*$B$19*$B$22*$B$24,0)</f>
        <v/>
      </c>
      <c r="H54" s="40">
        <f>ROUND($B$4*$B$10*$B$14*$B$18*$B$20*$B$21*$B$23,0)</f>
        <v/>
      </c>
      <c r="I54" s="40">
        <f>ROUND($B$4*$B$10*$B$14*$B$18*$B$20*$B$21*$B$24,0)</f>
        <v/>
      </c>
      <c r="J54" s="40">
        <f>ROUND($B$4*$B$10*$B$14*$B$18*$B$20*$B$22*$B$23,0)</f>
        <v/>
      </c>
      <c r="K54" s="40">
        <f>ROUND($B$4*$B$10*$B$14*$B$18*$B$20*$B$22*$B$24,0)</f>
        <v/>
      </c>
      <c r="L54" s="40">
        <f>ROUND($B$5*$B$10*$B$14*$B$18*$B$19*$B$21*$B$23,0)</f>
        <v/>
      </c>
      <c r="M54" s="40">
        <f>ROUND($B$5*$B$10*$B$14*$B$18*$B$19*$B$21*$B$24,0)</f>
        <v/>
      </c>
      <c r="N54" s="40">
        <f>ROUND($B$5*$B$10*$B$14*$B$18*$B$19*$B$22*$B$23,0)</f>
        <v/>
      </c>
      <c r="O54" s="40">
        <f>ROUND($B$5*$B$10*$B$14*$B$18*$B$19*$B$22*$B$24,0)</f>
        <v/>
      </c>
      <c r="P54" s="40">
        <f>ROUND($B$5*$B$10*$B$14*$B$18*$B$20*$B$21*$B$23,0)</f>
        <v/>
      </c>
      <c r="Q54" s="40">
        <f>ROUND($B$5*$B$10*$B$14*$B$18*$B$20*$B$21*$B$24,0)</f>
        <v/>
      </c>
      <c r="R54" s="40">
        <f>ROUND($B$5*$B$10*$B$14*$B$18*$B$20*$B$22*$B$23,0)</f>
        <v/>
      </c>
      <c r="S54" s="40">
        <f>ROUND($B$5*$B$10*$B$14*$B$18*$B$20*$B$22*$B$24,0)</f>
        <v/>
      </c>
      <c r="T54" s="40">
        <f>ROUND($B$6*$B$10*$B$14*$B$18*$B$19*$B$21*$B$23,0)</f>
        <v/>
      </c>
      <c r="U54" s="40">
        <f>ROUND($B$6*$B$10*$B$14*$B$18*$B$19*$B$21*$B$24,0)</f>
        <v/>
      </c>
      <c r="V54" s="40">
        <f>ROUND($B$6*$B$10*$B$14*$B$18*$B$19*$B$22*$B$23,0)</f>
        <v/>
      </c>
      <c r="W54" s="40">
        <f>ROUND($B$6*$B$10*$B$14*$B$18*$B$19*$B$22*$B$24,0)</f>
        <v/>
      </c>
      <c r="X54" s="40">
        <f>ROUND($B$6*$B$10*$B$14*$B$18*$B$20*$B$21*$B$23,0)</f>
        <v/>
      </c>
      <c r="Y54" s="40">
        <f>ROUND($B$6*$B$10*$B$14*$B$18*$B$20*$B$21*$B$24,0)</f>
        <v/>
      </c>
      <c r="Z54" s="40">
        <f>ROUND($B$6*$B$10*$B$14*$B$18*$B$20*$B$22*$B$23,0)</f>
        <v/>
      </c>
      <c r="AA54" s="40">
        <f>ROUND($B$6*$B$10*$B$14*$B$18*$B$20*$B$22*$B$24,0)</f>
        <v/>
      </c>
      <c r="AB54" s="41">
        <f>ROUND($B$7*$B$10*$B$14*$B$18*$B$19*$B$21*$B$23,0)</f>
        <v/>
      </c>
      <c r="AC54" s="41">
        <f>ROUND($B$7*$B$10*$B$14*$B$18*$B$19*$B$21*$B$24,0)</f>
        <v/>
      </c>
      <c r="AD54" s="41">
        <f>ROUND($B$7*$B$10*$B$14*$B$18*$B$19*$B$22*$B$23,0)</f>
        <v/>
      </c>
      <c r="AE54" s="41">
        <f>ROUND($B$7*$B$10*$B$14*$B$18*$B$19*$B$22*$B$24,0)</f>
        <v/>
      </c>
      <c r="AF54" s="41">
        <f>ROUND($B$7*$B$10*$B$14*$B$18*$B$20*$B$21*$B$23,0)</f>
        <v/>
      </c>
      <c r="AG54" s="41">
        <f>ROUND($B$7*$B$10*$B$14*$B$18*$B$20*$B$21*$B$24,0)</f>
        <v/>
      </c>
      <c r="AH54" s="41">
        <f>ROUND($B$7*$B$10*$B$14*$B$18*$B$20*$B$22*$B$23,0)</f>
        <v/>
      </c>
      <c r="AI54" s="41">
        <f>ROUND($B$7*$B$10*$B$14*$B$18*$B$20*$B$22*$B$24,0)</f>
        <v/>
      </c>
    </row>
    <row r="55" ht="20.1" customHeight="1" s="62">
      <c r="A55" s="89" t="inlineStr">
        <is>
          <t>Avancé (8+ étapes)</t>
        </is>
      </c>
      <c r="B55" s="87" t="inlineStr">
        <is>
          <t>Faible (&lt; 1k/mois)</t>
        </is>
      </c>
      <c r="C55" s="39" t="inlineStr">
        <is>
          <t>Lead</t>
        </is>
      </c>
      <c r="D55" s="40">
        <f>ROUND($B$4*$B$11*$B$12*$B$15*$B$19*$B$21*$B$23,0)</f>
        <v/>
      </c>
      <c r="E55" s="40">
        <f>ROUND($B$4*$B$11*$B$12*$B$15*$B$19*$B$21*$B$24,0)</f>
        <v/>
      </c>
      <c r="F55" s="40">
        <f>ROUND($B$4*$B$11*$B$12*$B$15*$B$19*$B$22*$B$23,0)</f>
        <v/>
      </c>
      <c r="G55" s="40">
        <f>ROUND($B$4*$B$11*$B$12*$B$15*$B$19*$B$22*$B$24,0)</f>
        <v/>
      </c>
      <c r="H55" s="40">
        <f>ROUND($B$4*$B$11*$B$12*$B$15*$B$20*$B$21*$B$23,0)</f>
        <v/>
      </c>
      <c r="I55" s="40">
        <f>ROUND($B$4*$B$11*$B$12*$B$15*$B$20*$B$21*$B$24,0)</f>
        <v/>
      </c>
      <c r="J55" s="40">
        <f>ROUND($B$4*$B$11*$B$12*$B$15*$B$20*$B$22*$B$23,0)</f>
        <v/>
      </c>
      <c r="K55" s="40">
        <f>ROUND($B$4*$B$11*$B$12*$B$15*$B$20*$B$22*$B$24,0)</f>
        <v/>
      </c>
      <c r="L55" s="40">
        <f>ROUND($B$5*$B$11*$B$12*$B$15*$B$19*$B$21*$B$23,0)</f>
        <v/>
      </c>
      <c r="M55" s="40">
        <f>ROUND($B$5*$B$11*$B$12*$B$15*$B$19*$B$21*$B$24,0)</f>
        <v/>
      </c>
      <c r="N55" s="40">
        <f>ROUND($B$5*$B$11*$B$12*$B$15*$B$19*$B$22*$B$23,0)</f>
        <v/>
      </c>
      <c r="O55" s="40">
        <f>ROUND($B$5*$B$11*$B$12*$B$15*$B$19*$B$22*$B$24,0)</f>
        <v/>
      </c>
      <c r="P55" s="40">
        <f>ROUND($B$5*$B$11*$B$12*$B$15*$B$20*$B$21*$B$23,0)</f>
        <v/>
      </c>
      <c r="Q55" s="40">
        <f>ROUND($B$5*$B$11*$B$12*$B$15*$B$20*$B$21*$B$24,0)</f>
        <v/>
      </c>
      <c r="R55" s="40">
        <f>ROUND($B$5*$B$11*$B$12*$B$15*$B$20*$B$22*$B$23,0)</f>
        <v/>
      </c>
      <c r="S55" s="40">
        <f>ROUND($B$5*$B$11*$B$12*$B$15*$B$20*$B$22*$B$24,0)</f>
        <v/>
      </c>
      <c r="T55" s="40">
        <f>ROUND($B$6*$B$11*$B$12*$B$15*$B$19*$B$21*$B$23,0)</f>
        <v/>
      </c>
      <c r="U55" s="40">
        <f>ROUND($B$6*$B$11*$B$12*$B$15*$B$19*$B$21*$B$24,0)</f>
        <v/>
      </c>
      <c r="V55" s="40">
        <f>ROUND($B$6*$B$11*$B$12*$B$15*$B$19*$B$22*$B$23,0)</f>
        <v/>
      </c>
      <c r="W55" s="40">
        <f>ROUND($B$6*$B$11*$B$12*$B$15*$B$19*$B$22*$B$24,0)</f>
        <v/>
      </c>
      <c r="X55" s="40">
        <f>ROUND($B$6*$B$11*$B$12*$B$15*$B$20*$B$21*$B$23,0)</f>
        <v/>
      </c>
      <c r="Y55" s="40">
        <f>ROUND($B$6*$B$11*$B$12*$B$15*$B$20*$B$21*$B$24,0)</f>
        <v/>
      </c>
      <c r="Z55" s="40">
        <f>ROUND($B$6*$B$11*$B$12*$B$15*$B$20*$B$22*$B$23,0)</f>
        <v/>
      </c>
      <c r="AA55" s="40">
        <f>ROUND($B$6*$B$11*$B$12*$B$15*$B$20*$B$22*$B$24,0)</f>
        <v/>
      </c>
      <c r="AB55" s="41">
        <f>ROUND($B$7*$B$11*$B$12*$B$15*$B$19*$B$21*$B$23,0)</f>
        <v/>
      </c>
      <c r="AC55" s="41">
        <f>ROUND($B$7*$B$11*$B$12*$B$15*$B$19*$B$21*$B$24,0)</f>
        <v/>
      </c>
      <c r="AD55" s="41">
        <f>ROUND($B$7*$B$11*$B$12*$B$15*$B$19*$B$22*$B$23,0)</f>
        <v/>
      </c>
      <c r="AE55" s="41">
        <f>ROUND($B$7*$B$11*$B$12*$B$15*$B$19*$B$22*$B$24,0)</f>
        <v/>
      </c>
      <c r="AF55" s="41">
        <f>ROUND($B$7*$B$11*$B$12*$B$15*$B$20*$B$21*$B$23,0)</f>
        <v/>
      </c>
      <c r="AG55" s="41">
        <f>ROUND($B$7*$B$11*$B$12*$B$15*$B$20*$B$21*$B$24,0)</f>
        <v/>
      </c>
      <c r="AH55" s="41">
        <f>ROUND($B$7*$B$11*$B$12*$B$15*$B$20*$B$22*$B$23,0)</f>
        <v/>
      </c>
      <c r="AI55" s="41">
        <f>ROUND($B$7*$B$11*$B$12*$B$15*$B$20*$B$22*$B$24,0)</f>
        <v/>
      </c>
    </row>
    <row r="56" ht="20.1" customHeight="1" s="62">
      <c r="A56" s="90" t="n"/>
      <c r="B56" s="58" t="n"/>
      <c r="C56" s="87" t="inlineStr">
        <is>
          <t>E-commerce</t>
        </is>
      </c>
      <c r="D56" s="40">
        <f>ROUND($B$4*$B$11*$B$12*$B$16*$B$19*$B$21*$B$23,0)</f>
        <v/>
      </c>
      <c r="E56" s="40">
        <f>ROUND($B$4*$B$11*$B$12*$B$16*$B$19*$B$21*$B$24,0)</f>
        <v/>
      </c>
      <c r="F56" s="40">
        <f>ROUND($B$4*$B$11*$B$12*$B$16*$B$19*$B$22*$B$23,0)</f>
        <v/>
      </c>
      <c r="G56" s="40">
        <f>ROUND($B$4*$B$11*$B$12*$B$16*$B$19*$B$22*$B$24,0)</f>
        <v/>
      </c>
      <c r="H56" s="40">
        <f>ROUND($B$4*$B$11*$B$12*$B$16*$B$20*$B$21*$B$23,0)</f>
        <v/>
      </c>
      <c r="I56" s="40">
        <f>ROUND($B$4*$B$11*$B$12*$B$16*$B$20*$B$21*$B$24,0)</f>
        <v/>
      </c>
      <c r="J56" s="40">
        <f>ROUND($B$4*$B$11*$B$12*$B$16*$B$20*$B$22*$B$23,0)</f>
        <v/>
      </c>
      <c r="K56" s="40">
        <f>ROUND($B$4*$B$11*$B$12*$B$16*$B$20*$B$22*$B$24,0)</f>
        <v/>
      </c>
      <c r="L56" s="40">
        <f>ROUND($B$5*$B$11*$B$12*$B$16*$B$19*$B$21*$B$23,0)</f>
        <v/>
      </c>
      <c r="M56" s="40">
        <f>ROUND($B$5*$B$11*$B$12*$B$16*$B$19*$B$21*$B$24,0)</f>
        <v/>
      </c>
      <c r="N56" s="40">
        <f>ROUND($B$5*$B$11*$B$12*$B$16*$B$19*$B$22*$B$23,0)</f>
        <v/>
      </c>
      <c r="O56" s="40">
        <f>ROUND($B$5*$B$11*$B$12*$B$16*$B$19*$B$22*$B$24,0)</f>
        <v/>
      </c>
      <c r="P56" s="40">
        <f>ROUND($B$5*$B$11*$B$12*$B$16*$B$20*$B$21*$B$23,0)</f>
        <v/>
      </c>
      <c r="Q56" s="40">
        <f>ROUND($B$5*$B$11*$B$12*$B$16*$B$20*$B$21*$B$24,0)</f>
        <v/>
      </c>
      <c r="R56" s="40">
        <f>ROUND($B$5*$B$11*$B$12*$B$16*$B$20*$B$22*$B$23,0)</f>
        <v/>
      </c>
      <c r="S56" s="40">
        <f>ROUND($B$5*$B$11*$B$12*$B$16*$B$20*$B$22*$B$24,0)</f>
        <v/>
      </c>
      <c r="T56" s="40">
        <f>ROUND($B$6*$B$11*$B$12*$B$16*$B$19*$B$21*$B$23,0)</f>
        <v/>
      </c>
      <c r="U56" s="40">
        <f>ROUND($B$6*$B$11*$B$12*$B$16*$B$19*$B$21*$B$24,0)</f>
        <v/>
      </c>
      <c r="V56" s="40">
        <f>ROUND($B$6*$B$11*$B$12*$B$16*$B$19*$B$22*$B$23,0)</f>
        <v/>
      </c>
      <c r="W56" s="40">
        <f>ROUND($B$6*$B$11*$B$12*$B$16*$B$19*$B$22*$B$24,0)</f>
        <v/>
      </c>
      <c r="X56" s="40">
        <f>ROUND($B$6*$B$11*$B$12*$B$16*$B$20*$B$21*$B$23,0)</f>
        <v/>
      </c>
      <c r="Y56" s="40">
        <f>ROUND($B$6*$B$11*$B$12*$B$16*$B$20*$B$21*$B$24,0)</f>
        <v/>
      </c>
      <c r="Z56" s="40">
        <f>ROUND($B$6*$B$11*$B$12*$B$16*$B$20*$B$22*$B$23,0)</f>
        <v/>
      </c>
      <c r="AA56" s="40">
        <f>ROUND($B$6*$B$11*$B$12*$B$16*$B$20*$B$22*$B$24,0)</f>
        <v/>
      </c>
      <c r="AB56" s="41">
        <f>ROUND($B$7*$B$11*$B$12*$B$16*$B$19*$B$21*$B$23,0)</f>
        <v/>
      </c>
      <c r="AC56" s="41">
        <f>ROUND($B$7*$B$11*$B$12*$B$16*$B$19*$B$21*$B$24,0)</f>
        <v/>
      </c>
      <c r="AD56" s="41">
        <f>ROUND($B$7*$B$11*$B$12*$B$16*$B$19*$B$22*$B$23,0)</f>
        <v/>
      </c>
      <c r="AE56" s="41">
        <f>ROUND($B$7*$B$11*$B$12*$B$16*$B$19*$B$22*$B$24,0)</f>
        <v/>
      </c>
      <c r="AF56" s="41">
        <f>ROUND($B$7*$B$11*$B$12*$B$16*$B$20*$B$21*$B$23,0)</f>
        <v/>
      </c>
      <c r="AG56" s="41">
        <f>ROUND($B$7*$B$11*$B$12*$B$16*$B$20*$B$21*$B$24,0)</f>
        <v/>
      </c>
      <c r="AH56" s="41">
        <f>ROUND($B$7*$B$11*$B$12*$B$16*$B$20*$B$22*$B$23,0)</f>
        <v/>
      </c>
      <c r="AI56" s="41">
        <f>ROUND($B$7*$B$11*$B$12*$B$16*$B$20*$B$22*$B$24,0)</f>
        <v/>
      </c>
    </row>
    <row r="57" ht="20.1" customHeight="1" s="62">
      <c r="A57" s="90" t="n"/>
      <c r="B57" s="58" t="n"/>
      <c r="C57" s="42" t="inlineStr">
        <is>
          <t>Service</t>
        </is>
      </c>
      <c r="D57" s="40">
        <f>ROUND($B$4*$B$11*$B$12*$B$17*$B$19*$B$21*$B$23,0)</f>
        <v/>
      </c>
      <c r="E57" s="40">
        <f>ROUND($B$4*$B$11*$B$12*$B$17*$B$19*$B$21*$B$24,0)</f>
        <v/>
      </c>
      <c r="F57" s="40">
        <f>ROUND($B$4*$B$11*$B$12*$B$17*$B$19*$B$22*$B$23,0)</f>
        <v/>
      </c>
      <c r="G57" s="40">
        <f>ROUND($B$4*$B$11*$B$12*$B$17*$B$19*$B$22*$B$24,0)</f>
        <v/>
      </c>
      <c r="H57" s="40">
        <f>ROUND($B$4*$B$11*$B$12*$B$17*$B$20*$B$21*$B$23,0)</f>
        <v/>
      </c>
      <c r="I57" s="40">
        <f>ROUND($B$4*$B$11*$B$12*$B$17*$B$20*$B$21*$B$24,0)</f>
        <v/>
      </c>
      <c r="J57" s="40">
        <f>ROUND($B$4*$B$11*$B$12*$B$17*$B$20*$B$22*$B$23,0)</f>
        <v/>
      </c>
      <c r="K57" s="40">
        <f>ROUND($B$4*$B$11*$B$12*$B$17*$B$20*$B$22*$B$24,0)</f>
        <v/>
      </c>
      <c r="L57" s="40">
        <f>ROUND($B$5*$B$11*$B$12*$B$17*$B$19*$B$21*$B$23,0)</f>
        <v/>
      </c>
      <c r="M57" s="40">
        <f>ROUND($B$5*$B$11*$B$12*$B$17*$B$19*$B$21*$B$24,0)</f>
        <v/>
      </c>
      <c r="N57" s="40">
        <f>ROUND($B$5*$B$11*$B$12*$B$17*$B$19*$B$22*$B$23,0)</f>
        <v/>
      </c>
      <c r="O57" s="40">
        <f>ROUND($B$5*$B$11*$B$12*$B$17*$B$19*$B$22*$B$24,0)</f>
        <v/>
      </c>
      <c r="P57" s="40">
        <f>ROUND($B$5*$B$11*$B$12*$B$17*$B$20*$B$21*$B$23,0)</f>
        <v/>
      </c>
      <c r="Q57" s="40">
        <f>ROUND($B$5*$B$11*$B$12*$B$17*$B$20*$B$21*$B$24,0)</f>
        <v/>
      </c>
      <c r="R57" s="40">
        <f>ROUND($B$5*$B$11*$B$12*$B$17*$B$20*$B$22*$B$23,0)</f>
        <v/>
      </c>
      <c r="S57" s="40">
        <f>ROUND($B$5*$B$11*$B$12*$B$17*$B$20*$B$22*$B$24,0)</f>
        <v/>
      </c>
      <c r="T57" s="40">
        <f>ROUND($B$6*$B$11*$B$12*$B$17*$B$19*$B$21*$B$23,0)</f>
        <v/>
      </c>
      <c r="U57" s="40">
        <f>ROUND($B$6*$B$11*$B$12*$B$17*$B$19*$B$21*$B$24,0)</f>
        <v/>
      </c>
      <c r="V57" s="40">
        <f>ROUND($B$6*$B$11*$B$12*$B$17*$B$19*$B$22*$B$23,0)</f>
        <v/>
      </c>
      <c r="W57" s="40">
        <f>ROUND($B$6*$B$11*$B$12*$B$17*$B$19*$B$22*$B$24,0)</f>
        <v/>
      </c>
      <c r="X57" s="40">
        <f>ROUND($B$6*$B$11*$B$12*$B$17*$B$20*$B$21*$B$23,0)</f>
        <v/>
      </c>
      <c r="Y57" s="40">
        <f>ROUND($B$6*$B$11*$B$12*$B$17*$B$20*$B$21*$B$24,0)</f>
        <v/>
      </c>
      <c r="Z57" s="40">
        <f>ROUND($B$6*$B$11*$B$12*$B$17*$B$20*$B$22*$B$23,0)</f>
        <v/>
      </c>
      <c r="AA57" s="40">
        <f>ROUND($B$6*$B$11*$B$12*$B$17*$B$20*$B$22*$B$24,0)</f>
        <v/>
      </c>
      <c r="AB57" s="41">
        <f>ROUND($B$7*$B$11*$B$12*$B$17*$B$19*$B$21*$B$23,0)</f>
        <v/>
      </c>
      <c r="AC57" s="41">
        <f>ROUND($B$7*$B$11*$B$12*$B$17*$B$19*$B$21*$B$24,0)</f>
        <v/>
      </c>
      <c r="AD57" s="41">
        <f>ROUND($B$7*$B$11*$B$12*$B$17*$B$19*$B$22*$B$23,0)</f>
        <v/>
      </c>
      <c r="AE57" s="41">
        <f>ROUND($B$7*$B$11*$B$12*$B$17*$B$19*$B$22*$B$24,0)</f>
        <v/>
      </c>
      <c r="AF57" s="41">
        <f>ROUND($B$7*$B$11*$B$12*$B$17*$B$20*$B$21*$B$23,0)</f>
        <v/>
      </c>
      <c r="AG57" s="41">
        <f>ROUND($B$7*$B$11*$B$12*$B$17*$B$20*$B$21*$B$24,0)</f>
        <v/>
      </c>
      <c r="AH57" s="41">
        <f>ROUND($B$7*$B$11*$B$12*$B$17*$B$20*$B$22*$B$23,0)</f>
        <v/>
      </c>
      <c r="AI57" s="41">
        <f>ROUND($B$7*$B$11*$B$12*$B$17*$B$20*$B$22*$B$24,0)</f>
        <v/>
      </c>
    </row>
    <row r="58" ht="20.1" customHeight="1" s="62">
      <c r="A58" s="90" t="n"/>
      <c r="B58" s="59" t="n"/>
      <c r="C58" s="39" t="inlineStr">
        <is>
          <t>Multi-objectifs</t>
        </is>
      </c>
      <c r="D58" s="40">
        <f>ROUND($B$4*$B$11*$B$12*$B$18*$B$19*$B$21*$B$23,0)</f>
        <v/>
      </c>
      <c r="E58" s="40">
        <f>ROUND($B$4*$B$11*$B$12*$B$18*$B$19*$B$21*$B$24,0)</f>
        <v/>
      </c>
      <c r="F58" s="40">
        <f>ROUND($B$4*$B$11*$B$12*$B$18*$B$19*$B$22*$B$23,0)</f>
        <v/>
      </c>
      <c r="G58" s="40">
        <f>ROUND($B$4*$B$11*$B$12*$B$18*$B$19*$B$22*$B$24,0)</f>
        <v/>
      </c>
      <c r="H58" s="40">
        <f>ROUND($B$4*$B$11*$B$12*$B$18*$B$20*$B$21*$B$23,0)</f>
        <v/>
      </c>
      <c r="I58" s="40">
        <f>ROUND($B$4*$B$11*$B$12*$B$18*$B$20*$B$21*$B$24,0)</f>
        <v/>
      </c>
      <c r="J58" s="40">
        <f>ROUND($B$4*$B$11*$B$12*$B$18*$B$20*$B$22*$B$23,0)</f>
        <v/>
      </c>
      <c r="K58" s="40">
        <f>ROUND($B$4*$B$11*$B$12*$B$18*$B$20*$B$22*$B$24,0)</f>
        <v/>
      </c>
      <c r="L58" s="40">
        <f>ROUND($B$5*$B$11*$B$12*$B$18*$B$19*$B$21*$B$23,0)</f>
        <v/>
      </c>
      <c r="M58" s="40">
        <f>ROUND($B$5*$B$11*$B$12*$B$18*$B$19*$B$21*$B$24,0)</f>
        <v/>
      </c>
      <c r="N58" s="40">
        <f>ROUND($B$5*$B$11*$B$12*$B$18*$B$19*$B$22*$B$23,0)</f>
        <v/>
      </c>
      <c r="O58" s="40">
        <f>ROUND($B$5*$B$11*$B$12*$B$18*$B$19*$B$22*$B$24,0)</f>
        <v/>
      </c>
      <c r="P58" s="40">
        <f>ROUND($B$5*$B$11*$B$12*$B$18*$B$20*$B$21*$B$23,0)</f>
        <v/>
      </c>
      <c r="Q58" s="40">
        <f>ROUND($B$5*$B$11*$B$12*$B$18*$B$20*$B$21*$B$24,0)</f>
        <v/>
      </c>
      <c r="R58" s="40">
        <f>ROUND($B$5*$B$11*$B$12*$B$18*$B$20*$B$22*$B$23,0)</f>
        <v/>
      </c>
      <c r="S58" s="40">
        <f>ROUND($B$5*$B$11*$B$12*$B$18*$B$20*$B$22*$B$24,0)</f>
        <v/>
      </c>
      <c r="T58" s="40">
        <f>ROUND($B$6*$B$11*$B$12*$B$18*$B$19*$B$21*$B$23,0)</f>
        <v/>
      </c>
      <c r="U58" s="40">
        <f>ROUND($B$6*$B$11*$B$12*$B$18*$B$19*$B$21*$B$24,0)</f>
        <v/>
      </c>
      <c r="V58" s="40">
        <f>ROUND($B$6*$B$11*$B$12*$B$18*$B$19*$B$22*$B$23,0)</f>
        <v/>
      </c>
      <c r="W58" s="40">
        <f>ROUND($B$6*$B$11*$B$12*$B$18*$B$19*$B$22*$B$24,0)</f>
        <v/>
      </c>
      <c r="X58" s="40">
        <f>ROUND($B$6*$B$11*$B$12*$B$18*$B$20*$B$21*$B$23,0)</f>
        <v/>
      </c>
      <c r="Y58" s="40">
        <f>ROUND($B$6*$B$11*$B$12*$B$18*$B$20*$B$21*$B$24,0)</f>
        <v/>
      </c>
      <c r="Z58" s="40">
        <f>ROUND($B$6*$B$11*$B$12*$B$18*$B$20*$B$22*$B$23,0)</f>
        <v/>
      </c>
      <c r="AA58" s="40">
        <f>ROUND($B$6*$B$11*$B$12*$B$18*$B$20*$B$22*$B$24,0)</f>
        <v/>
      </c>
      <c r="AB58" s="41">
        <f>ROUND($B$7*$B$11*$B$12*$B$18*$B$19*$B$21*$B$23,0)</f>
        <v/>
      </c>
      <c r="AC58" s="41">
        <f>ROUND($B$7*$B$11*$B$12*$B$18*$B$19*$B$21*$B$24,0)</f>
        <v/>
      </c>
      <c r="AD58" s="41">
        <f>ROUND($B$7*$B$11*$B$12*$B$18*$B$19*$B$22*$B$23,0)</f>
        <v/>
      </c>
      <c r="AE58" s="41">
        <f>ROUND($B$7*$B$11*$B$12*$B$18*$B$19*$B$22*$B$24,0)</f>
        <v/>
      </c>
      <c r="AF58" s="41">
        <f>ROUND($B$7*$B$11*$B$12*$B$18*$B$20*$B$21*$B$23,0)</f>
        <v/>
      </c>
      <c r="AG58" s="41">
        <f>ROUND($B$7*$B$11*$B$12*$B$18*$B$20*$B$21*$B$24,0)</f>
        <v/>
      </c>
      <c r="AH58" s="41">
        <f>ROUND($B$7*$B$11*$B$12*$B$18*$B$20*$B$22*$B$23,0)</f>
        <v/>
      </c>
      <c r="AI58" s="41">
        <f>ROUND($B$7*$B$11*$B$12*$B$18*$B$20*$B$22*$B$24,0)</f>
        <v/>
      </c>
    </row>
    <row r="59" ht="20.1" customHeight="1" s="62">
      <c r="A59" s="90" t="n"/>
      <c r="B59" s="87" t="inlineStr">
        <is>
          <t>Moyen (1k-10k/mois)</t>
        </is>
      </c>
      <c r="C59" s="87" t="inlineStr">
        <is>
          <t>Lead</t>
        </is>
      </c>
      <c r="D59" s="40">
        <f>ROUND($B$4*$B$11*$B$13*$B$15*$B$19*$B$21*$B$23,0)</f>
        <v/>
      </c>
      <c r="E59" s="40">
        <f>ROUND($B$4*$B$11*$B$13*$B$15*$B$19*$B$21*$B$24,0)</f>
        <v/>
      </c>
      <c r="F59" s="40">
        <f>ROUND($B$4*$B$11*$B$13*$B$15*$B$19*$B$22*$B$23,0)</f>
        <v/>
      </c>
      <c r="G59" s="40">
        <f>ROUND($B$4*$B$11*$B$13*$B$15*$B$19*$B$22*$B$24,0)</f>
        <v/>
      </c>
      <c r="H59" s="40">
        <f>ROUND($B$4*$B$11*$B$13*$B$15*$B$20*$B$21*$B$23,0)</f>
        <v/>
      </c>
      <c r="I59" s="40">
        <f>ROUND($B$4*$B$11*$B$13*$B$15*$B$20*$B$21*$B$24,0)</f>
        <v/>
      </c>
      <c r="J59" s="40">
        <f>ROUND($B$4*$B$11*$B$13*$B$15*$B$20*$B$22*$B$23,0)</f>
        <v/>
      </c>
      <c r="K59" s="40">
        <f>ROUND($B$4*$B$11*$B$13*$B$15*$B$20*$B$22*$B$24,0)</f>
        <v/>
      </c>
      <c r="L59" s="40">
        <f>ROUND($B$5*$B$11*$B$13*$B$15*$B$19*$B$21*$B$23,0)</f>
        <v/>
      </c>
      <c r="M59" s="40">
        <f>ROUND($B$5*$B$11*$B$13*$B$15*$B$19*$B$21*$B$24,0)</f>
        <v/>
      </c>
      <c r="N59" s="40">
        <f>ROUND($B$5*$B$11*$B$13*$B$15*$B$19*$B$22*$B$23,0)</f>
        <v/>
      </c>
      <c r="O59" s="40">
        <f>ROUND($B$5*$B$11*$B$13*$B$15*$B$19*$B$22*$B$24,0)</f>
        <v/>
      </c>
      <c r="P59" s="40">
        <f>ROUND($B$5*$B$11*$B$13*$B$15*$B$20*$B$21*$B$23,0)</f>
        <v/>
      </c>
      <c r="Q59" s="40">
        <f>ROUND($B$5*$B$11*$B$13*$B$15*$B$20*$B$21*$B$24,0)</f>
        <v/>
      </c>
      <c r="R59" s="40">
        <f>ROUND($B$5*$B$11*$B$13*$B$15*$B$20*$B$22*$B$23,0)</f>
        <v/>
      </c>
      <c r="S59" s="40">
        <f>ROUND($B$5*$B$11*$B$13*$B$15*$B$20*$B$22*$B$24,0)</f>
        <v/>
      </c>
      <c r="T59" s="40">
        <f>ROUND($B$6*$B$11*$B$13*$B$15*$B$19*$B$21*$B$23,0)</f>
        <v/>
      </c>
      <c r="U59" s="40">
        <f>ROUND($B$6*$B$11*$B$13*$B$15*$B$19*$B$21*$B$24,0)</f>
        <v/>
      </c>
      <c r="V59" s="40">
        <f>ROUND($B$6*$B$11*$B$13*$B$15*$B$19*$B$22*$B$23,0)</f>
        <v/>
      </c>
      <c r="W59" s="40">
        <f>ROUND($B$6*$B$11*$B$13*$B$15*$B$19*$B$22*$B$24,0)</f>
        <v/>
      </c>
      <c r="X59" s="40">
        <f>ROUND($B$6*$B$11*$B$13*$B$15*$B$20*$B$21*$B$23,0)</f>
        <v/>
      </c>
      <c r="Y59" s="40">
        <f>ROUND($B$6*$B$11*$B$13*$B$15*$B$20*$B$21*$B$24,0)</f>
        <v/>
      </c>
      <c r="Z59" s="40">
        <f>ROUND($B$6*$B$11*$B$13*$B$15*$B$20*$B$22*$B$23,0)</f>
        <v/>
      </c>
      <c r="AA59" s="40">
        <f>ROUND($B$6*$B$11*$B$13*$B$15*$B$20*$B$22*$B$24,0)</f>
        <v/>
      </c>
      <c r="AB59" s="41">
        <f>ROUND($B$7*$B$11*$B$13*$B$15*$B$19*$B$21*$B$23,0)</f>
        <v/>
      </c>
      <c r="AC59" s="41">
        <f>ROUND($B$7*$B$11*$B$13*$B$15*$B$19*$B$21*$B$24,0)</f>
        <v/>
      </c>
      <c r="AD59" s="41">
        <f>ROUND($B$7*$B$11*$B$13*$B$15*$B$19*$B$22*$B$23,0)</f>
        <v/>
      </c>
      <c r="AE59" s="41">
        <f>ROUND($B$7*$B$11*$B$13*$B$15*$B$19*$B$22*$B$24,0)</f>
        <v/>
      </c>
      <c r="AF59" s="41">
        <f>ROUND($B$7*$B$11*$B$13*$B$15*$B$20*$B$21*$B$23,0)</f>
        <v/>
      </c>
      <c r="AG59" s="41">
        <f>ROUND($B$7*$B$11*$B$13*$B$15*$B$20*$B$21*$B$24,0)</f>
        <v/>
      </c>
      <c r="AH59" s="41">
        <f>ROUND($B$7*$B$11*$B$13*$B$15*$B$20*$B$22*$B$23,0)</f>
        <v/>
      </c>
      <c r="AI59" s="41">
        <f>ROUND($B$7*$B$11*$B$13*$B$15*$B$20*$B$22*$B$24,0)</f>
        <v/>
      </c>
    </row>
    <row r="60" ht="20.1" customHeight="1" s="62">
      <c r="A60" s="90" t="n"/>
      <c r="B60" s="58" t="n"/>
      <c r="C60" s="42" t="inlineStr">
        <is>
          <t>E-commerce</t>
        </is>
      </c>
      <c r="D60" s="40">
        <f>ROUND($B$4*$B$11*$B$13*$B$16*$B$19*$B$21*$B$23,0)</f>
        <v/>
      </c>
      <c r="E60" s="40">
        <f>ROUND($B$4*$B$11*$B$13*$B$16*$B$19*$B$21*$B$24,0)</f>
        <v/>
      </c>
      <c r="F60" s="40">
        <f>ROUND($B$4*$B$11*$B$13*$B$16*$B$19*$B$22*$B$23,0)</f>
        <v/>
      </c>
      <c r="G60" s="40">
        <f>ROUND($B$4*$B$11*$B$13*$B$16*$B$19*$B$22*$B$24,0)</f>
        <v/>
      </c>
      <c r="H60" s="40">
        <f>ROUND($B$4*$B$11*$B$13*$B$16*$B$20*$B$21*$B$23,0)</f>
        <v/>
      </c>
      <c r="I60" s="40">
        <f>ROUND($B$4*$B$11*$B$13*$B$16*$B$20*$B$21*$B$24,0)</f>
        <v/>
      </c>
      <c r="J60" s="40">
        <f>ROUND($B$4*$B$11*$B$13*$B$16*$B$20*$B$22*$B$23,0)</f>
        <v/>
      </c>
      <c r="K60" s="40">
        <f>ROUND($B$4*$B$11*$B$13*$B$16*$B$20*$B$22*$B$24,0)</f>
        <v/>
      </c>
      <c r="L60" s="40">
        <f>ROUND($B$5*$B$11*$B$13*$B$16*$B$19*$B$21*$B$23,0)</f>
        <v/>
      </c>
      <c r="M60" s="40">
        <f>ROUND($B$5*$B$11*$B$13*$B$16*$B$19*$B$21*$B$24,0)</f>
        <v/>
      </c>
      <c r="N60" s="40">
        <f>ROUND($B$5*$B$11*$B$13*$B$16*$B$19*$B$22*$B$23,0)</f>
        <v/>
      </c>
      <c r="O60" s="40">
        <f>ROUND($B$5*$B$11*$B$13*$B$16*$B$19*$B$22*$B$24,0)</f>
        <v/>
      </c>
      <c r="P60" s="40">
        <f>ROUND($B$5*$B$11*$B$13*$B$16*$B$20*$B$21*$B$23,0)</f>
        <v/>
      </c>
      <c r="Q60" s="40">
        <f>ROUND($B$5*$B$11*$B$13*$B$16*$B$20*$B$21*$B$24,0)</f>
        <v/>
      </c>
      <c r="R60" s="40">
        <f>ROUND($B$5*$B$11*$B$13*$B$16*$B$20*$B$22*$B$23,0)</f>
        <v/>
      </c>
      <c r="S60" s="40">
        <f>ROUND($B$5*$B$11*$B$13*$B$16*$B$20*$B$22*$B$24,0)</f>
        <v/>
      </c>
      <c r="T60" s="40">
        <f>ROUND($B$6*$B$11*$B$13*$B$16*$B$19*$B$21*$B$23,0)</f>
        <v/>
      </c>
      <c r="U60" s="40">
        <f>ROUND($B$6*$B$11*$B$13*$B$16*$B$19*$B$21*$B$24,0)</f>
        <v/>
      </c>
      <c r="V60" s="40">
        <f>ROUND($B$6*$B$11*$B$13*$B$16*$B$19*$B$22*$B$23,0)</f>
        <v/>
      </c>
      <c r="W60" s="40">
        <f>ROUND($B$6*$B$11*$B$13*$B$16*$B$19*$B$22*$B$24,0)</f>
        <v/>
      </c>
      <c r="X60" s="40">
        <f>ROUND($B$6*$B$11*$B$13*$B$16*$B$20*$B$21*$B$23,0)</f>
        <v/>
      </c>
      <c r="Y60" s="40">
        <f>ROUND($B$6*$B$11*$B$13*$B$16*$B$20*$B$21*$B$24,0)</f>
        <v/>
      </c>
      <c r="Z60" s="40">
        <f>ROUND($B$6*$B$11*$B$13*$B$16*$B$20*$B$22*$B$23,0)</f>
        <v/>
      </c>
      <c r="AA60" s="40">
        <f>ROUND($B$6*$B$11*$B$13*$B$16*$B$20*$B$22*$B$24,0)</f>
        <v/>
      </c>
      <c r="AB60" s="41">
        <f>ROUND($B$7*$B$11*$B$13*$B$16*$B$19*$B$21*$B$23,0)</f>
        <v/>
      </c>
      <c r="AC60" s="41">
        <f>ROUND($B$7*$B$11*$B$13*$B$16*$B$19*$B$21*$B$24,0)</f>
        <v/>
      </c>
      <c r="AD60" s="41">
        <f>ROUND($B$7*$B$11*$B$13*$B$16*$B$19*$B$22*$B$23,0)</f>
        <v/>
      </c>
      <c r="AE60" s="41">
        <f>ROUND($B$7*$B$11*$B$13*$B$16*$B$19*$B$22*$B$24,0)</f>
        <v/>
      </c>
      <c r="AF60" s="41">
        <f>ROUND($B$7*$B$11*$B$13*$B$16*$B$20*$B$21*$B$23,0)</f>
        <v/>
      </c>
      <c r="AG60" s="41">
        <f>ROUND($B$7*$B$11*$B$13*$B$16*$B$20*$B$21*$B$24,0)</f>
        <v/>
      </c>
      <c r="AH60" s="41">
        <f>ROUND($B$7*$B$11*$B$13*$B$16*$B$20*$B$22*$B$23,0)</f>
        <v/>
      </c>
      <c r="AI60" s="41">
        <f>ROUND($B$7*$B$11*$B$13*$B$16*$B$20*$B$22*$B$24,0)</f>
        <v/>
      </c>
    </row>
    <row r="61" ht="20.1" customHeight="1" s="62">
      <c r="A61" s="90" t="n"/>
      <c r="B61" s="58" t="n"/>
      <c r="C61" s="39" t="inlineStr">
        <is>
          <t>Service</t>
        </is>
      </c>
      <c r="D61" s="40">
        <f>ROUND($B$4*$B$11*$B$13*$B$17*$B$19*$B$21*$B$23,0)</f>
        <v/>
      </c>
      <c r="E61" s="40">
        <f>ROUND($B$4*$B$11*$B$13*$B$17*$B$19*$B$21*$B$24,0)</f>
        <v/>
      </c>
      <c r="F61" s="40">
        <f>ROUND($B$4*$B$11*$B$13*$B$17*$B$19*$B$22*$B$23,0)</f>
        <v/>
      </c>
      <c r="G61" s="40">
        <f>ROUND($B$4*$B$11*$B$13*$B$17*$B$19*$B$22*$B$24,0)</f>
        <v/>
      </c>
      <c r="H61" s="40">
        <f>ROUND($B$4*$B$11*$B$13*$B$17*$B$20*$B$21*$B$23,0)</f>
        <v/>
      </c>
      <c r="I61" s="40">
        <f>ROUND($B$4*$B$11*$B$13*$B$17*$B$20*$B$21*$B$24,0)</f>
        <v/>
      </c>
      <c r="J61" s="40">
        <f>ROUND($B$4*$B$11*$B$13*$B$17*$B$20*$B$22*$B$23,0)</f>
        <v/>
      </c>
      <c r="K61" s="40">
        <f>ROUND($B$4*$B$11*$B$13*$B$17*$B$20*$B$22*$B$24,0)</f>
        <v/>
      </c>
      <c r="L61" s="40">
        <f>ROUND($B$5*$B$11*$B$13*$B$17*$B$19*$B$21*$B$23,0)</f>
        <v/>
      </c>
      <c r="M61" s="40">
        <f>ROUND($B$5*$B$11*$B$13*$B$17*$B$19*$B$21*$B$24,0)</f>
        <v/>
      </c>
      <c r="N61" s="40">
        <f>ROUND($B$5*$B$11*$B$13*$B$17*$B$19*$B$22*$B$23,0)</f>
        <v/>
      </c>
      <c r="O61" s="40">
        <f>ROUND($B$5*$B$11*$B$13*$B$17*$B$19*$B$22*$B$24,0)</f>
        <v/>
      </c>
      <c r="P61" s="40">
        <f>ROUND($B$5*$B$11*$B$13*$B$17*$B$20*$B$21*$B$23,0)</f>
        <v/>
      </c>
      <c r="Q61" s="40">
        <f>ROUND($B$5*$B$11*$B$13*$B$17*$B$20*$B$21*$B$24,0)</f>
        <v/>
      </c>
      <c r="R61" s="40">
        <f>ROUND($B$5*$B$11*$B$13*$B$17*$B$20*$B$22*$B$23,0)</f>
        <v/>
      </c>
      <c r="S61" s="40">
        <f>ROUND($B$5*$B$11*$B$13*$B$17*$B$20*$B$22*$B$24,0)</f>
        <v/>
      </c>
      <c r="T61" s="40">
        <f>ROUND($B$6*$B$11*$B$13*$B$17*$B$19*$B$21*$B$23,0)</f>
        <v/>
      </c>
      <c r="U61" s="40">
        <f>ROUND($B$6*$B$11*$B$13*$B$17*$B$19*$B$21*$B$24,0)</f>
        <v/>
      </c>
      <c r="V61" s="40">
        <f>ROUND($B$6*$B$11*$B$13*$B$17*$B$19*$B$22*$B$23,0)</f>
        <v/>
      </c>
      <c r="W61" s="40">
        <f>ROUND($B$6*$B$11*$B$13*$B$17*$B$19*$B$22*$B$24,0)</f>
        <v/>
      </c>
      <c r="X61" s="40">
        <f>ROUND($B$6*$B$11*$B$13*$B$17*$B$20*$B$21*$B$23,0)</f>
        <v/>
      </c>
      <c r="Y61" s="40">
        <f>ROUND($B$6*$B$11*$B$13*$B$17*$B$20*$B$21*$B$24,0)</f>
        <v/>
      </c>
      <c r="Z61" s="40">
        <f>ROUND($B$6*$B$11*$B$13*$B$17*$B$20*$B$22*$B$23,0)</f>
        <v/>
      </c>
      <c r="AA61" s="40">
        <f>ROUND($B$6*$B$11*$B$13*$B$17*$B$20*$B$22*$B$24,0)</f>
        <v/>
      </c>
      <c r="AB61" s="41">
        <f>ROUND($B$7*$B$11*$B$13*$B$17*$B$19*$B$21*$B$23,0)</f>
        <v/>
      </c>
      <c r="AC61" s="41">
        <f>ROUND($B$7*$B$11*$B$13*$B$17*$B$19*$B$21*$B$24,0)</f>
        <v/>
      </c>
      <c r="AD61" s="41">
        <f>ROUND($B$7*$B$11*$B$13*$B$17*$B$19*$B$22*$B$23,0)</f>
        <v/>
      </c>
      <c r="AE61" s="41">
        <f>ROUND($B$7*$B$11*$B$13*$B$17*$B$19*$B$22*$B$24,0)</f>
        <v/>
      </c>
      <c r="AF61" s="41">
        <f>ROUND($B$7*$B$11*$B$13*$B$17*$B$20*$B$21*$B$23,0)</f>
        <v/>
      </c>
      <c r="AG61" s="41">
        <f>ROUND($B$7*$B$11*$B$13*$B$17*$B$20*$B$21*$B$24,0)</f>
        <v/>
      </c>
      <c r="AH61" s="41">
        <f>ROUND($B$7*$B$11*$B$13*$B$17*$B$20*$B$22*$B$23,0)</f>
        <v/>
      </c>
      <c r="AI61" s="41">
        <f>ROUND($B$7*$B$11*$B$13*$B$17*$B$20*$B$22*$B$24,0)</f>
        <v/>
      </c>
    </row>
    <row r="62" ht="20.1" customHeight="1" s="62">
      <c r="A62" s="90" t="n"/>
      <c r="B62" s="59" t="n"/>
      <c r="C62" s="87" t="inlineStr">
        <is>
          <t>Multi-objectifs</t>
        </is>
      </c>
      <c r="D62" s="40">
        <f>ROUND($B$4*$B$11*$B$13*$B$18*$B$19*$B$21*$B$23,0)</f>
        <v/>
      </c>
      <c r="E62" s="40">
        <f>ROUND($B$4*$B$11*$B$13*$B$18*$B$19*$B$21*$B$24,0)</f>
        <v/>
      </c>
      <c r="F62" s="40">
        <f>ROUND($B$4*$B$11*$B$13*$B$18*$B$19*$B$22*$B$23,0)</f>
        <v/>
      </c>
      <c r="G62" s="40">
        <f>ROUND($B$4*$B$11*$B$13*$B$18*$B$19*$B$22*$B$24,0)</f>
        <v/>
      </c>
      <c r="H62" s="40">
        <f>ROUND($B$4*$B$11*$B$13*$B$18*$B$20*$B$21*$B$23,0)</f>
        <v/>
      </c>
      <c r="I62" s="40">
        <f>ROUND($B$4*$B$11*$B$13*$B$18*$B$20*$B$21*$B$24,0)</f>
        <v/>
      </c>
      <c r="J62" s="40">
        <f>ROUND($B$4*$B$11*$B$13*$B$18*$B$20*$B$22*$B$23,0)</f>
        <v/>
      </c>
      <c r="K62" s="40">
        <f>ROUND($B$4*$B$11*$B$13*$B$18*$B$20*$B$22*$B$24,0)</f>
        <v/>
      </c>
      <c r="L62" s="40">
        <f>ROUND($B$5*$B$11*$B$13*$B$18*$B$19*$B$21*$B$23,0)</f>
        <v/>
      </c>
      <c r="M62" s="40">
        <f>ROUND($B$5*$B$11*$B$13*$B$18*$B$19*$B$21*$B$24,0)</f>
        <v/>
      </c>
      <c r="N62" s="40">
        <f>ROUND($B$5*$B$11*$B$13*$B$18*$B$19*$B$22*$B$23,0)</f>
        <v/>
      </c>
      <c r="O62" s="40">
        <f>ROUND($B$5*$B$11*$B$13*$B$18*$B$19*$B$22*$B$24,0)</f>
        <v/>
      </c>
      <c r="P62" s="40">
        <f>ROUND($B$5*$B$11*$B$13*$B$18*$B$20*$B$21*$B$23,0)</f>
        <v/>
      </c>
      <c r="Q62" s="40">
        <f>ROUND($B$5*$B$11*$B$13*$B$18*$B$20*$B$21*$B$24,0)</f>
        <v/>
      </c>
      <c r="R62" s="40">
        <f>ROUND($B$5*$B$11*$B$13*$B$18*$B$20*$B$22*$B$23,0)</f>
        <v/>
      </c>
      <c r="S62" s="40">
        <f>ROUND($B$5*$B$11*$B$13*$B$18*$B$20*$B$22*$B$24,0)</f>
        <v/>
      </c>
      <c r="T62" s="40">
        <f>ROUND($B$6*$B$11*$B$13*$B$18*$B$19*$B$21*$B$23,0)</f>
        <v/>
      </c>
      <c r="U62" s="40">
        <f>ROUND($B$6*$B$11*$B$13*$B$18*$B$19*$B$21*$B$24,0)</f>
        <v/>
      </c>
      <c r="V62" s="40">
        <f>ROUND($B$6*$B$11*$B$13*$B$18*$B$19*$B$22*$B$23,0)</f>
        <v/>
      </c>
      <c r="W62" s="40">
        <f>ROUND($B$6*$B$11*$B$13*$B$18*$B$19*$B$22*$B$24,0)</f>
        <v/>
      </c>
      <c r="X62" s="40">
        <f>ROUND($B$6*$B$11*$B$13*$B$18*$B$20*$B$21*$B$23,0)</f>
        <v/>
      </c>
      <c r="Y62" s="40">
        <f>ROUND($B$6*$B$11*$B$13*$B$18*$B$20*$B$21*$B$24,0)</f>
        <v/>
      </c>
      <c r="Z62" s="40">
        <f>ROUND($B$6*$B$11*$B$13*$B$18*$B$20*$B$22*$B$23,0)</f>
        <v/>
      </c>
      <c r="AA62" s="40">
        <f>ROUND($B$6*$B$11*$B$13*$B$18*$B$20*$B$22*$B$24,0)</f>
        <v/>
      </c>
      <c r="AB62" s="41">
        <f>ROUND($B$7*$B$11*$B$13*$B$18*$B$19*$B$21*$B$23,0)</f>
        <v/>
      </c>
      <c r="AC62" s="41">
        <f>ROUND($B$7*$B$11*$B$13*$B$18*$B$19*$B$21*$B$24,0)</f>
        <v/>
      </c>
      <c r="AD62" s="41">
        <f>ROUND($B$7*$B$11*$B$13*$B$18*$B$19*$B$22*$B$23,0)</f>
        <v/>
      </c>
      <c r="AE62" s="41">
        <f>ROUND($B$7*$B$11*$B$13*$B$18*$B$19*$B$22*$B$24,0)</f>
        <v/>
      </c>
      <c r="AF62" s="41">
        <f>ROUND($B$7*$B$11*$B$13*$B$18*$B$20*$B$21*$B$23,0)</f>
        <v/>
      </c>
      <c r="AG62" s="41">
        <f>ROUND($B$7*$B$11*$B$13*$B$18*$B$20*$B$21*$B$24,0)</f>
        <v/>
      </c>
      <c r="AH62" s="41">
        <f>ROUND($B$7*$B$11*$B$13*$B$18*$B$20*$B$22*$B$23,0)</f>
        <v/>
      </c>
      <c r="AI62" s="41">
        <f>ROUND($B$7*$B$11*$B$13*$B$18*$B$20*$B$22*$B$24,0)</f>
        <v/>
      </c>
    </row>
    <row r="63" ht="20.1" customHeight="1" s="62">
      <c r="A63" s="90" t="n"/>
      <c r="B63" s="87" t="inlineStr">
        <is>
          <t>Élevé (10k+/mois)</t>
        </is>
      </c>
      <c r="C63" s="42" t="inlineStr">
        <is>
          <t>Lead</t>
        </is>
      </c>
      <c r="D63" s="40">
        <f>ROUND($B$4*$B$11*$B$14*$B$15*$B$19*$B$21*$B$23,0)</f>
        <v/>
      </c>
      <c r="E63" s="40">
        <f>ROUND($B$4*$B$11*$B$14*$B$15*$B$19*$B$21*$B$24,0)</f>
        <v/>
      </c>
      <c r="F63" s="40">
        <f>ROUND($B$4*$B$11*$B$14*$B$15*$B$19*$B$22*$B$23,0)</f>
        <v/>
      </c>
      <c r="G63" s="40">
        <f>ROUND($B$4*$B$11*$B$14*$B$15*$B$19*$B$22*$B$24,0)</f>
        <v/>
      </c>
      <c r="H63" s="40">
        <f>ROUND($B$4*$B$11*$B$14*$B$15*$B$20*$B$21*$B$23,0)</f>
        <v/>
      </c>
      <c r="I63" s="40">
        <f>ROUND($B$4*$B$11*$B$14*$B$15*$B$20*$B$21*$B$24,0)</f>
        <v/>
      </c>
      <c r="J63" s="40">
        <f>ROUND($B$4*$B$11*$B$14*$B$15*$B$20*$B$22*$B$23,0)</f>
        <v/>
      </c>
      <c r="K63" s="40">
        <f>ROUND($B$4*$B$11*$B$14*$B$15*$B$20*$B$22*$B$24,0)</f>
        <v/>
      </c>
      <c r="L63" s="40">
        <f>ROUND($B$5*$B$11*$B$14*$B$15*$B$19*$B$21*$B$23,0)</f>
        <v/>
      </c>
      <c r="M63" s="40">
        <f>ROUND($B$5*$B$11*$B$14*$B$15*$B$19*$B$21*$B$24,0)</f>
        <v/>
      </c>
      <c r="N63" s="40">
        <f>ROUND($B$5*$B$11*$B$14*$B$15*$B$19*$B$22*$B$23,0)</f>
        <v/>
      </c>
      <c r="O63" s="40">
        <f>ROUND($B$5*$B$11*$B$14*$B$15*$B$19*$B$22*$B$24,0)</f>
        <v/>
      </c>
      <c r="P63" s="40">
        <f>ROUND($B$5*$B$11*$B$14*$B$15*$B$20*$B$21*$B$23,0)</f>
        <v/>
      </c>
      <c r="Q63" s="40">
        <f>ROUND($B$5*$B$11*$B$14*$B$15*$B$20*$B$21*$B$24,0)</f>
        <v/>
      </c>
      <c r="R63" s="40">
        <f>ROUND($B$5*$B$11*$B$14*$B$15*$B$20*$B$22*$B$23,0)</f>
        <v/>
      </c>
      <c r="S63" s="40">
        <f>ROUND($B$5*$B$11*$B$14*$B$15*$B$20*$B$22*$B$24,0)</f>
        <v/>
      </c>
      <c r="T63" s="40">
        <f>ROUND($B$6*$B$11*$B$14*$B$15*$B$19*$B$21*$B$23,0)</f>
        <v/>
      </c>
      <c r="U63" s="40">
        <f>ROUND($B$6*$B$11*$B$14*$B$15*$B$19*$B$21*$B$24,0)</f>
        <v/>
      </c>
      <c r="V63" s="40">
        <f>ROUND($B$6*$B$11*$B$14*$B$15*$B$19*$B$22*$B$23,0)</f>
        <v/>
      </c>
      <c r="W63" s="40">
        <f>ROUND($B$6*$B$11*$B$14*$B$15*$B$19*$B$22*$B$24,0)</f>
        <v/>
      </c>
      <c r="X63" s="40">
        <f>ROUND($B$6*$B$11*$B$14*$B$15*$B$20*$B$21*$B$23,0)</f>
        <v/>
      </c>
      <c r="Y63" s="40">
        <f>ROUND($B$6*$B$11*$B$14*$B$15*$B$20*$B$21*$B$24,0)</f>
        <v/>
      </c>
      <c r="Z63" s="40">
        <f>ROUND($B$6*$B$11*$B$14*$B$15*$B$20*$B$22*$B$23,0)</f>
        <v/>
      </c>
      <c r="AA63" s="40">
        <f>ROUND($B$6*$B$11*$B$14*$B$15*$B$20*$B$22*$B$24,0)</f>
        <v/>
      </c>
      <c r="AB63" s="41">
        <f>ROUND($B$7*$B$11*$B$14*$B$15*$B$19*$B$21*$B$23,0)</f>
        <v/>
      </c>
      <c r="AC63" s="41">
        <f>ROUND($B$7*$B$11*$B$14*$B$15*$B$19*$B$21*$B$24,0)</f>
        <v/>
      </c>
      <c r="AD63" s="41">
        <f>ROUND($B$7*$B$11*$B$14*$B$15*$B$19*$B$22*$B$23,0)</f>
        <v/>
      </c>
      <c r="AE63" s="41">
        <f>ROUND($B$7*$B$11*$B$14*$B$15*$B$19*$B$22*$B$24,0)</f>
        <v/>
      </c>
      <c r="AF63" s="41">
        <f>ROUND($B$7*$B$11*$B$14*$B$15*$B$20*$B$21*$B$23,0)</f>
        <v/>
      </c>
      <c r="AG63" s="41">
        <f>ROUND($B$7*$B$11*$B$14*$B$15*$B$20*$B$21*$B$24,0)</f>
        <v/>
      </c>
      <c r="AH63" s="41">
        <f>ROUND($B$7*$B$11*$B$14*$B$15*$B$20*$B$22*$B$23,0)</f>
        <v/>
      </c>
      <c r="AI63" s="41">
        <f>ROUND($B$7*$B$11*$B$14*$B$15*$B$20*$B$22*$B$24,0)</f>
        <v/>
      </c>
    </row>
    <row r="64" ht="20.1" customHeight="1" s="62">
      <c r="A64" s="90" t="n"/>
      <c r="B64" s="58" t="n"/>
      <c r="C64" s="39" t="inlineStr">
        <is>
          <t>E-commerce</t>
        </is>
      </c>
      <c r="D64" s="40">
        <f>ROUND($B$4*$B$11*$B$14*$B$16*$B$19*$B$21*$B$23,0)</f>
        <v/>
      </c>
      <c r="E64" s="40">
        <f>ROUND($B$4*$B$11*$B$14*$B$16*$B$19*$B$21*$B$24,0)</f>
        <v/>
      </c>
      <c r="F64" s="40">
        <f>ROUND($B$4*$B$11*$B$14*$B$16*$B$19*$B$22*$B$23,0)</f>
        <v/>
      </c>
      <c r="G64" s="40">
        <f>ROUND($B$4*$B$11*$B$14*$B$16*$B$19*$B$22*$B$24,0)</f>
        <v/>
      </c>
      <c r="H64" s="40">
        <f>ROUND($B$4*$B$11*$B$14*$B$16*$B$20*$B$21*$B$23,0)</f>
        <v/>
      </c>
      <c r="I64" s="40">
        <f>ROUND($B$4*$B$11*$B$14*$B$16*$B$20*$B$21*$B$24,0)</f>
        <v/>
      </c>
      <c r="J64" s="40">
        <f>ROUND($B$4*$B$11*$B$14*$B$16*$B$20*$B$22*$B$23,0)</f>
        <v/>
      </c>
      <c r="K64" s="40">
        <f>ROUND($B$4*$B$11*$B$14*$B$16*$B$20*$B$22*$B$24,0)</f>
        <v/>
      </c>
      <c r="L64" s="40">
        <f>ROUND($B$5*$B$11*$B$14*$B$16*$B$19*$B$21*$B$23,0)</f>
        <v/>
      </c>
      <c r="M64" s="40">
        <f>ROUND($B$5*$B$11*$B$14*$B$16*$B$19*$B$21*$B$24,0)</f>
        <v/>
      </c>
      <c r="N64" s="40">
        <f>ROUND($B$5*$B$11*$B$14*$B$16*$B$19*$B$22*$B$23,0)</f>
        <v/>
      </c>
      <c r="O64" s="40">
        <f>ROUND($B$5*$B$11*$B$14*$B$16*$B$19*$B$22*$B$24,0)</f>
        <v/>
      </c>
      <c r="P64" s="40">
        <f>ROUND($B$5*$B$11*$B$14*$B$16*$B$20*$B$21*$B$23,0)</f>
        <v/>
      </c>
      <c r="Q64" s="40">
        <f>ROUND($B$5*$B$11*$B$14*$B$16*$B$20*$B$21*$B$24,0)</f>
        <v/>
      </c>
      <c r="R64" s="40">
        <f>ROUND($B$5*$B$11*$B$14*$B$16*$B$20*$B$22*$B$23,0)</f>
        <v/>
      </c>
      <c r="S64" s="40">
        <f>ROUND($B$5*$B$11*$B$14*$B$16*$B$20*$B$22*$B$24,0)</f>
        <v/>
      </c>
      <c r="T64" s="40">
        <f>ROUND($B$6*$B$11*$B$14*$B$16*$B$19*$B$21*$B$23,0)</f>
        <v/>
      </c>
      <c r="U64" s="40">
        <f>ROUND($B$6*$B$11*$B$14*$B$16*$B$19*$B$21*$B$24,0)</f>
        <v/>
      </c>
      <c r="V64" s="40">
        <f>ROUND($B$6*$B$11*$B$14*$B$16*$B$19*$B$22*$B$23,0)</f>
        <v/>
      </c>
      <c r="W64" s="40">
        <f>ROUND($B$6*$B$11*$B$14*$B$16*$B$19*$B$22*$B$24,0)</f>
        <v/>
      </c>
      <c r="X64" s="40">
        <f>ROUND($B$6*$B$11*$B$14*$B$16*$B$20*$B$21*$B$23,0)</f>
        <v/>
      </c>
      <c r="Y64" s="40">
        <f>ROUND($B$6*$B$11*$B$14*$B$16*$B$20*$B$21*$B$24,0)</f>
        <v/>
      </c>
      <c r="Z64" s="40">
        <f>ROUND($B$6*$B$11*$B$14*$B$16*$B$20*$B$22*$B$23,0)</f>
        <v/>
      </c>
      <c r="AA64" s="40">
        <f>ROUND($B$6*$B$11*$B$14*$B$16*$B$20*$B$22*$B$24,0)</f>
        <v/>
      </c>
      <c r="AB64" s="41">
        <f>ROUND($B$7*$B$11*$B$14*$B$16*$B$19*$B$21*$B$23,0)</f>
        <v/>
      </c>
      <c r="AC64" s="41">
        <f>ROUND($B$7*$B$11*$B$14*$B$16*$B$19*$B$21*$B$24,0)</f>
        <v/>
      </c>
      <c r="AD64" s="41">
        <f>ROUND($B$7*$B$11*$B$14*$B$16*$B$19*$B$22*$B$23,0)</f>
        <v/>
      </c>
      <c r="AE64" s="41">
        <f>ROUND($B$7*$B$11*$B$14*$B$16*$B$19*$B$22*$B$24,0)</f>
        <v/>
      </c>
      <c r="AF64" s="41">
        <f>ROUND($B$7*$B$11*$B$14*$B$16*$B$20*$B$21*$B$23,0)</f>
        <v/>
      </c>
      <c r="AG64" s="41">
        <f>ROUND($B$7*$B$11*$B$14*$B$16*$B$20*$B$21*$B$24,0)</f>
        <v/>
      </c>
      <c r="AH64" s="41">
        <f>ROUND($B$7*$B$11*$B$14*$B$16*$B$20*$B$22*$B$23,0)</f>
        <v/>
      </c>
      <c r="AI64" s="41">
        <f>ROUND($B$7*$B$11*$B$14*$B$16*$B$20*$B$22*$B$24,0)</f>
        <v/>
      </c>
    </row>
    <row r="65" ht="20.1" customHeight="1" s="62">
      <c r="A65" s="90" t="n"/>
      <c r="B65" s="58" t="n"/>
      <c r="C65" s="87" t="inlineStr">
        <is>
          <t>Service</t>
        </is>
      </c>
      <c r="D65" s="40">
        <f>ROUND($B$4*$B$11*$B$14*$B$17*$B$19*$B$21*$B$23,0)</f>
        <v/>
      </c>
      <c r="E65" s="40">
        <f>ROUND($B$4*$B$11*$B$14*$B$17*$B$19*$B$21*$B$24,0)</f>
        <v/>
      </c>
      <c r="F65" s="40">
        <f>ROUND($B$4*$B$11*$B$14*$B$17*$B$19*$B$22*$B$23,0)</f>
        <v/>
      </c>
      <c r="G65" s="40">
        <f>ROUND($B$4*$B$11*$B$14*$B$17*$B$19*$B$22*$B$24,0)</f>
        <v/>
      </c>
      <c r="H65" s="40">
        <f>ROUND($B$4*$B$11*$B$14*$B$17*$B$20*$B$21*$B$23,0)</f>
        <v/>
      </c>
      <c r="I65" s="40">
        <f>ROUND($B$4*$B$11*$B$14*$B$17*$B$20*$B$21*$B$24,0)</f>
        <v/>
      </c>
      <c r="J65" s="40">
        <f>ROUND($B$4*$B$11*$B$14*$B$17*$B$20*$B$22*$B$23,0)</f>
        <v/>
      </c>
      <c r="K65" s="40">
        <f>ROUND($B$4*$B$11*$B$14*$B$17*$B$20*$B$22*$B$24,0)</f>
        <v/>
      </c>
      <c r="L65" s="40">
        <f>ROUND($B$5*$B$11*$B$14*$B$17*$B$19*$B$21*$B$23,0)</f>
        <v/>
      </c>
      <c r="M65" s="40">
        <f>ROUND($B$5*$B$11*$B$14*$B$17*$B$19*$B$21*$B$24,0)</f>
        <v/>
      </c>
      <c r="N65" s="40">
        <f>ROUND($B$5*$B$11*$B$14*$B$17*$B$19*$B$22*$B$23,0)</f>
        <v/>
      </c>
      <c r="O65" s="40">
        <f>ROUND($B$5*$B$11*$B$14*$B$17*$B$19*$B$22*$B$24,0)</f>
        <v/>
      </c>
      <c r="P65" s="40">
        <f>ROUND($B$5*$B$11*$B$14*$B$17*$B$20*$B$21*$B$23,0)</f>
        <v/>
      </c>
      <c r="Q65" s="40">
        <f>ROUND($B$5*$B$11*$B$14*$B$17*$B$20*$B$21*$B$24,0)</f>
        <v/>
      </c>
      <c r="R65" s="40">
        <f>ROUND($B$5*$B$11*$B$14*$B$17*$B$20*$B$22*$B$23,0)</f>
        <v/>
      </c>
      <c r="S65" s="40">
        <f>ROUND($B$5*$B$11*$B$14*$B$17*$B$20*$B$22*$B$24,0)</f>
        <v/>
      </c>
      <c r="T65" s="40">
        <f>ROUND($B$6*$B$11*$B$14*$B$17*$B$19*$B$21*$B$23,0)</f>
        <v/>
      </c>
      <c r="U65" s="40">
        <f>ROUND($B$6*$B$11*$B$14*$B$17*$B$19*$B$21*$B$24,0)</f>
        <v/>
      </c>
      <c r="V65" s="40">
        <f>ROUND($B$6*$B$11*$B$14*$B$17*$B$19*$B$22*$B$23,0)</f>
        <v/>
      </c>
      <c r="W65" s="40">
        <f>ROUND($B$6*$B$11*$B$14*$B$17*$B$19*$B$22*$B$24,0)</f>
        <v/>
      </c>
      <c r="X65" s="40">
        <f>ROUND($B$6*$B$11*$B$14*$B$17*$B$20*$B$21*$B$23,0)</f>
        <v/>
      </c>
      <c r="Y65" s="40">
        <f>ROUND($B$6*$B$11*$B$14*$B$17*$B$20*$B$21*$B$24,0)</f>
        <v/>
      </c>
      <c r="Z65" s="40">
        <f>ROUND($B$6*$B$11*$B$14*$B$17*$B$20*$B$22*$B$23,0)</f>
        <v/>
      </c>
      <c r="AA65" s="40">
        <f>ROUND($B$6*$B$11*$B$14*$B$17*$B$20*$B$22*$B$24,0)</f>
        <v/>
      </c>
      <c r="AB65" s="41">
        <f>ROUND($B$7*$B$11*$B$14*$B$17*$B$19*$B$21*$B$23,0)</f>
        <v/>
      </c>
      <c r="AC65" s="41">
        <f>ROUND($B$7*$B$11*$B$14*$B$17*$B$19*$B$21*$B$24,0)</f>
        <v/>
      </c>
      <c r="AD65" s="41">
        <f>ROUND($B$7*$B$11*$B$14*$B$17*$B$19*$B$22*$B$23,0)</f>
        <v/>
      </c>
      <c r="AE65" s="41">
        <f>ROUND($B$7*$B$11*$B$14*$B$17*$B$19*$B$22*$B$24,0)</f>
        <v/>
      </c>
      <c r="AF65" s="41">
        <f>ROUND($B$7*$B$11*$B$14*$B$17*$B$20*$B$21*$B$23,0)</f>
        <v/>
      </c>
      <c r="AG65" s="41">
        <f>ROUND($B$7*$B$11*$B$14*$B$17*$B$20*$B$21*$B$24,0)</f>
        <v/>
      </c>
      <c r="AH65" s="41">
        <f>ROUND($B$7*$B$11*$B$14*$B$17*$B$20*$B$22*$B$23,0)</f>
        <v/>
      </c>
      <c r="AI65" s="41">
        <f>ROUND($B$7*$B$11*$B$14*$B$17*$B$20*$B$22*$B$24,0)</f>
        <v/>
      </c>
    </row>
    <row r="66" ht="20.1" customHeight="1" s="62">
      <c r="A66" s="91" t="n"/>
      <c r="B66" s="59" t="n"/>
      <c r="C66" s="42" t="inlineStr">
        <is>
          <t>Multi-objectifs</t>
        </is>
      </c>
      <c r="D66" s="40">
        <f>ROUND($B$4*$B$11*$B$14*$B$18*$B$19*$B$21*$B$23,0)</f>
        <v/>
      </c>
      <c r="E66" s="40">
        <f>ROUND($B$4*$B$11*$B$14*$B$18*$B$19*$B$21*$B$24,0)</f>
        <v/>
      </c>
      <c r="F66" s="40">
        <f>ROUND($B$4*$B$11*$B$14*$B$18*$B$19*$B$22*$B$23,0)</f>
        <v/>
      </c>
      <c r="G66" s="40">
        <f>ROUND($B$4*$B$11*$B$14*$B$18*$B$19*$B$22*$B$24,0)</f>
        <v/>
      </c>
      <c r="H66" s="40">
        <f>ROUND($B$4*$B$11*$B$14*$B$18*$B$20*$B$21*$B$23,0)</f>
        <v/>
      </c>
      <c r="I66" s="40">
        <f>ROUND($B$4*$B$11*$B$14*$B$18*$B$20*$B$21*$B$24,0)</f>
        <v/>
      </c>
      <c r="J66" s="40">
        <f>ROUND($B$4*$B$11*$B$14*$B$18*$B$20*$B$22*$B$23,0)</f>
        <v/>
      </c>
      <c r="K66" s="40">
        <f>ROUND($B$4*$B$11*$B$14*$B$18*$B$20*$B$22*$B$24,0)</f>
        <v/>
      </c>
      <c r="L66" s="40">
        <f>ROUND($B$5*$B$11*$B$14*$B$18*$B$19*$B$21*$B$23,0)</f>
        <v/>
      </c>
      <c r="M66" s="40">
        <f>ROUND($B$5*$B$11*$B$14*$B$18*$B$19*$B$21*$B$24,0)</f>
        <v/>
      </c>
      <c r="N66" s="40">
        <f>ROUND($B$5*$B$11*$B$14*$B$18*$B$19*$B$22*$B$23,0)</f>
        <v/>
      </c>
      <c r="O66" s="40">
        <f>ROUND($B$5*$B$11*$B$14*$B$18*$B$19*$B$22*$B$24,0)</f>
        <v/>
      </c>
      <c r="P66" s="40">
        <f>ROUND($B$5*$B$11*$B$14*$B$18*$B$20*$B$21*$B$23,0)</f>
        <v/>
      </c>
      <c r="Q66" s="40">
        <f>ROUND($B$5*$B$11*$B$14*$B$18*$B$20*$B$21*$B$24,0)</f>
        <v/>
      </c>
      <c r="R66" s="40">
        <f>ROUND($B$5*$B$11*$B$14*$B$18*$B$20*$B$22*$B$23,0)</f>
        <v/>
      </c>
      <c r="S66" s="40">
        <f>ROUND($B$5*$B$11*$B$14*$B$18*$B$20*$B$22*$B$24,0)</f>
        <v/>
      </c>
      <c r="T66" s="40">
        <f>ROUND($B$6*$B$11*$B$14*$B$18*$B$19*$B$21*$B$23,0)</f>
        <v/>
      </c>
      <c r="U66" s="40">
        <f>ROUND($B$6*$B$11*$B$14*$B$18*$B$19*$B$21*$B$24,0)</f>
        <v/>
      </c>
      <c r="V66" s="40">
        <f>ROUND($B$6*$B$11*$B$14*$B$18*$B$19*$B$22*$B$23,0)</f>
        <v/>
      </c>
      <c r="W66" s="40">
        <f>ROUND($B$6*$B$11*$B$14*$B$18*$B$19*$B$22*$B$24,0)</f>
        <v/>
      </c>
      <c r="X66" s="40">
        <f>ROUND($B$6*$B$11*$B$14*$B$18*$B$20*$B$21*$B$23,0)</f>
        <v/>
      </c>
      <c r="Y66" s="40">
        <f>ROUND($B$6*$B$11*$B$14*$B$18*$B$20*$B$21*$B$24,0)</f>
        <v/>
      </c>
      <c r="Z66" s="40">
        <f>ROUND($B$6*$B$11*$B$14*$B$18*$B$20*$B$22*$B$23,0)</f>
        <v/>
      </c>
      <c r="AA66" s="40">
        <f>ROUND($B$6*$B$11*$B$14*$B$18*$B$20*$B$22*$B$24,0)</f>
        <v/>
      </c>
      <c r="AB66" s="41">
        <f>ROUND($B$7*$B$11*$B$14*$B$18*$B$19*$B$21*$B$23,0)</f>
        <v/>
      </c>
      <c r="AC66" s="41">
        <f>ROUND($B$7*$B$11*$B$14*$B$18*$B$19*$B$21*$B$24,0)</f>
        <v/>
      </c>
      <c r="AD66" s="41">
        <f>ROUND($B$7*$B$11*$B$14*$B$18*$B$19*$B$22*$B$23,0)</f>
        <v/>
      </c>
      <c r="AE66" s="41">
        <f>ROUND($B$7*$B$11*$B$14*$B$18*$B$19*$B$22*$B$24,0)</f>
        <v/>
      </c>
      <c r="AF66" s="41">
        <f>ROUND($B$7*$B$11*$B$14*$B$18*$B$20*$B$21*$B$23,0)</f>
        <v/>
      </c>
      <c r="AG66" s="41">
        <f>ROUND($B$7*$B$11*$B$14*$B$18*$B$20*$B$21*$B$24,0)</f>
        <v/>
      </c>
      <c r="AH66" s="41">
        <f>ROUND($B$7*$B$11*$B$14*$B$18*$B$20*$B$22*$B$23,0)</f>
        <v/>
      </c>
      <c r="AI66" s="41">
        <f>ROUND($B$7*$B$11*$B$14*$B$18*$B$20*$B$22*$B$24,0)</f>
        <v/>
      </c>
    </row>
  </sheetData>
  <mergeCells count="48">
    <mergeCell ref="H28:K28"/>
    <mergeCell ref="B51:B54"/>
    <mergeCell ref="B31:B34"/>
    <mergeCell ref="P28:S28"/>
    <mergeCell ref="J29:K29"/>
    <mergeCell ref="F29:G29"/>
    <mergeCell ref="P29:Q29"/>
    <mergeCell ref="B47:B50"/>
    <mergeCell ref="H29:I29"/>
    <mergeCell ref="T29:U29"/>
    <mergeCell ref="R29:S29"/>
    <mergeCell ref="AB29:AC29"/>
    <mergeCell ref="B59:B62"/>
    <mergeCell ref="AD29:AE29"/>
    <mergeCell ref="B27:B30"/>
    <mergeCell ref="AB28:AE28"/>
    <mergeCell ref="T28:W28"/>
    <mergeCell ref="AF28:AI28"/>
    <mergeCell ref="V29:W29"/>
    <mergeCell ref="A31:A42"/>
    <mergeCell ref="A43:A54"/>
    <mergeCell ref="B43:B46"/>
    <mergeCell ref="AF29:AG29"/>
    <mergeCell ref="B39:B42"/>
    <mergeCell ref="AH29:AI29"/>
    <mergeCell ref="A1:AI1"/>
    <mergeCell ref="D27:K27"/>
    <mergeCell ref="C27:C30"/>
    <mergeCell ref="A25:AI25"/>
    <mergeCell ref="AB27:AI27"/>
    <mergeCell ref="A27:A30"/>
    <mergeCell ref="L28:O28"/>
    <mergeCell ref="L29:M29"/>
    <mergeCell ref="N29:O29"/>
    <mergeCell ref="X29:Y29"/>
    <mergeCell ref="Z29:AA29"/>
    <mergeCell ref="A3:AI3"/>
    <mergeCell ref="A55:A66"/>
    <mergeCell ref="X28:AA28"/>
    <mergeCell ref="A2:AI2"/>
    <mergeCell ref="B55:B58"/>
    <mergeCell ref="D29:E29"/>
    <mergeCell ref="A8:AI8"/>
    <mergeCell ref="L27:S27"/>
    <mergeCell ref="B63:B66"/>
    <mergeCell ref="T27:AA27"/>
    <mergeCell ref="B35:B38"/>
    <mergeCell ref="D28:G2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2D1B5E"/>
    <outlinePr summaryBelow="1" summaryRight="1"/>
    <pageSetUpPr/>
  </sheetPr>
  <dimension ref="A1:AI56"/>
  <sheetViews>
    <sheetView topLeftCell="A2" workbookViewId="0">
      <pane xSplit="3" topLeftCell="D1" activePane="topRight" state="frozen"/>
      <selection pane="topRight" activeCell="B9" sqref="B9:B23"/>
    </sheetView>
  </sheetViews>
  <sheetFormatPr baseColWidth="10" defaultColWidth="9.140625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35"/>
  </cols>
  <sheetData>
    <row r="1" ht="33.95" customHeight="1" s="62">
      <c r="A1" s="92" t="inlineStr">
        <is>
          <t>GRILLE TARIFAIRE — Pilotage commercial digital</t>
        </is>
      </c>
    </row>
    <row r="2" ht="26.1" customHeight="1" s="62">
      <c r="A2" s="96" t="inlineStr">
        <is>
          <t>⚙  ZONE DE PARAMÉTRAGE — Remplissez uniquement les cases jaunes. Le tableau se calcule automatiquement.</t>
        </is>
      </c>
    </row>
    <row r="3" ht="21.95" customHeight="1" s="62">
      <c r="A3" s="95" t="inlineStr">
        <is>
          <t>TARIFS DE BASE (€)  —  Par niveau de prestation</t>
        </is>
      </c>
    </row>
    <row r="4" ht="21.95" customHeight="1" s="62">
      <c r="A4" s="32" t="inlineStr">
        <is>
          <t>Tarif de base — Mise en place simple</t>
        </is>
      </c>
      <c r="B4" s="33" t="n">
        <v>2000</v>
      </c>
      <c r="C4" s="34" t="inlineStr">
        <is>
          <t>Fourchette : 2 000 – 5 000 €</t>
        </is>
      </c>
    </row>
    <row r="5" ht="21.95" customHeight="1" s="62">
      <c r="A5" s="32" t="inlineStr">
        <is>
          <t>Tarif de base — Pilotage structuré</t>
        </is>
      </c>
      <c r="B5" s="33" t="n">
        <v>5000</v>
      </c>
      <c r="C5" s="34" t="inlineStr">
        <is>
          <t>Fourchette : 5 000 – 12 000 €</t>
        </is>
      </c>
    </row>
    <row r="6" ht="21.95" customHeight="1" s="62">
      <c r="A6" s="32" t="inlineStr">
        <is>
          <t>Tarif de base — Pilotage avancé</t>
        </is>
      </c>
      <c r="B6" s="33" t="n">
        <v>12000</v>
      </c>
      <c r="C6" s="34" t="inlineStr">
        <is>
          <t>Fourchette : 12 000 – 30 000 €</t>
        </is>
      </c>
    </row>
    <row r="7" ht="21.95" customHeight="1" s="62">
      <c r="A7" s="32" t="inlineStr">
        <is>
          <t>Tarif de base — Accompagnement mensuel</t>
        </is>
      </c>
      <c r="B7" s="35" t="n">
        <v>2000</v>
      </c>
      <c r="C7" s="34" t="inlineStr">
        <is>
          <t>Fourchette : 1 000 – 3 000 €/mois</t>
        </is>
      </c>
    </row>
    <row r="8" ht="21.95" customHeight="1" s="62">
      <c r="A8" s="75" t="inlineStr">
        <is>
          <t>COEFFICIENTS MULTIPLICATEURS  —  1,00 = neutre. Ex : 1,20 = +20 %</t>
        </is>
      </c>
    </row>
    <row r="9" ht="20.1" customHeight="1" s="62">
      <c r="A9" s="19" t="inlineStr">
        <is>
          <t>Coeff. structuration — Inexistante</t>
        </is>
      </c>
      <c r="B9" s="36" t="n">
        <v>1.3</v>
      </c>
      <c r="C9" s="37" t="inlineStr">
        <is>
          <t>Mise en place from scratch</t>
        </is>
      </c>
    </row>
    <row r="10" ht="20.1" customHeight="1" s="62">
      <c r="A10" s="19" t="inlineStr">
        <is>
          <t>Coeff. structuration — Partielle</t>
        </is>
      </c>
      <c r="B10" s="36" t="n">
        <v>1</v>
      </c>
      <c r="C10" s="37" t="inlineStr">
        <is>
          <t>Référence</t>
        </is>
      </c>
    </row>
    <row r="11" ht="20.1" customHeight="1" s="62">
      <c r="A11" s="19" t="inlineStr">
        <is>
          <t>Coeff. structuration — Déjà structurée</t>
        </is>
      </c>
      <c r="B11" s="36" t="n">
        <v>1.1</v>
      </c>
      <c r="C11" s="37" t="inlineStr">
        <is>
          <t>Optimisation uniquement</t>
        </is>
      </c>
    </row>
    <row r="12" ht="20.1" customHeight="1" s="62">
      <c r="A12" s="19" t="inlineStr">
        <is>
          <t>Coeff. volume — Faible</t>
        </is>
      </c>
      <c r="B12" s="36" t="n">
        <v>0.9</v>
      </c>
      <c r="C12" s="37" t="inlineStr">
        <is>
          <t>Activité réduite</t>
        </is>
      </c>
    </row>
    <row r="13" ht="20.1" customHeight="1" s="62">
      <c r="A13" s="19" t="inlineStr">
        <is>
          <t>Coeff. volume — Moyen</t>
        </is>
      </c>
      <c r="B13" s="36" t="n">
        <v>1</v>
      </c>
      <c r="C13" s="37" t="inlineStr">
        <is>
          <t>Référence</t>
        </is>
      </c>
    </row>
    <row r="14" ht="20.1" customHeight="1" s="62">
      <c r="A14" s="19" t="inlineStr">
        <is>
          <t>Coeff. volume — Élevé</t>
        </is>
      </c>
      <c r="B14" s="36" t="n">
        <v>1.35</v>
      </c>
      <c r="C14" s="37" t="inlineStr">
        <is>
          <t>Activité dense, nombreux KPIs</t>
        </is>
      </c>
    </row>
    <row r="15" ht="20.1" customHeight="1" s="62">
      <c r="A15" s="19" t="inlineStr">
        <is>
          <t>Coeff. canaux — 1-2 canaux</t>
        </is>
      </c>
      <c r="B15" s="36" t="n">
        <v>0.8</v>
      </c>
      <c r="C15" s="37" t="inlineStr">
        <is>
          <t>Périmètre réduit</t>
        </is>
      </c>
    </row>
    <row r="16" ht="20.1" customHeight="1" s="62">
      <c r="A16" s="19" t="inlineStr">
        <is>
          <t>Coeff. canaux — 3-5 canaux</t>
        </is>
      </c>
      <c r="B16" s="36" t="n">
        <v>1</v>
      </c>
      <c r="C16" s="37" t="inlineStr">
        <is>
          <t>Référence</t>
        </is>
      </c>
    </row>
    <row r="17" ht="20.1" customHeight="1" s="62">
      <c r="A17" s="19" t="inlineStr">
        <is>
          <t>Coeff. canaux — 6+ canaux</t>
        </is>
      </c>
      <c r="B17" s="36" t="n">
        <v>1.5</v>
      </c>
      <c r="C17" s="37" t="inlineStr">
        <is>
          <t>Multi-canal complexe</t>
        </is>
      </c>
    </row>
    <row r="18" ht="20.1" customHeight="1" s="62">
      <c r="A18" s="19" t="inlineStr">
        <is>
          <t>Coeff. secteur — Standard</t>
        </is>
      </c>
      <c r="B18" s="36" t="n">
        <v>1</v>
      </c>
      <c r="C18" s="37" t="inlineStr">
        <is>
          <t>Référence</t>
        </is>
      </c>
    </row>
    <row r="19" ht="20.1" customHeight="1" s="62">
      <c r="A19" s="19" t="inlineStr">
        <is>
          <t>Coeff. secteur — Concurrentiel</t>
        </is>
      </c>
      <c r="B19" s="36" t="n">
        <v>1.2</v>
      </c>
      <c r="C19" s="37" t="inlineStr">
        <is>
          <t>Forte pression marché</t>
        </is>
      </c>
    </row>
    <row r="20" ht="20.1" customHeight="1" s="62">
      <c r="A20" s="19" t="inlineStr">
        <is>
          <t>Coeff. données — Peu de données</t>
        </is>
      </c>
      <c r="B20" s="36" t="n">
        <v>1.15</v>
      </c>
      <c r="C20" s="37" t="inlineStr">
        <is>
          <t>Mise en place outils nécessaire</t>
        </is>
      </c>
    </row>
    <row r="21" ht="20.1" customHeight="1" s="62">
      <c r="A21" s="19" t="inlineStr">
        <is>
          <t>Coeff. données — Données disponibles</t>
        </is>
      </c>
      <c r="B21" s="36" t="n">
        <v>1</v>
      </c>
      <c r="C21" s="37" t="inlineStr">
        <is>
          <t>Référence</t>
        </is>
      </c>
    </row>
    <row r="22" ht="20.1" customHeight="1" s="62">
      <c r="A22" s="19" t="inlineStr">
        <is>
          <t>Coeff. mode — Distanciel</t>
        </is>
      </c>
      <c r="B22" s="36" t="n">
        <v>1</v>
      </c>
      <c r="C22" s="37" t="inlineStr">
        <is>
          <t>Référence</t>
        </is>
      </c>
    </row>
    <row r="23" ht="20.1" customHeight="1" s="62">
      <c r="A23" s="19" t="inlineStr">
        <is>
          <t>Coeff. mode — Présentiel</t>
        </is>
      </c>
      <c r="B23" s="36" t="n">
        <v>1.5</v>
      </c>
      <c r="C23" s="37" t="inlineStr">
        <is>
          <t>Sessions et réunions sur site</t>
        </is>
      </c>
    </row>
    <row r="24" ht="24" customHeight="1" s="62">
      <c r="A24" s="94" t="inlineStr">
        <is>
          <t>▼  GRILLE TARIFAIRE CALCULÉE AUTOMATIQUEMENT  — Les cellules violettes sont en lecture seule (formules).</t>
        </is>
      </c>
    </row>
    <row r="25" ht="6" customHeight="1" s="62"/>
    <row r="26" ht="38.1" customHeight="1" s="62">
      <c r="A26" s="93" t="inlineStr">
        <is>
          <t>Structuration actuelle</t>
        </is>
      </c>
      <c r="B26" s="86" t="inlineStr">
        <is>
          <t>Volume d'activité</t>
        </is>
      </c>
      <c r="C26" s="88" t="inlineStr">
        <is>
          <t>Nb de canaux commerciaux</t>
        </is>
      </c>
      <c r="D26" s="93" t="inlineStr">
        <is>
          <t>Mise en place simple</t>
        </is>
      </c>
      <c r="E26" s="55" t="n"/>
      <c r="F26" s="55" t="n"/>
      <c r="G26" s="55" t="n"/>
      <c r="H26" s="55" t="n"/>
      <c r="I26" s="55" t="n"/>
      <c r="J26" s="55" t="n"/>
      <c r="K26" s="56" t="n"/>
      <c r="L26" s="93" t="inlineStr">
        <is>
          <t>Pilotage structuré</t>
        </is>
      </c>
      <c r="M26" s="55" t="n"/>
      <c r="N26" s="55" t="n"/>
      <c r="O26" s="55" t="n"/>
      <c r="P26" s="55" t="n"/>
      <c r="Q26" s="55" t="n"/>
      <c r="R26" s="55" t="n"/>
      <c r="S26" s="56" t="n"/>
      <c r="T26" s="93" t="inlineStr">
        <is>
          <t>Pilotage avancé</t>
        </is>
      </c>
      <c r="U26" s="55" t="n"/>
      <c r="V26" s="55" t="n"/>
      <c r="W26" s="55" t="n"/>
      <c r="X26" s="55" t="n"/>
      <c r="Y26" s="55" t="n"/>
      <c r="Z26" s="55" t="n"/>
      <c r="AA26" s="56" t="n"/>
      <c r="AB26" s="93" t="inlineStr">
        <is>
          <t>Accompagnement mensuel</t>
        </is>
      </c>
      <c r="AC26" s="55" t="n"/>
      <c r="AD26" s="55" t="n"/>
      <c r="AE26" s="55" t="n"/>
      <c r="AF26" s="55" t="n"/>
      <c r="AG26" s="55" t="n"/>
      <c r="AH26" s="55" t="n"/>
      <c r="AI26" s="56" t="n"/>
    </row>
    <row r="27" ht="38.1" customHeight="1" s="62">
      <c r="A27" s="64" t="n"/>
      <c r="B27" s="64" t="n"/>
      <c r="C27" s="64" t="n"/>
      <c r="D27" s="86" t="inlineStr">
        <is>
          <t>Secteur standard</t>
        </is>
      </c>
      <c r="E27" s="55" t="n"/>
      <c r="F27" s="55" t="n"/>
      <c r="G27" s="56" t="n"/>
      <c r="H27" s="86" t="inlineStr">
        <is>
          <t>Secteur concurrentiel</t>
        </is>
      </c>
      <c r="I27" s="55" t="n"/>
      <c r="J27" s="55" t="n"/>
      <c r="K27" s="56" t="n"/>
      <c r="L27" s="86" t="inlineStr">
        <is>
          <t>Secteur standard</t>
        </is>
      </c>
      <c r="M27" s="55" t="n"/>
      <c r="N27" s="55" t="n"/>
      <c r="O27" s="56" t="n"/>
      <c r="P27" s="86" t="inlineStr">
        <is>
          <t>Secteur concurrentiel</t>
        </is>
      </c>
      <c r="Q27" s="55" t="n"/>
      <c r="R27" s="55" t="n"/>
      <c r="S27" s="56" t="n"/>
      <c r="T27" s="86" t="inlineStr">
        <is>
          <t>Secteur standard</t>
        </is>
      </c>
      <c r="U27" s="55" t="n"/>
      <c r="V27" s="55" t="n"/>
      <c r="W27" s="56" t="n"/>
      <c r="X27" s="86" t="inlineStr">
        <is>
          <t>Secteur concurrentiel</t>
        </is>
      </c>
      <c r="Y27" s="55" t="n"/>
      <c r="Z27" s="55" t="n"/>
      <c r="AA27" s="56" t="n"/>
      <c r="AB27" s="86" t="inlineStr">
        <is>
          <t>Secteur standard</t>
        </is>
      </c>
      <c r="AC27" s="55" t="n"/>
      <c r="AD27" s="55" t="n"/>
      <c r="AE27" s="56" t="n"/>
      <c r="AF27" s="86" t="inlineStr">
        <is>
          <t>Secteur concurrentiel</t>
        </is>
      </c>
      <c r="AG27" s="55" t="n"/>
      <c r="AH27" s="55" t="n"/>
      <c r="AI27" s="56" t="n"/>
    </row>
    <row r="28" ht="38.1" customHeight="1" s="62">
      <c r="A28" s="64" t="n"/>
      <c r="B28" s="64" t="n"/>
      <c r="C28" s="64" t="n"/>
      <c r="D28" s="88" t="inlineStr">
        <is>
          <t>Peu de données</t>
        </is>
      </c>
      <c r="E28" s="56" t="n"/>
      <c r="F28" s="88" t="inlineStr">
        <is>
          <t>Données disponibles</t>
        </is>
      </c>
      <c r="G28" s="56" t="n"/>
      <c r="H28" s="88" t="inlineStr">
        <is>
          <t>Peu de données</t>
        </is>
      </c>
      <c r="I28" s="56" t="n"/>
      <c r="J28" s="88" t="inlineStr">
        <is>
          <t>Données disponibles</t>
        </is>
      </c>
      <c r="K28" s="56" t="n"/>
      <c r="L28" s="88" t="inlineStr">
        <is>
          <t>Peu de données</t>
        </is>
      </c>
      <c r="M28" s="56" t="n"/>
      <c r="N28" s="88" t="inlineStr">
        <is>
          <t>Données disponibles</t>
        </is>
      </c>
      <c r="O28" s="56" t="n"/>
      <c r="P28" s="88" t="inlineStr">
        <is>
          <t>Peu de données</t>
        </is>
      </c>
      <c r="Q28" s="56" t="n"/>
      <c r="R28" s="88" t="inlineStr">
        <is>
          <t>Données disponibles</t>
        </is>
      </c>
      <c r="S28" s="56" t="n"/>
      <c r="T28" s="88" t="inlineStr">
        <is>
          <t>Peu de données</t>
        </is>
      </c>
      <c r="U28" s="56" t="n"/>
      <c r="V28" s="88" t="inlineStr">
        <is>
          <t>Données disponibles</t>
        </is>
      </c>
      <c r="W28" s="56" t="n"/>
      <c r="X28" s="88" t="inlineStr">
        <is>
          <t>Peu de données</t>
        </is>
      </c>
      <c r="Y28" s="56" t="n"/>
      <c r="Z28" s="88" t="inlineStr">
        <is>
          <t>Données disponibles</t>
        </is>
      </c>
      <c r="AA28" s="56" t="n"/>
      <c r="AB28" s="88" t="inlineStr">
        <is>
          <t>Peu de données</t>
        </is>
      </c>
      <c r="AC28" s="56" t="n"/>
      <c r="AD28" s="88" t="inlineStr">
        <is>
          <t>Données disponibles</t>
        </is>
      </c>
      <c r="AE28" s="56" t="n"/>
      <c r="AF28" s="88" t="inlineStr">
        <is>
          <t>Peu de données</t>
        </is>
      </c>
      <c r="AG28" s="56" t="n"/>
      <c r="AH28" s="88" t="inlineStr">
        <is>
          <t>Données disponibles</t>
        </is>
      </c>
      <c r="AI28" s="56" t="n"/>
    </row>
    <row r="29" ht="38.1" customHeight="1" s="62">
      <c r="A29" s="65" t="n"/>
      <c r="B29" s="65" t="n"/>
      <c r="C29" s="65" t="n"/>
      <c r="D29" s="22" t="inlineStr">
        <is>
          <t>Distanciel</t>
        </is>
      </c>
      <c r="E29" s="22" t="inlineStr">
        <is>
          <t>Présentiel</t>
        </is>
      </c>
      <c r="F29" s="22" t="inlineStr">
        <is>
          <t>Distanciel</t>
        </is>
      </c>
      <c r="G29" s="22" t="inlineStr">
        <is>
          <t>Présentiel</t>
        </is>
      </c>
      <c r="H29" s="22" t="inlineStr">
        <is>
          <t>Distanciel</t>
        </is>
      </c>
      <c r="I29" s="22" t="inlineStr">
        <is>
          <t>Présentiel</t>
        </is>
      </c>
      <c r="J29" s="22" t="inlineStr">
        <is>
          <t>Distanciel</t>
        </is>
      </c>
      <c r="K29" s="22" t="inlineStr">
        <is>
          <t>Présentiel</t>
        </is>
      </c>
      <c r="L29" s="22" t="inlineStr">
        <is>
          <t>Distanciel</t>
        </is>
      </c>
      <c r="M29" s="22" t="inlineStr">
        <is>
          <t>Présentiel</t>
        </is>
      </c>
      <c r="N29" s="22" t="inlineStr">
        <is>
          <t>Distanciel</t>
        </is>
      </c>
      <c r="O29" s="22" t="inlineStr">
        <is>
          <t>Présentiel</t>
        </is>
      </c>
      <c r="P29" s="22" t="inlineStr">
        <is>
          <t>Distanciel</t>
        </is>
      </c>
      <c r="Q29" s="22" t="inlineStr">
        <is>
          <t>Présentiel</t>
        </is>
      </c>
      <c r="R29" s="22" t="inlineStr">
        <is>
          <t>Distanciel</t>
        </is>
      </c>
      <c r="S29" s="22" t="inlineStr">
        <is>
          <t>Présentiel</t>
        </is>
      </c>
      <c r="T29" s="22" t="inlineStr">
        <is>
          <t>Distanciel</t>
        </is>
      </c>
      <c r="U29" s="22" t="inlineStr">
        <is>
          <t>Présentiel</t>
        </is>
      </c>
      <c r="V29" s="22" t="inlineStr">
        <is>
          <t>Distanciel</t>
        </is>
      </c>
      <c r="W29" s="22" t="inlineStr">
        <is>
          <t>Présentiel</t>
        </is>
      </c>
      <c r="X29" s="22" t="inlineStr">
        <is>
          <t>Distanciel</t>
        </is>
      </c>
      <c r="Y29" s="22" t="inlineStr">
        <is>
          <t>Présentiel</t>
        </is>
      </c>
      <c r="Z29" s="22" t="inlineStr">
        <is>
          <t>Distanciel</t>
        </is>
      </c>
      <c r="AA29" s="22" t="inlineStr">
        <is>
          <t>Présentiel</t>
        </is>
      </c>
      <c r="AB29" s="22" t="inlineStr">
        <is>
          <t>Distanciel</t>
        </is>
      </c>
      <c r="AC29" s="22" t="inlineStr">
        <is>
          <t>Présentiel</t>
        </is>
      </c>
      <c r="AD29" s="22" t="inlineStr">
        <is>
          <t>Distanciel</t>
        </is>
      </c>
      <c r="AE29" s="22" t="inlineStr">
        <is>
          <t>Présentiel</t>
        </is>
      </c>
      <c r="AF29" s="22" t="inlineStr">
        <is>
          <t>Distanciel</t>
        </is>
      </c>
      <c r="AG29" s="22" t="inlineStr">
        <is>
          <t>Présentiel</t>
        </is>
      </c>
      <c r="AH29" s="22" t="inlineStr">
        <is>
          <t>Distanciel</t>
        </is>
      </c>
      <c r="AI29" s="22" t="inlineStr">
        <is>
          <t>Présentiel</t>
        </is>
      </c>
    </row>
    <row r="30" ht="20.1" customHeight="1" s="62">
      <c r="A30" s="89" t="inlineStr">
        <is>
          <t>Inexistante</t>
        </is>
      </c>
      <c r="B30" s="87" t="inlineStr">
        <is>
          <t>Faible</t>
        </is>
      </c>
      <c r="C30" s="39" t="inlineStr">
        <is>
          <t>1-2 canaux</t>
        </is>
      </c>
      <c r="D30" s="40">
        <f>ROUND($B$4*$B$9*$B$12*$B$15*$B$18*$B$20*$B$22,0)</f>
        <v/>
      </c>
      <c r="E30" s="40">
        <f>ROUND($B$4*$B$9*$B$12*$B$15*$B$18*$B$20*$B$23,0)</f>
        <v/>
      </c>
      <c r="F30" s="40">
        <f>ROUND($B$4*$B$9*$B$12*$B$15*$B$18*$B$21*$B$22,0)</f>
        <v/>
      </c>
      <c r="G30" s="40">
        <f>ROUND($B$4*$B$9*$B$12*$B$15*$B$18*$B$21*$B$23,0)</f>
        <v/>
      </c>
      <c r="H30" s="40">
        <f>ROUND($B$4*$B$9*$B$12*$B$15*$B$19*$B$20*$B$22,0)</f>
        <v/>
      </c>
      <c r="I30" s="40">
        <f>ROUND($B$4*$B$9*$B$12*$B$15*$B$19*$B$20*$B$23,0)</f>
        <v/>
      </c>
      <c r="J30" s="40">
        <f>ROUND($B$4*$B$9*$B$12*$B$15*$B$19*$B$21*$B$22,0)</f>
        <v/>
      </c>
      <c r="K30" s="40">
        <f>ROUND($B$4*$B$9*$B$12*$B$15*$B$19*$B$21*$B$23,0)</f>
        <v/>
      </c>
      <c r="L30" s="40">
        <f>ROUND($B$5*$B$9*$B$12*$B$15*$B$18*$B$20*$B$22,0)</f>
        <v/>
      </c>
      <c r="M30" s="40">
        <f>ROUND($B$5*$B$9*$B$12*$B$15*$B$18*$B$20*$B$23,0)</f>
        <v/>
      </c>
      <c r="N30" s="40">
        <f>ROUND($B$5*$B$9*$B$12*$B$15*$B$18*$B$21*$B$22,0)</f>
        <v/>
      </c>
      <c r="O30" s="40">
        <f>ROUND($B$5*$B$9*$B$12*$B$15*$B$18*$B$21*$B$23,0)</f>
        <v/>
      </c>
      <c r="P30" s="40">
        <f>ROUND($B$5*$B$9*$B$12*$B$15*$B$19*$B$20*$B$22,0)</f>
        <v/>
      </c>
      <c r="Q30" s="40">
        <f>ROUND($B$5*$B$9*$B$12*$B$15*$B$19*$B$20*$B$23,0)</f>
        <v/>
      </c>
      <c r="R30" s="40">
        <f>ROUND($B$5*$B$9*$B$12*$B$15*$B$19*$B$21*$B$22,0)</f>
        <v/>
      </c>
      <c r="S30" s="40">
        <f>ROUND($B$5*$B$9*$B$12*$B$15*$B$19*$B$21*$B$23,0)</f>
        <v/>
      </c>
      <c r="T30" s="40">
        <f>ROUND($B$6*$B$9*$B$12*$B$15*$B$18*$B$20*$B$22,0)</f>
        <v/>
      </c>
      <c r="U30" s="40">
        <f>ROUND($B$6*$B$9*$B$12*$B$15*$B$18*$B$20*$B$23,0)</f>
        <v/>
      </c>
      <c r="V30" s="40">
        <f>ROUND($B$6*$B$9*$B$12*$B$15*$B$18*$B$21*$B$22,0)</f>
        <v/>
      </c>
      <c r="W30" s="40">
        <f>ROUND($B$6*$B$9*$B$12*$B$15*$B$18*$B$21*$B$23,0)</f>
        <v/>
      </c>
      <c r="X30" s="40">
        <f>ROUND($B$6*$B$9*$B$12*$B$15*$B$19*$B$20*$B$22,0)</f>
        <v/>
      </c>
      <c r="Y30" s="40">
        <f>ROUND($B$6*$B$9*$B$12*$B$15*$B$19*$B$20*$B$23,0)</f>
        <v/>
      </c>
      <c r="Z30" s="40">
        <f>ROUND($B$6*$B$9*$B$12*$B$15*$B$19*$B$21*$B$22,0)</f>
        <v/>
      </c>
      <c r="AA30" s="40">
        <f>ROUND($B$6*$B$9*$B$12*$B$15*$B$19*$B$21*$B$23,0)</f>
        <v/>
      </c>
      <c r="AB30" s="41">
        <f>ROUND($B$7*$B$9*$B$12*$B$15*$B$18*$B$20*$B$22,0)</f>
        <v/>
      </c>
      <c r="AC30" s="41">
        <f>ROUND($B$7*$B$9*$B$12*$B$15*$B$18*$B$20*$B$23,0)</f>
        <v/>
      </c>
      <c r="AD30" s="41">
        <f>ROUND($B$7*$B$9*$B$12*$B$15*$B$18*$B$21*$B$22,0)</f>
        <v/>
      </c>
      <c r="AE30" s="41">
        <f>ROUND($B$7*$B$9*$B$12*$B$15*$B$18*$B$21*$B$23,0)</f>
        <v/>
      </c>
      <c r="AF30" s="41">
        <f>ROUND($B$7*$B$9*$B$12*$B$15*$B$19*$B$20*$B$22,0)</f>
        <v/>
      </c>
      <c r="AG30" s="41">
        <f>ROUND($B$7*$B$9*$B$12*$B$15*$B$19*$B$20*$B$23,0)</f>
        <v/>
      </c>
      <c r="AH30" s="41">
        <f>ROUND($B$7*$B$9*$B$12*$B$15*$B$19*$B$21*$B$22,0)</f>
        <v/>
      </c>
      <c r="AI30" s="41">
        <f>ROUND($B$7*$B$9*$B$12*$B$15*$B$19*$B$21*$B$23,0)</f>
        <v/>
      </c>
    </row>
    <row r="31" ht="20.1" customHeight="1" s="62">
      <c r="A31" s="90" t="n"/>
      <c r="B31" s="58" t="n"/>
      <c r="C31" s="87" t="inlineStr">
        <is>
          <t>3-5 canaux</t>
        </is>
      </c>
      <c r="D31" s="40">
        <f>ROUND($B$4*$B$9*$B$12*$B$16*$B$18*$B$20*$B$22,0)</f>
        <v/>
      </c>
      <c r="E31" s="40">
        <f>ROUND($B$4*$B$9*$B$12*$B$16*$B$18*$B$20*$B$23,0)</f>
        <v/>
      </c>
      <c r="F31" s="40">
        <f>ROUND($B$4*$B$9*$B$12*$B$16*$B$18*$B$21*$B$22,0)</f>
        <v/>
      </c>
      <c r="G31" s="40">
        <f>ROUND($B$4*$B$9*$B$12*$B$16*$B$18*$B$21*$B$23,0)</f>
        <v/>
      </c>
      <c r="H31" s="40">
        <f>ROUND($B$4*$B$9*$B$12*$B$16*$B$19*$B$20*$B$22,0)</f>
        <v/>
      </c>
      <c r="I31" s="40">
        <f>ROUND($B$4*$B$9*$B$12*$B$16*$B$19*$B$20*$B$23,0)</f>
        <v/>
      </c>
      <c r="J31" s="40">
        <f>ROUND($B$4*$B$9*$B$12*$B$16*$B$19*$B$21*$B$22,0)</f>
        <v/>
      </c>
      <c r="K31" s="40">
        <f>ROUND($B$4*$B$9*$B$12*$B$16*$B$19*$B$21*$B$23,0)</f>
        <v/>
      </c>
      <c r="L31" s="40">
        <f>ROUND($B$5*$B$9*$B$12*$B$16*$B$18*$B$20*$B$22,0)</f>
        <v/>
      </c>
      <c r="M31" s="40">
        <f>ROUND($B$5*$B$9*$B$12*$B$16*$B$18*$B$20*$B$23,0)</f>
        <v/>
      </c>
      <c r="N31" s="40">
        <f>ROUND($B$5*$B$9*$B$12*$B$16*$B$18*$B$21*$B$22,0)</f>
        <v/>
      </c>
      <c r="O31" s="40">
        <f>ROUND($B$5*$B$9*$B$12*$B$16*$B$18*$B$21*$B$23,0)</f>
        <v/>
      </c>
      <c r="P31" s="40">
        <f>ROUND($B$5*$B$9*$B$12*$B$16*$B$19*$B$20*$B$22,0)</f>
        <v/>
      </c>
      <c r="Q31" s="40">
        <f>ROUND($B$5*$B$9*$B$12*$B$16*$B$19*$B$20*$B$23,0)</f>
        <v/>
      </c>
      <c r="R31" s="40">
        <f>ROUND($B$5*$B$9*$B$12*$B$16*$B$19*$B$21*$B$22,0)</f>
        <v/>
      </c>
      <c r="S31" s="40">
        <f>ROUND($B$5*$B$9*$B$12*$B$16*$B$19*$B$21*$B$23,0)</f>
        <v/>
      </c>
      <c r="T31" s="40">
        <f>ROUND($B$6*$B$9*$B$12*$B$16*$B$18*$B$20*$B$22,0)</f>
        <v/>
      </c>
      <c r="U31" s="40">
        <f>ROUND($B$6*$B$9*$B$12*$B$16*$B$18*$B$20*$B$23,0)</f>
        <v/>
      </c>
      <c r="V31" s="40">
        <f>ROUND($B$6*$B$9*$B$12*$B$16*$B$18*$B$21*$B$22,0)</f>
        <v/>
      </c>
      <c r="W31" s="40">
        <f>ROUND($B$6*$B$9*$B$12*$B$16*$B$18*$B$21*$B$23,0)</f>
        <v/>
      </c>
      <c r="X31" s="40">
        <f>ROUND($B$6*$B$9*$B$12*$B$16*$B$19*$B$20*$B$22,0)</f>
        <v/>
      </c>
      <c r="Y31" s="40">
        <f>ROUND($B$6*$B$9*$B$12*$B$16*$B$19*$B$20*$B$23,0)</f>
        <v/>
      </c>
      <c r="Z31" s="40">
        <f>ROUND($B$6*$B$9*$B$12*$B$16*$B$19*$B$21*$B$22,0)</f>
        <v/>
      </c>
      <c r="AA31" s="40">
        <f>ROUND($B$6*$B$9*$B$12*$B$16*$B$19*$B$21*$B$23,0)</f>
        <v/>
      </c>
      <c r="AB31" s="41">
        <f>ROUND($B$7*$B$9*$B$12*$B$16*$B$18*$B$20*$B$22,0)</f>
        <v/>
      </c>
      <c r="AC31" s="41">
        <f>ROUND($B$7*$B$9*$B$12*$B$16*$B$18*$B$20*$B$23,0)</f>
        <v/>
      </c>
      <c r="AD31" s="41">
        <f>ROUND($B$7*$B$9*$B$12*$B$16*$B$18*$B$21*$B$22,0)</f>
        <v/>
      </c>
      <c r="AE31" s="41">
        <f>ROUND($B$7*$B$9*$B$12*$B$16*$B$18*$B$21*$B$23,0)</f>
        <v/>
      </c>
      <c r="AF31" s="41">
        <f>ROUND($B$7*$B$9*$B$12*$B$16*$B$19*$B$20*$B$22,0)</f>
        <v/>
      </c>
      <c r="AG31" s="41">
        <f>ROUND($B$7*$B$9*$B$12*$B$16*$B$19*$B$20*$B$23,0)</f>
        <v/>
      </c>
      <c r="AH31" s="41">
        <f>ROUND($B$7*$B$9*$B$12*$B$16*$B$19*$B$21*$B$22,0)</f>
        <v/>
      </c>
      <c r="AI31" s="41">
        <f>ROUND($B$7*$B$9*$B$12*$B$16*$B$19*$B$21*$B$23,0)</f>
        <v/>
      </c>
    </row>
    <row r="32" ht="20.1" customHeight="1" s="62">
      <c r="A32" s="90" t="n"/>
      <c r="B32" s="59" t="n"/>
      <c r="C32" s="42" t="inlineStr">
        <is>
          <t>6+ canaux</t>
        </is>
      </c>
      <c r="D32" s="40">
        <f>ROUND($B$4*$B$9*$B$12*$B$17*$B$18*$B$20*$B$22,0)</f>
        <v/>
      </c>
      <c r="E32" s="40">
        <f>ROUND($B$4*$B$9*$B$12*$B$17*$B$18*$B$20*$B$23,0)</f>
        <v/>
      </c>
      <c r="F32" s="40">
        <f>ROUND($B$4*$B$9*$B$12*$B$17*$B$18*$B$21*$B$22,0)</f>
        <v/>
      </c>
      <c r="G32" s="40">
        <f>ROUND($B$4*$B$9*$B$12*$B$17*$B$18*$B$21*$B$23,0)</f>
        <v/>
      </c>
      <c r="H32" s="40">
        <f>ROUND($B$4*$B$9*$B$12*$B$17*$B$19*$B$20*$B$22,0)</f>
        <v/>
      </c>
      <c r="I32" s="40">
        <f>ROUND($B$4*$B$9*$B$12*$B$17*$B$19*$B$20*$B$23,0)</f>
        <v/>
      </c>
      <c r="J32" s="40">
        <f>ROUND($B$4*$B$9*$B$12*$B$17*$B$19*$B$21*$B$22,0)</f>
        <v/>
      </c>
      <c r="K32" s="40">
        <f>ROUND($B$4*$B$9*$B$12*$B$17*$B$19*$B$21*$B$23,0)</f>
        <v/>
      </c>
      <c r="L32" s="40">
        <f>ROUND($B$5*$B$9*$B$12*$B$17*$B$18*$B$20*$B$22,0)</f>
        <v/>
      </c>
      <c r="M32" s="40">
        <f>ROUND($B$5*$B$9*$B$12*$B$17*$B$18*$B$20*$B$23,0)</f>
        <v/>
      </c>
      <c r="N32" s="40">
        <f>ROUND($B$5*$B$9*$B$12*$B$17*$B$18*$B$21*$B$22,0)</f>
        <v/>
      </c>
      <c r="O32" s="40">
        <f>ROUND($B$5*$B$9*$B$12*$B$17*$B$18*$B$21*$B$23,0)</f>
        <v/>
      </c>
      <c r="P32" s="40">
        <f>ROUND($B$5*$B$9*$B$12*$B$17*$B$19*$B$20*$B$22,0)</f>
        <v/>
      </c>
      <c r="Q32" s="40">
        <f>ROUND($B$5*$B$9*$B$12*$B$17*$B$19*$B$20*$B$23,0)</f>
        <v/>
      </c>
      <c r="R32" s="40">
        <f>ROUND($B$5*$B$9*$B$12*$B$17*$B$19*$B$21*$B$22,0)</f>
        <v/>
      </c>
      <c r="S32" s="40">
        <f>ROUND($B$5*$B$9*$B$12*$B$17*$B$19*$B$21*$B$23,0)</f>
        <v/>
      </c>
      <c r="T32" s="40">
        <f>ROUND($B$6*$B$9*$B$12*$B$17*$B$18*$B$20*$B$22,0)</f>
        <v/>
      </c>
      <c r="U32" s="40">
        <f>ROUND($B$6*$B$9*$B$12*$B$17*$B$18*$B$20*$B$23,0)</f>
        <v/>
      </c>
      <c r="V32" s="40">
        <f>ROUND($B$6*$B$9*$B$12*$B$17*$B$18*$B$21*$B$22,0)</f>
        <v/>
      </c>
      <c r="W32" s="40">
        <f>ROUND($B$6*$B$9*$B$12*$B$17*$B$18*$B$21*$B$23,0)</f>
        <v/>
      </c>
      <c r="X32" s="40">
        <f>ROUND($B$6*$B$9*$B$12*$B$17*$B$19*$B$20*$B$22,0)</f>
        <v/>
      </c>
      <c r="Y32" s="40">
        <f>ROUND($B$6*$B$9*$B$12*$B$17*$B$19*$B$20*$B$23,0)</f>
        <v/>
      </c>
      <c r="Z32" s="40">
        <f>ROUND($B$6*$B$9*$B$12*$B$17*$B$19*$B$21*$B$22,0)</f>
        <v/>
      </c>
      <c r="AA32" s="40">
        <f>ROUND($B$6*$B$9*$B$12*$B$17*$B$19*$B$21*$B$23,0)</f>
        <v/>
      </c>
      <c r="AB32" s="41">
        <f>ROUND($B$7*$B$9*$B$12*$B$17*$B$18*$B$20*$B$22,0)</f>
        <v/>
      </c>
      <c r="AC32" s="41">
        <f>ROUND($B$7*$B$9*$B$12*$B$17*$B$18*$B$20*$B$23,0)</f>
        <v/>
      </c>
      <c r="AD32" s="41">
        <f>ROUND($B$7*$B$9*$B$12*$B$17*$B$18*$B$21*$B$22,0)</f>
        <v/>
      </c>
      <c r="AE32" s="41">
        <f>ROUND($B$7*$B$9*$B$12*$B$17*$B$18*$B$21*$B$23,0)</f>
        <v/>
      </c>
      <c r="AF32" s="41">
        <f>ROUND($B$7*$B$9*$B$12*$B$17*$B$19*$B$20*$B$22,0)</f>
        <v/>
      </c>
      <c r="AG32" s="41">
        <f>ROUND($B$7*$B$9*$B$12*$B$17*$B$19*$B$20*$B$23,0)</f>
        <v/>
      </c>
      <c r="AH32" s="41">
        <f>ROUND($B$7*$B$9*$B$12*$B$17*$B$19*$B$21*$B$22,0)</f>
        <v/>
      </c>
      <c r="AI32" s="41">
        <f>ROUND($B$7*$B$9*$B$12*$B$17*$B$19*$B$21*$B$23,0)</f>
        <v/>
      </c>
    </row>
    <row r="33" ht="20.1" customHeight="1" s="62">
      <c r="A33" s="90" t="n"/>
      <c r="B33" s="87" t="inlineStr">
        <is>
          <t>Moyen</t>
        </is>
      </c>
      <c r="C33" s="39" t="inlineStr">
        <is>
          <t>1-2 canaux</t>
        </is>
      </c>
      <c r="D33" s="40">
        <f>ROUND($B$4*$B$9*$B$13*$B$15*$B$18*$B$20*$B$22,0)</f>
        <v/>
      </c>
      <c r="E33" s="40">
        <f>ROUND($B$4*$B$9*$B$13*$B$15*$B$18*$B$20*$B$23,0)</f>
        <v/>
      </c>
      <c r="F33" s="40">
        <f>ROUND($B$4*$B$9*$B$13*$B$15*$B$18*$B$21*$B$22,0)</f>
        <v/>
      </c>
      <c r="G33" s="40">
        <f>ROUND($B$4*$B$9*$B$13*$B$15*$B$18*$B$21*$B$23,0)</f>
        <v/>
      </c>
      <c r="H33" s="40">
        <f>ROUND($B$4*$B$9*$B$13*$B$15*$B$19*$B$20*$B$22,0)</f>
        <v/>
      </c>
      <c r="I33" s="40">
        <f>ROUND($B$4*$B$9*$B$13*$B$15*$B$19*$B$20*$B$23,0)</f>
        <v/>
      </c>
      <c r="J33" s="40">
        <f>ROUND($B$4*$B$9*$B$13*$B$15*$B$19*$B$21*$B$22,0)</f>
        <v/>
      </c>
      <c r="K33" s="40">
        <f>ROUND($B$4*$B$9*$B$13*$B$15*$B$19*$B$21*$B$23,0)</f>
        <v/>
      </c>
      <c r="L33" s="40">
        <f>ROUND($B$5*$B$9*$B$13*$B$15*$B$18*$B$20*$B$22,0)</f>
        <v/>
      </c>
      <c r="M33" s="40">
        <f>ROUND($B$5*$B$9*$B$13*$B$15*$B$18*$B$20*$B$23,0)</f>
        <v/>
      </c>
      <c r="N33" s="40">
        <f>ROUND($B$5*$B$9*$B$13*$B$15*$B$18*$B$21*$B$22,0)</f>
        <v/>
      </c>
      <c r="O33" s="40">
        <f>ROUND($B$5*$B$9*$B$13*$B$15*$B$18*$B$21*$B$23,0)</f>
        <v/>
      </c>
      <c r="P33" s="40">
        <f>ROUND($B$5*$B$9*$B$13*$B$15*$B$19*$B$20*$B$22,0)</f>
        <v/>
      </c>
      <c r="Q33" s="40">
        <f>ROUND($B$5*$B$9*$B$13*$B$15*$B$19*$B$20*$B$23,0)</f>
        <v/>
      </c>
      <c r="R33" s="40">
        <f>ROUND($B$5*$B$9*$B$13*$B$15*$B$19*$B$21*$B$22,0)</f>
        <v/>
      </c>
      <c r="S33" s="40">
        <f>ROUND($B$5*$B$9*$B$13*$B$15*$B$19*$B$21*$B$23,0)</f>
        <v/>
      </c>
      <c r="T33" s="40">
        <f>ROUND($B$6*$B$9*$B$13*$B$15*$B$18*$B$20*$B$22,0)</f>
        <v/>
      </c>
      <c r="U33" s="40">
        <f>ROUND($B$6*$B$9*$B$13*$B$15*$B$18*$B$20*$B$23,0)</f>
        <v/>
      </c>
      <c r="V33" s="40">
        <f>ROUND($B$6*$B$9*$B$13*$B$15*$B$18*$B$21*$B$22,0)</f>
        <v/>
      </c>
      <c r="W33" s="40">
        <f>ROUND($B$6*$B$9*$B$13*$B$15*$B$18*$B$21*$B$23,0)</f>
        <v/>
      </c>
      <c r="X33" s="40">
        <f>ROUND($B$6*$B$9*$B$13*$B$15*$B$19*$B$20*$B$22,0)</f>
        <v/>
      </c>
      <c r="Y33" s="40">
        <f>ROUND($B$6*$B$9*$B$13*$B$15*$B$19*$B$20*$B$23,0)</f>
        <v/>
      </c>
      <c r="Z33" s="40">
        <f>ROUND($B$6*$B$9*$B$13*$B$15*$B$19*$B$21*$B$22,0)</f>
        <v/>
      </c>
      <c r="AA33" s="40">
        <f>ROUND($B$6*$B$9*$B$13*$B$15*$B$19*$B$21*$B$23,0)</f>
        <v/>
      </c>
      <c r="AB33" s="41">
        <f>ROUND($B$7*$B$9*$B$13*$B$15*$B$18*$B$20*$B$22,0)</f>
        <v/>
      </c>
      <c r="AC33" s="41">
        <f>ROUND($B$7*$B$9*$B$13*$B$15*$B$18*$B$20*$B$23,0)</f>
        <v/>
      </c>
      <c r="AD33" s="41">
        <f>ROUND($B$7*$B$9*$B$13*$B$15*$B$18*$B$21*$B$22,0)</f>
        <v/>
      </c>
      <c r="AE33" s="41">
        <f>ROUND($B$7*$B$9*$B$13*$B$15*$B$18*$B$21*$B$23,0)</f>
        <v/>
      </c>
      <c r="AF33" s="41">
        <f>ROUND($B$7*$B$9*$B$13*$B$15*$B$19*$B$20*$B$22,0)</f>
        <v/>
      </c>
      <c r="AG33" s="41">
        <f>ROUND($B$7*$B$9*$B$13*$B$15*$B$19*$B$20*$B$23,0)</f>
        <v/>
      </c>
      <c r="AH33" s="41">
        <f>ROUND($B$7*$B$9*$B$13*$B$15*$B$19*$B$21*$B$22,0)</f>
        <v/>
      </c>
      <c r="AI33" s="41">
        <f>ROUND($B$7*$B$9*$B$13*$B$15*$B$19*$B$21*$B$23,0)</f>
        <v/>
      </c>
    </row>
    <row r="34" ht="20.1" customHeight="1" s="62">
      <c r="A34" s="90" t="n"/>
      <c r="B34" s="58" t="n"/>
      <c r="C34" s="87" t="inlineStr">
        <is>
          <t>3-5 canaux</t>
        </is>
      </c>
      <c r="D34" s="40">
        <f>ROUND($B$4*$B$9*$B$13*$B$16*$B$18*$B$20*$B$22,0)</f>
        <v/>
      </c>
      <c r="E34" s="40">
        <f>ROUND($B$4*$B$9*$B$13*$B$16*$B$18*$B$20*$B$23,0)</f>
        <v/>
      </c>
      <c r="F34" s="40">
        <f>ROUND($B$4*$B$9*$B$13*$B$16*$B$18*$B$21*$B$22,0)</f>
        <v/>
      </c>
      <c r="G34" s="40">
        <f>ROUND($B$4*$B$9*$B$13*$B$16*$B$18*$B$21*$B$23,0)</f>
        <v/>
      </c>
      <c r="H34" s="40">
        <f>ROUND($B$4*$B$9*$B$13*$B$16*$B$19*$B$20*$B$22,0)</f>
        <v/>
      </c>
      <c r="I34" s="40">
        <f>ROUND($B$4*$B$9*$B$13*$B$16*$B$19*$B$20*$B$23,0)</f>
        <v/>
      </c>
      <c r="J34" s="40">
        <f>ROUND($B$4*$B$9*$B$13*$B$16*$B$19*$B$21*$B$22,0)</f>
        <v/>
      </c>
      <c r="K34" s="40">
        <f>ROUND($B$4*$B$9*$B$13*$B$16*$B$19*$B$21*$B$23,0)</f>
        <v/>
      </c>
      <c r="L34" s="40">
        <f>ROUND($B$5*$B$9*$B$13*$B$16*$B$18*$B$20*$B$22,0)</f>
        <v/>
      </c>
      <c r="M34" s="40">
        <f>ROUND($B$5*$B$9*$B$13*$B$16*$B$18*$B$20*$B$23,0)</f>
        <v/>
      </c>
      <c r="N34" s="40">
        <f>ROUND($B$5*$B$9*$B$13*$B$16*$B$18*$B$21*$B$22,0)</f>
        <v/>
      </c>
      <c r="O34" s="40">
        <f>ROUND($B$5*$B$9*$B$13*$B$16*$B$18*$B$21*$B$23,0)</f>
        <v/>
      </c>
      <c r="P34" s="40">
        <f>ROUND($B$5*$B$9*$B$13*$B$16*$B$19*$B$20*$B$22,0)</f>
        <v/>
      </c>
      <c r="Q34" s="40">
        <f>ROUND($B$5*$B$9*$B$13*$B$16*$B$19*$B$20*$B$23,0)</f>
        <v/>
      </c>
      <c r="R34" s="40">
        <f>ROUND($B$5*$B$9*$B$13*$B$16*$B$19*$B$21*$B$22,0)</f>
        <v/>
      </c>
      <c r="S34" s="40">
        <f>ROUND($B$5*$B$9*$B$13*$B$16*$B$19*$B$21*$B$23,0)</f>
        <v/>
      </c>
      <c r="T34" s="40">
        <f>ROUND($B$6*$B$9*$B$13*$B$16*$B$18*$B$20*$B$22,0)</f>
        <v/>
      </c>
      <c r="U34" s="40">
        <f>ROUND($B$6*$B$9*$B$13*$B$16*$B$18*$B$20*$B$23,0)</f>
        <v/>
      </c>
      <c r="V34" s="40">
        <f>ROUND($B$6*$B$9*$B$13*$B$16*$B$18*$B$21*$B$22,0)</f>
        <v/>
      </c>
      <c r="W34" s="40">
        <f>ROUND($B$6*$B$9*$B$13*$B$16*$B$18*$B$21*$B$23,0)</f>
        <v/>
      </c>
      <c r="X34" s="40">
        <f>ROUND($B$6*$B$9*$B$13*$B$16*$B$19*$B$20*$B$22,0)</f>
        <v/>
      </c>
      <c r="Y34" s="40">
        <f>ROUND($B$6*$B$9*$B$13*$B$16*$B$19*$B$20*$B$23,0)</f>
        <v/>
      </c>
      <c r="Z34" s="40">
        <f>ROUND($B$6*$B$9*$B$13*$B$16*$B$19*$B$21*$B$22,0)</f>
        <v/>
      </c>
      <c r="AA34" s="40">
        <f>ROUND($B$6*$B$9*$B$13*$B$16*$B$19*$B$21*$B$23,0)</f>
        <v/>
      </c>
      <c r="AB34" s="41">
        <f>ROUND($B$7*$B$9*$B$13*$B$16*$B$18*$B$20*$B$22,0)</f>
        <v/>
      </c>
      <c r="AC34" s="41">
        <f>ROUND($B$7*$B$9*$B$13*$B$16*$B$18*$B$20*$B$23,0)</f>
        <v/>
      </c>
      <c r="AD34" s="41">
        <f>ROUND($B$7*$B$9*$B$13*$B$16*$B$18*$B$21*$B$22,0)</f>
        <v/>
      </c>
      <c r="AE34" s="41">
        <f>ROUND($B$7*$B$9*$B$13*$B$16*$B$18*$B$21*$B$23,0)</f>
        <v/>
      </c>
      <c r="AF34" s="41">
        <f>ROUND($B$7*$B$9*$B$13*$B$16*$B$19*$B$20*$B$22,0)</f>
        <v/>
      </c>
      <c r="AG34" s="41">
        <f>ROUND($B$7*$B$9*$B$13*$B$16*$B$19*$B$20*$B$23,0)</f>
        <v/>
      </c>
      <c r="AH34" s="41">
        <f>ROUND($B$7*$B$9*$B$13*$B$16*$B$19*$B$21*$B$22,0)</f>
        <v/>
      </c>
      <c r="AI34" s="41">
        <f>ROUND($B$7*$B$9*$B$13*$B$16*$B$19*$B$21*$B$23,0)</f>
        <v/>
      </c>
    </row>
    <row r="35" ht="20.1" customHeight="1" s="62">
      <c r="A35" s="90" t="n"/>
      <c r="B35" s="59" t="n"/>
      <c r="C35" s="42" t="inlineStr">
        <is>
          <t>6+ canaux</t>
        </is>
      </c>
      <c r="D35" s="40">
        <f>ROUND($B$4*$B$9*$B$13*$B$17*$B$18*$B$20*$B$22,0)</f>
        <v/>
      </c>
      <c r="E35" s="40">
        <f>ROUND($B$4*$B$9*$B$13*$B$17*$B$18*$B$20*$B$23,0)</f>
        <v/>
      </c>
      <c r="F35" s="40">
        <f>ROUND($B$4*$B$9*$B$13*$B$17*$B$18*$B$21*$B$22,0)</f>
        <v/>
      </c>
      <c r="G35" s="40">
        <f>ROUND($B$4*$B$9*$B$13*$B$17*$B$18*$B$21*$B$23,0)</f>
        <v/>
      </c>
      <c r="H35" s="40">
        <f>ROUND($B$4*$B$9*$B$13*$B$17*$B$19*$B$20*$B$22,0)</f>
        <v/>
      </c>
      <c r="I35" s="40">
        <f>ROUND($B$4*$B$9*$B$13*$B$17*$B$19*$B$20*$B$23,0)</f>
        <v/>
      </c>
      <c r="J35" s="40">
        <f>ROUND($B$4*$B$9*$B$13*$B$17*$B$19*$B$21*$B$22,0)</f>
        <v/>
      </c>
      <c r="K35" s="40">
        <f>ROUND($B$4*$B$9*$B$13*$B$17*$B$19*$B$21*$B$23,0)</f>
        <v/>
      </c>
      <c r="L35" s="40">
        <f>ROUND($B$5*$B$9*$B$13*$B$17*$B$18*$B$20*$B$22,0)</f>
        <v/>
      </c>
      <c r="M35" s="40">
        <f>ROUND($B$5*$B$9*$B$13*$B$17*$B$18*$B$20*$B$23,0)</f>
        <v/>
      </c>
      <c r="N35" s="40">
        <f>ROUND($B$5*$B$9*$B$13*$B$17*$B$18*$B$21*$B$22,0)</f>
        <v/>
      </c>
      <c r="O35" s="40">
        <f>ROUND($B$5*$B$9*$B$13*$B$17*$B$18*$B$21*$B$23,0)</f>
        <v/>
      </c>
      <c r="P35" s="40">
        <f>ROUND($B$5*$B$9*$B$13*$B$17*$B$19*$B$20*$B$22,0)</f>
        <v/>
      </c>
      <c r="Q35" s="40">
        <f>ROUND($B$5*$B$9*$B$13*$B$17*$B$19*$B$20*$B$23,0)</f>
        <v/>
      </c>
      <c r="R35" s="40">
        <f>ROUND($B$5*$B$9*$B$13*$B$17*$B$19*$B$21*$B$22,0)</f>
        <v/>
      </c>
      <c r="S35" s="40">
        <f>ROUND($B$5*$B$9*$B$13*$B$17*$B$19*$B$21*$B$23,0)</f>
        <v/>
      </c>
      <c r="T35" s="40">
        <f>ROUND($B$6*$B$9*$B$13*$B$17*$B$18*$B$20*$B$22,0)</f>
        <v/>
      </c>
      <c r="U35" s="40">
        <f>ROUND($B$6*$B$9*$B$13*$B$17*$B$18*$B$20*$B$23,0)</f>
        <v/>
      </c>
      <c r="V35" s="40">
        <f>ROUND($B$6*$B$9*$B$13*$B$17*$B$18*$B$21*$B$22,0)</f>
        <v/>
      </c>
      <c r="W35" s="40">
        <f>ROUND($B$6*$B$9*$B$13*$B$17*$B$18*$B$21*$B$23,0)</f>
        <v/>
      </c>
      <c r="X35" s="40">
        <f>ROUND($B$6*$B$9*$B$13*$B$17*$B$19*$B$20*$B$22,0)</f>
        <v/>
      </c>
      <c r="Y35" s="40">
        <f>ROUND($B$6*$B$9*$B$13*$B$17*$B$19*$B$20*$B$23,0)</f>
        <v/>
      </c>
      <c r="Z35" s="40">
        <f>ROUND($B$6*$B$9*$B$13*$B$17*$B$19*$B$21*$B$22,0)</f>
        <v/>
      </c>
      <c r="AA35" s="40">
        <f>ROUND($B$6*$B$9*$B$13*$B$17*$B$19*$B$21*$B$23,0)</f>
        <v/>
      </c>
      <c r="AB35" s="41">
        <f>ROUND($B$7*$B$9*$B$13*$B$17*$B$18*$B$20*$B$22,0)</f>
        <v/>
      </c>
      <c r="AC35" s="41">
        <f>ROUND($B$7*$B$9*$B$13*$B$17*$B$18*$B$20*$B$23,0)</f>
        <v/>
      </c>
      <c r="AD35" s="41">
        <f>ROUND($B$7*$B$9*$B$13*$B$17*$B$18*$B$21*$B$22,0)</f>
        <v/>
      </c>
      <c r="AE35" s="41">
        <f>ROUND($B$7*$B$9*$B$13*$B$17*$B$18*$B$21*$B$23,0)</f>
        <v/>
      </c>
      <c r="AF35" s="41">
        <f>ROUND($B$7*$B$9*$B$13*$B$17*$B$19*$B$20*$B$22,0)</f>
        <v/>
      </c>
      <c r="AG35" s="41">
        <f>ROUND($B$7*$B$9*$B$13*$B$17*$B$19*$B$20*$B$23,0)</f>
        <v/>
      </c>
      <c r="AH35" s="41">
        <f>ROUND($B$7*$B$9*$B$13*$B$17*$B$19*$B$21*$B$22,0)</f>
        <v/>
      </c>
      <c r="AI35" s="41">
        <f>ROUND($B$7*$B$9*$B$13*$B$17*$B$19*$B$21*$B$23,0)</f>
        <v/>
      </c>
    </row>
    <row r="36" ht="20.1" customHeight="1" s="62">
      <c r="A36" s="90" t="n"/>
      <c r="B36" s="87" t="inlineStr">
        <is>
          <t>Élevé</t>
        </is>
      </c>
      <c r="C36" s="39" t="inlineStr">
        <is>
          <t>1-2 canaux</t>
        </is>
      </c>
      <c r="D36" s="40">
        <f>ROUND($B$4*$B$9*$B$14*$B$15*$B$18*$B$20*$B$22,0)</f>
        <v/>
      </c>
      <c r="E36" s="40">
        <f>ROUND($B$4*$B$9*$B$14*$B$15*$B$18*$B$20*$B$23,0)</f>
        <v/>
      </c>
      <c r="F36" s="40">
        <f>ROUND($B$4*$B$9*$B$14*$B$15*$B$18*$B$21*$B$22,0)</f>
        <v/>
      </c>
      <c r="G36" s="40">
        <f>ROUND($B$4*$B$9*$B$14*$B$15*$B$18*$B$21*$B$23,0)</f>
        <v/>
      </c>
      <c r="H36" s="40">
        <f>ROUND($B$4*$B$9*$B$14*$B$15*$B$19*$B$20*$B$22,0)</f>
        <v/>
      </c>
      <c r="I36" s="40">
        <f>ROUND($B$4*$B$9*$B$14*$B$15*$B$19*$B$20*$B$23,0)</f>
        <v/>
      </c>
      <c r="J36" s="40">
        <f>ROUND($B$4*$B$9*$B$14*$B$15*$B$19*$B$21*$B$22,0)</f>
        <v/>
      </c>
      <c r="K36" s="40">
        <f>ROUND($B$4*$B$9*$B$14*$B$15*$B$19*$B$21*$B$23,0)</f>
        <v/>
      </c>
      <c r="L36" s="40">
        <f>ROUND($B$5*$B$9*$B$14*$B$15*$B$18*$B$20*$B$22,0)</f>
        <v/>
      </c>
      <c r="M36" s="40">
        <f>ROUND($B$5*$B$9*$B$14*$B$15*$B$18*$B$20*$B$23,0)</f>
        <v/>
      </c>
      <c r="N36" s="40">
        <f>ROUND($B$5*$B$9*$B$14*$B$15*$B$18*$B$21*$B$22,0)</f>
        <v/>
      </c>
      <c r="O36" s="40">
        <f>ROUND($B$5*$B$9*$B$14*$B$15*$B$18*$B$21*$B$23,0)</f>
        <v/>
      </c>
      <c r="P36" s="40">
        <f>ROUND($B$5*$B$9*$B$14*$B$15*$B$19*$B$20*$B$22,0)</f>
        <v/>
      </c>
      <c r="Q36" s="40">
        <f>ROUND($B$5*$B$9*$B$14*$B$15*$B$19*$B$20*$B$23,0)</f>
        <v/>
      </c>
      <c r="R36" s="40">
        <f>ROUND($B$5*$B$9*$B$14*$B$15*$B$19*$B$21*$B$22,0)</f>
        <v/>
      </c>
      <c r="S36" s="40">
        <f>ROUND($B$5*$B$9*$B$14*$B$15*$B$19*$B$21*$B$23,0)</f>
        <v/>
      </c>
      <c r="T36" s="40">
        <f>ROUND($B$6*$B$9*$B$14*$B$15*$B$18*$B$20*$B$22,0)</f>
        <v/>
      </c>
      <c r="U36" s="40">
        <f>ROUND($B$6*$B$9*$B$14*$B$15*$B$18*$B$20*$B$23,0)</f>
        <v/>
      </c>
      <c r="V36" s="40">
        <f>ROUND($B$6*$B$9*$B$14*$B$15*$B$18*$B$21*$B$22,0)</f>
        <v/>
      </c>
      <c r="W36" s="40">
        <f>ROUND($B$6*$B$9*$B$14*$B$15*$B$18*$B$21*$B$23,0)</f>
        <v/>
      </c>
      <c r="X36" s="40">
        <f>ROUND($B$6*$B$9*$B$14*$B$15*$B$19*$B$20*$B$22,0)</f>
        <v/>
      </c>
      <c r="Y36" s="40">
        <f>ROUND($B$6*$B$9*$B$14*$B$15*$B$19*$B$20*$B$23,0)</f>
        <v/>
      </c>
      <c r="Z36" s="40">
        <f>ROUND($B$6*$B$9*$B$14*$B$15*$B$19*$B$21*$B$22,0)</f>
        <v/>
      </c>
      <c r="AA36" s="40">
        <f>ROUND($B$6*$B$9*$B$14*$B$15*$B$19*$B$21*$B$23,0)</f>
        <v/>
      </c>
      <c r="AB36" s="41">
        <f>ROUND($B$7*$B$9*$B$14*$B$15*$B$18*$B$20*$B$22,0)</f>
        <v/>
      </c>
      <c r="AC36" s="41">
        <f>ROUND($B$7*$B$9*$B$14*$B$15*$B$18*$B$20*$B$23,0)</f>
        <v/>
      </c>
      <c r="AD36" s="41">
        <f>ROUND($B$7*$B$9*$B$14*$B$15*$B$18*$B$21*$B$22,0)</f>
        <v/>
      </c>
      <c r="AE36" s="41">
        <f>ROUND($B$7*$B$9*$B$14*$B$15*$B$18*$B$21*$B$23,0)</f>
        <v/>
      </c>
      <c r="AF36" s="41">
        <f>ROUND($B$7*$B$9*$B$14*$B$15*$B$19*$B$20*$B$22,0)</f>
        <v/>
      </c>
      <c r="AG36" s="41">
        <f>ROUND($B$7*$B$9*$B$14*$B$15*$B$19*$B$20*$B$23,0)</f>
        <v/>
      </c>
      <c r="AH36" s="41">
        <f>ROUND($B$7*$B$9*$B$14*$B$15*$B$19*$B$21*$B$22,0)</f>
        <v/>
      </c>
      <c r="AI36" s="41">
        <f>ROUND($B$7*$B$9*$B$14*$B$15*$B$19*$B$21*$B$23,0)</f>
        <v/>
      </c>
    </row>
    <row r="37" ht="20.1" customHeight="1" s="62">
      <c r="A37" s="90" t="n"/>
      <c r="B37" s="58" t="n"/>
      <c r="C37" s="87" t="inlineStr">
        <is>
          <t>3-5 canaux</t>
        </is>
      </c>
      <c r="D37" s="40">
        <f>ROUND($B$4*$B$9*$B$14*$B$16*$B$18*$B$20*$B$22,0)</f>
        <v/>
      </c>
      <c r="E37" s="40">
        <f>ROUND($B$4*$B$9*$B$14*$B$16*$B$18*$B$20*$B$23,0)</f>
        <v/>
      </c>
      <c r="F37" s="40">
        <f>ROUND($B$4*$B$9*$B$14*$B$16*$B$18*$B$21*$B$22,0)</f>
        <v/>
      </c>
      <c r="G37" s="40">
        <f>ROUND($B$4*$B$9*$B$14*$B$16*$B$18*$B$21*$B$23,0)</f>
        <v/>
      </c>
      <c r="H37" s="40">
        <f>ROUND($B$4*$B$9*$B$14*$B$16*$B$19*$B$20*$B$22,0)</f>
        <v/>
      </c>
      <c r="I37" s="40">
        <f>ROUND($B$4*$B$9*$B$14*$B$16*$B$19*$B$20*$B$23,0)</f>
        <v/>
      </c>
      <c r="J37" s="40">
        <f>ROUND($B$4*$B$9*$B$14*$B$16*$B$19*$B$21*$B$22,0)</f>
        <v/>
      </c>
      <c r="K37" s="40">
        <f>ROUND($B$4*$B$9*$B$14*$B$16*$B$19*$B$21*$B$23,0)</f>
        <v/>
      </c>
      <c r="L37" s="40">
        <f>ROUND($B$5*$B$9*$B$14*$B$16*$B$18*$B$20*$B$22,0)</f>
        <v/>
      </c>
      <c r="M37" s="40">
        <f>ROUND($B$5*$B$9*$B$14*$B$16*$B$18*$B$20*$B$23,0)</f>
        <v/>
      </c>
      <c r="N37" s="40">
        <f>ROUND($B$5*$B$9*$B$14*$B$16*$B$18*$B$21*$B$22,0)</f>
        <v/>
      </c>
      <c r="O37" s="40">
        <f>ROUND($B$5*$B$9*$B$14*$B$16*$B$18*$B$21*$B$23,0)</f>
        <v/>
      </c>
      <c r="P37" s="40">
        <f>ROUND($B$5*$B$9*$B$14*$B$16*$B$19*$B$20*$B$22,0)</f>
        <v/>
      </c>
      <c r="Q37" s="40">
        <f>ROUND($B$5*$B$9*$B$14*$B$16*$B$19*$B$20*$B$23,0)</f>
        <v/>
      </c>
      <c r="R37" s="40">
        <f>ROUND($B$5*$B$9*$B$14*$B$16*$B$19*$B$21*$B$22,0)</f>
        <v/>
      </c>
      <c r="S37" s="40">
        <f>ROUND($B$5*$B$9*$B$14*$B$16*$B$19*$B$21*$B$23,0)</f>
        <v/>
      </c>
      <c r="T37" s="40">
        <f>ROUND($B$6*$B$9*$B$14*$B$16*$B$18*$B$20*$B$22,0)</f>
        <v/>
      </c>
      <c r="U37" s="40">
        <f>ROUND($B$6*$B$9*$B$14*$B$16*$B$18*$B$20*$B$23,0)</f>
        <v/>
      </c>
      <c r="V37" s="40">
        <f>ROUND($B$6*$B$9*$B$14*$B$16*$B$18*$B$21*$B$22,0)</f>
        <v/>
      </c>
      <c r="W37" s="40">
        <f>ROUND($B$6*$B$9*$B$14*$B$16*$B$18*$B$21*$B$23,0)</f>
        <v/>
      </c>
      <c r="X37" s="40">
        <f>ROUND($B$6*$B$9*$B$14*$B$16*$B$19*$B$20*$B$22,0)</f>
        <v/>
      </c>
      <c r="Y37" s="40">
        <f>ROUND($B$6*$B$9*$B$14*$B$16*$B$19*$B$20*$B$23,0)</f>
        <v/>
      </c>
      <c r="Z37" s="40">
        <f>ROUND($B$6*$B$9*$B$14*$B$16*$B$19*$B$21*$B$22,0)</f>
        <v/>
      </c>
      <c r="AA37" s="40">
        <f>ROUND($B$6*$B$9*$B$14*$B$16*$B$19*$B$21*$B$23,0)</f>
        <v/>
      </c>
      <c r="AB37" s="41">
        <f>ROUND($B$7*$B$9*$B$14*$B$16*$B$18*$B$20*$B$22,0)</f>
        <v/>
      </c>
      <c r="AC37" s="41">
        <f>ROUND($B$7*$B$9*$B$14*$B$16*$B$18*$B$20*$B$23,0)</f>
        <v/>
      </c>
      <c r="AD37" s="41">
        <f>ROUND($B$7*$B$9*$B$14*$B$16*$B$18*$B$21*$B$22,0)</f>
        <v/>
      </c>
      <c r="AE37" s="41">
        <f>ROUND($B$7*$B$9*$B$14*$B$16*$B$18*$B$21*$B$23,0)</f>
        <v/>
      </c>
      <c r="AF37" s="41">
        <f>ROUND($B$7*$B$9*$B$14*$B$16*$B$19*$B$20*$B$22,0)</f>
        <v/>
      </c>
      <c r="AG37" s="41">
        <f>ROUND($B$7*$B$9*$B$14*$B$16*$B$19*$B$20*$B$23,0)</f>
        <v/>
      </c>
      <c r="AH37" s="41">
        <f>ROUND($B$7*$B$9*$B$14*$B$16*$B$19*$B$21*$B$22,0)</f>
        <v/>
      </c>
      <c r="AI37" s="41">
        <f>ROUND($B$7*$B$9*$B$14*$B$16*$B$19*$B$21*$B$23,0)</f>
        <v/>
      </c>
    </row>
    <row r="38" ht="20.1" customHeight="1" s="62">
      <c r="A38" s="91" t="n"/>
      <c r="B38" s="59" t="n"/>
      <c r="C38" s="42" t="inlineStr">
        <is>
          <t>6+ canaux</t>
        </is>
      </c>
      <c r="D38" s="40">
        <f>ROUND($B$4*$B$9*$B$14*$B$17*$B$18*$B$20*$B$22,0)</f>
        <v/>
      </c>
      <c r="E38" s="40">
        <f>ROUND($B$4*$B$9*$B$14*$B$17*$B$18*$B$20*$B$23,0)</f>
        <v/>
      </c>
      <c r="F38" s="40">
        <f>ROUND($B$4*$B$9*$B$14*$B$17*$B$18*$B$21*$B$22,0)</f>
        <v/>
      </c>
      <c r="G38" s="40">
        <f>ROUND($B$4*$B$9*$B$14*$B$17*$B$18*$B$21*$B$23,0)</f>
        <v/>
      </c>
      <c r="H38" s="40">
        <f>ROUND($B$4*$B$9*$B$14*$B$17*$B$19*$B$20*$B$22,0)</f>
        <v/>
      </c>
      <c r="I38" s="40">
        <f>ROUND($B$4*$B$9*$B$14*$B$17*$B$19*$B$20*$B$23,0)</f>
        <v/>
      </c>
      <c r="J38" s="40">
        <f>ROUND($B$4*$B$9*$B$14*$B$17*$B$19*$B$21*$B$22,0)</f>
        <v/>
      </c>
      <c r="K38" s="40">
        <f>ROUND($B$4*$B$9*$B$14*$B$17*$B$19*$B$21*$B$23,0)</f>
        <v/>
      </c>
      <c r="L38" s="40">
        <f>ROUND($B$5*$B$9*$B$14*$B$17*$B$18*$B$20*$B$22,0)</f>
        <v/>
      </c>
      <c r="M38" s="40">
        <f>ROUND($B$5*$B$9*$B$14*$B$17*$B$18*$B$20*$B$23,0)</f>
        <v/>
      </c>
      <c r="N38" s="40">
        <f>ROUND($B$5*$B$9*$B$14*$B$17*$B$18*$B$21*$B$22,0)</f>
        <v/>
      </c>
      <c r="O38" s="40">
        <f>ROUND($B$5*$B$9*$B$14*$B$17*$B$18*$B$21*$B$23,0)</f>
        <v/>
      </c>
      <c r="P38" s="40">
        <f>ROUND($B$5*$B$9*$B$14*$B$17*$B$19*$B$20*$B$22,0)</f>
        <v/>
      </c>
      <c r="Q38" s="40">
        <f>ROUND($B$5*$B$9*$B$14*$B$17*$B$19*$B$20*$B$23,0)</f>
        <v/>
      </c>
      <c r="R38" s="40">
        <f>ROUND($B$5*$B$9*$B$14*$B$17*$B$19*$B$21*$B$22,0)</f>
        <v/>
      </c>
      <c r="S38" s="40">
        <f>ROUND($B$5*$B$9*$B$14*$B$17*$B$19*$B$21*$B$23,0)</f>
        <v/>
      </c>
      <c r="T38" s="40">
        <f>ROUND($B$6*$B$9*$B$14*$B$17*$B$18*$B$20*$B$22,0)</f>
        <v/>
      </c>
      <c r="U38" s="40">
        <f>ROUND($B$6*$B$9*$B$14*$B$17*$B$18*$B$20*$B$23,0)</f>
        <v/>
      </c>
      <c r="V38" s="40">
        <f>ROUND($B$6*$B$9*$B$14*$B$17*$B$18*$B$21*$B$22,0)</f>
        <v/>
      </c>
      <c r="W38" s="40">
        <f>ROUND($B$6*$B$9*$B$14*$B$17*$B$18*$B$21*$B$23,0)</f>
        <v/>
      </c>
      <c r="X38" s="40">
        <f>ROUND($B$6*$B$9*$B$14*$B$17*$B$19*$B$20*$B$22,0)</f>
        <v/>
      </c>
      <c r="Y38" s="40">
        <f>ROUND($B$6*$B$9*$B$14*$B$17*$B$19*$B$20*$B$23,0)</f>
        <v/>
      </c>
      <c r="Z38" s="40">
        <f>ROUND($B$6*$B$9*$B$14*$B$17*$B$19*$B$21*$B$22,0)</f>
        <v/>
      </c>
      <c r="AA38" s="40">
        <f>ROUND($B$6*$B$9*$B$14*$B$17*$B$19*$B$21*$B$23,0)</f>
        <v/>
      </c>
      <c r="AB38" s="41">
        <f>ROUND($B$7*$B$9*$B$14*$B$17*$B$18*$B$20*$B$22,0)</f>
        <v/>
      </c>
      <c r="AC38" s="41">
        <f>ROUND($B$7*$B$9*$B$14*$B$17*$B$18*$B$20*$B$23,0)</f>
        <v/>
      </c>
      <c r="AD38" s="41">
        <f>ROUND($B$7*$B$9*$B$14*$B$17*$B$18*$B$21*$B$22,0)</f>
        <v/>
      </c>
      <c r="AE38" s="41">
        <f>ROUND($B$7*$B$9*$B$14*$B$17*$B$18*$B$21*$B$23,0)</f>
        <v/>
      </c>
      <c r="AF38" s="41">
        <f>ROUND($B$7*$B$9*$B$14*$B$17*$B$19*$B$20*$B$22,0)</f>
        <v/>
      </c>
      <c r="AG38" s="41">
        <f>ROUND($B$7*$B$9*$B$14*$B$17*$B$19*$B$20*$B$23,0)</f>
        <v/>
      </c>
      <c r="AH38" s="41">
        <f>ROUND($B$7*$B$9*$B$14*$B$17*$B$19*$B$21*$B$22,0)</f>
        <v/>
      </c>
      <c r="AI38" s="41">
        <f>ROUND($B$7*$B$9*$B$14*$B$17*$B$19*$B$21*$B$23,0)</f>
        <v/>
      </c>
    </row>
    <row r="39" ht="20.1" customHeight="1" s="62">
      <c r="A39" s="89" t="inlineStr">
        <is>
          <t>Partielle</t>
        </is>
      </c>
      <c r="B39" s="87" t="inlineStr">
        <is>
          <t>Faible</t>
        </is>
      </c>
      <c r="C39" s="39" t="inlineStr">
        <is>
          <t>1-2 canaux</t>
        </is>
      </c>
      <c r="D39" s="40">
        <f>ROUND($B$4*$B$10*$B$12*$B$15*$B$18*$B$20*$B$22,0)</f>
        <v/>
      </c>
      <c r="E39" s="40">
        <f>ROUND($B$4*$B$10*$B$12*$B$15*$B$18*$B$20*$B$23,0)</f>
        <v/>
      </c>
      <c r="F39" s="40">
        <f>ROUND($B$4*$B$10*$B$12*$B$15*$B$18*$B$21*$B$22,0)</f>
        <v/>
      </c>
      <c r="G39" s="40">
        <f>ROUND($B$4*$B$10*$B$12*$B$15*$B$18*$B$21*$B$23,0)</f>
        <v/>
      </c>
      <c r="H39" s="40">
        <f>ROUND($B$4*$B$10*$B$12*$B$15*$B$19*$B$20*$B$22,0)</f>
        <v/>
      </c>
      <c r="I39" s="40">
        <f>ROUND($B$4*$B$10*$B$12*$B$15*$B$19*$B$20*$B$23,0)</f>
        <v/>
      </c>
      <c r="J39" s="40">
        <f>ROUND($B$4*$B$10*$B$12*$B$15*$B$19*$B$21*$B$22,0)</f>
        <v/>
      </c>
      <c r="K39" s="40">
        <f>ROUND($B$4*$B$10*$B$12*$B$15*$B$19*$B$21*$B$23,0)</f>
        <v/>
      </c>
      <c r="L39" s="40">
        <f>ROUND($B$5*$B$10*$B$12*$B$15*$B$18*$B$20*$B$22,0)</f>
        <v/>
      </c>
      <c r="M39" s="40">
        <f>ROUND($B$5*$B$10*$B$12*$B$15*$B$18*$B$20*$B$23,0)</f>
        <v/>
      </c>
      <c r="N39" s="40">
        <f>ROUND($B$5*$B$10*$B$12*$B$15*$B$18*$B$21*$B$22,0)</f>
        <v/>
      </c>
      <c r="O39" s="40">
        <f>ROUND($B$5*$B$10*$B$12*$B$15*$B$18*$B$21*$B$23,0)</f>
        <v/>
      </c>
      <c r="P39" s="40">
        <f>ROUND($B$5*$B$10*$B$12*$B$15*$B$19*$B$20*$B$22,0)</f>
        <v/>
      </c>
      <c r="Q39" s="40">
        <f>ROUND($B$5*$B$10*$B$12*$B$15*$B$19*$B$20*$B$23,0)</f>
        <v/>
      </c>
      <c r="R39" s="40">
        <f>ROUND($B$5*$B$10*$B$12*$B$15*$B$19*$B$21*$B$22,0)</f>
        <v/>
      </c>
      <c r="S39" s="40">
        <f>ROUND($B$5*$B$10*$B$12*$B$15*$B$19*$B$21*$B$23,0)</f>
        <v/>
      </c>
      <c r="T39" s="40">
        <f>ROUND($B$6*$B$10*$B$12*$B$15*$B$18*$B$20*$B$22,0)</f>
        <v/>
      </c>
      <c r="U39" s="40">
        <f>ROUND($B$6*$B$10*$B$12*$B$15*$B$18*$B$20*$B$23,0)</f>
        <v/>
      </c>
      <c r="V39" s="40">
        <f>ROUND($B$6*$B$10*$B$12*$B$15*$B$18*$B$21*$B$22,0)</f>
        <v/>
      </c>
      <c r="W39" s="40">
        <f>ROUND($B$6*$B$10*$B$12*$B$15*$B$18*$B$21*$B$23,0)</f>
        <v/>
      </c>
      <c r="X39" s="40">
        <f>ROUND($B$6*$B$10*$B$12*$B$15*$B$19*$B$20*$B$22,0)</f>
        <v/>
      </c>
      <c r="Y39" s="40">
        <f>ROUND($B$6*$B$10*$B$12*$B$15*$B$19*$B$20*$B$23,0)</f>
        <v/>
      </c>
      <c r="Z39" s="40">
        <f>ROUND($B$6*$B$10*$B$12*$B$15*$B$19*$B$21*$B$22,0)</f>
        <v/>
      </c>
      <c r="AA39" s="40">
        <f>ROUND($B$6*$B$10*$B$12*$B$15*$B$19*$B$21*$B$23,0)</f>
        <v/>
      </c>
      <c r="AB39" s="41">
        <f>ROUND($B$7*$B$10*$B$12*$B$15*$B$18*$B$20*$B$22,0)</f>
        <v/>
      </c>
      <c r="AC39" s="41">
        <f>ROUND($B$7*$B$10*$B$12*$B$15*$B$18*$B$20*$B$23,0)</f>
        <v/>
      </c>
      <c r="AD39" s="41">
        <f>ROUND($B$7*$B$10*$B$12*$B$15*$B$18*$B$21*$B$22,0)</f>
        <v/>
      </c>
      <c r="AE39" s="41">
        <f>ROUND($B$7*$B$10*$B$12*$B$15*$B$18*$B$21*$B$23,0)</f>
        <v/>
      </c>
      <c r="AF39" s="41">
        <f>ROUND($B$7*$B$10*$B$12*$B$15*$B$19*$B$20*$B$22,0)</f>
        <v/>
      </c>
      <c r="AG39" s="41">
        <f>ROUND($B$7*$B$10*$B$12*$B$15*$B$19*$B$20*$B$23,0)</f>
        <v/>
      </c>
      <c r="AH39" s="41">
        <f>ROUND($B$7*$B$10*$B$12*$B$15*$B$19*$B$21*$B$22,0)</f>
        <v/>
      </c>
      <c r="AI39" s="41">
        <f>ROUND($B$7*$B$10*$B$12*$B$15*$B$19*$B$21*$B$23,0)</f>
        <v/>
      </c>
    </row>
    <row r="40" ht="20.1" customHeight="1" s="62">
      <c r="A40" s="90" t="n"/>
      <c r="B40" s="58" t="n"/>
      <c r="C40" s="87" t="inlineStr">
        <is>
          <t>3-5 canaux</t>
        </is>
      </c>
      <c r="D40" s="40">
        <f>ROUND($B$4*$B$10*$B$12*$B$16*$B$18*$B$20*$B$22,0)</f>
        <v/>
      </c>
      <c r="E40" s="40">
        <f>ROUND($B$4*$B$10*$B$12*$B$16*$B$18*$B$20*$B$23,0)</f>
        <v/>
      </c>
      <c r="F40" s="40">
        <f>ROUND($B$4*$B$10*$B$12*$B$16*$B$18*$B$21*$B$22,0)</f>
        <v/>
      </c>
      <c r="G40" s="40">
        <f>ROUND($B$4*$B$10*$B$12*$B$16*$B$18*$B$21*$B$23,0)</f>
        <v/>
      </c>
      <c r="H40" s="40">
        <f>ROUND($B$4*$B$10*$B$12*$B$16*$B$19*$B$20*$B$22,0)</f>
        <v/>
      </c>
      <c r="I40" s="40">
        <f>ROUND($B$4*$B$10*$B$12*$B$16*$B$19*$B$20*$B$23,0)</f>
        <v/>
      </c>
      <c r="J40" s="40">
        <f>ROUND($B$4*$B$10*$B$12*$B$16*$B$19*$B$21*$B$22,0)</f>
        <v/>
      </c>
      <c r="K40" s="40">
        <f>ROUND($B$4*$B$10*$B$12*$B$16*$B$19*$B$21*$B$23,0)</f>
        <v/>
      </c>
      <c r="L40" s="40">
        <f>ROUND($B$5*$B$10*$B$12*$B$16*$B$18*$B$20*$B$22,0)</f>
        <v/>
      </c>
      <c r="M40" s="40">
        <f>ROUND($B$5*$B$10*$B$12*$B$16*$B$18*$B$20*$B$23,0)</f>
        <v/>
      </c>
      <c r="N40" s="40">
        <f>ROUND($B$5*$B$10*$B$12*$B$16*$B$18*$B$21*$B$22,0)</f>
        <v/>
      </c>
      <c r="O40" s="40">
        <f>ROUND($B$5*$B$10*$B$12*$B$16*$B$18*$B$21*$B$23,0)</f>
        <v/>
      </c>
      <c r="P40" s="40">
        <f>ROUND($B$5*$B$10*$B$12*$B$16*$B$19*$B$20*$B$22,0)</f>
        <v/>
      </c>
      <c r="Q40" s="40">
        <f>ROUND($B$5*$B$10*$B$12*$B$16*$B$19*$B$20*$B$23,0)</f>
        <v/>
      </c>
      <c r="R40" s="40">
        <f>ROUND($B$5*$B$10*$B$12*$B$16*$B$19*$B$21*$B$22,0)</f>
        <v/>
      </c>
      <c r="S40" s="40">
        <f>ROUND($B$5*$B$10*$B$12*$B$16*$B$19*$B$21*$B$23,0)</f>
        <v/>
      </c>
      <c r="T40" s="40">
        <f>ROUND($B$6*$B$10*$B$12*$B$16*$B$18*$B$20*$B$22,0)</f>
        <v/>
      </c>
      <c r="U40" s="40">
        <f>ROUND($B$6*$B$10*$B$12*$B$16*$B$18*$B$20*$B$23,0)</f>
        <v/>
      </c>
      <c r="V40" s="40">
        <f>ROUND($B$6*$B$10*$B$12*$B$16*$B$18*$B$21*$B$22,0)</f>
        <v/>
      </c>
      <c r="W40" s="40">
        <f>ROUND($B$6*$B$10*$B$12*$B$16*$B$18*$B$21*$B$23,0)</f>
        <v/>
      </c>
      <c r="X40" s="40">
        <f>ROUND($B$6*$B$10*$B$12*$B$16*$B$19*$B$20*$B$22,0)</f>
        <v/>
      </c>
      <c r="Y40" s="40">
        <f>ROUND($B$6*$B$10*$B$12*$B$16*$B$19*$B$20*$B$23,0)</f>
        <v/>
      </c>
      <c r="Z40" s="40">
        <f>ROUND($B$6*$B$10*$B$12*$B$16*$B$19*$B$21*$B$22,0)</f>
        <v/>
      </c>
      <c r="AA40" s="40">
        <f>ROUND($B$6*$B$10*$B$12*$B$16*$B$19*$B$21*$B$23,0)</f>
        <v/>
      </c>
      <c r="AB40" s="41">
        <f>ROUND($B$7*$B$10*$B$12*$B$16*$B$18*$B$20*$B$22,0)</f>
        <v/>
      </c>
      <c r="AC40" s="41">
        <f>ROUND($B$7*$B$10*$B$12*$B$16*$B$18*$B$20*$B$23,0)</f>
        <v/>
      </c>
      <c r="AD40" s="41">
        <f>ROUND($B$7*$B$10*$B$12*$B$16*$B$18*$B$21*$B$22,0)</f>
        <v/>
      </c>
      <c r="AE40" s="41">
        <f>ROUND($B$7*$B$10*$B$12*$B$16*$B$18*$B$21*$B$23,0)</f>
        <v/>
      </c>
      <c r="AF40" s="41">
        <f>ROUND($B$7*$B$10*$B$12*$B$16*$B$19*$B$20*$B$22,0)</f>
        <v/>
      </c>
      <c r="AG40" s="41">
        <f>ROUND($B$7*$B$10*$B$12*$B$16*$B$19*$B$20*$B$23,0)</f>
        <v/>
      </c>
      <c r="AH40" s="41">
        <f>ROUND($B$7*$B$10*$B$12*$B$16*$B$19*$B$21*$B$22,0)</f>
        <v/>
      </c>
      <c r="AI40" s="41">
        <f>ROUND($B$7*$B$10*$B$12*$B$16*$B$19*$B$21*$B$23,0)</f>
        <v/>
      </c>
    </row>
    <row r="41" ht="20.1" customHeight="1" s="62">
      <c r="A41" s="90" t="n"/>
      <c r="B41" s="59" t="n"/>
      <c r="C41" s="42" t="inlineStr">
        <is>
          <t>6+ canaux</t>
        </is>
      </c>
      <c r="D41" s="40">
        <f>ROUND($B$4*$B$10*$B$12*$B$17*$B$18*$B$20*$B$22,0)</f>
        <v/>
      </c>
      <c r="E41" s="40">
        <f>ROUND($B$4*$B$10*$B$12*$B$17*$B$18*$B$20*$B$23,0)</f>
        <v/>
      </c>
      <c r="F41" s="40">
        <f>ROUND($B$4*$B$10*$B$12*$B$17*$B$18*$B$21*$B$22,0)</f>
        <v/>
      </c>
      <c r="G41" s="40">
        <f>ROUND($B$4*$B$10*$B$12*$B$17*$B$18*$B$21*$B$23,0)</f>
        <v/>
      </c>
      <c r="H41" s="40">
        <f>ROUND($B$4*$B$10*$B$12*$B$17*$B$19*$B$20*$B$22,0)</f>
        <v/>
      </c>
      <c r="I41" s="40">
        <f>ROUND($B$4*$B$10*$B$12*$B$17*$B$19*$B$20*$B$23,0)</f>
        <v/>
      </c>
      <c r="J41" s="40">
        <f>ROUND($B$4*$B$10*$B$12*$B$17*$B$19*$B$21*$B$22,0)</f>
        <v/>
      </c>
      <c r="K41" s="40">
        <f>ROUND($B$4*$B$10*$B$12*$B$17*$B$19*$B$21*$B$23,0)</f>
        <v/>
      </c>
      <c r="L41" s="40">
        <f>ROUND($B$5*$B$10*$B$12*$B$17*$B$18*$B$20*$B$22,0)</f>
        <v/>
      </c>
      <c r="M41" s="40">
        <f>ROUND($B$5*$B$10*$B$12*$B$17*$B$18*$B$20*$B$23,0)</f>
        <v/>
      </c>
      <c r="N41" s="40">
        <f>ROUND($B$5*$B$10*$B$12*$B$17*$B$18*$B$21*$B$22,0)</f>
        <v/>
      </c>
      <c r="O41" s="40">
        <f>ROUND($B$5*$B$10*$B$12*$B$17*$B$18*$B$21*$B$23,0)</f>
        <v/>
      </c>
      <c r="P41" s="40">
        <f>ROUND($B$5*$B$10*$B$12*$B$17*$B$19*$B$20*$B$22,0)</f>
        <v/>
      </c>
      <c r="Q41" s="40">
        <f>ROUND($B$5*$B$10*$B$12*$B$17*$B$19*$B$20*$B$23,0)</f>
        <v/>
      </c>
      <c r="R41" s="40">
        <f>ROUND($B$5*$B$10*$B$12*$B$17*$B$19*$B$21*$B$22,0)</f>
        <v/>
      </c>
      <c r="S41" s="40">
        <f>ROUND($B$5*$B$10*$B$12*$B$17*$B$19*$B$21*$B$23,0)</f>
        <v/>
      </c>
      <c r="T41" s="40">
        <f>ROUND($B$6*$B$10*$B$12*$B$17*$B$18*$B$20*$B$22,0)</f>
        <v/>
      </c>
      <c r="U41" s="40">
        <f>ROUND($B$6*$B$10*$B$12*$B$17*$B$18*$B$20*$B$23,0)</f>
        <v/>
      </c>
      <c r="V41" s="40">
        <f>ROUND($B$6*$B$10*$B$12*$B$17*$B$18*$B$21*$B$22,0)</f>
        <v/>
      </c>
      <c r="W41" s="40">
        <f>ROUND($B$6*$B$10*$B$12*$B$17*$B$18*$B$21*$B$23,0)</f>
        <v/>
      </c>
      <c r="X41" s="40">
        <f>ROUND($B$6*$B$10*$B$12*$B$17*$B$19*$B$20*$B$22,0)</f>
        <v/>
      </c>
      <c r="Y41" s="40">
        <f>ROUND($B$6*$B$10*$B$12*$B$17*$B$19*$B$20*$B$23,0)</f>
        <v/>
      </c>
      <c r="Z41" s="40">
        <f>ROUND($B$6*$B$10*$B$12*$B$17*$B$19*$B$21*$B$22,0)</f>
        <v/>
      </c>
      <c r="AA41" s="40">
        <f>ROUND($B$6*$B$10*$B$12*$B$17*$B$19*$B$21*$B$23,0)</f>
        <v/>
      </c>
      <c r="AB41" s="41">
        <f>ROUND($B$7*$B$10*$B$12*$B$17*$B$18*$B$20*$B$22,0)</f>
        <v/>
      </c>
      <c r="AC41" s="41">
        <f>ROUND($B$7*$B$10*$B$12*$B$17*$B$18*$B$20*$B$23,0)</f>
        <v/>
      </c>
      <c r="AD41" s="41">
        <f>ROUND($B$7*$B$10*$B$12*$B$17*$B$18*$B$21*$B$22,0)</f>
        <v/>
      </c>
      <c r="AE41" s="41">
        <f>ROUND($B$7*$B$10*$B$12*$B$17*$B$18*$B$21*$B$23,0)</f>
        <v/>
      </c>
      <c r="AF41" s="41">
        <f>ROUND($B$7*$B$10*$B$12*$B$17*$B$19*$B$20*$B$22,0)</f>
        <v/>
      </c>
      <c r="AG41" s="41">
        <f>ROUND($B$7*$B$10*$B$12*$B$17*$B$19*$B$20*$B$23,0)</f>
        <v/>
      </c>
      <c r="AH41" s="41">
        <f>ROUND($B$7*$B$10*$B$12*$B$17*$B$19*$B$21*$B$22,0)</f>
        <v/>
      </c>
      <c r="AI41" s="41">
        <f>ROUND($B$7*$B$10*$B$12*$B$17*$B$19*$B$21*$B$23,0)</f>
        <v/>
      </c>
    </row>
    <row r="42" ht="20.1" customHeight="1" s="62">
      <c r="A42" s="90" t="n"/>
      <c r="B42" s="87" t="inlineStr">
        <is>
          <t>Moyen</t>
        </is>
      </c>
      <c r="C42" s="39" t="inlineStr">
        <is>
          <t>1-2 canaux</t>
        </is>
      </c>
      <c r="D42" s="40">
        <f>ROUND($B$4*$B$10*$B$13*$B$15*$B$18*$B$20*$B$22,0)</f>
        <v/>
      </c>
      <c r="E42" s="40">
        <f>ROUND($B$4*$B$10*$B$13*$B$15*$B$18*$B$20*$B$23,0)</f>
        <v/>
      </c>
      <c r="F42" s="40">
        <f>ROUND($B$4*$B$10*$B$13*$B$15*$B$18*$B$21*$B$22,0)</f>
        <v/>
      </c>
      <c r="G42" s="40">
        <f>ROUND($B$4*$B$10*$B$13*$B$15*$B$18*$B$21*$B$23,0)</f>
        <v/>
      </c>
      <c r="H42" s="40">
        <f>ROUND($B$4*$B$10*$B$13*$B$15*$B$19*$B$20*$B$22,0)</f>
        <v/>
      </c>
      <c r="I42" s="40">
        <f>ROUND($B$4*$B$10*$B$13*$B$15*$B$19*$B$20*$B$23,0)</f>
        <v/>
      </c>
      <c r="J42" s="40">
        <f>ROUND($B$4*$B$10*$B$13*$B$15*$B$19*$B$21*$B$22,0)</f>
        <v/>
      </c>
      <c r="K42" s="40">
        <f>ROUND($B$4*$B$10*$B$13*$B$15*$B$19*$B$21*$B$23,0)</f>
        <v/>
      </c>
      <c r="L42" s="40">
        <f>ROUND($B$5*$B$10*$B$13*$B$15*$B$18*$B$20*$B$22,0)</f>
        <v/>
      </c>
      <c r="M42" s="40">
        <f>ROUND($B$5*$B$10*$B$13*$B$15*$B$18*$B$20*$B$23,0)</f>
        <v/>
      </c>
      <c r="N42" s="40">
        <f>ROUND($B$5*$B$10*$B$13*$B$15*$B$18*$B$21*$B$22,0)</f>
        <v/>
      </c>
      <c r="O42" s="40">
        <f>ROUND($B$5*$B$10*$B$13*$B$15*$B$18*$B$21*$B$23,0)</f>
        <v/>
      </c>
      <c r="P42" s="40">
        <f>ROUND($B$5*$B$10*$B$13*$B$15*$B$19*$B$20*$B$22,0)</f>
        <v/>
      </c>
      <c r="Q42" s="40">
        <f>ROUND($B$5*$B$10*$B$13*$B$15*$B$19*$B$20*$B$23,0)</f>
        <v/>
      </c>
      <c r="R42" s="40">
        <f>ROUND($B$5*$B$10*$B$13*$B$15*$B$19*$B$21*$B$22,0)</f>
        <v/>
      </c>
      <c r="S42" s="40">
        <f>ROUND($B$5*$B$10*$B$13*$B$15*$B$19*$B$21*$B$23,0)</f>
        <v/>
      </c>
      <c r="T42" s="40">
        <f>ROUND($B$6*$B$10*$B$13*$B$15*$B$18*$B$20*$B$22,0)</f>
        <v/>
      </c>
      <c r="U42" s="40">
        <f>ROUND($B$6*$B$10*$B$13*$B$15*$B$18*$B$20*$B$23,0)</f>
        <v/>
      </c>
      <c r="V42" s="40">
        <f>ROUND($B$6*$B$10*$B$13*$B$15*$B$18*$B$21*$B$22,0)</f>
        <v/>
      </c>
      <c r="W42" s="40">
        <f>ROUND($B$6*$B$10*$B$13*$B$15*$B$18*$B$21*$B$23,0)</f>
        <v/>
      </c>
      <c r="X42" s="40">
        <f>ROUND($B$6*$B$10*$B$13*$B$15*$B$19*$B$20*$B$22,0)</f>
        <v/>
      </c>
      <c r="Y42" s="40">
        <f>ROUND($B$6*$B$10*$B$13*$B$15*$B$19*$B$20*$B$23,0)</f>
        <v/>
      </c>
      <c r="Z42" s="40">
        <f>ROUND($B$6*$B$10*$B$13*$B$15*$B$19*$B$21*$B$22,0)</f>
        <v/>
      </c>
      <c r="AA42" s="40">
        <f>ROUND($B$6*$B$10*$B$13*$B$15*$B$19*$B$21*$B$23,0)</f>
        <v/>
      </c>
      <c r="AB42" s="41">
        <f>ROUND($B$7*$B$10*$B$13*$B$15*$B$18*$B$20*$B$22,0)</f>
        <v/>
      </c>
      <c r="AC42" s="41">
        <f>ROUND($B$7*$B$10*$B$13*$B$15*$B$18*$B$20*$B$23,0)</f>
        <v/>
      </c>
      <c r="AD42" s="41">
        <f>ROUND($B$7*$B$10*$B$13*$B$15*$B$18*$B$21*$B$22,0)</f>
        <v/>
      </c>
      <c r="AE42" s="41">
        <f>ROUND($B$7*$B$10*$B$13*$B$15*$B$18*$B$21*$B$23,0)</f>
        <v/>
      </c>
      <c r="AF42" s="41">
        <f>ROUND($B$7*$B$10*$B$13*$B$15*$B$19*$B$20*$B$22,0)</f>
        <v/>
      </c>
      <c r="AG42" s="41">
        <f>ROUND($B$7*$B$10*$B$13*$B$15*$B$19*$B$20*$B$23,0)</f>
        <v/>
      </c>
      <c r="AH42" s="41">
        <f>ROUND($B$7*$B$10*$B$13*$B$15*$B$19*$B$21*$B$22,0)</f>
        <v/>
      </c>
      <c r="AI42" s="41">
        <f>ROUND($B$7*$B$10*$B$13*$B$15*$B$19*$B$21*$B$23,0)</f>
        <v/>
      </c>
    </row>
    <row r="43" ht="20.1" customHeight="1" s="62">
      <c r="A43" s="90" t="n"/>
      <c r="B43" s="58" t="n"/>
      <c r="C43" s="87" t="inlineStr">
        <is>
          <t>3-5 canaux</t>
        </is>
      </c>
      <c r="D43" s="40">
        <f>ROUND($B$4*$B$10*$B$13*$B$16*$B$18*$B$20*$B$22,0)</f>
        <v/>
      </c>
      <c r="E43" s="40">
        <f>ROUND($B$4*$B$10*$B$13*$B$16*$B$18*$B$20*$B$23,0)</f>
        <v/>
      </c>
      <c r="F43" s="40">
        <f>ROUND($B$4*$B$10*$B$13*$B$16*$B$18*$B$21*$B$22,0)</f>
        <v/>
      </c>
      <c r="G43" s="40">
        <f>ROUND($B$4*$B$10*$B$13*$B$16*$B$18*$B$21*$B$23,0)</f>
        <v/>
      </c>
      <c r="H43" s="40">
        <f>ROUND($B$4*$B$10*$B$13*$B$16*$B$19*$B$20*$B$22,0)</f>
        <v/>
      </c>
      <c r="I43" s="40">
        <f>ROUND($B$4*$B$10*$B$13*$B$16*$B$19*$B$20*$B$23,0)</f>
        <v/>
      </c>
      <c r="J43" s="40">
        <f>ROUND($B$4*$B$10*$B$13*$B$16*$B$19*$B$21*$B$22,0)</f>
        <v/>
      </c>
      <c r="K43" s="40">
        <f>ROUND($B$4*$B$10*$B$13*$B$16*$B$19*$B$21*$B$23,0)</f>
        <v/>
      </c>
      <c r="L43" s="40">
        <f>ROUND($B$5*$B$10*$B$13*$B$16*$B$18*$B$20*$B$22,0)</f>
        <v/>
      </c>
      <c r="M43" s="40">
        <f>ROUND($B$5*$B$10*$B$13*$B$16*$B$18*$B$20*$B$23,0)</f>
        <v/>
      </c>
      <c r="N43" s="40">
        <f>ROUND($B$5*$B$10*$B$13*$B$16*$B$18*$B$21*$B$22,0)</f>
        <v/>
      </c>
      <c r="O43" s="40">
        <f>ROUND($B$5*$B$10*$B$13*$B$16*$B$18*$B$21*$B$23,0)</f>
        <v/>
      </c>
      <c r="P43" s="40">
        <f>ROUND($B$5*$B$10*$B$13*$B$16*$B$19*$B$20*$B$22,0)</f>
        <v/>
      </c>
      <c r="Q43" s="40">
        <f>ROUND($B$5*$B$10*$B$13*$B$16*$B$19*$B$20*$B$23,0)</f>
        <v/>
      </c>
      <c r="R43" s="40">
        <f>ROUND($B$5*$B$10*$B$13*$B$16*$B$19*$B$21*$B$22,0)</f>
        <v/>
      </c>
      <c r="S43" s="40">
        <f>ROUND($B$5*$B$10*$B$13*$B$16*$B$19*$B$21*$B$23,0)</f>
        <v/>
      </c>
      <c r="T43" s="40">
        <f>ROUND($B$6*$B$10*$B$13*$B$16*$B$18*$B$20*$B$22,0)</f>
        <v/>
      </c>
      <c r="U43" s="40">
        <f>ROUND($B$6*$B$10*$B$13*$B$16*$B$18*$B$20*$B$23,0)</f>
        <v/>
      </c>
      <c r="V43" s="40">
        <f>ROUND($B$6*$B$10*$B$13*$B$16*$B$18*$B$21*$B$22,0)</f>
        <v/>
      </c>
      <c r="W43" s="40">
        <f>ROUND($B$6*$B$10*$B$13*$B$16*$B$18*$B$21*$B$23,0)</f>
        <v/>
      </c>
      <c r="X43" s="40">
        <f>ROUND($B$6*$B$10*$B$13*$B$16*$B$19*$B$20*$B$22,0)</f>
        <v/>
      </c>
      <c r="Y43" s="40">
        <f>ROUND($B$6*$B$10*$B$13*$B$16*$B$19*$B$20*$B$23,0)</f>
        <v/>
      </c>
      <c r="Z43" s="40">
        <f>ROUND($B$6*$B$10*$B$13*$B$16*$B$19*$B$21*$B$22,0)</f>
        <v/>
      </c>
      <c r="AA43" s="40">
        <f>ROUND($B$6*$B$10*$B$13*$B$16*$B$19*$B$21*$B$23,0)</f>
        <v/>
      </c>
      <c r="AB43" s="41">
        <f>ROUND($B$7*$B$10*$B$13*$B$16*$B$18*$B$20*$B$22,0)</f>
        <v/>
      </c>
      <c r="AC43" s="41">
        <f>ROUND($B$7*$B$10*$B$13*$B$16*$B$18*$B$20*$B$23,0)</f>
        <v/>
      </c>
      <c r="AD43" s="41">
        <f>ROUND($B$7*$B$10*$B$13*$B$16*$B$18*$B$21*$B$22,0)</f>
        <v/>
      </c>
      <c r="AE43" s="41">
        <f>ROUND($B$7*$B$10*$B$13*$B$16*$B$18*$B$21*$B$23,0)</f>
        <v/>
      </c>
      <c r="AF43" s="41">
        <f>ROUND($B$7*$B$10*$B$13*$B$16*$B$19*$B$20*$B$22,0)</f>
        <v/>
      </c>
      <c r="AG43" s="41">
        <f>ROUND($B$7*$B$10*$B$13*$B$16*$B$19*$B$20*$B$23,0)</f>
        <v/>
      </c>
      <c r="AH43" s="41">
        <f>ROUND($B$7*$B$10*$B$13*$B$16*$B$19*$B$21*$B$22,0)</f>
        <v/>
      </c>
      <c r="AI43" s="41">
        <f>ROUND($B$7*$B$10*$B$13*$B$16*$B$19*$B$21*$B$23,0)</f>
        <v/>
      </c>
    </row>
    <row r="44" ht="20.1" customHeight="1" s="62">
      <c r="A44" s="90" t="n"/>
      <c r="B44" s="59" t="n"/>
      <c r="C44" s="42" t="inlineStr">
        <is>
          <t>6+ canaux</t>
        </is>
      </c>
      <c r="D44" s="40">
        <f>ROUND($B$4*$B$10*$B$13*$B$17*$B$18*$B$20*$B$22,0)</f>
        <v/>
      </c>
      <c r="E44" s="40">
        <f>ROUND($B$4*$B$10*$B$13*$B$17*$B$18*$B$20*$B$23,0)</f>
        <v/>
      </c>
      <c r="F44" s="40">
        <f>ROUND($B$4*$B$10*$B$13*$B$17*$B$18*$B$21*$B$22,0)</f>
        <v/>
      </c>
      <c r="G44" s="40">
        <f>ROUND($B$4*$B$10*$B$13*$B$17*$B$18*$B$21*$B$23,0)</f>
        <v/>
      </c>
      <c r="H44" s="40">
        <f>ROUND($B$4*$B$10*$B$13*$B$17*$B$19*$B$20*$B$22,0)</f>
        <v/>
      </c>
      <c r="I44" s="40">
        <f>ROUND($B$4*$B$10*$B$13*$B$17*$B$19*$B$20*$B$23,0)</f>
        <v/>
      </c>
      <c r="J44" s="40">
        <f>ROUND($B$4*$B$10*$B$13*$B$17*$B$19*$B$21*$B$22,0)</f>
        <v/>
      </c>
      <c r="K44" s="40">
        <f>ROUND($B$4*$B$10*$B$13*$B$17*$B$19*$B$21*$B$23,0)</f>
        <v/>
      </c>
      <c r="L44" s="40">
        <f>ROUND($B$5*$B$10*$B$13*$B$17*$B$18*$B$20*$B$22,0)</f>
        <v/>
      </c>
      <c r="M44" s="40">
        <f>ROUND($B$5*$B$10*$B$13*$B$17*$B$18*$B$20*$B$23,0)</f>
        <v/>
      </c>
      <c r="N44" s="40">
        <f>ROUND($B$5*$B$10*$B$13*$B$17*$B$18*$B$21*$B$22,0)</f>
        <v/>
      </c>
      <c r="O44" s="40">
        <f>ROUND($B$5*$B$10*$B$13*$B$17*$B$18*$B$21*$B$23,0)</f>
        <v/>
      </c>
      <c r="P44" s="40">
        <f>ROUND($B$5*$B$10*$B$13*$B$17*$B$19*$B$20*$B$22,0)</f>
        <v/>
      </c>
      <c r="Q44" s="40">
        <f>ROUND($B$5*$B$10*$B$13*$B$17*$B$19*$B$20*$B$23,0)</f>
        <v/>
      </c>
      <c r="R44" s="40">
        <f>ROUND($B$5*$B$10*$B$13*$B$17*$B$19*$B$21*$B$22,0)</f>
        <v/>
      </c>
      <c r="S44" s="40">
        <f>ROUND($B$5*$B$10*$B$13*$B$17*$B$19*$B$21*$B$23,0)</f>
        <v/>
      </c>
      <c r="T44" s="40">
        <f>ROUND($B$6*$B$10*$B$13*$B$17*$B$18*$B$20*$B$22,0)</f>
        <v/>
      </c>
      <c r="U44" s="40">
        <f>ROUND($B$6*$B$10*$B$13*$B$17*$B$18*$B$20*$B$23,0)</f>
        <v/>
      </c>
      <c r="V44" s="40">
        <f>ROUND($B$6*$B$10*$B$13*$B$17*$B$18*$B$21*$B$22,0)</f>
        <v/>
      </c>
      <c r="W44" s="40">
        <f>ROUND($B$6*$B$10*$B$13*$B$17*$B$18*$B$21*$B$23,0)</f>
        <v/>
      </c>
      <c r="X44" s="40">
        <f>ROUND($B$6*$B$10*$B$13*$B$17*$B$19*$B$20*$B$22,0)</f>
        <v/>
      </c>
      <c r="Y44" s="40">
        <f>ROUND($B$6*$B$10*$B$13*$B$17*$B$19*$B$20*$B$23,0)</f>
        <v/>
      </c>
      <c r="Z44" s="40">
        <f>ROUND($B$6*$B$10*$B$13*$B$17*$B$19*$B$21*$B$22,0)</f>
        <v/>
      </c>
      <c r="AA44" s="40">
        <f>ROUND($B$6*$B$10*$B$13*$B$17*$B$19*$B$21*$B$23,0)</f>
        <v/>
      </c>
      <c r="AB44" s="41">
        <f>ROUND($B$7*$B$10*$B$13*$B$17*$B$18*$B$20*$B$22,0)</f>
        <v/>
      </c>
      <c r="AC44" s="41">
        <f>ROUND($B$7*$B$10*$B$13*$B$17*$B$18*$B$20*$B$23,0)</f>
        <v/>
      </c>
      <c r="AD44" s="41">
        <f>ROUND($B$7*$B$10*$B$13*$B$17*$B$18*$B$21*$B$22,0)</f>
        <v/>
      </c>
      <c r="AE44" s="41">
        <f>ROUND($B$7*$B$10*$B$13*$B$17*$B$18*$B$21*$B$23,0)</f>
        <v/>
      </c>
      <c r="AF44" s="41">
        <f>ROUND($B$7*$B$10*$B$13*$B$17*$B$19*$B$20*$B$22,0)</f>
        <v/>
      </c>
      <c r="AG44" s="41">
        <f>ROUND($B$7*$B$10*$B$13*$B$17*$B$19*$B$20*$B$23,0)</f>
        <v/>
      </c>
      <c r="AH44" s="41">
        <f>ROUND($B$7*$B$10*$B$13*$B$17*$B$19*$B$21*$B$22,0)</f>
        <v/>
      </c>
      <c r="AI44" s="41">
        <f>ROUND($B$7*$B$10*$B$13*$B$17*$B$19*$B$21*$B$23,0)</f>
        <v/>
      </c>
    </row>
    <row r="45" ht="20.1" customHeight="1" s="62">
      <c r="A45" s="90" t="n"/>
      <c r="B45" s="87" t="inlineStr">
        <is>
          <t>Élevé</t>
        </is>
      </c>
      <c r="C45" s="39" t="inlineStr">
        <is>
          <t>1-2 canaux</t>
        </is>
      </c>
      <c r="D45" s="40">
        <f>ROUND($B$4*$B$10*$B$14*$B$15*$B$18*$B$20*$B$22,0)</f>
        <v/>
      </c>
      <c r="E45" s="40">
        <f>ROUND($B$4*$B$10*$B$14*$B$15*$B$18*$B$20*$B$23,0)</f>
        <v/>
      </c>
      <c r="F45" s="40">
        <f>ROUND($B$4*$B$10*$B$14*$B$15*$B$18*$B$21*$B$22,0)</f>
        <v/>
      </c>
      <c r="G45" s="40">
        <f>ROUND($B$4*$B$10*$B$14*$B$15*$B$18*$B$21*$B$23,0)</f>
        <v/>
      </c>
      <c r="H45" s="40">
        <f>ROUND($B$4*$B$10*$B$14*$B$15*$B$19*$B$20*$B$22,0)</f>
        <v/>
      </c>
      <c r="I45" s="40">
        <f>ROUND($B$4*$B$10*$B$14*$B$15*$B$19*$B$20*$B$23,0)</f>
        <v/>
      </c>
      <c r="J45" s="40">
        <f>ROUND($B$4*$B$10*$B$14*$B$15*$B$19*$B$21*$B$22,0)</f>
        <v/>
      </c>
      <c r="K45" s="40">
        <f>ROUND($B$4*$B$10*$B$14*$B$15*$B$19*$B$21*$B$23,0)</f>
        <v/>
      </c>
      <c r="L45" s="40">
        <f>ROUND($B$5*$B$10*$B$14*$B$15*$B$18*$B$20*$B$22,0)</f>
        <v/>
      </c>
      <c r="M45" s="40">
        <f>ROUND($B$5*$B$10*$B$14*$B$15*$B$18*$B$20*$B$23,0)</f>
        <v/>
      </c>
      <c r="N45" s="40">
        <f>ROUND($B$5*$B$10*$B$14*$B$15*$B$18*$B$21*$B$22,0)</f>
        <v/>
      </c>
      <c r="O45" s="40">
        <f>ROUND($B$5*$B$10*$B$14*$B$15*$B$18*$B$21*$B$23,0)</f>
        <v/>
      </c>
      <c r="P45" s="40">
        <f>ROUND($B$5*$B$10*$B$14*$B$15*$B$19*$B$20*$B$22,0)</f>
        <v/>
      </c>
      <c r="Q45" s="40">
        <f>ROUND($B$5*$B$10*$B$14*$B$15*$B$19*$B$20*$B$23,0)</f>
        <v/>
      </c>
      <c r="R45" s="40">
        <f>ROUND($B$5*$B$10*$B$14*$B$15*$B$19*$B$21*$B$22,0)</f>
        <v/>
      </c>
      <c r="S45" s="40">
        <f>ROUND($B$5*$B$10*$B$14*$B$15*$B$19*$B$21*$B$23,0)</f>
        <v/>
      </c>
      <c r="T45" s="40">
        <f>ROUND($B$6*$B$10*$B$14*$B$15*$B$18*$B$20*$B$22,0)</f>
        <v/>
      </c>
      <c r="U45" s="40">
        <f>ROUND($B$6*$B$10*$B$14*$B$15*$B$18*$B$20*$B$23,0)</f>
        <v/>
      </c>
      <c r="V45" s="40">
        <f>ROUND($B$6*$B$10*$B$14*$B$15*$B$18*$B$21*$B$22,0)</f>
        <v/>
      </c>
      <c r="W45" s="40">
        <f>ROUND($B$6*$B$10*$B$14*$B$15*$B$18*$B$21*$B$23,0)</f>
        <v/>
      </c>
      <c r="X45" s="40">
        <f>ROUND($B$6*$B$10*$B$14*$B$15*$B$19*$B$20*$B$22,0)</f>
        <v/>
      </c>
      <c r="Y45" s="40">
        <f>ROUND($B$6*$B$10*$B$14*$B$15*$B$19*$B$20*$B$23,0)</f>
        <v/>
      </c>
      <c r="Z45" s="40">
        <f>ROUND($B$6*$B$10*$B$14*$B$15*$B$19*$B$21*$B$22,0)</f>
        <v/>
      </c>
      <c r="AA45" s="40">
        <f>ROUND($B$6*$B$10*$B$14*$B$15*$B$19*$B$21*$B$23,0)</f>
        <v/>
      </c>
      <c r="AB45" s="41">
        <f>ROUND($B$7*$B$10*$B$14*$B$15*$B$18*$B$20*$B$22,0)</f>
        <v/>
      </c>
      <c r="AC45" s="41">
        <f>ROUND($B$7*$B$10*$B$14*$B$15*$B$18*$B$20*$B$23,0)</f>
        <v/>
      </c>
      <c r="AD45" s="41">
        <f>ROUND($B$7*$B$10*$B$14*$B$15*$B$18*$B$21*$B$22,0)</f>
        <v/>
      </c>
      <c r="AE45" s="41">
        <f>ROUND($B$7*$B$10*$B$14*$B$15*$B$18*$B$21*$B$23,0)</f>
        <v/>
      </c>
      <c r="AF45" s="41">
        <f>ROUND($B$7*$B$10*$B$14*$B$15*$B$19*$B$20*$B$22,0)</f>
        <v/>
      </c>
      <c r="AG45" s="41">
        <f>ROUND($B$7*$B$10*$B$14*$B$15*$B$19*$B$20*$B$23,0)</f>
        <v/>
      </c>
      <c r="AH45" s="41">
        <f>ROUND($B$7*$B$10*$B$14*$B$15*$B$19*$B$21*$B$22,0)</f>
        <v/>
      </c>
      <c r="AI45" s="41">
        <f>ROUND($B$7*$B$10*$B$14*$B$15*$B$19*$B$21*$B$23,0)</f>
        <v/>
      </c>
    </row>
    <row r="46" ht="20.1" customHeight="1" s="62">
      <c r="A46" s="90" t="n"/>
      <c r="B46" s="58" t="n"/>
      <c r="C46" s="87" t="inlineStr">
        <is>
          <t>3-5 canaux</t>
        </is>
      </c>
      <c r="D46" s="40">
        <f>ROUND($B$4*$B$10*$B$14*$B$16*$B$18*$B$20*$B$22,0)</f>
        <v/>
      </c>
      <c r="E46" s="40">
        <f>ROUND($B$4*$B$10*$B$14*$B$16*$B$18*$B$20*$B$23,0)</f>
        <v/>
      </c>
      <c r="F46" s="40">
        <f>ROUND($B$4*$B$10*$B$14*$B$16*$B$18*$B$21*$B$22,0)</f>
        <v/>
      </c>
      <c r="G46" s="40">
        <f>ROUND($B$4*$B$10*$B$14*$B$16*$B$18*$B$21*$B$23,0)</f>
        <v/>
      </c>
      <c r="H46" s="40">
        <f>ROUND($B$4*$B$10*$B$14*$B$16*$B$19*$B$20*$B$22,0)</f>
        <v/>
      </c>
      <c r="I46" s="40">
        <f>ROUND($B$4*$B$10*$B$14*$B$16*$B$19*$B$20*$B$23,0)</f>
        <v/>
      </c>
      <c r="J46" s="40">
        <f>ROUND($B$4*$B$10*$B$14*$B$16*$B$19*$B$21*$B$22,0)</f>
        <v/>
      </c>
      <c r="K46" s="40">
        <f>ROUND($B$4*$B$10*$B$14*$B$16*$B$19*$B$21*$B$23,0)</f>
        <v/>
      </c>
      <c r="L46" s="40">
        <f>ROUND($B$5*$B$10*$B$14*$B$16*$B$18*$B$20*$B$22,0)</f>
        <v/>
      </c>
      <c r="M46" s="40">
        <f>ROUND($B$5*$B$10*$B$14*$B$16*$B$18*$B$20*$B$23,0)</f>
        <v/>
      </c>
      <c r="N46" s="40">
        <f>ROUND($B$5*$B$10*$B$14*$B$16*$B$18*$B$21*$B$22,0)</f>
        <v/>
      </c>
      <c r="O46" s="40">
        <f>ROUND($B$5*$B$10*$B$14*$B$16*$B$18*$B$21*$B$23,0)</f>
        <v/>
      </c>
      <c r="P46" s="40">
        <f>ROUND($B$5*$B$10*$B$14*$B$16*$B$19*$B$20*$B$22,0)</f>
        <v/>
      </c>
      <c r="Q46" s="40">
        <f>ROUND($B$5*$B$10*$B$14*$B$16*$B$19*$B$20*$B$23,0)</f>
        <v/>
      </c>
      <c r="R46" s="40">
        <f>ROUND($B$5*$B$10*$B$14*$B$16*$B$19*$B$21*$B$22,0)</f>
        <v/>
      </c>
      <c r="S46" s="40">
        <f>ROUND($B$5*$B$10*$B$14*$B$16*$B$19*$B$21*$B$23,0)</f>
        <v/>
      </c>
      <c r="T46" s="40">
        <f>ROUND($B$6*$B$10*$B$14*$B$16*$B$18*$B$20*$B$22,0)</f>
        <v/>
      </c>
      <c r="U46" s="40">
        <f>ROUND($B$6*$B$10*$B$14*$B$16*$B$18*$B$20*$B$23,0)</f>
        <v/>
      </c>
      <c r="V46" s="40">
        <f>ROUND($B$6*$B$10*$B$14*$B$16*$B$18*$B$21*$B$22,0)</f>
        <v/>
      </c>
      <c r="W46" s="40">
        <f>ROUND($B$6*$B$10*$B$14*$B$16*$B$18*$B$21*$B$23,0)</f>
        <v/>
      </c>
      <c r="X46" s="40">
        <f>ROUND($B$6*$B$10*$B$14*$B$16*$B$19*$B$20*$B$22,0)</f>
        <v/>
      </c>
      <c r="Y46" s="40">
        <f>ROUND($B$6*$B$10*$B$14*$B$16*$B$19*$B$20*$B$23,0)</f>
        <v/>
      </c>
      <c r="Z46" s="40">
        <f>ROUND($B$6*$B$10*$B$14*$B$16*$B$19*$B$21*$B$22,0)</f>
        <v/>
      </c>
      <c r="AA46" s="40">
        <f>ROUND($B$6*$B$10*$B$14*$B$16*$B$19*$B$21*$B$23,0)</f>
        <v/>
      </c>
      <c r="AB46" s="41">
        <f>ROUND($B$7*$B$10*$B$14*$B$16*$B$18*$B$20*$B$22,0)</f>
        <v/>
      </c>
      <c r="AC46" s="41">
        <f>ROUND($B$7*$B$10*$B$14*$B$16*$B$18*$B$20*$B$23,0)</f>
        <v/>
      </c>
      <c r="AD46" s="41">
        <f>ROUND($B$7*$B$10*$B$14*$B$16*$B$18*$B$21*$B$22,0)</f>
        <v/>
      </c>
      <c r="AE46" s="41">
        <f>ROUND($B$7*$B$10*$B$14*$B$16*$B$18*$B$21*$B$23,0)</f>
        <v/>
      </c>
      <c r="AF46" s="41">
        <f>ROUND($B$7*$B$10*$B$14*$B$16*$B$19*$B$20*$B$22,0)</f>
        <v/>
      </c>
      <c r="AG46" s="41">
        <f>ROUND($B$7*$B$10*$B$14*$B$16*$B$19*$B$20*$B$23,0)</f>
        <v/>
      </c>
      <c r="AH46" s="41">
        <f>ROUND($B$7*$B$10*$B$14*$B$16*$B$19*$B$21*$B$22,0)</f>
        <v/>
      </c>
      <c r="AI46" s="41">
        <f>ROUND($B$7*$B$10*$B$14*$B$16*$B$19*$B$21*$B$23,0)</f>
        <v/>
      </c>
    </row>
    <row r="47" ht="20.1" customHeight="1" s="62">
      <c r="A47" s="91" t="n"/>
      <c r="B47" s="59" t="n"/>
      <c r="C47" s="42" t="inlineStr">
        <is>
          <t>6+ canaux</t>
        </is>
      </c>
      <c r="D47" s="40">
        <f>ROUND($B$4*$B$10*$B$14*$B$17*$B$18*$B$20*$B$22,0)</f>
        <v/>
      </c>
      <c r="E47" s="40">
        <f>ROUND($B$4*$B$10*$B$14*$B$17*$B$18*$B$20*$B$23,0)</f>
        <v/>
      </c>
      <c r="F47" s="40">
        <f>ROUND($B$4*$B$10*$B$14*$B$17*$B$18*$B$21*$B$22,0)</f>
        <v/>
      </c>
      <c r="G47" s="40">
        <f>ROUND($B$4*$B$10*$B$14*$B$17*$B$18*$B$21*$B$23,0)</f>
        <v/>
      </c>
      <c r="H47" s="40">
        <f>ROUND($B$4*$B$10*$B$14*$B$17*$B$19*$B$20*$B$22,0)</f>
        <v/>
      </c>
      <c r="I47" s="40">
        <f>ROUND($B$4*$B$10*$B$14*$B$17*$B$19*$B$20*$B$23,0)</f>
        <v/>
      </c>
      <c r="J47" s="40">
        <f>ROUND($B$4*$B$10*$B$14*$B$17*$B$19*$B$21*$B$22,0)</f>
        <v/>
      </c>
      <c r="K47" s="40">
        <f>ROUND($B$4*$B$10*$B$14*$B$17*$B$19*$B$21*$B$23,0)</f>
        <v/>
      </c>
      <c r="L47" s="40">
        <f>ROUND($B$5*$B$10*$B$14*$B$17*$B$18*$B$20*$B$22,0)</f>
        <v/>
      </c>
      <c r="M47" s="40">
        <f>ROUND($B$5*$B$10*$B$14*$B$17*$B$18*$B$20*$B$23,0)</f>
        <v/>
      </c>
      <c r="N47" s="40">
        <f>ROUND($B$5*$B$10*$B$14*$B$17*$B$18*$B$21*$B$22,0)</f>
        <v/>
      </c>
      <c r="O47" s="40">
        <f>ROUND($B$5*$B$10*$B$14*$B$17*$B$18*$B$21*$B$23,0)</f>
        <v/>
      </c>
      <c r="P47" s="40">
        <f>ROUND($B$5*$B$10*$B$14*$B$17*$B$19*$B$20*$B$22,0)</f>
        <v/>
      </c>
      <c r="Q47" s="40">
        <f>ROUND($B$5*$B$10*$B$14*$B$17*$B$19*$B$20*$B$23,0)</f>
        <v/>
      </c>
      <c r="R47" s="40">
        <f>ROUND($B$5*$B$10*$B$14*$B$17*$B$19*$B$21*$B$22,0)</f>
        <v/>
      </c>
      <c r="S47" s="40">
        <f>ROUND($B$5*$B$10*$B$14*$B$17*$B$19*$B$21*$B$23,0)</f>
        <v/>
      </c>
      <c r="T47" s="40">
        <f>ROUND($B$6*$B$10*$B$14*$B$17*$B$18*$B$20*$B$22,0)</f>
        <v/>
      </c>
      <c r="U47" s="40">
        <f>ROUND($B$6*$B$10*$B$14*$B$17*$B$18*$B$20*$B$23,0)</f>
        <v/>
      </c>
      <c r="V47" s="40">
        <f>ROUND($B$6*$B$10*$B$14*$B$17*$B$18*$B$21*$B$22,0)</f>
        <v/>
      </c>
      <c r="W47" s="40">
        <f>ROUND($B$6*$B$10*$B$14*$B$17*$B$18*$B$21*$B$23,0)</f>
        <v/>
      </c>
      <c r="X47" s="40">
        <f>ROUND($B$6*$B$10*$B$14*$B$17*$B$19*$B$20*$B$22,0)</f>
        <v/>
      </c>
      <c r="Y47" s="40">
        <f>ROUND($B$6*$B$10*$B$14*$B$17*$B$19*$B$20*$B$23,0)</f>
        <v/>
      </c>
      <c r="Z47" s="40">
        <f>ROUND($B$6*$B$10*$B$14*$B$17*$B$19*$B$21*$B$22,0)</f>
        <v/>
      </c>
      <c r="AA47" s="40">
        <f>ROUND($B$6*$B$10*$B$14*$B$17*$B$19*$B$21*$B$23,0)</f>
        <v/>
      </c>
      <c r="AB47" s="41">
        <f>ROUND($B$7*$B$10*$B$14*$B$17*$B$18*$B$20*$B$22,0)</f>
        <v/>
      </c>
      <c r="AC47" s="41">
        <f>ROUND($B$7*$B$10*$B$14*$B$17*$B$18*$B$20*$B$23,0)</f>
        <v/>
      </c>
      <c r="AD47" s="41">
        <f>ROUND($B$7*$B$10*$B$14*$B$17*$B$18*$B$21*$B$22,0)</f>
        <v/>
      </c>
      <c r="AE47" s="41">
        <f>ROUND($B$7*$B$10*$B$14*$B$17*$B$18*$B$21*$B$23,0)</f>
        <v/>
      </c>
      <c r="AF47" s="41">
        <f>ROUND($B$7*$B$10*$B$14*$B$17*$B$19*$B$20*$B$22,0)</f>
        <v/>
      </c>
      <c r="AG47" s="41">
        <f>ROUND($B$7*$B$10*$B$14*$B$17*$B$19*$B$20*$B$23,0)</f>
        <v/>
      </c>
      <c r="AH47" s="41">
        <f>ROUND($B$7*$B$10*$B$14*$B$17*$B$19*$B$21*$B$22,0)</f>
        <v/>
      </c>
      <c r="AI47" s="41">
        <f>ROUND($B$7*$B$10*$B$14*$B$17*$B$19*$B$21*$B$23,0)</f>
        <v/>
      </c>
    </row>
    <row r="48" ht="20.1" customHeight="1" s="62">
      <c r="A48" s="89" t="inlineStr">
        <is>
          <t>Déjà structurée</t>
        </is>
      </c>
      <c r="B48" s="87" t="inlineStr">
        <is>
          <t>Faible</t>
        </is>
      </c>
      <c r="C48" s="39" t="inlineStr">
        <is>
          <t>1-2 canaux</t>
        </is>
      </c>
      <c r="D48" s="40">
        <f>ROUND($B$4*$B$11*$B$12*$B$15*$B$18*$B$20*$B$22,0)</f>
        <v/>
      </c>
      <c r="E48" s="40">
        <f>ROUND($B$4*$B$11*$B$12*$B$15*$B$18*$B$20*$B$23,0)</f>
        <v/>
      </c>
      <c r="F48" s="40">
        <f>ROUND($B$4*$B$11*$B$12*$B$15*$B$18*$B$21*$B$22,0)</f>
        <v/>
      </c>
      <c r="G48" s="40">
        <f>ROUND($B$4*$B$11*$B$12*$B$15*$B$18*$B$21*$B$23,0)</f>
        <v/>
      </c>
      <c r="H48" s="40">
        <f>ROUND($B$4*$B$11*$B$12*$B$15*$B$19*$B$20*$B$22,0)</f>
        <v/>
      </c>
      <c r="I48" s="40">
        <f>ROUND($B$4*$B$11*$B$12*$B$15*$B$19*$B$20*$B$23,0)</f>
        <v/>
      </c>
      <c r="J48" s="40">
        <f>ROUND($B$4*$B$11*$B$12*$B$15*$B$19*$B$21*$B$22,0)</f>
        <v/>
      </c>
      <c r="K48" s="40">
        <f>ROUND($B$4*$B$11*$B$12*$B$15*$B$19*$B$21*$B$23,0)</f>
        <v/>
      </c>
      <c r="L48" s="40">
        <f>ROUND($B$5*$B$11*$B$12*$B$15*$B$18*$B$20*$B$22,0)</f>
        <v/>
      </c>
      <c r="M48" s="40">
        <f>ROUND($B$5*$B$11*$B$12*$B$15*$B$18*$B$20*$B$23,0)</f>
        <v/>
      </c>
      <c r="N48" s="40">
        <f>ROUND($B$5*$B$11*$B$12*$B$15*$B$18*$B$21*$B$22,0)</f>
        <v/>
      </c>
      <c r="O48" s="40">
        <f>ROUND($B$5*$B$11*$B$12*$B$15*$B$18*$B$21*$B$23,0)</f>
        <v/>
      </c>
      <c r="P48" s="40">
        <f>ROUND($B$5*$B$11*$B$12*$B$15*$B$19*$B$20*$B$22,0)</f>
        <v/>
      </c>
      <c r="Q48" s="40">
        <f>ROUND($B$5*$B$11*$B$12*$B$15*$B$19*$B$20*$B$23,0)</f>
        <v/>
      </c>
      <c r="R48" s="40">
        <f>ROUND($B$5*$B$11*$B$12*$B$15*$B$19*$B$21*$B$22,0)</f>
        <v/>
      </c>
      <c r="S48" s="40">
        <f>ROUND($B$5*$B$11*$B$12*$B$15*$B$19*$B$21*$B$23,0)</f>
        <v/>
      </c>
      <c r="T48" s="40">
        <f>ROUND($B$6*$B$11*$B$12*$B$15*$B$18*$B$20*$B$22,0)</f>
        <v/>
      </c>
      <c r="U48" s="40">
        <f>ROUND($B$6*$B$11*$B$12*$B$15*$B$18*$B$20*$B$23,0)</f>
        <v/>
      </c>
      <c r="V48" s="40">
        <f>ROUND($B$6*$B$11*$B$12*$B$15*$B$18*$B$21*$B$22,0)</f>
        <v/>
      </c>
      <c r="W48" s="40">
        <f>ROUND($B$6*$B$11*$B$12*$B$15*$B$18*$B$21*$B$23,0)</f>
        <v/>
      </c>
      <c r="X48" s="40">
        <f>ROUND($B$6*$B$11*$B$12*$B$15*$B$19*$B$20*$B$22,0)</f>
        <v/>
      </c>
      <c r="Y48" s="40">
        <f>ROUND($B$6*$B$11*$B$12*$B$15*$B$19*$B$20*$B$23,0)</f>
        <v/>
      </c>
      <c r="Z48" s="40">
        <f>ROUND($B$6*$B$11*$B$12*$B$15*$B$19*$B$21*$B$22,0)</f>
        <v/>
      </c>
      <c r="AA48" s="40">
        <f>ROUND($B$6*$B$11*$B$12*$B$15*$B$19*$B$21*$B$23,0)</f>
        <v/>
      </c>
      <c r="AB48" s="41">
        <f>ROUND($B$7*$B$11*$B$12*$B$15*$B$18*$B$20*$B$22,0)</f>
        <v/>
      </c>
      <c r="AC48" s="41">
        <f>ROUND($B$7*$B$11*$B$12*$B$15*$B$18*$B$20*$B$23,0)</f>
        <v/>
      </c>
      <c r="AD48" s="41">
        <f>ROUND($B$7*$B$11*$B$12*$B$15*$B$18*$B$21*$B$22,0)</f>
        <v/>
      </c>
      <c r="AE48" s="41">
        <f>ROUND($B$7*$B$11*$B$12*$B$15*$B$18*$B$21*$B$23,0)</f>
        <v/>
      </c>
      <c r="AF48" s="41">
        <f>ROUND($B$7*$B$11*$B$12*$B$15*$B$19*$B$20*$B$22,0)</f>
        <v/>
      </c>
      <c r="AG48" s="41">
        <f>ROUND($B$7*$B$11*$B$12*$B$15*$B$19*$B$20*$B$23,0)</f>
        <v/>
      </c>
      <c r="AH48" s="41">
        <f>ROUND($B$7*$B$11*$B$12*$B$15*$B$19*$B$21*$B$22,0)</f>
        <v/>
      </c>
      <c r="AI48" s="41">
        <f>ROUND($B$7*$B$11*$B$12*$B$15*$B$19*$B$21*$B$23,0)</f>
        <v/>
      </c>
    </row>
    <row r="49" ht="20.1" customHeight="1" s="62">
      <c r="A49" s="90" t="n"/>
      <c r="B49" s="58" t="n"/>
      <c r="C49" s="87" t="inlineStr">
        <is>
          <t>3-5 canaux</t>
        </is>
      </c>
      <c r="D49" s="40">
        <f>ROUND($B$4*$B$11*$B$12*$B$16*$B$18*$B$20*$B$22,0)</f>
        <v/>
      </c>
      <c r="E49" s="40">
        <f>ROUND($B$4*$B$11*$B$12*$B$16*$B$18*$B$20*$B$23,0)</f>
        <v/>
      </c>
      <c r="F49" s="40">
        <f>ROUND($B$4*$B$11*$B$12*$B$16*$B$18*$B$21*$B$22,0)</f>
        <v/>
      </c>
      <c r="G49" s="40">
        <f>ROUND($B$4*$B$11*$B$12*$B$16*$B$18*$B$21*$B$23,0)</f>
        <v/>
      </c>
      <c r="H49" s="40">
        <f>ROUND($B$4*$B$11*$B$12*$B$16*$B$19*$B$20*$B$22,0)</f>
        <v/>
      </c>
      <c r="I49" s="40">
        <f>ROUND($B$4*$B$11*$B$12*$B$16*$B$19*$B$20*$B$23,0)</f>
        <v/>
      </c>
      <c r="J49" s="40">
        <f>ROUND($B$4*$B$11*$B$12*$B$16*$B$19*$B$21*$B$22,0)</f>
        <v/>
      </c>
      <c r="K49" s="40">
        <f>ROUND($B$4*$B$11*$B$12*$B$16*$B$19*$B$21*$B$23,0)</f>
        <v/>
      </c>
      <c r="L49" s="40">
        <f>ROUND($B$5*$B$11*$B$12*$B$16*$B$18*$B$20*$B$22,0)</f>
        <v/>
      </c>
      <c r="M49" s="40">
        <f>ROUND($B$5*$B$11*$B$12*$B$16*$B$18*$B$20*$B$23,0)</f>
        <v/>
      </c>
      <c r="N49" s="40">
        <f>ROUND($B$5*$B$11*$B$12*$B$16*$B$18*$B$21*$B$22,0)</f>
        <v/>
      </c>
      <c r="O49" s="40">
        <f>ROUND($B$5*$B$11*$B$12*$B$16*$B$18*$B$21*$B$23,0)</f>
        <v/>
      </c>
      <c r="P49" s="40">
        <f>ROUND($B$5*$B$11*$B$12*$B$16*$B$19*$B$20*$B$22,0)</f>
        <v/>
      </c>
      <c r="Q49" s="40">
        <f>ROUND($B$5*$B$11*$B$12*$B$16*$B$19*$B$20*$B$23,0)</f>
        <v/>
      </c>
      <c r="R49" s="40">
        <f>ROUND($B$5*$B$11*$B$12*$B$16*$B$19*$B$21*$B$22,0)</f>
        <v/>
      </c>
      <c r="S49" s="40">
        <f>ROUND($B$5*$B$11*$B$12*$B$16*$B$19*$B$21*$B$23,0)</f>
        <v/>
      </c>
      <c r="T49" s="40">
        <f>ROUND($B$6*$B$11*$B$12*$B$16*$B$18*$B$20*$B$22,0)</f>
        <v/>
      </c>
      <c r="U49" s="40">
        <f>ROUND($B$6*$B$11*$B$12*$B$16*$B$18*$B$20*$B$23,0)</f>
        <v/>
      </c>
      <c r="V49" s="40">
        <f>ROUND($B$6*$B$11*$B$12*$B$16*$B$18*$B$21*$B$22,0)</f>
        <v/>
      </c>
      <c r="W49" s="40">
        <f>ROUND($B$6*$B$11*$B$12*$B$16*$B$18*$B$21*$B$23,0)</f>
        <v/>
      </c>
      <c r="X49" s="40">
        <f>ROUND($B$6*$B$11*$B$12*$B$16*$B$19*$B$20*$B$22,0)</f>
        <v/>
      </c>
      <c r="Y49" s="40">
        <f>ROUND($B$6*$B$11*$B$12*$B$16*$B$19*$B$20*$B$23,0)</f>
        <v/>
      </c>
      <c r="Z49" s="40">
        <f>ROUND($B$6*$B$11*$B$12*$B$16*$B$19*$B$21*$B$22,0)</f>
        <v/>
      </c>
      <c r="AA49" s="40">
        <f>ROUND($B$6*$B$11*$B$12*$B$16*$B$19*$B$21*$B$23,0)</f>
        <v/>
      </c>
      <c r="AB49" s="41">
        <f>ROUND($B$7*$B$11*$B$12*$B$16*$B$18*$B$20*$B$22,0)</f>
        <v/>
      </c>
      <c r="AC49" s="41">
        <f>ROUND($B$7*$B$11*$B$12*$B$16*$B$18*$B$20*$B$23,0)</f>
        <v/>
      </c>
      <c r="AD49" s="41">
        <f>ROUND($B$7*$B$11*$B$12*$B$16*$B$18*$B$21*$B$22,0)</f>
        <v/>
      </c>
      <c r="AE49" s="41">
        <f>ROUND($B$7*$B$11*$B$12*$B$16*$B$18*$B$21*$B$23,0)</f>
        <v/>
      </c>
      <c r="AF49" s="41">
        <f>ROUND($B$7*$B$11*$B$12*$B$16*$B$19*$B$20*$B$22,0)</f>
        <v/>
      </c>
      <c r="AG49" s="41">
        <f>ROUND($B$7*$B$11*$B$12*$B$16*$B$19*$B$20*$B$23,0)</f>
        <v/>
      </c>
      <c r="AH49" s="41">
        <f>ROUND($B$7*$B$11*$B$12*$B$16*$B$19*$B$21*$B$22,0)</f>
        <v/>
      </c>
      <c r="AI49" s="41">
        <f>ROUND($B$7*$B$11*$B$12*$B$16*$B$19*$B$21*$B$23,0)</f>
        <v/>
      </c>
    </row>
    <row r="50" ht="20.1" customHeight="1" s="62">
      <c r="A50" s="90" t="n"/>
      <c r="B50" s="59" t="n"/>
      <c r="C50" s="42" t="inlineStr">
        <is>
          <t>6+ canaux</t>
        </is>
      </c>
      <c r="D50" s="40">
        <f>ROUND($B$4*$B$11*$B$12*$B$17*$B$18*$B$20*$B$22,0)</f>
        <v/>
      </c>
      <c r="E50" s="40">
        <f>ROUND($B$4*$B$11*$B$12*$B$17*$B$18*$B$20*$B$23,0)</f>
        <v/>
      </c>
      <c r="F50" s="40">
        <f>ROUND($B$4*$B$11*$B$12*$B$17*$B$18*$B$21*$B$22,0)</f>
        <v/>
      </c>
      <c r="G50" s="40">
        <f>ROUND($B$4*$B$11*$B$12*$B$17*$B$18*$B$21*$B$23,0)</f>
        <v/>
      </c>
      <c r="H50" s="40">
        <f>ROUND($B$4*$B$11*$B$12*$B$17*$B$19*$B$20*$B$22,0)</f>
        <v/>
      </c>
      <c r="I50" s="40">
        <f>ROUND($B$4*$B$11*$B$12*$B$17*$B$19*$B$20*$B$23,0)</f>
        <v/>
      </c>
      <c r="J50" s="40">
        <f>ROUND($B$4*$B$11*$B$12*$B$17*$B$19*$B$21*$B$22,0)</f>
        <v/>
      </c>
      <c r="K50" s="40">
        <f>ROUND($B$4*$B$11*$B$12*$B$17*$B$19*$B$21*$B$23,0)</f>
        <v/>
      </c>
      <c r="L50" s="40">
        <f>ROUND($B$5*$B$11*$B$12*$B$17*$B$18*$B$20*$B$22,0)</f>
        <v/>
      </c>
      <c r="M50" s="40">
        <f>ROUND($B$5*$B$11*$B$12*$B$17*$B$18*$B$20*$B$23,0)</f>
        <v/>
      </c>
      <c r="N50" s="40">
        <f>ROUND($B$5*$B$11*$B$12*$B$17*$B$18*$B$21*$B$22,0)</f>
        <v/>
      </c>
      <c r="O50" s="40">
        <f>ROUND($B$5*$B$11*$B$12*$B$17*$B$18*$B$21*$B$23,0)</f>
        <v/>
      </c>
      <c r="P50" s="40">
        <f>ROUND($B$5*$B$11*$B$12*$B$17*$B$19*$B$20*$B$22,0)</f>
        <v/>
      </c>
      <c r="Q50" s="40">
        <f>ROUND($B$5*$B$11*$B$12*$B$17*$B$19*$B$20*$B$23,0)</f>
        <v/>
      </c>
      <c r="R50" s="40">
        <f>ROUND($B$5*$B$11*$B$12*$B$17*$B$19*$B$21*$B$22,0)</f>
        <v/>
      </c>
      <c r="S50" s="40">
        <f>ROUND($B$5*$B$11*$B$12*$B$17*$B$19*$B$21*$B$23,0)</f>
        <v/>
      </c>
      <c r="T50" s="40">
        <f>ROUND($B$6*$B$11*$B$12*$B$17*$B$18*$B$20*$B$22,0)</f>
        <v/>
      </c>
      <c r="U50" s="40">
        <f>ROUND($B$6*$B$11*$B$12*$B$17*$B$18*$B$20*$B$23,0)</f>
        <v/>
      </c>
      <c r="V50" s="40">
        <f>ROUND($B$6*$B$11*$B$12*$B$17*$B$18*$B$21*$B$22,0)</f>
        <v/>
      </c>
      <c r="W50" s="40">
        <f>ROUND($B$6*$B$11*$B$12*$B$17*$B$18*$B$21*$B$23,0)</f>
        <v/>
      </c>
      <c r="X50" s="40">
        <f>ROUND($B$6*$B$11*$B$12*$B$17*$B$19*$B$20*$B$22,0)</f>
        <v/>
      </c>
      <c r="Y50" s="40">
        <f>ROUND($B$6*$B$11*$B$12*$B$17*$B$19*$B$20*$B$23,0)</f>
        <v/>
      </c>
      <c r="Z50" s="40">
        <f>ROUND($B$6*$B$11*$B$12*$B$17*$B$19*$B$21*$B$22,0)</f>
        <v/>
      </c>
      <c r="AA50" s="40">
        <f>ROUND($B$6*$B$11*$B$12*$B$17*$B$19*$B$21*$B$23,0)</f>
        <v/>
      </c>
      <c r="AB50" s="41">
        <f>ROUND($B$7*$B$11*$B$12*$B$17*$B$18*$B$20*$B$22,0)</f>
        <v/>
      </c>
      <c r="AC50" s="41">
        <f>ROUND($B$7*$B$11*$B$12*$B$17*$B$18*$B$20*$B$23,0)</f>
        <v/>
      </c>
      <c r="AD50" s="41">
        <f>ROUND($B$7*$B$11*$B$12*$B$17*$B$18*$B$21*$B$22,0)</f>
        <v/>
      </c>
      <c r="AE50" s="41">
        <f>ROUND($B$7*$B$11*$B$12*$B$17*$B$18*$B$21*$B$23,0)</f>
        <v/>
      </c>
      <c r="AF50" s="41">
        <f>ROUND($B$7*$B$11*$B$12*$B$17*$B$19*$B$20*$B$22,0)</f>
        <v/>
      </c>
      <c r="AG50" s="41">
        <f>ROUND($B$7*$B$11*$B$12*$B$17*$B$19*$B$20*$B$23,0)</f>
        <v/>
      </c>
      <c r="AH50" s="41">
        <f>ROUND($B$7*$B$11*$B$12*$B$17*$B$19*$B$21*$B$22,0)</f>
        <v/>
      </c>
      <c r="AI50" s="41">
        <f>ROUND($B$7*$B$11*$B$12*$B$17*$B$19*$B$21*$B$23,0)</f>
        <v/>
      </c>
    </row>
    <row r="51" ht="20.1" customHeight="1" s="62">
      <c r="A51" s="90" t="n"/>
      <c r="B51" s="87" t="inlineStr">
        <is>
          <t>Moyen</t>
        </is>
      </c>
      <c r="C51" s="39" t="inlineStr">
        <is>
          <t>1-2 canaux</t>
        </is>
      </c>
      <c r="D51" s="40">
        <f>ROUND($B$4*$B$11*$B$13*$B$15*$B$18*$B$20*$B$22,0)</f>
        <v/>
      </c>
      <c r="E51" s="40">
        <f>ROUND($B$4*$B$11*$B$13*$B$15*$B$18*$B$20*$B$23,0)</f>
        <v/>
      </c>
      <c r="F51" s="40">
        <f>ROUND($B$4*$B$11*$B$13*$B$15*$B$18*$B$21*$B$22,0)</f>
        <v/>
      </c>
      <c r="G51" s="40">
        <f>ROUND($B$4*$B$11*$B$13*$B$15*$B$18*$B$21*$B$23,0)</f>
        <v/>
      </c>
      <c r="H51" s="40">
        <f>ROUND($B$4*$B$11*$B$13*$B$15*$B$19*$B$20*$B$22,0)</f>
        <v/>
      </c>
      <c r="I51" s="40">
        <f>ROUND($B$4*$B$11*$B$13*$B$15*$B$19*$B$20*$B$23,0)</f>
        <v/>
      </c>
      <c r="J51" s="40">
        <f>ROUND($B$4*$B$11*$B$13*$B$15*$B$19*$B$21*$B$22,0)</f>
        <v/>
      </c>
      <c r="K51" s="40">
        <f>ROUND($B$4*$B$11*$B$13*$B$15*$B$19*$B$21*$B$23,0)</f>
        <v/>
      </c>
      <c r="L51" s="40">
        <f>ROUND($B$5*$B$11*$B$13*$B$15*$B$18*$B$20*$B$22,0)</f>
        <v/>
      </c>
      <c r="M51" s="40">
        <f>ROUND($B$5*$B$11*$B$13*$B$15*$B$18*$B$20*$B$23,0)</f>
        <v/>
      </c>
      <c r="N51" s="40">
        <f>ROUND($B$5*$B$11*$B$13*$B$15*$B$18*$B$21*$B$22,0)</f>
        <v/>
      </c>
      <c r="O51" s="40">
        <f>ROUND($B$5*$B$11*$B$13*$B$15*$B$18*$B$21*$B$23,0)</f>
        <v/>
      </c>
      <c r="P51" s="40">
        <f>ROUND($B$5*$B$11*$B$13*$B$15*$B$19*$B$20*$B$22,0)</f>
        <v/>
      </c>
      <c r="Q51" s="40">
        <f>ROUND($B$5*$B$11*$B$13*$B$15*$B$19*$B$20*$B$23,0)</f>
        <v/>
      </c>
      <c r="R51" s="40">
        <f>ROUND($B$5*$B$11*$B$13*$B$15*$B$19*$B$21*$B$22,0)</f>
        <v/>
      </c>
      <c r="S51" s="40">
        <f>ROUND($B$5*$B$11*$B$13*$B$15*$B$19*$B$21*$B$23,0)</f>
        <v/>
      </c>
      <c r="T51" s="40">
        <f>ROUND($B$6*$B$11*$B$13*$B$15*$B$18*$B$20*$B$22,0)</f>
        <v/>
      </c>
      <c r="U51" s="40">
        <f>ROUND($B$6*$B$11*$B$13*$B$15*$B$18*$B$20*$B$23,0)</f>
        <v/>
      </c>
      <c r="V51" s="40">
        <f>ROUND($B$6*$B$11*$B$13*$B$15*$B$18*$B$21*$B$22,0)</f>
        <v/>
      </c>
      <c r="W51" s="40">
        <f>ROUND($B$6*$B$11*$B$13*$B$15*$B$18*$B$21*$B$23,0)</f>
        <v/>
      </c>
      <c r="X51" s="40">
        <f>ROUND($B$6*$B$11*$B$13*$B$15*$B$19*$B$20*$B$22,0)</f>
        <v/>
      </c>
      <c r="Y51" s="40">
        <f>ROUND($B$6*$B$11*$B$13*$B$15*$B$19*$B$20*$B$23,0)</f>
        <v/>
      </c>
      <c r="Z51" s="40">
        <f>ROUND($B$6*$B$11*$B$13*$B$15*$B$19*$B$21*$B$22,0)</f>
        <v/>
      </c>
      <c r="AA51" s="40">
        <f>ROUND($B$6*$B$11*$B$13*$B$15*$B$19*$B$21*$B$23,0)</f>
        <v/>
      </c>
      <c r="AB51" s="41">
        <f>ROUND($B$7*$B$11*$B$13*$B$15*$B$18*$B$20*$B$22,0)</f>
        <v/>
      </c>
      <c r="AC51" s="41">
        <f>ROUND($B$7*$B$11*$B$13*$B$15*$B$18*$B$20*$B$23,0)</f>
        <v/>
      </c>
      <c r="AD51" s="41">
        <f>ROUND($B$7*$B$11*$B$13*$B$15*$B$18*$B$21*$B$22,0)</f>
        <v/>
      </c>
      <c r="AE51" s="41">
        <f>ROUND($B$7*$B$11*$B$13*$B$15*$B$18*$B$21*$B$23,0)</f>
        <v/>
      </c>
      <c r="AF51" s="41">
        <f>ROUND($B$7*$B$11*$B$13*$B$15*$B$19*$B$20*$B$22,0)</f>
        <v/>
      </c>
      <c r="AG51" s="41">
        <f>ROUND($B$7*$B$11*$B$13*$B$15*$B$19*$B$20*$B$23,0)</f>
        <v/>
      </c>
      <c r="AH51" s="41">
        <f>ROUND($B$7*$B$11*$B$13*$B$15*$B$19*$B$21*$B$22,0)</f>
        <v/>
      </c>
      <c r="AI51" s="41">
        <f>ROUND($B$7*$B$11*$B$13*$B$15*$B$19*$B$21*$B$23,0)</f>
        <v/>
      </c>
    </row>
    <row r="52" ht="20.1" customHeight="1" s="62">
      <c r="A52" s="90" t="n"/>
      <c r="B52" s="58" t="n"/>
      <c r="C52" s="87" t="inlineStr">
        <is>
          <t>3-5 canaux</t>
        </is>
      </c>
      <c r="D52" s="40">
        <f>ROUND($B$4*$B$11*$B$13*$B$16*$B$18*$B$20*$B$22,0)</f>
        <v/>
      </c>
      <c r="E52" s="40">
        <f>ROUND($B$4*$B$11*$B$13*$B$16*$B$18*$B$20*$B$23,0)</f>
        <v/>
      </c>
      <c r="F52" s="40">
        <f>ROUND($B$4*$B$11*$B$13*$B$16*$B$18*$B$21*$B$22,0)</f>
        <v/>
      </c>
      <c r="G52" s="40">
        <f>ROUND($B$4*$B$11*$B$13*$B$16*$B$18*$B$21*$B$23,0)</f>
        <v/>
      </c>
      <c r="H52" s="40">
        <f>ROUND($B$4*$B$11*$B$13*$B$16*$B$19*$B$20*$B$22,0)</f>
        <v/>
      </c>
      <c r="I52" s="40">
        <f>ROUND($B$4*$B$11*$B$13*$B$16*$B$19*$B$20*$B$23,0)</f>
        <v/>
      </c>
      <c r="J52" s="40">
        <f>ROUND($B$4*$B$11*$B$13*$B$16*$B$19*$B$21*$B$22,0)</f>
        <v/>
      </c>
      <c r="K52" s="40">
        <f>ROUND($B$4*$B$11*$B$13*$B$16*$B$19*$B$21*$B$23,0)</f>
        <v/>
      </c>
      <c r="L52" s="40">
        <f>ROUND($B$5*$B$11*$B$13*$B$16*$B$18*$B$20*$B$22,0)</f>
        <v/>
      </c>
      <c r="M52" s="40">
        <f>ROUND($B$5*$B$11*$B$13*$B$16*$B$18*$B$20*$B$23,0)</f>
        <v/>
      </c>
      <c r="N52" s="40">
        <f>ROUND($B$5*$B$11*$B$13*$B$16*$B$18*$B$21*$B$22,0)</f>
        <v/>
      </c>
      <c r="O52" s="40">
        <f>ROUND($B$5*$B$11*$B$13*$B$16*$B$18*$B$21*$B$23,0)</f>
        <v/>
      </c>
      <c r="P52" s="40">
        <f>ROUND($B$5*$B$11*$B$13*$B$16*$B$19*$B$20*$B$22,0)</f>
        <v/>
      </c>
      <c r="Q52" s="40">
        <f>ROUND($B$5*$B$11*$B$13*$B$16*$B$19*$B$20*$B$23,0)</f>
        <v/>
      </c>
      <c r="R52" s="40">
        <f>ROUND($B$5*$B$11*$B$13*$B$16*$B$19*$B$21*$B$22,0)</f>
        <v/>
      </c>
      <c r="S52" s="40">
        <f>ROUND($B$5*$B$11*$B$13*$B$16*$B$19*$B$21*$B$23,0)</f>
        <v/>
      </c>
      <c r="T52" s="40">
        <f>ROUND($B$6*$B$11*$B$13*$B$16*$B$18*$B$20*$B$22,0)</f>
        <v/>
      </c>
      <c r="U52" s="40">
        <f>ROUND($B$6*$B$11*$B$13*$B$16*$B$18*$B$20*$B$23,0)</f>
        <v/>
      </c>
      <c r="V52" s="40">
        <f>ROUND($B$6*$B$11*$B$13*$B$16*$B$18*$B$21*$B$22,0)</f>
        <v/>
      </c>
      <c r="W52" s="40">
        <f>ROUND($B$6*$B$11*$B$13*$B$16*$B$18*$B$21*$B$23,0)</f>
        <v/>
      </c>
      <c r="X52" s="40">
        <f>ROUND($B$6*$B$11*$B$13*$B$16*$B$19*$B$20*$B$22,0)</f>
        <v/>
      </c>
      <c r="Y52" s="40">
        <f>ROUND($B$6*$B$11*$B$13*$B$16*$B$19*$B$20*$B$23,0)</f>
        <v/>
      </c>
      <c r="Z52" s="40">
        <f>ROUND($B$6*$B$11*$B$13*$B$16*$B$19*$B$21*$B$22,0)</f>
        <v/>
      </c>
      <c r="AA52" s="40">
        <f>ROUND($B$6*$B$11*$B$13*$B$16*$B$19*$B$21*$B$23,0)</f>
        <v/>
      </c>
      <c r="AB52" s="41">
        <f>ROUND($B$7*$B$11*$B$13*$B$16*$B$18*$B$20*$B$22,0)</f>
        <v/>
      </c>
      <c r="AC52" s="41">
        <f>ROUND($B$7*$B$11*$B$13*$B$16*$B$18*$B$20*$B$23,0)</f>
        <v/>
      </c>
      <c r="AD52" s="41">
        <f>ROUND($B$7*$B$11*$B$13*$B$16*$B$18*$B$21*$B$22,0)</f>
        <v/>
      </c>
      <c r="AE52" s="41">
        <f>ROUND($B$7*$B$11*$B$13*$B$16*$B$18*$B$21*$B$23,0)</f>
        <v/>
      </c>
      <c r="AF52" s="41">
        <f>ROUND($B$7*$B$11*$B$13*$B$16*$B$19*$B$20*$B$22,0)</f>
        <v/>
      </c>
      <c r="AG52" s="41">
        <f>ROUND($B$7*$B$11*$B$13*$B$16*$B$19*$B$20*$B$23,0)</f>
        <v/>
      </c>
      <c r="AH52" s="41">
        <f>ROUND($B$7*$B$11*$B$13*$B$16*$B$19*$B$21*$B$22,0)</f>
        <v/>
      </c>
      <c r="AI52" s="41">
        <f>ROUND($B$7*$B$11*$B$13*$B$16*$B$19*$B$21*$B$23,0)</f>
        <v/>
      </c>
    </row>
    <row r="53" ht="20.1" customHeight="1" s="62">
      <c r="A53" s="90" t="n"/>
      <c r="B53" s="59" t="n"/>
      <c r="C53" s="42" t="inlineStr">
        <is>
          <t>6+ canaux</t>
        </is>
      </c>
      <c r="D53" s="40">
        <f>ROUND($B$4*$B$11*$B$13*$B$17*$B$18*$B$20*$B$22,0)</f>
        <v/>
      </c>
      <c r="E53" s="40">
        <f>ROUND($B$4*$B$11*$B$13*$B$17*$B$18*$B$20*$B$23,0)</f>
        <v/>
      </c>
      <c r="F53" s="40">
        <f>ROUND($B$4*$B$11*$B$13*$B$17*$B$18*$B$21*$B$22,0)</f>
        <v/>
      </c>
      <c r="G53" s="40">
        <f>ROUND($B$4*$B$11*$B$13*$B$17*$B$18*$B$21*$B$23,0)</f>
        <v/>
      </c>
      <c r="H53" s="40">
        <f>ROUND($B$4*$B$11*$B$13*$B$17*$B$19*$B$20*$B$22,0)</f>
        <v/>
      </c>
      <c r="I53" s="40">
        <f>ROUND($B$4*$B$11*$B$13*$B$17*$B$19*$B$20*$B$23,0)</f>
        <v/>
      </c>
      <c r="J53" s="40">
        <f>ROUND($B$4*$B$11*$B$13*$B$17*$B$19*$B$21*$B$22,0)</f>
        <v/>
      </c>
      <c r="K53" s="40">
        <f>ROUND($B$4*$B$11*$B$13*$B$17*$B$19*$B$21*$B$23,0)</f>
        <v/>
      </c>
      <c r="L53" s="40">
        <f>ROUND($B$5*$B$11*$B$13*$B$17*$B$18*$B$20*$B$22,0)</f>
        <v/>
      </c>
      <c r="M53" s="40">
        <f>ROUND($B$5*$B$11*$B$13*$B$17*$B$18*$B$20*$B$23,0)</f>
        <v/>
      </c>
      <c r="N53" s="40">
        <f>ROUND($B$5*$B$11*$B$13*$B$17*$B$18*$B$21*$B$22,0)</f>
        <v/>
      </c>
      <c r="O53" s="40">
        <f>ROUND($B$5*$B$11*$B$13*$B$17*$B$18*$B$21*$B$23,0)</f>
        <v/>
      </c>
      <c r="P53" s="40">
        <f>ROUND($B$5*$B$11*$B$13*$B$17*$B$19*$B$20*$B$22,0)</f>
        <v/>
      </c>
      <c r="Q53" s="40">
        <f>ROUND($B$5*$B$11*$B$13*$B$17*$B$19*$B$20*$B$23,0)</f>
        <v/>
      </c>
      <c r="R53" s="40">
        <f>ROUND($B$5*$B$11*$B$13*$B$17*$B$19*$B$21*$B$22,0)</f>
        <v/>
      </c>
      <c r="S53" s="40">
        <f>ROUND($B$5*$B$11*$B$13*$B$17*$B$19*$B$21*$B$23,0)</f>
        <v/>
      </c>
      <c r="T53" s="40">
        <f>ROUND($B$6*$B$11*$B$13*$B$17*$B$18*$B$20*$B$22,0)</f>
        <v/>
      </c>
      <c r="U53" s="40">
        <f>ROUND($B$6*$B$11*$B$13*$B$17*$B$18*$B$20*$B$23,0)</f>
        <v/>
      </c>
      <c r="V53" s="40">
        <f>ROUND($B$6*$B$11*$B$13*$B$17*$B$18*$B$21*$B$22,0)</f>
        <v/>
      </c>
      <c r="W53" s="40">
        <f>ROUND($B$6*$B$11*$B$13*$B$17*$B$18*$B$21*$B$23,0)</f>
        <v/>
      </c>
      <c r="X53" s="40">
        <f>ROUND($B$6*$B$11*$B$13*$B$17*$B$19*$B$20*$B$22,0)</f>
        <v/>
      </c>
      <c r="Y53" s="40">
        <f>ROUND($B$6*$B$11*$B$13*$B$17*$B$19*$B$20*$B$23,0)</f>
        <v/>
      </c>
      <c r="Z53" s="40">
        <f>ROUND($B$6*$B$11*$B$13*$B$17*$B$19*$B$21*$B$22,0)</f>
        <v/>
      </c>
      <c r="AA53" s="40">
        <f>ROUND($B$6*$B$11*$B$13*$B$17*$B$19*$B$21*$B$23,0)</f>
        <v/>
      </c>
      <c r="AB53" s="41">
        <f>ROUND($B$7*$B$11*$B$13*$B$17*$B$18*$B$20*$B$22,0)</f>
        <v/>
      </c>
      <c r="AC53" s="41">
        <f>ROUND($B$7*$B$11*$B$13*$B$17*$B$18*$B$20*$B$23,0)</f>
        <v/>
      </c>
      <c r="AD53" s="41">
        <f>ROUND($B$7*$B$11*$B$13*$B$17*$B$18*$B$21*$B$22,0)</f>
        <v/>
      </c>
      <c r="AE53" s="41">
        <f>ROUND($B$7*$B$11*$B$13*$B$17*$B$18*$B$21*$B$23,0)</f>
        <v/>
      </c>
      <c r="AF53" s="41">
        <f>ROUND($B$7*$B$11*$B$13*$B$17*$B$19*$B$20*$B$22,0)</f>
        <v/>
      </c>
      <c r="AG53" s="41">
        <f>ROUND($B$7*$B$11*$B$13*$B$17*$B$19*$B$20*$B$23,0)</f>
        <v/>
      </c>
      <c r="AH53" s="41">
        <f>ROUND($B$7*$B$11*$B$13*$B$17*$B$19*$B$21*$B$22,0)</f>
        <v/>
      </c>
      <c r="AI53" s="41">
        <f>ROUND($B$7*$B$11*$B$13*$B$17*$B$19*$B$21*$B$23,0)</f>
        <v/>
      </c>
    </row>
    <row r="54" ht="20.1" customHeight="1" s="62">
      <c r="A54" s="90" t="n"/>
      <c r="B54" s="87" t="inlineStr">
        <is>
          <t>Élevé</t>
        </is>
      </c>
      <c r="C54" s="39" t="inlineStr">
        <is>
          <t>1-2 canaux</t>
        </is>
      </c>
      <c r="D54" s="40">
        <f>ROUND($B$4*$B$11*$B$14*$B$15*$B$18*$B$20*$B$22,0)</f>
        <v/>
      </c>
      <c r="E54" s="40">
        <f>ROUND($B$4*$B$11*$B$14*$B$15*$B$18*$B$20*$B$23,0)</f>
        <v/>
      </c>
      <c r="F54" s="40">
        <f>ROUND($B$4*$B$11*$B$14*$B$15*$B$18*$B$21*$B$22,0)</f>
        <v/>
      </c>
      <c r="G54" s="40">
        <f>ROUND($B$4*$B$11*$B$14*$B$15*$B$18*$B$21*$B$23,0)</f>
        <v/>
      </c>
      <c r="H54" s="40">
        <f>ROUND($B$4*$B$11*$B$14*$B$15*$B$19*$B$20*$B$22,0)</f>
        <v/>
      </c>
      <c r="I54" s="40">
        <f>ROUND($B$4*$B$11*$B$14*$B$15*$B$19*$B$20*$B$23,0)</f>
        <v/>
      </c>
      <c r="J54" s="40">
        <f>ROUND($B$4*$B$11*$B$14*$B$15*$B$19*$B$21*$B$22,0)</f>
        <v/>
      </c>
      <c r="K54" s="40">
        <f>ROUND($B$4*$B$11*$B$14*$B$15*$B$19*$B$21*$B$23,0)</f>
        <v/>
      </c>
      <c r="L54" s="40">
        <f>ROUND($B$5*$B$11*$B$14*$B$15*$B$18*$B$20*$B$22,0)</f>
        <v/>
      </c>
      <c r="M54" s="40">
        <f>ROUND($B$5*$B$11*$B$14*$B$15*$B$18*$B$20*$B$23,0)</f>
        <v/>
      </c>
      <c r="N54" s="40">
        <f>ROUND($B$5*$B$11*$B$14*$B$15*$B$18*$B$21*$B$22,0)</f>
        <v/>
      </c>
      <c r="O54" s="40">
        <f>ROUND($B$5*$B$11*$B$14*$B$15*$B$18*$B$21*$B$23,0)</f>
        <v/>
      </c>
      <c r="P54" s="40">
        <f>ROUND($B$5*$B$11*$B$14*$B$15*$B$19*$B$20*$B$22,0)</f>
        <v/>
      </c>
      <c r="Q54" s="40">
        <f>ROUND($B$5*$B$11*$B$14*$B$15*$B$19*$B$20*$B$23,0)</f>
        <v/>
      </c>
      <c r="R54" s="40">
        <f>ROUND($B$5*$B$11*$B$14*$B$15*$B$19*$B$21*$B$22,0)</f>
        <v/>
      </c>
      <c r="S54" s="40">
        <f>ROUND($B$5*$B$11*$B$14*$B$15*$B$19*$B$21*$B$23,0)</f>
        <v/>
      </c>
      <c r="T54" s="40">
        <f>ROUND($B$6*$B$11*$B$14*$B$15*$B$18*$B$20*$B$22,0)</f>
        <v/>
      </c>
      <c r="U54" s="40">
        <f>ROUND($B$6*$B$11*$B$14*$B$15*$B$18*$B$20*$B$23,0)</f>
        <v/>
      </c>
      <c r="V54" s="40">
        <f>ROUND($B$6*$B$11*$B$14*$B$15*$B$18*$B$21*$B$22,0)</f>
        <v/>
      </c>
      <c r="W54" s="40">
        <f>ROUND($B$6*$B$11*$B$14*$B$15*$B$18*$B$21*$B$23,0)</f>
        <v/>
      </c>
      <c r="X54" s="40">
        <f>ROUND($B$6*$B$11*$B$14*$B$15*$B$19*$B$20*$B$22,0)</f>
        <v/>
      </c>
      <c r="Y54" s="40">
        <f>ROUND($B$6*$B$11*$B$14*$B$15*$B$19*$B$20*$B$23,0)</f>
        <v/>
      </c>
      <c r="Z54" s="40">
        <f>ROUND($B$6*$B$11*$B$14*$B$15*$B$19*$B$21*$B$22,0)</f>
        <v/>
      </c>
      <c r="AA54" s="40">
        <f>ROUND($B$6*$B$11*$B$14*$B$15*$B$19*$B$21*$B$23,0)</f>
        <v/>
      </c>
      <c r="AB54" s="41">
        <f>ROUND($B$7*$B$11*$B$14*$B$15*$B$18*$B$20*$B$22,0)</f>
        <v/>
      </c>
      <c r="AC54" s="41">
        <f>ROUND($B$7*$B$11*$B$14*$B$15*$B$18*$B$20*$B$23,0)</f>
        <v/>
      </c>
      <c r="AD54" s="41">
        <f>ROUND($B$7*$B$11*$B$14*$B$15*$B$18*$B$21*$B$22,0)</f>
        <v/>
      </c>
      <c r="AE54" s="41">
        <f>ROUND($B$7*$B$11*$B$14*$B$15*$B$18*$B$21*$B$23,0)</f>
        <v/>
      </c>
      <c r="AF54" s="41">
        <f>ROUND($B$7*$B$11*$B$14*$B$15*$B$19*$B$20*$B$22,0)</f>
        <v/>
      </c>
      <c r="AG54" s="41">
        <f>ROUND($B$7*$B$11*$B$14*$B$15*$B$19*$B$20*$B$23,0)</f>
        <v/>
      </c>
      <c r="AH54" s="41">
        <f>ROUND($B$7*$B$11*$B$14*$B$15*$B$19*$B$21*$B$22,0)</f>
        <v/>
      </c>
      <c r="AI54" s="41">
        <f>ROUND($B$7*$B$11*$B$14*$B$15*$B$19*$B$21*$B$23,0)</f>
        <v/>
      </c>
    </row>
    <row r="55" ht="20.1" customHeight="1" s="62">
      <c r="A55" s="90" t="n"/>
      <c r="B55" s="58" t="n"/>
      <c r="C55" s="87" t="inlineStr">
        <is>
          <t>3-5 canaux</t>
        </is>
      </c>
      <c r="D55" s="40">
        <f>ROUND($B$4*$B$11*$B$14*$B$16*$B$18*$B$20*$B$22,0)</f>
        <v/>
      </c>
      <c r="E55" s="40">
        <f>ROUND($B$4*$B$11*$B$14*$B$16*$B$18*$B$20*$B$23,0)</f>
        <v/>
      </c>
      <c r="F55" s="40">
        <f>ROUND($B$4*$B$11*$B$14*$B$16*$B$18*$B$21*$B$22,0)</f>
        <v/>
      </c>
      <c r="G55" s="40">
        <f>ROUND($B$4*$B$11*$B$14*$B$16*$B$18*$B$21*$B$23,0)</f>
        <v/>
      </c>
      <c r="H55" s="40">
        <f>ROUND($B$4*$B$11*$B$14*$B$16*$B$19*$B$20*$B$22,0)</f>
        <v/>
      </c>
      <c r="I55" s="40">
        <f>ROUND($B$4*$B$11*$B$14*$B$16*$B$19*$B$20*$B$23,0)</f>
        <v/>
      </c>
      <c r="J55" s="40">
        <f>ROUND($B$4*$B$11*$B$14*$B$16*$B$19*$B$21*$B$22,0)</f>
        <v/>
      </c>
      <c r="K55" s="40">
        <f>ROUND($B$4*$B$11*$B$14*$B$16*$B$19*$B$21*$B$23,0)</f>
        <v/>
      </c>
      <c r="L55" s="40">
        <f>ROUND($B$5*$B$11*$B$14*$B$16*$B$18*$B$20*$B$22,0)</f>
        <v/>
      </c>
      <c r="M55" s="40">
        <f>ROUND($B$5*$B$11*$B$14*$B$16*$B$18*$B$20*$B$23,0)</f>
        <v/>
      </c>
      <c r="N55" s="40">
        <f>ROUND($B$5*$B$11*$B$14*$B$16*$B$18*$B$21*$B$22,0)</f>
        <v/>
      </c>
      <c r="O55" s="40">
        <f>ROUND($B$5*$B$11*$B$14*$B$16*$B$18*$B$21*$B$23,0)</f>
        <v/>
      </c>
      <c r="P55" s="40">
        <f>ROUND($B$5*$B$11*$B$14*$B$16*$B$19*$B$20*$B$22,0)</f>
        <v/>
      </c>
      <c r="Q55" s="40">
        <f>ROUND($B$5*$B$11*$B$14*$B$16*$B$19*$B$20*$B$23,0)</f>
        <v/>
      </c>
      <c r="R55" s="40">
        <f>ROUND($B$5*$B$11*$B$14*$B$16*$B$19*$B$21*$B$22,0)</f>
        <v/>
      </c>
      <c r="S55" s="40">
        <f>ROUND($B$5*$B$11*$B$14*$B$16*$B$19*$B$21*$B$23,0)</f>
        <v/>
      </c>
      <c r="T55" s="40">
        <f>ROUND($B$6*$B$11*$B$14*$B$16*$B$18*$B$20*$B$22,0)</f>
        <v/>
      </c>
      <c r="U55" s="40">
        <f>ROUND($B$6*$B$11*$B$14*$B$16*$B$18*$B$20*$B$23,0)</f>
        <v/>
      </c>
      <c r="V55" s="40">
        <f>ROUND($B$6*$B$11*$B$14*$B$16*$B$18*$B$21*$B$22,0)</f>
        <v/>
      </c>
      <c r="W55" s="40">
        <f>ROUND($B$6*$B$11*$B$14*$B$16*$B$18*$B$21*$B$23,0)</f>
        <v/>
      </c>
      <c r="X55" s="40">
        <f>ROUND($B$6*$B$11*$B$14*$B$16*$B$19*$B$20*$B$22,0)</f>
        <v/>
      </c>
      <c r="Y55" s="40">
        <f>ROUND($B$6*$B$11*$B$14*$B$16*$B$19*$B$20*$B$23,0)</f>
        <v/>
      </c>
      <c r="Z55" s="40">
        <f>ROUND($B$6*$B$11*$B$14*$B$16*$B$19*$B$21*$B$22,0)</f>
        <v/>
      </c>
      <c r="AA55" s="40">
        <f>ROUND($B$6*$B$11*$B$14*$B$16*$B$19*$B$21*$B$23,0)</f>
        <v/>
      </c>
      <c r="AB55" s="41">
        <f>ROUND($B$7*$B$11*$B$14*$B$16*$B$18*$B$20*$B$22,0)</f>
        <v/>
      </c>
      <c r="AC55" s="41">
        <f>ROUND($B$7*$B$11*$B$14*$B$16*$B$18*$B$20*$B$23,0)</f>
        <v/>
      </c>
      <c r="AD55" s="41">
        <f>ROUND($B$7*$B$11*$B$14*$B$16*$B$18*$B$21*$B$22,0)</f>
        <v/>
      </c>
      <c r="AE55" s="41">
        <f>ROUND($B$7*$B$11*$B$14*$B$16*$B$18*$B$21*$B$23,0)</f>
        <v/>
      </c>
      <c r="AF55" s="41">
        <f>ROUND($B$7*$B$11*$B$14*$B$16*$B$19*$B$20*$B$22,0)</f>
        <v/>
      </c>
      <c r="AG55" s="41">
        <f>ROUND($B$7*$B$11*$B$14*$B$16*$B$19*$B$20*$B$23,0)</f>
        <v/>
      </c>
      <c r="AH55" s="41">
        <f>ROUND($B$7*$B$11*$B$14*$B$16*$B$19*$B$21*$B$22,0)</f>
        <v/>
      </c>
      <c r="AI55" s="41">
        <f>ROUND($B$7*$B$11*$B$14*$B$16*$B$19*$B$21*$B$23,0)</f>
        <v/>
      </c>
    </row>
    <row r="56" ht="20.1" customHeight="1" s="62">
      <c r="A56" s="91" t="n"/>
      <c r="B56" s="59" t="n"/>
      <c r="C56" s="42" t="inlineStr">
        <is>
          <t>6+ canaux</t>
        </is>
      </c>
      <c r="D56" s="40">
        <f>ROUND($B$4*$B$11*$B$14*$B$17*$B$18*$B$20*$B$22,0)</f>
        <v/>
      </c>
      <c r="E56" s="40">
        <f>ROUND($B$4*$B$11*$B$14*$B$17*$B$18*$B$20*$B$23,0)</f>
        <v/>
      </c>
      <c r="F56" s="40">
        <f>ROUND($B$4*$B$11*$B$14*$B$17*$B$18*$B$21*$B$22,0)</f>
        <v/>
      </c>
      <c r="G56" s="40">
        <f>ROUND($B$4*$B$11*$B$14*$B$17*$B$18*$B$21*$B$23,0)</f>
        <v/>
      </c>
      <c r="H56" s="40">
        <f>ROUND($B$4*$B$11*$B$14*$B$17*$B$19*$B$20*$B$22,0)</f>
        <v/>
      </c>
      <c r="I56" s="40">
        <f>ROUND($B$4*$B$11*$B$14*$B$17*$B$19*$B$20*$B$23,0)</f>
        <v/>
      </c>
      <c r="J56" s="40">
        <f>ROUND($B$4*$B$11*$B$14*$B$17*$B$19*$B$21*$B$22,0)</f>
        <v/>
      </c>
      <c r="K56" s="40">
        <f>ROUND($B$4*$B$11*$B$14*$B$17*$B$19*$B$21*$B$23,0)</f>
        <v/>
      </c>
      <c r="L56" s="40">
        <f>ROUND($B$5*$B$11*$B$14*$B$17*$B$18*$B$20*$B$22,0)</f>
        <v/>
      </c>
      <c r="M56" s="40">
        <f>ROUND($B$5*$B$11*$B$14*$B$17*$B$18*$B$20*$B$23,0)</f>
        <v/>
      </c>
      <c r="N56" s="40">
        <f>ROUND($B$5*$B$11*$B$14*$B$17*$B$18*$B$21*$B$22,0)</f>
        <v/>
      </c>
      <c r="O56" s="40">
        <f>ROUND($B$5*$B$11*$B$14*$B$17*$B$18*$B$21*$B$23,0)</f>
        <v/>
      </c>
      <c r="P56" s="40">
        <f>ROUND($B$5*$B$11*$B$14*$B$17*$B$19*$B$20*$B$22,0)</f>
        <v/>
      </c>
      <c r="Q56" s="40">
        <f>ROUND($B$5*$B$11*$B$14*$B$17*$B$19*$B$20*$B$23,0)</f>
        <v/>
      </c>
      <c r="R56" s="40">
        <f>ROUND($B$5*$B$11*$B$14*$B$17*$B$19*$B$21*$B$22,0)</f>
        <v/>
      </c>
      <c r="S56" s="40">
        <f>ROUND($B$5*$B$11*$B$14*$B$17*$B$19*$B$21*$B$23,0)</f>
        <v/>
      </c>
      <c r="T56" s="40">
        <f>ROUND($B$6*$B$11*$B$14*$B$17*$B$18*$B$20*$B$22,0)</f>
        <v/>
      </c>
      <c r="U56" s="40">
        <f>ROUND($B$6*$B$11*$B$14*$B$17*$B$18*$B$20*$B$23,0)</f>
        <v/>
      </c>
      <c r="V56" s="40">
        <f>ROUND($B$6*$B$11*$B$14*$B$17*$B$18*$B$21*$B$22,0)</f>
        <v/>
      </c>
      <c r="W56" s="40">
        <f>ROUND($B$6*$B$11*$B$14*$B$17*$B$18*$B$21*$B$23,0)</f>
        <v/>
      </c>
      <c r="X56" s="40">
        <f>ROUND($B$6*$B$11*$B$14*$B$17*$B$19*$B$20*$B$22,0)</f>
        <v/>
      </c>
      <c r="Y56" s="40">
        <f>ROUND($B$6*$B$11*$B$14*$B$17*$B$19*$B$20*$B$23,0)</f>
        <v/>
      </c>
      <c r="Z56" s="40">
        <f>ROUND($B$6*$B$11*$B$14*$B$17*$B$19*$B$21*$B$22,0)</f>
        <v/>
      </c>
      <c r="AA56" s="40">
        <f>ROUND($B$6*$B$11*$B$14*$B$17*$B$19*$B$21*$B$23,0)</f>
        <v/>
      </c>
      <c r="AB56" s="41">
        <f>ROUND($B$7*$B$11*$B$14*$B$17*$B$18*$B$20*$B$22,0)</f>
        <v/>
      </c>
      <c r="AC56" s="41">
        <f>ROUND($B$7*$B$11*$B$14*$B$17*$B$18*$B$20*$B$23,0)</f>
        <v/>
      </c>
      <c r="AD56" s="41">
        <f>ROUND($B$7*$B$11*$B$14*$B$17*$B$18*$B$21*$B$22,0)</f>
        <v/>
      </c>
      <c r="AE56" s="41">
        <f>ROUND($B$7*$B$11*$B$14*$B$17*$B$18*$B$21*$B$23,0)</f>
        <v/>
      </c>
      <c r="AF56" s="41">
        <f>ROUND($B$7*$B$11*$B$14*$B$17*$B$19*$B$20*$B$22,0)</f>
        <v/>
      </c>
      <c r="AG56" s="41">
        <f>ROUND($B$7*$B$11*$B$14*$B$17*$B$19*$B$20*$B$23,0)</f>
        <v/>
      </c>
      <c r="AH56" s="41">
        <f>ROUND($B$7*$B$11*$B$14*$B$17*$B$19*$B$21*$B$22,0)</f>
        <v/>
      </c>
      <c r="AI56" s="41">
        <f>ROUND($B$7*$B$11*$B$14*$B$17*$B$19*$B$21*$B$23,0)</f>
        <v/>
      </c>
    </row>
  </sheetData>
  <mergeCells count="48">
    <mergeCell ref="D26:K26"/>
    <mergeCell ref="H27:K27"/>
    <mergeCell ref="B30:B32"/>
    <mergeCell ref="C26:C29"/>
    <mergeCell ref="B33:B35"/>
    <mergeCell ref="R28:S28"/>
    <mergeCell ref="J28:K28"/>
    <mergeCell ref="L28:M28"/>
    <mergeCell ref="A24:AI24"/>
    <mergeCell ref="B36:B38"/>
    <mergeCell ref="AB26:AI26"/>
    <mergeCell ref="L27:O27"/>
    <mergeCell ref="B54:B56"/>
    <mergeCell ref="B45:B47"/>
    <mergeCell ref="T27:W27"/>
    <mergeCell ref="X27:AA27"/>
    <mergeCell ref="B51:B53"/>
    <mergeCell ref="V28:W28"/>
    <mergeCell ref="AF27:AI27"/>
    <mergeCell ref="A1:AI1"/>
    <mergeCell ref="X28:Y28"/>
    <mergeCell ref="AD28:AE28"/>
    <mergeCell ref="T26:AA26"/>
    <mergeCell ref="L26:S26"/>
    <mergeCell ref="A26:A29"/>
    <mergeCell ref="N28:O28"/>
    <mergeCell ref="A39:A47"/>
    <mergeCell ref="A3:AI3"/>
    <mergeCell ref="D28:E28"/>
    <mergeCell ref="F28:G28"/>
    <mergeCell ref="P28:Q28"/>
    <mergeCell ref="H28:I28"/>
    <mergeCell ref="D27:G27"/>
    <mergeCell ref="B42:B44"/>
    <mergeCell ref="A48:A56"/>
    <mergeCell ref="P27:S27"/>
    <mergeCell ref="A30:A38"/>
    <mergeCell ref="A2:AI2"/>
    <mergeCell ref="B39:B41"/>
    <mergeCell ref="B48:B50"/>
    <mergeCell ref="AB27:AE27"/>
    <mergeCell ref="Z28:AA28"/>
    <mergeCell ref="B26:B29"/>
    <mergeCell ref="AB28:AC28"/>
    <mergeCell ref="A8:AI8"/>
    <mergeCell ref="T28:U28"/>
    <mergeCell ref="AF28:AG28"/>
    <mergeCell ref="AH28:AI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2D1B5E"/>
    <outlinePr summaryBelow="1" summaryRight="1"/>
    <pageSetUpPr/>
  </sheetPr>
  <dimension ref="A1:AI56"/>
  <sheetViews>
    <sheetView workbookViewId="0">
      <pane xSplit="3" topLeftCell="D1" activePane="topRight" state="frozen"/>
      <selection pane="topRight" activeCell="H27" sqref="H27:K27"/>
    </sheetView>
  </sheetViews>
  <sheetFormatPr baseColWidth="10" defaultColWidth="9.140625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35"/>
  </cols>
  <sheetData>
    <row r="1" ht="33.95" customHeight="1" s="62">
      <c r="A1" s="92" t="inlineStr">
        <is>
          <t>GRILLE TARIFAIRE — Analyse de performance (data &amp; KPI)</t>
        </is>
      </c>
    </row>
    <row r="2" ht="26.1" customHeight="1" s="62">
      <c r="A2" s="96" t="inlineStr">
        <is>
          <t>⚙  ZONE DE PARAMÉTRAGE — Remplissez uniquement les cases jaunes. Le tableau se calcule automatiquement.</t>
        </is>
      </c>
    </row>
    <row r="3" ht="21.95" customHeight="1" s="62">
      <c r="A3" s="95" t="inlineStr">
        <is>
          <t>TARIFS DE BASE (€)  —  Par niveau de prestation</t>
        </is>
      </c>
    </row>
    <row r="4" ht="21.95" customHeight="1" s="62">
      <c r="A4" s="32" t="inlineStr">
        <is>
          <t>Tarif de base — Analyse simple</t>
        </is>
      </c>
      <c r="B4" s="33" t="n">
        <v>2000</v>
      </c>
      <c r="C4" s="34" t="inlineStr">
        <is>
          <t>Fourchette : 1 500 – 4 000 €</t>
        </is>
      </c>
    </row>
    <row r="5" ht="21.95" customHeight="1" s="62">
      <c r="A5" s="32" t="inlineStr">
        <is>
          <t>Tarif de base — Analyse structurée</t>
        </is>
      </c>
      <c r="B5" s="33" t="n">
        <v>4500</v>
      </c>
      <c r="C5" s="34" t="inlineStr">
        <is>
          <t>Fourchette : 4 000 – 10 000 €</t>
        </is>
      </c>
    </row>
    <row r="6" ht="21.95" customHeight="1" s="62">
      <c r="A6" s="32" t="inlineStr">
        <is>
          <t>Tarif de base — Analyse avancée (data)</t>
        </is>
      </c>
      <c r="B6" s="33" t="n">
        <v>10000</v>
      </c>
      <c r="C6" s="34" t="inlineStr">
        <is>
          <t>Fourchette : 10 000 – 25 000 €</t>
        </is>
      </c>
    </row>
    <row r="7" ht="21.95" customHeight="1" s="62">
      <c r="A7" s="32" t="inlineStr">
        <is>
          <t>Tarif de base — Accompagnement mensuel</t>
        </is>
      </c>
      <c r="B7" s="35" t="n">
        <v>1500</v>
      </c>
      <c r="C7" s="34" t="inlineStr">
        <is>
          <t>Fourchette : 800 – 2 500 €/mois</t>
        </is>
      </c>
    </row>
    <row r="8" ht="21.95" customHeight="1" s="62">
      <c r="A8" s="75" t="inlineStr">
        <is>
          <t>COEFFICIENTS MULTIPLICATEURS  —  1,00 = neutre. Ex : 1,20 = +20 %</t>
        </is>
      </c>
    </row>
    <row r="9" ht="20.1" customHeight="1" s="62">
      <c r="A9" s="19" t="inlineStr">
        <is>
          <t>Coeff. volume — Faible</t>
        </is>
      </c>
      <c r="B9" s="36" t="n">
        <v>0.9</v>
      </c>
      <c r="C9" s="37" t="inlineStr">
        <is>
          <t>Peu de données à traiter</t>
        </is>
      </c>
    </row>
    <row r="10" ht="20.1" customHeight="1" s="62">
      <c r="A10" s="19" t="inlineStr">
        <is>
          <t>Coeff. volume — Moyen</t>
        </is>
      </c>
      <c r="B10" s="36" t="n">
        <v>1</v>
      </c>
      <c r="C10" s="37" t="inlineStr">
        <is>
          <t>Référence</t>
        </is>
      </c>
    </row>
    <row r="11" ht="20.1" customHeight="1" s="62">
      <c r="A11" s="19" t="inlineStr">
        <is>
          <t>Coeff. volume — Élevé</t>
        </is>
      </c>
      <c r="B11" s="36" t="n">
        <v>1.4</v>
      </c>
      <c r="C11" s="37" t="inlineStr">
        <is>
          <t>Grand volume, traitement complexe</t>
        </is>
      </c>
    </row>
    <row r="12" ht="20.1" customHeight="1" s="62">
      <c r="A12" s="19" t="inlineStr">
        <is>
          <t>Coeff. sources — 1-2 sources</t>
        </is>
      </c>
      <c r="B12" s="36" t="n">
        <v>0.8</v>
      </c>
      <c r="C12" s="37" t="inlineStr">
        <is>
          <t>Périmètre réduit</t>
        </is>
      </c>
    </row>
    <row r="13" ht="20.1" customHeight="1" s="62">
      <c r="A13" s="19" t="inlineStr">
        <is>
          <t>Coeff. sources — 3-5 sources</t>
        </is>
      </c>
      <c r="B13" s="36" t="n">
        <v>1</v>
      </c>
      <c r="C13" s="37" t="inlineStr">
        <is>
          <t>Référence</t>
        </is>
      </c>
    </row>
    <row r="14" ht="20.1" customHeight="1" s="62">
      <c r="A14" s="19" t="inlineStr">
        <is>
          <t>Coeff. sources — 6+ sources</t>
        </is>
      </c>
      <c r="B14" s="36" t="n">
        <v>1.45</v>
      </c>
      <c r="C14" s="37" t="inlineStr">
        <is>
          <t>Multi-sources, consolidation nécessaire</t>
        </is>
      </c>
    </row>
    <row r="15" ht="20.1" customHeight="1" s="62">
      <c r="A15" s="19" t="inlineStr">
        <is>
          <t>Coeff. complexité — Simple</t>
        </is>
      </c>
      <c r="B15" s="36" t="n">
        <v>0.85</v>
      </c>
      <c r="C15" s="37" t="inlineStr">
        <is>
          <t>Analyses descriptives</t>
        </is>
      </c>
    </row>
    <row r="16" ht="20.1" customHeight="1" s="62">
      <c r="A16" s="19" t="inlineStr">
        <is>
          <t>Coeff. complexité — Structurée</t>
        </is>
      </c>
      <c r="B16" s="36" t="n">
        <v>1</v>
      </c>
      <c r="C16" s="37" t="inlineStr">
        <is>
          <t>Référence</t>
        </is>
      </c>
    </row>
    <row r="17" ht="20.1" customHeight="1" s="62">
      <c r="A17" s="19" t="inlineStr">
        <is>
          <t>Coeff. complexité — Avancée multi-canal</t>
        </is>
      </c>
      <c r="B17" s="36" t="n">
        <v>1.5</v>
      </c>
      <c r="C17" s="37" t="inlineStr">
        <is>
          <t>Analyses croisées, modélisation</t>
        </is>
      </c>
    </row>
    <row r="18" ht="20.1" customHeight="1" s="62">
      <c r="A18" s="19" t="inlineStr">
        <is>
          <t>Coeff. secteur — Standard</t>
        </is>
      </c>
      <c r="B18" s="36" t="n">
        <v>1</v>
      </c>
      <c r="C18" s="37" t="inlineStr">
        <is>
          <t>Référence</t>
        </is>
      </c>
    </row>
    <row r="19" ht="20.1" customHeight="1" s="62">
      <c r="A19" s="19" t="inlineStr">
        <is>
          <t>Coeff. secteur — Concurrentiel</t>
        </is>
      </c>
      <c r="B19" s="36" t="n">
        <v>1.2</v>
      </c>
      <c r="C19" s="37" t="inlineStr">
        <is>
          <t>Benchmarks et veille nécessaires</t>
        </is>
      </c>
    </row>
    <row r="20" ht="20.1" customHeight="1" s="62">
      <c r="A20" s="19" t="inlineStr">
        <is>
          <t>Coeff. dashboard — Sans dashboard</t>
        </is>
      </c>
      <c r="B20" s="36" t="n">
        <v>1</v>
      </c>
      <c r="C20" s="37" t="inlineStr">
        <is>
          <t>Référence</t>
        </is>
      </c>
    </row>
    <row r="21" ht="20.1" customHeight="1" s="62">
      <c r="A21" s="19" t="inlineStr">
        <is>
          <t>Coeff. dashboard — Avec dashboard</t>
        </is>
      </c>
      <c r="B21" s="36" t="n">
        <v>1.3</v>
      </c>
      <c r="C21" s="37" t="inlineStr">
        <is>
          <t>Création d'un tableau de bord visuel</t>
        </is>
      </c>
    </row>
    <row r="22" ht="20.1" customHeight="1" s="62">
      <c r="A22" s="19" t="inlineStr">
        <is>
          <t>Coeff. mode — Distanciel</t>
        </is>
      </c>
      <c r="B22" s="36" t="n">
        <v>1</v>
      </c>
      <c r="C22" s="37" t="inlineStr">
        <is>
          <t>Référence</t>
        </is>
      </c>
    </row>
    <row r="23" ht="20.1" customHeight="1" s="62">
      <c r="A23" s="19" t="inlineStr">
        <is>
          <t>Coeff. mode — Présentiel</t>
        </is>
      </c>
      <c r="B23" s="36" t="n">
        <v>1.3</v>
      </c>
      <c r="C23" s="37" t="inlineStr">
        <is>
          <t>Sessions de restitution sur site</t>
        </is>
      </c>
    </row>
    <row r="24" ht="24" customHeight="1" s="62">
      <c r="A24" s="94" t="inlineStr">
        <is>
          <t>▼  GRILLE TARIFAIRE CALCULÉE AUTOMATIQUEMENT  — Les cellules violettes sont en lecture seule (formules).</t>
        </is>
      </c>
    </row>
    <row r="25" ht="6" customHeight="1" s="62"/>
    <row r="26" ht="38.1" customHeight="1" s="62">
      <c r="A26" s="93" t="inlineStr">
        <is>
          <t>Volume de données</t>
        </is>
      </c>
      <c r="B26" s="86" t="inlineStr">
        <is>
          <t>Nombre de sources</t>
        </is>
      </c>
      <c r="C26" s="88" t="inlineStr">
        <is>
          <t>Complexité des analyses</t>
        </is>
      </c>
      <c r="D26" s="93" t="inlineStr">
        <is>
          <t>Analyse simple</t>
        </is>
      </c>
      <c r="E26" s="55" t="n"/>
      <c r="F26" s="55" t="n"/>
      <c r="G26" s="55" t="n"/>
      <c r="H26" s="55" t="n"/>
      <c r="I26" s="55" t="n"/>
      <c r="J26" s="55" t="n"/>
      <c r="K26" s="56" t="n"/>
      <c r="L26" s="93" t="inlineStr">
        <is>
          <t>Analyse structurée</t>
        </is>
      </c>
      <c r="M26" s="55" t="n"/>
      <c r="N26" s="55" t="n"/>
      <c r="O26" s="55" t="n"/>
      <c r="P26" s="55" t="n"/>
      <c r="Q26" s="55" t="n"/>
      <c r="R26" s="55" t="n"/>
      <c r="S26" s="56" t="n"/>
      <c r="T26" s="93" t="inlineStr">
        <is>
          <t>Analyse avancée (data)</t>
        </is>
      </c>
      <c r="U26" s="55" t="n"/>
      <c r="V26" s="55" t="n"/>
      <c r="W26" s="55" t="n"/>
      <c r="X26" s="55" t="n"/>
      <c r="Y26" s="55" t="n"/>
      <c r="Z26" s="55" t="n"/>
      <c r="AA26" s="56" t="n"/>
      <c r="AB26" s="93" t="inlineStr">
        <is>
          <t>Accompagnement mensuel</t>
        </is>
      </c>
      <c r="AC26" s="55" t="n"/>
      <c r="AD26" s="55" t="n"/>
      <c r="AE26" s="55" t="n"/>
      <c r="AF26" s="55" t="n"/>
      <c r="AG26" s="55" t="n"/>
      <c r="AH26" s="55" t="n"/>
      <c r="AI26" s="56" t="n"/>
    </row>
    <row r="27" ht="38.1" customHeight="1" s="62">
      <c r="A27" s="64" t="n"/>
      <c r="B27" s="64" t="n"/>
      <c r="C27" s="64" t="n"/>
      <c r="D27" s="86" t="inlineStr">
        <is>
          <t>Secteur standard</t>
        </is>
      </c>
      <c r="E27" s="55" t="n"/>
      <c r="F27" s="55" t="n"/>
      <c r="G27" s="56" t="n"/>
      <c r="H27" s="86" t="inlineStr">
        <is>
          <t>Secteur concurrentiel</t>
        </is>
      </c>
      <c r="I27" s="55" t="n"/>
      <c r="J27" s="55" t="n"/>
      <c r="K27" s="56" t="n"/>
      <c r="L27" s="86" t="inlineStr">
        <is>
          <t>Secteur standard</t>
        </is>
      </c>
      <c r="M27" s="55" t="n"/>
      <c r="N27" s="55" t="n"/>
      <c r="O27" s="56" t="n"/>
      <c r="P27" s="86" t="inlineStr">
        <is>
          <t>Secteur concurrentiel</t>
        </is>
      </c>
      <c r="Q27" s="55" t="n"/>
      <c r="R27" s="55" t="n"/>
      <c r="S27" s="56" t="n"/>
      <c r="T27" s="86" t="inlineStr">
        <is>
          <t>Secteur standard</t>
        </is>
      </c>
      <c r="U27" s="55" t="n"/>
      <c r="V27" s="55" t="n"/>
      <c r="W27" s="56" t="n"/>
      <c r="X27" s="86" t="inlineStr">
        <is>
          <t>Secteur concurrentiel</t>
        </is>
      </c>
      <c r="Y27" s="55" t="n"/>
      <c r="Z27" s="55" t="n"/>
      <c r="AA27" s="56" t="n"/>
      <c r="AB27" s="86" t="inlineStr">
        <is>
          <t>Secteur standard</t>
        </is>
      </c>
      <c r="AC27" s="55" t="n"/>
      <c r="AD27" s="55" t="n"/>
      <c r="AE27" s="56" t="n"/>
      <c r="AF27" s="86" t="inlineStr">
        <is>
          <t>Secteur concurrentiel</t>
        </is>
      </c>
      <c r="AG27" s="55" t="n"/>
      <c r="AH27" s="55" t="n"/>
      <c r="AI27" s="56" t="n"/>
    </row>
    <row r="28" ht="38.1" customHeight="1" s="62">
      <c r="A28" s="64" t="n"/>
      <c r="B28" s="64" t="n"/>
      <c r="C28" s="64" t="n"/>
      <c r="D28" s="88" t="inlineStr">
        <is>
          <t>Sans dashboard</t>
        </is>
      </c>
      <c r="E28" s="56" t="n"/>
      <c r="F28" s="88" t="inlineStr">
        <is>
          <t>Avec dashboard</t>
        </is>
      </c>
      <c r="G28" s="56" t="n"/>
      <c r="H28" s="88" t="inlineStr">
        <is>
          <t>Sans dashboard</t>
        </is>
      </c>
      <c r="I28" s="56" t="n"/>
      <c r="J28" s="88" t="inlineStr">
        <is>
          <t>Avec dashboard</t>
        </is>
      </c>
      <c r="K28" s="56" t="n"/>
      <c r="L28" s="88" t="inlineStr">
        <is>
          <t>Sans dashboard</t>
        </is>
      </c>
      <c r="M28" s="56" t="n"/>
      <c r="N28" s="88" t="inlineStr">
        <is>
          <t>Avec dashboard</t>
        </is>
      </c>
      <c r="O28" s="56" t="n"/>
      <c r="P28" s="88" t="inlineStr">
        <is>
          <t>Sans dashboard</t>
        </is>
      </c>
      <c r="Q28" s="56" t="n"/>
      <c r="R28" s="88" t="inlineStr">
        <is>
          <t>Avec dashboard</t>
        </is>
      </c>
      <c r="S28" s="56" t="n"/>
      <c r="T28" s="88" t="inlineStr">
        <is>
          <t>Sans dashboard</t>
        </is>
      </c>
      <c r="U28" s="56" t="n"/>
      <c r="V28" s="88" t="inlineStr">
        <is>
          <t>Avec dashboard</t>
        </is>
      </c>
      <c r="W28" s="56" t="n"/>
      <c r="X28" s="88" t="inlineStr">
        <is>
          <t>Sans dashboard</t>
        </is>
      </c>
      <c r="Y28" s="56" t="n"/>
      <c r="Z28" s="88" t="inlineStr">
        <is>
          <t>Avec dashboard</t>
        </is>
      </c>
      <c r="AA28" s="56" t="n"/>
      <c r="AB28" s="88" t="inlineStr">
        <is>
          <t>Sans dashboard</t>
        </is>
      </c>
      <c r="AC28" s="56" t="n"/>
      <c r="AD28" s="88" t="inlineStr">
        <is>
          <t>Avec dashboard</t>
        </is>
      </c>
      <c r="AE28" s="56" t="n"/>
      <c r="AF28" s="88" t="inlineStr">
        <is>
          <t>Sans dashboard</t>
        </is>
      </c>
      <c r="AG28" s="56" t="n"/>
      <c r="AH28" s="88" t="inlineStr">
        <is>
          <t>Avec dashboard</t>
        </is>
      </c>
      <c r="AI28" s="56" t="n"/>
    </row>
    <row r="29" ht="38.1" customHeight="1" s="62">
      <c r="A29" s="65" t="n"/>
      <c r="B29" s="65" t="n"/>
      <c r="C29" s="65" t="n"/>
      <c r="D29" s="22" t="inlineStr">
        <is>
          <t>Distanciel</t>
        </is>
      </c>
      <c r="E29" s="22" t="inlineStr">
        <is>
          <t>Présentiel</t>
        </is>
      </c>
      <c r="F29" s="22" t="inlineStr">
        <is>
          <t>Distanciel</t>
        </is>
      </c>
      <c r="G29" s="22" t="inlineStr">
        <is>
          <t>Présentiel</t>
        </is>
      </c>
      <c r="H29" s="22" t="inlineStr">
        <is>
          <t>Distanciel</t>
        </is>
      </c>
      <c r="I29" s="22" t="inlineStr">
        <is>
          <t>Présentiel</t>
        </is>
      </c>
      <c r="J29" s="22" t="inlineStr">
        <is>
          <t>Distanciel</t>
        </is>
      </c>
      <c r="K29" s="22" t="inlineStr">
        <is>
          <t>Présentiel</t>
        </is>
      </c>
      <c r="L29" s="22" t="inlineStr">
        <is>
          <t>Distanciel</t>
        </is>
      </c>
      <c r="M29" s="22" t="inlineStr">
        <is>
          <t>Présentiel</t>
        </is>
      </c>
      <c r="N29" s="22" t="inlineStr">
        <is>
          <t>Distanciel</t>
        </is>
      </c>
      <c r="O29" s="22" t="inlineStr">
        <is>
          <t>Présentiel</t>
        </is>
      </c>
      <c r="P29" s="22" t="inlineStr">
        <is>
          <t>Distanciel</t>
        </is>
      </c>
      <c r="Q29" s="22" t="inlineStr">
        <is>
          <t>Présentiel</t>
        </is>
      </c>
      <c r="R29" s="22" t="inlineStr">
        <is>
          <t>Distanciel</t>
        </is>
      </c>
      <c r="S29" s="22" t="inlineStr">
        <is>
          <t>Présentiel</t>
        </is>
      </c>
      <c r="T29" s="22" t="inlineStr">
        <is>
          <t>Distanciel</t>
        </is>
      </c>
      <c r="U29" s="22" t="inlineStr">
        <is>
          <t>Présentiel</t>
        </is>
      </c>
      <c r="V29" s="22" t="inlineStr">
        <is>
          <t>Distanciel</t>
        </is>
      </c>
      <c r="W29" s="22" t="inlineStr">
        <is>
          <t>Présentiel</t>
        </is>
      </c>
      <c r="X29" s="22" t="inlineStr">
        <is>
          <t>Distanciel</t>
        </is>
      </c>
      <c r="Y29" s="22" t="inlineStr">
        <is>
          <t>Présentiel</t>
        </is>
      </c>
      <c r="Z29" s="22" t="inlineStr">
        <is>
          <t>Distanciel</t>
        </is>
      </c>
      <c r="AA29" s="22" t="inlineStr">
        <is>
          <t>Présentiel</t>
        </is>
      </c>
      <c r="AB29" s="22" t="inlineStr">
        <is>
          <t>Distanciel</t>
        </is>
      </c>
      <c r="AC29" s="22" t="inlineStr">
        <is>
          <t>Présentiel</t>
        </is>
      </c>
      <c r="AD29" s="22" t="inlineStr">
        <is>
          <t>Distanciel</t>
        </is>
      </c>
      <c r="AE29" s="22" t="inlineStr">
        <is>
          <t>Présentiel</t>
        </is>
      </c>
      <c r="AF29" s="22" t="inlineStr">
        <is>
          <t>Distanciel</t>
        </is>
      </c>
      <c r="AG29" s="22" t="inlineStr">
        <is>
          <t>Présentiel</t>
        </is>
      </c>
      <c r="AH29" s="22" t="inlineStr">
        <is>
          <t>Distanciel</t>
        </is>
      </c>
      <c r="AI29" s="22" t="inlineStr">
        <is>
          <t>Présentiel</t>
        </is>
      </c>
    </row>
    <row r="30" ht="20.1" customHeight="1" s="62">
      <c r="A30" s="89" t="inlineStr">
        <is>
          <t>Faible</t>
        </is>
      </c>
      <c r="B30" s="87" t="inlineStr">
        <is>
          <t>1-2 sources</t>
        </is>
      </c>
      <c r="C30" s="39" t="inlineStr">
        <is>
          <t>Simple</t>
        </is>
      </c>
      <c r="D30" s="40">
        <f>ROUND($B$4*$B$9*$B$12*$B$15*$B$18*$B$20*$B$22,0)</f>
        <v/>
      </c>
      <c r="E30" s="40">
        <f>ROUND($B$4*$B$9*$B$12*$B$15*$B$18*$B$20*$B$23,0)</f>
        <v/>
      </c>
      <c r="F30" s="40">
        <f>ROUND($B$4*$B$9*$B$12*$B$15*$B$18*$B$21*$B$22,0)</f>
        <v/>
      </c>
      <c r="G30" s="40">
        <f>ROUND($B$4*$B$9*$B$12*$B$15*$B$18*$B$21*$B$23,0)</f>
        <v/>
      </c>
      <c r="H30" s="40">
        <f>ROUND($B$4*$B$9*$B$12*$B$15*$B$19*$B$20*$B$22,0)</f>
        <v/>
      </c>
      <c r="I30" s="40">
        <f>ROUND($B$4*$B$9*$B$12*$B$15*$B$19*$B$20*$B$23,0)</f>
        <v/>
      </c>
      <c r="J30" s="40">
        <f>ROUND($B$4*$B$9*$B$12*$B$15*$B$19*$B$21*$B$22,0)</f>
        <v/>
      </c>
      <c r="K30" s="40">
        <f>ROUND($B$4*$B$9*$B$12*$B$15*$B$19*$B$21*$B$23,0)</f>
        <v/>
      </c>
      <c r="L30" s="40">
        <f>ROUND($B$5*$B$9*$B$12*$B$15*$B$18*$B$20*$B$22,0)</f>
        <v/>
      </c>
      <c r="M30" s="40">
        <f>ROUND($B$5*$B$9*$B$12*$B$15*$B$18*$B$20*$B$23,0)</f>
        <v/>
      </c>
      <c r="N30" s="40">
        <f>ROUND($B$5*$B$9*$B$12*$B$15*$B$18*$B$21*$B$22,0)</f>
        <v/>
      </c>
      <c r="O30" s="40">
        <f>ROUND($B$5*$B$9*$B$12*$B$15*$B$18*$B$21*$B$23,0)</f>
        <v/>
      </c>
      <c r="P30" s="40">
        <f>ROUND($B$5*$B$9*$B$12*$B$15*$B$19*$B$20*$B$22,0)</f>
        <v/>
      </c>
      <c r="Q30" s="40">
        <f>ROUND($B$5*$B$9*$B$12*$B$15*$B$19*$B$20*$B$23,0)</f>
        <v/>
      </c>
      <c r="R30" s="40">
        <f>ROUND($B$5*$B$9*$B$12*$B$15*$B$19*$B$21*$B$22,0)</f>
        <v/>
      </c>
      <c r="S30" s="40">
        <f>ROUND($B$5*$B$9*$B$12*$B$15*$B$19*$B$21*$B$23,0)</f>
        <v/>
      </c>
      <c r="T30" s="40">
        <f>ROUND($B$6*$B$9*$B$12*$B$15*$B$18*$B$20*$B$22,0)</f>
        <v/>
      </c>
      <c r="U30" s="40">
        <f>ROUND($B$6*$B$9*$B$12*$B$15*$B$18*$B$20*$B$23,0)</f>
        <v/>
      </c>
      <c r="V30" s="40">
        <f>ROUND($B$6*$B$9*$B$12*$B$15*$B$18*$B$21*$B$22,0)</f>
        <v/>
      </c>
      <c r="W30" s="40">
        <f>ROUND($B$6*$B$9*$B$12*$B$15*$B$18*$B$21*$B$23,0)</f>
        <v/>
      </c>
      <c r="X30" s="40">
        <f>ROUND($B$6*$B$9*$B$12*$B$15*$B$19*$B$20*$B$22,0)</f>
        <v/>
      </c>
      <c r="Y30" s="40">
        <f>ROUND($B$6*$B$9*$B$12*$B$15*$B$19*$B$20*$B$23,0)</f>
        <v/>
      </c>
      <c r="Z30" s="40">
        <f>ROUND($B$6*$B$9*$B$12*$B$15*$B$19*$B$21*$B$22,0)</f>
        <v/>
      </c>
      <c r="AA30" s="40">
        <f>ROUND($B$6*$B$9*$B$12*$B$15*$B$19*$B$21*$B$23,0)</f>
        <v/>
      </c>
      <c r="AB30" s="41">
        <f>ROUND($B$7*$B$9*$B$12*$B$15*$B$18*$B$20*$B$22,0)</f>
        <v/>
      </c>
      <c r="AC30" s="41">
        <f>ROUND($B$7*$B$9*$B$12*$B$15*$B$18*$B$20*$B$23,0)</f>
        <v/>
      </c>
      <c r="AD30" s="41">
        <f>ROUND($B$7*$B$9*$B$12*$B$15*$B$18*$B$21*$B$22,0)</f>
        <v/>
      </c>
      <c r="AE30" s="41">
        <f>ROUND($B$7*$B$9*$B$12*$B$15*$B$18*$B$21*$B$23,0)</f>
        <v/>
      </c>
      <c r="AF30" s="41">
        <f>ROUND($B$7*$B$9*$B$12*$B$15*$B$19*$B$20*$B$22,0)</f>
        <v/>
      </c>
      <c r="AG30" s="41">
        <f>ROUND($B$7*$B$9*$B$12*$B$15*$B$19*$B$20*$B$23,0)</f>
        <v/>
      </c>
      <c r="AH30" s="41">
        <f>ROUND($B$7*$B$9*$B$12*$B$15*$B$19*$B$21*$B$22,0)</f>
        <v/>
      </c>
      <c r="AI30" s="41">
        <f>ROUND($B$7*$B$9*$B$12*$B$15*$B$19*$B$21*$B$23,0)</f>
        <v/>
      </c>
    </row>
    <row r="31" ht="20.1" customHeight="1" s="62">
      <c r="A31" s="90" t="n"/>
      <c r="B31" s="58" t="n"/>
      <c r="C31" s="87" t="inlineStr">
        <is>
          <t>Structurée</t>
        </is>
      </c>
      <c r="D31" s="40">
        <f>ROUND($B$4*$B$9*$B$12*$B$16*$B$18*$B$20*$B$22,0)</f>
        <v/>
      </c>
      <c r="E31" s="40">
        <f>ROUND($B$4*$B$9*$B$12*$B$16*$B$18*$B$20*$B$23,0)</f>
        <v/>
      </c>
      <c r="F31" s="40">
        <f>ROUND($B$4*$B$9*$B$12*$B$16*$B$18*$B$21*$B$22,0)</f>
        <v/>
      </c>
      <c r="G31" s="40">
        <f>ROUND($B$4*$B$9*$B$12*$B$16*$B$18*$B$21*$B$23,0)</f>
        <v/>
      </c>
      <c r="H31" s="40">
        <f>ROUND($B$4*$B$9*$B$12*$B$16*$B$19*$B$20*$B$22,0)</f>
        <v/>
      </c>
      <c r="I31" s="40">
        <f>ROUND($B$4*$B$9*$B$12*$B$16*$B$19*$B$20*$B$23,0)</f>
        <v/>
      </c>
      <c r="J31" s="40">
        <f>ROUND($B$4*$B$9*$B$12*$B$16*$B$19*$B$21*$B$22,0)</f>
        <v/>
      </c>
      <c r="K31" s="40">
        <f>ROUND($B$4*$B$9*$B$12*$B$16*$B$19*$B$21*$B$23,0)</f>
        <v/>
      </c>
      <c r="L31" s="40">
        <f>ROUND($B$5*$B$9*$B$12*$B$16*$B$18*$B$20*$B$22,0)</f>
        <v/>
      </c>
      <c r="M31" s="40">
        <f>ROUND($B$5*$B$9*$B$12*$B$16*$B$18*$B$20*$B$23,0)</f>
        <v/>
      </c>
      <c r="N31" s="40">
        <f>ROUND($B$5*$B$9*$B$12*$B$16*$B$18*$B$21*$B$22,0)</f>
        <v/>
      </c>
      <c r="O31" s="40">
        <f>ROUND($B$5*$B$9*$B$12*$B$16*$B$18*$B$21*$B$23,0)</f>
        <v/>
      </c>
      <c r="P31" s="40">
        <f>ROUND($B$5*$B$9*$B$12*$B$16*$B$19*$B$20*$B$22,0)</f>
        <v/>
      </c>
      <c r="Q31" s="40">
        <f>ROUND($B$5*$B$9*$B$12*$B$16*$B$19*$B$20*$B$23,0)</f>
        <v/>
      </c>
      <c r="R31" s="40">
        <f>ROUND($B$5*$B$9*$B$12*$B$16*$B$19*$B$21*$B$22,0)</f>
        <v/>
      </c>
      <c r="S31" s="40">
        <f>ROUND($B$5*$B$9*$B$12*$B$16*$B$19*$B$21*$B$23,0)</f>
        <v/>
      </c>
      <c r="T31" s="40">
        <f>ROUND($B$6*$B$9*$B$12*$B$16*$B$18*$B$20*$B$22,0)</f>
        <v/>
      </c>
      <c r="U31" s="40">
        <f>ROUND($B$6*$B$9*$B$12*$B$16*$B$18*$B$20*$B$23,0)</f>
        <v/>
      </c>
      <c r="V31" s="40">
        <f>ROUND($B$6*$B$9*$B$12*$B$16*$B$18*$B$21*$B$22,0)</f>
        <v/>
      </c>
      <c r="W31" s="40">
        <f>ROUND($B$6*$B$9*$B$12*$B$16*$B$18*$B$21*$B$23,0)</f>
        <v/>
      </c>
      <c r="X31" s="40">
        <f>ROUND($B$6*$B$9*$B$12*$B$16*$B$19*$B$20*$B$22,0)</f>
        <v/>
      </c>
      <c r="Y31" s="40">
        <f>ROUND($B$6*$B$9*$B$12*$B$16*$B$19*$B$20*$B$23,0)</f>
        <v/>
      </c>
      <c r="Z31" s="40">
        <f>ROUND($B$6*$B$9*$B$12*$B$16*$B$19*$B$21*$B$22,0)</f>
        <v/>
      </c>
      <c r="AA31" s="40">
        <f>ROUND($B$6*$B$9*$B$12*$B$16*$B$19*$B$21*$B$23,0)</f>
        <v/>
      </c>
      <c r="AB31" s="41">
        <f>ROUND($B$7*$B$9*$B$12*$B$16*$B$18*$B$20*$B$22,0)</f>
        <v/>
      </c>
      <c r="AC31" s="41">
        <f>ROUND($B$7*$B$9*$B$12*$B$16*$B$18*$B$20*$B$23,0)</f>
        <v/>
      </c>
      <c r="AD31" s="41">
        <f>ROUND($B$7*$B$9*$B$12*$B$16*$B$18*$B$21*$B$22,0)</f>
        <v/>
      </c>
      <c r="AE31" s="41">
        <f>ROUND($B$7*$B$9*$B$12*$B$16*$B$18*$B$21*$B$23,0)</f>
        <v/>
      </c>
      <c r="AF31" s="41">
        <f>ROUND($B$7*$B$9*$B$12*$B$16*$B$19*$B$20*$B$22,0)</f>
        <v/>
      </c>
      <c r="AG31" s="41">
        <f>ROUND($B$7*$B$9*$B$12*$B$16*$B$19*$B$20*$B$23,0)</f>
        <v/>
      </c>
      <c r="AH31" s="41">
        <f>ROUND($B$7*$B$9*$B$12*$B$16*$B$19*$B$21*$B$22,0)</f>
        <v/>
      </c>
      <c r="AI31" s="41">
        <f>ROUND($B$7*$B$9*$B$12*$B$16*$B$19*$B$21*$B$23,0)</f>
        <v/>
      </c>
    </row>
    <row r="32" ht="20.1" customHeight="1" s="62">
      <c r="A32" s="90" t="n"/>
      <c r="B32" s="59" t="n"/>
      <c r="C32" s="42" t="inlineStr">
        <is>
          <t>Avancée multi-canal</t>
        </is>
      </c>
      <c r="D32" s="40">
        <f>ROUND($B$4*$B$9*$B$12*$B$17*$B$18*$B$20*$B$22,0)</f>
        <v/>
      </c>
      <c r="E32" s="40">
        <f>ROUND($B$4*$B$9*$B$12*$B$17*$B$18*$B$20*$B$23,0)</f>
        <v/>
      </c>
      <c r="F32" s="40">
        <f>ROUND($B$4*$B$9*$B$12*$B$17*$B$18*$B$21*$B$22,0)</f>
        <v/>
      </c>
      <c r="G32" s="40">
        <f>ROUND($B$4*$B$9*$B$12*$B$17*$B$18*$B$21*$B$23,0)</f>
        <v/>
      </c>
      <c r="H32" s="40">
        <f>ROUND($B$4*$B$9*$B$12*$B$17*$B$19*$B$20*$B$22,0)</f>
        <v/>
      </c>
      <c r="I32" s="40">
        <f>ROUND($B$4*$B$9*$B$12*$B$17*$B$19*$B$20*$B$23,0)</f>
        <v/>
      </c>
      <c r="J32" s="40">
        <f>ROUND($B$4*$B$9*$B$12*$B$17*$B$19*$B$21*$B$22,0)</f>
        <v/>
      </c>
      <c r="K32" s="40">
        <f>ROUND($B$4*$B$9*$B$12*$B$17*$B$19*$B$21*$B$23,0)</f>
        <v/>
      </c>
      <c r="L32" s="40">
        <f>ROUND($B$5*$B$9*$B$12*$B$17*$B$18*$B$20*$B$22,0)</f>
        <v/>
      </c>
      <c r="M32" s="40">
        <f>ROUND($B$5*$B$9*$B$12*$B$17*$B$18*$B$20*$B$23,0)</f>
        <v/>
      </c>
      <c r="N32" s="40">
        <f>ROUND($B$5*$B$9*$B$12*$B$17*$B$18*$B$21*$B$22,0)</f>
        <v/>
      </c>
      <c r="O32" s="40">
        <f>ROUND($B$5*$B$9*$B$12*$B$17*$B$18*$B$21*$B$23,0)</f>
        <v/>
      </c>
      <c r="P32" s="40">
        <f>ROUND($B$5*$B$9*$B$12*$B$17*$B$19*$B$20*$B$22,0)</f>
        <v/>
      </c>
      <c r="Q32" s="40">
        <f>ROUND($B$5*$B$9*$B$12*$B$17*$B$19*$B$20*$B$23,0)</f>
        <v/>
      </c>
      <c r="R32" s="40">
        <f>ROUND($B$5*$B$9*$B$12*$B$17*$B$19*$B$21*$B$22,0)</f>
        <v/>
      </c>
      <c r="S32" s="40">
        <f>ROUND($B$5*$B$9*$B$12*$B$17*$B$19*$B$21*$B$23,0)</f>
        <v/>
      </c>
      <c r="T32" s="40">
        <f>ROUND($B$6*$B$9*$B$12*$B$17*$B$18*$B$20*$B$22,0)</f>
        <v/>
      </c>
      <c r="U32" s="40">
        <f>ROUND($B$6*$B$9*$B$12*$B$17*$B$18*$B$20*$B$23,0)</f>
        <v/>
      </c>
      <c r="V32" s="40">
        <f>ROUND($B$6*$B$9*$B$12*$B$17*$B$18*$B$21*$B$22,0)</f>
        <v/>
      </c>
      <c r="W32" s="40">
        <f>ROUND($B$6*$B$9*$B$12*$B$17*$B$18*$B$21*$B$23,0)</f>
        <v/>
      </c>
      <c r="X32" s="40">
        <f>ROUND($B$6*$B$9*$B$12*$B$17*$B$19*$B$20*$B$22,0)</f>
        <v/>
      </c>
      <c r="Y32" s="40">
        <f>ROUND($B$6*$B$9*$B$12*$B$17*$B$19*$B$20*$B$23,0)</f>
        <v/>
      </c>
      <c r="Z32" s="40">
        <f>ROUND($B$6*$B$9*$B$12*$B$17*$B$19*$B$21*$B$22,0)</f>
        <v/>
      </c>
      <c r="AA32" s="40">
        <f>ROUND($B$6*$B$9*$B$12*$B$17*$B$19*$B$21*$B$23,0)</f>
        <v/>
      </c>
      <c r="AB32" s="41">
        <f>ROUND($B$7*$B$9*$B$12*$B$17*$B$18*$B$20*$B$22,0)</f>
        <v/>
      </c>
      <c r="AC32" s="41">
        <f>ROUND($B$7*$B$9*$B$12*$B$17*$B$18*$B$20*$B$23,0)</f>
        <v/>
      </c>
      <c r="AD32" s="41">
        <f>ROUND($B$7*$B$9*$B$12*$B$17*$B$18*$B$21*$B$22,0)</f>
        <v/>
      </c>
      <c r="AE32" s="41">
        <f>ROUND($B$7*$B$9*$B$12*$B$17*$B$18*$B$21*$B$23,0)</f>
        <v/>
      </c>
      <c r="AF32" s="41">
        <f>ROUND($B$7*$B$9*$B$12*$B$17*$B$19*$B$20*$B$22,0)</f>
        <v/>
      </c>
      <c r="AG32" s="41">
        <f>ROUND($B$7*$B$9*$B$12*$B$17*$B$19*$B$20*$B$23,0)</f>
        <v/>
      </c>
      <c r="AH32" s="41">
        <f>ROUND($B$7*$B$9*$B$12*$B$17*$B$19*$B$21*$B$22,0)</f>
        <v/>
      </c>
      <c r="AI32" s="41">
        <f>ROUND($B$7*$B$9*$B$12*$B$17*$B$19*$B$21*$B$23,0)</f>
        <v/>
      </c>
    </row>
    <row r="33" ht="20.1" customHeight="1" s="62">
      <c r="A33" s="90" t="n"/>
      <c r="B33" s="87" t="inlineStr">
        <is>
          <t>3-5 sources</t>
        </is>
      </c>
      <c r="C33" s="39" t="inlineStr">
        <is>
          <t>Simple</t>
        </is>
      </c>
      <c r="D33" s="40">
        <f>ROUND($B$4*$B$9*$B$13*$B$15*$B$18*$B$20*$B$22,0)</f>
        <v/>
      </c>
      <c r="E33" s="40">
        <f>ROUND($B$4*$B$9*$B$13*$B$15*$B$18*$B$20*$B$23,0)</f>
        <v/>
      </c>
      <c r="F33" s="40">
        <f>ROUND($B$4*$B$9*$B$13*$B$15*$B$18*$B$21*$B$22,0)</f>
        <v/>
      </c>
      <c r="G33" s="40">
        <f>ROUND($B$4*$B$9*$B$13*$B$15*$B$18*$B$21*$B$23,0)</f>
        <v/>
      </c>
      <c r="H33" s="40">
        <f>ROUND($B$4*$B$9*$B$13*$B$15*$B$19*$B$20*$B$22,0)</f>
        <v/>
      </c>
      <c r="I33" s="40">
        <f>ROUND($B$4*$B$9*$B$13*$B$15*$B$19*$B$20*$B$23,0)</f>
        <v/>
      </c>
      <c r="J33" s="40">
        <f>ROUND($B$4*$B$9*$B$13*$B$15*$B$19*$B$21*$B$22,0)</f>
        <v/>
      </c>
      <c r="K33" s="40">
        <f>ROUND($B$4*$B$9*$B$13*$B$15*$B$19*$B$21*$B$23,0)</f>
        <v/>
      </c>
      <c r="L33" s="40">
        <f>ROUND($B$5*$B$9*$B$13*$B$15*$B$18*$B$20*$B$22,0)</f>
        <v/>
      </c>
      <c r="M33" s="40">
        <f>ROUND($B$5*$B$9*$B$13*$B$15*$B$18*$B$20*$B$23,0)</f>
        <v/>
      </c>
      <c r="N33" s="40">
        <f>ROUND($B$5*$B$9*$B$13*$B$15*$B$18*$B$21*$B$22,0)</f>
        <v/>
      </c>
      <c r="O33" s="40">
        <f>ROUND($B$5*$B$9*$B$13*$B$15*$B$18*$B$21*$B$23,0)</f>
        <v/>
      </c>
      <c r="P33" s="40">
        <f>ROUND($B$5*$B$9*$B$13*$B$15*$B$19*$B$20*$B$22,0)</f>
        <v/>
      </c>
      <c r="Q33" s="40">
        <f>ROUND($B$5*$B$9*$B$13*$B$15*$B$19*$B$20*$B$23,0)</f>
        <v/>
      </c>
      <c r="R33" s="40">
        <f>ROUND($B$5*$B$9*$B$13*$B$15*$B$19*$B$21*$B$22,0)</f>
        <v/>
      </c>
      <c r="S33" s="40">
        <f>ROUND($B$5*$B$9*$B$13*$B$15*$B$19*$B$21*$B$23,0)</f>
        <v/>
      </c>
      <c r="T33" s="40">
        <f>ROUND($B$6*$B$9*$B$13*$B$15*$B$18*$B$20*$B$22,0)</f>
        <v/>
      </c>
      <c r="U33" s="40">
        <f>ROUND($B$6*$B$9*$B$13*$B$15*$B$18*$B$20*$B$23,0)</f>
        <v/>
      </c>
      <c r="V33" s="40">
        <f>ROUND($B$6*$B$9*$B$13*$B$15*$B$18*$B$21*$B$22,0)</f>
        <v/>
      </c>
      <c r="W33" s="40">
        <f>ROUND($B$6*$B$9*$B$13*$B$15*$B$18*$B$21*$B$23,0)</f>
        <v/>
      </c>
      <c r="X33" s="40">
        <f>ROUND($B$6*$B$9*$B$13*$B$15*$B$19*$B$20*$B$22,0)</f>
        <v/>
      </c>
      <c r="Y33" s="40">
        <f>ROUND($B$6*$B$9*$B$13*$B$15*$B$19*$B$20*$B$23,0)</f>
        <v/>
      </c>
      <c r="Z33" s="40">
        <f>ROUND($B$6*$B$9*$B$13*$B$15*$B$19*$B$21*$B$22,0)</f>
        <v/>
      </c>
      <c r="AA33" s="40">
        <f>ROUND($B$6*$B$9*$B$13*$B$15*$B$19*$B$21*$B$23,0)</f>
        <v/>
      </c>
      <c r="AB33" s="41">
        <f>ROUND($B$7*$B$9*$B$13*$B$15*$B$18*$B$20*$B$22,0)</f>
        <v/>
      </c>
      <c r="AC33" s="41">
        <f>ROUND($B$7*$B$9*$B$13*$B$15*$B$18*$B$20*$B$23,0)</f>
        <v/>
      </c>
      <c r="AD33" s="41">
        <f>ROUND($B$7*$B$9*$B$13*$B$15*$B$18*$B$21*$B$22,0)</f>
        <v/>
      </c>
      <c r="AE33" s="41">
        <f>ROUND($B$7*$B$9*$B$13*$B$15*$B$18*$B$21*$B$23,0)</f>
        <v/>
      </c>
      <c r="AF33" s="41">
        <f>ROUND($B$7*$B$9*$B$13*$B$15*$B$19*$B$20*$B$22,0)</f>
        <v/>
      </c>
      <c r="AG33" s="41">
        <f>ROUND($B$7*$B$9*$B$13*$B$15*$B$19*$B$20*$B$23,0)</f>
        <v/>
      </c>
      <c r="AH33" s="41">
        <f>ROUND($B$7*$B$9*$B$13*$B$15*$B$19*$B$21*$B$22,0)</f>
        <v/>
      </c>
      <c r="AI33" s="41">
        <f>ROUND($B$7*$B$9*$B$13*$B$15*$B$19*$B$21*$B$23,0)</f>
        <v/>
      </c>
    </row>
    <row r="34" ht="20.1" customHeight="1" s="62">
      <c r="A34" s="90" t="n"/>
      <c r="B34" s="58" t="n"/>
      <c r="C34" s="87" t="inlineStr">
        <is>
          <t>Structurée</t>
        </is>
      </c>
      <c r="D34" s="40">
        <f>ROUND($B$4*$B$9*$B$13*$B$16*$B$18*$B$20*$B$22,0)</f>
        <v/>
      </c>
      <c r="E34" s="40">
        <f>ROUND($B$4*$B$9*$B$13*$B$16*$B$18*$B$20*$B$23,0)</f>
        <v/>
      </c>
      <c r="F34" s="40">
        <f>ROUND($B$4*$B$9*$B$13*$B$16*$B$18*$B$21*$B$22,0)</f>
        <v/>
      </c>
      <c r="G34" s="40">
        <f>ROUND($B$4*$B$9*$B$13*$B$16*$B$18*$B$21*$B$23,0)</f>
        <v/>
      </c>
      <c r="H34" s="40">
        <f>ROUND($B$4*$B$9*$B$13*$B$16*$B$19*$B$20*$B$22,0)</f>
        <v/>
      </c>
      <c r="I34" s="40">
        <f>ROUND($B$4*$B$9*$B$13*$B$16*$B$19*$B$20*$B$23,0)</f>
        <v/>
      </c>
      <c r="J34" s="40">
        <f>ROUND($B$4*$B$9*$B$13*$B$16*$B$19*$B$21*$B$22,0)</f>
        <v/>
      </c>
      <c r="K34" s="40">
        <f>ROUND($B$4*$B$9*$B$13*$B$16*$B$19*$B$21*$B$23,0)</f>
        <v/>
      </c>
      <c r="L34" s="40">
        <f>ROUND($B$5*$B$9*$B$13*$B$16*$B$18*$B$20*$B$22,0)</f>
        <v/>
      </c>
      <c r="M34" s="40">
        <f>ROUND($B$5*$B$9*$B$13*$B$16*$B$18*$B$20*$B$23,0)</f>
        <v/>
      </c>
      <c r="N34" s="40">
        <f>ROUND($B$5*$B$9*$B$13*$B$16*$B$18*$B$21*$B$22,0)</f>
        <v/>
      </c>
      <c r="O34" s="40">
        <f>ROUND($B$5*$B$9*$B$13*$B$16*$B$18*$B$21*$B$23,0)</f>
        <v/>
      </c>
      <c r="P34" s="40">
        <f>ROUND($B$5*$B$9*$B$13*$B$16*$B$19*$B$20*$B$22,0)</f>
        <v/>
      </c>
      <c r="Q34" s="40">
        <f>ROUND($B$5*$B$9*$B$13*$B$16*$B$19*$B$20*$B$23,0)</f>
        <v/>
      </c>
      <c r="R34" s="40">
        <f>ROUND($B$5*$B$9*$B$13*$B$16*$B$19*$B$21*$B$22,0)</f>
        <v/>
      </c>
      <c r="S34" s="40">
        <f>ROUND($B$5*$B$9*$B$13*$B$16*$B$19*$B$21*$B$23,0)</f>
        <v/>
      </c>
      <c r="T34" s="40">
        <f>ROUND($B$6*$B$9*$B$13*$B$16*$B$18*$B$20*$B$22,0)</f>
        <v/>
      </c>
      <c r="U34" s="40">
        <f>ROUND($B$6*$B$9*$B$13*$B$16*$B$18*$B$20*$B$23,0)</f>
        <v/>
      </c>
      <c r="V34" s="40">
        <f>ROUND($B$6*$B$9*$B$13*$B$16*$B$18*$B$21*$B$22,0)</f>
        <v/>
      </c>
      <c r="W34" s="40">
        <f>ROUND($B$6*$B$9*$B$13*$B$16*$B$18*$B$21*$B$23,0)</f>
        <v/>
      </c>
      <c r="X34" s="40">
        <f>ROUND($B$6*$B$9*$B$13*$B$16*$B$19*$B$20*$B$22,0)</f>
        <v/>
      </c>
      <c r="Y34" s="40">
        <f>ROUND($B$6*$B$9*$B$13*$B$16*$B$19*$B$20*$B$23,0)</f>
        <v/>
      </c>
      <c r="Z34" s="40">
        <f>ROUND($B$6*$B$9*$B$13*$B$16*$B$19*$B$21*$B$22,0)</f>
        <v/>
      </c>
      <c r="AA34" s="40">
        <f>ROUND($B$6*$B$9*$B$13*$B$16*$B$19*$B$21*$B$23,0)</f>
        <v/>
      </c>
      <c r="AB34" s="41">
        <f>ROUND($B$7*$B$9*$B$13*$B$16*$B$18*$B$20*$B$22,0)</f>
        <v/>
      </c>
      <c r="AC34" s="41">
        <f>ROUND($B$7*$B$9*$B$13*$B$16*$B$18*$B$20*$B$23,0)</f>
        <v/>
      </c>
      <c r="AD34" s="41">
        <f>ROUND($B$7*$B$9*$B$13*$B$16*$B$18*$B$21*$B$22,0)</f>
        <v/>
      </c>
      <c r="AE34" s="41">
        <f>ROUND($B$7*$B$9*$B$13*$B$16*$B$18*$B$21*$B$23,0)</f>
        <v/>
      </c>
      <c r="AF34" s="41">
        <f>ROUND($B$7*$B$9*$B$13*$B$16*$B$19*$B$20*$B$22,0)</f>
        <v/>
      </c>
      <c r="AG34" s="41">
        <f>ROUND($B$7*$B$9*$B$13*$B$16*$B$19*$B$20*$B$23,0)</f>
        <v/>
      </c>
      <c r="AH34" s="41">
        <f>ROUND($B$7*$B$9*$B$13*$B$16*$B$19*$B$21*$B$22,0)</f>
        <v/>
      </c>
      <c r="AI34" s="41">
        <f>ROUND($B$7*$B$9*$B$13*$B$16*$B$19*$B$21*$B$23,0)</f>
        <v/>
      </c>
    </row>
    <row r="35" ht="20.1" customHeight="1" s="62">
      <c r="A35" s="90" t="n"/>
      <c r="B35" s="59" t="n"/>
      <c r="C35" s="42" t="inlineStr">
        <is>
          <t>Avancée multi-canal</t>
        </is>
      </c>
      <c r="D35" s="40">
        <f>ROUND($B$4*$B$9*$B$13*$B$17*$B$18*$B$20*$B$22,0)</f>
        <v/>
      </c>
      <c r="E35" s="40">
        <f>ROUND($B$4*$B$9*$B$13*$B$17*$B$18*$B$20*$B$23,0)</f>
        <v/>
      </c>
      <c r="F35" s="40">
        <f>ROUND($B$4*$B$9*$B$13*$B$17*$B$18*$B$21*$B$22,0)</f>
        <v/>
      </c>
      <c r="G35" s="40">
        <f>ROUND($B$4*$B$9*$B$13*$B$17*$B$18*$B$21*$B$23,0)</f>
        <v/>
      </c>
      <c r="H35" s="40">
        <f>ROUND($B$4*$B$9*$B$13*$B$17*$B$19*$B$20*$B$22,0)</f>
        <v/>
      </c>
      <c r="I35" s="40">
        <f>ROUND($B$4*$B$9*$B$13*$B$17*$B$19*$B$20*$B$23,0)</f>
        <v/>
      </c>
      <c r="J35" s="40">
        <f>ROUND($B$4*$B$9*$B$13*$B$17*$B$19*$B$21*$B$22,0)</f>
        <v/>
      </c>
      <c r="K35" s="40">
        <f>ROUND($B$4*$B$9*$B$13*$B$17*$B$19*$B$21*$B$23,0)</f>
        <v/>
      </c>
      <c r="L35" s="40">
        <f>ROUND($B$5*$B$9*$B$13*$B$17*$B$18*$B$20*$B$22,0)</f>
        <v/>
      </c>
      <c r="M35" s="40">
        <f>ROUND($B$5*$B$9*$B$13*$B$17*$B$18*$B$20*$B$23,0)</f>
        <v/>
      </c>
      <c r="N35" s="40">
        <f>ROUND($B$5*$B$9*$B$13*$B$17*$B$18*$B$21*$B$22,0)</f>
        <v/>
      </c>
      <c r="O35" s="40">
        <f>ROUND($B$5*$B$9*$B$13*$B$17*$B$18*$B$21*$B$23,0)</f>
        <v/>
      </c>
      <c r="P35" s="40">
        <f>ROUND($B$5*$B$9*$B$13*$B$17*$B$19*$B$20*$B$22,0)</f>
        <v/>
      </c>
      <c r="Q35" s="40">
        <f>ROUND($B$5*$B$9*$B$13*$B$17*$B$19*$B$20*$B$23,0)</f>
        <v/>
      </c>
      <c r="R35" s="40">
        <f>ROUND($B$5*$B$9*$B$13*$B$17*$B$19*$B$21*$B$22,0)</f>
        <v/>
      </c>
      <c r="S35" s="40">
        <f>ROUND($B$5*$B$9*$B$13*$B$17*$B$19*$B$21*$B$23,0)</f>
        <v/>
      </c>
      <c r="T35" s="40">
        <f>ROUND($B$6*$B$9*$B$13*$B$17*$B$18*$B$20*$B$22,0)</f>
        <v/>
      </c>
      <c r="U35" s="40">
        <f>ROUND($B$6*$B$9*$B$13*$B$17*$B$18*$B$20*$B$23,0)</f>
        <v/>
      </c>
      <c r="V35" s="40">
        <f>ROUND($B$6*$B$9*$B$13*$B$17*$B$18*$B$21*$B$22,0)</f>
        <v/>
      </c>
      <c r="W35" s="40">
        <f>ROUND($B$6*$B$9*$B$13*$B$17*$B$18*$B$21*$B$23,0)</f>
        <v/>
      </c>
      <c r="X35" s="40">
        <f>ROUND($B$6*$B$9*$B$13*$B$17*$B$19*$B$20*$B$22,0)</f>
        <v/>
      </c>
      <c r="Y35" s="40">
        <f>ROUND($B$6*$B$9*$B$13*$B$17*$B$19*$B$20*$B$23,0)</f>
        <v/>
      </c>
      <c r="Z35" s="40">
        <f>ROUND($B$6*$B$9*$B$13*$B$17*$B$19*$B$21*$B$22,0)</f>
        <v/>
      </c>
      <c r="AA35" s="40">
        <f>ROUND($B$6*$B$9*$B$13*$B$17*$B$19*$B$21*$B$23,0)</f>
        <v/>
      </c>
      <c r="AB35" s="41">
        <f>ROUND($B$7*$B$9*$B$13*$B$17*$B$18*$B$20*$B$22,0)</f>
        <v/>
      </c>
      <c r="AC35" s="41">
        <f>ROUND($B$7*$B$9*$B$13*$B$17*$B$18*$B$20*$B$23,0)</f>
        <v/>
      </c>
      <c r="AD35" s="41">
        <f>ROUND($B$7*$B$9*$B$13*$B$17*$B$18*$B$21*$B$22,0)</f>
        <v/>
      </c>
      <c r="AE35" s="41">
        <f>ROUND($B$7*$B$9*$B$13*$B$17*$B$18*$B$21*$B$23,0)</f>
        <v/>
      </c>
      <c r="AF35" s="41">
        <f>ROUND($B$7*$B$9*$B$13*$B$17*$B$19*$B$20*$B$22,0)</f>
        <v/>
      </c>
      <c r="AG35" s="41">
        <f>ROUND($B$7*$B$9*$B$13*$B$17*$B$19*$B$20*$B$23,0)</f>
        <v/>
      </c>
      <c r="AH35" s="41">
        <f>ROUND($B$7*$B$9*$B$13*$B$17*$B$19*$B$21*$B$22,0)</f>
        <v/>
      </c>
      <c r="AI35" s="41">
        <f>ROUND($B$7*$B$9*$B$13*$B$17*$B$19*$B$21*$B$23,0)</f>
        <v/>
      </c>
    </row>
    <row r="36" ht="20.1" customHeight="1" s="62">
      <c r="A36" s="90" t="n"/>
      <c r="B36" s="87" t="inlineStr">
        <is>
          <t>6+ sources</t>
        </is>
      </c>
      <c r="C36" s="39" t="inlineStr">
        <is>
          <t>Simple</t>
        </is>
      </c>
      <c r="D36" s="40">
        <f>ROUND($B$4*$B$9*$B$14*$B$15*$B$18*$B$20*$B$22,0)</f>
        <v/>
      </c>
      <c r="E36" s="40">
        <f>ROUND($B$4*$B$9*$B$14*$B$15*$B$18*$B$20*$B$23,0)</f>
        <v/>
      </c>
      <c r="F36" s="40">
        <f>ROUND($B$4*$B$9*$B$14*$B$15*$B$18*$B$21*$B$22,0)</f>
        <v/>
      </c>
      <c r="G36" s="40">
        <f>ROUND($B$4*$B$9*$B$14*$B$15*$B$18*$B$21*$B$23,0)</f>
        <v/>
      </c>
      <c r="H36" s="40">
        <f>ROUND($B$4*$B$9*$B$14*$B$15*$B$19*$B$20*$B$22,0)</f>
        <v/>
      </c>
      <c r="I36" s="40">
        <f>ROUND($B$4*$B$9*$B$14*$B$15*$B$19*$B$20*$B$23,0)</f>
        <v/>
      </c>
      <c r="J36" s="40">
        <f>ROUND($B$4*$B$9*$B$14*$B$15*$B$19*$B$21*$B$22,0)</f>
        <v/>
      </c>
      <c r="K36" s="40">
        <f>ROUND($B$4*$B$9*$B$14*$B$15*$B$19*$B$21*$B$23,0)</f>
        <v/>
      </c>
      <c r="L36" s="40">
        <f>ROUND($B$5*$B$9*$B$14*$B$15*$B$18*$B$20*$B$22,0)</f>
        <v/>
      </c>
      <c r="M36" s="40">
        <f>ROUND($B$5*$B$9*$B$14*$B$15*$B$18*$B$20*$B$23,0)</f>
        <v/>
      </c>
      <c r="N36" s="40">
        <f>ROUND($B$5*$B$9*$B$14*$B$15*$B$18*$B$21*$B$22,0)</f>
        <v/>
      </c>
      <c r="O36" s="40">
        <f>ROUND($B$5*$B$9*$B$14*$B$15*$B$18*$B$21*$B$23,0)</f>
        <v/>
      </c>
      <c r="P36" s="40">
        <f>ROUND($B$5*$B$9*$B$14*$B$15*$B$19*$B$20*$B$22,0)</f>
        <v/>
      </c>
      <c r="Q36" s="40">
        <f>ROUND($B$5*$B$9*$B$14*$B$15*$B$19*$B$20*$B$23,0)</f>
        <v/>
      </c>
      <c r="R36" s="40">
        <f>ROUND($B$5*$B$9*$B$14*$B$15*$B$19*$B$21*$B$22,0)</f>
        <v/>
      </c>
      <c r="S36" s="40">
        <f>ROUND($B$5*$B$9*$B$14*$B$15*$B$19*$B$21*$B$23,0)</f>
        <v/>
      </c>
      <c r="T36" s="40">
        <f>ROUND($B$6*$B$9*$B$14*$B$15*$B$18*$B$20*$B$22,0)</f>
        <v/>
      </c>
      <c r="U36" s="40">
        <f>ROUND($B$6*$B$9*$B$14*$B$15*$B$18*$B$20*$B$23,0)</f>
        <v/>
      </c>
      <c r="V36" s="40">
        <f>ROUND($B$6*$B$9*$B$14*$B$15*$B$18*$B$21*$B$22,0)</f>
        <v/>
      </c>
      <c r="W36" s="40">
        <f>ROUND($B$6*$B$9*$B$14*$B$15*$B$18*$B$21*$B$23,0)</f>
        <v/>
      </c>
      <c r="X36" s="40">
        <f>ROUND($B$6*$B$9*$B$14*$B$15*$B$19*$B$20*$B$22,0)</f>
        <v/>
      </c>
      <c r="Y36" s="40">
        <f>ROUND($B$6*$B$9*$B$14*$B$15*$B$19*$B$20*$B$23,0)</f>
        <v/>
      </c>
      <c r="Z36" s="40">
        <f>ROUND($B$6*$B$9*$B$14*$B$15*$B$19*$B$21*$B$22,0)</f>
        <v/>
      </c>
      <c r="AA36" s="40">
        <f>ROUND($B$6*$B$9*$B$14*$B$15*$B$19*$B$21*$B$23,0)</f>
        <v/>
      </c>
      <c r="AB36" s="41">
        <f>ROUND($B$7*$B$9*$B$14*$B$15*$B$18*$B$20*$B$22,0)</f>
        <v/>
      </c>
      <c r="AC36" s="41">
        <f>ROUND($B$7*$B$9*$B$14*$B$15*$B$18*$B$20*$B$23,0)</f>
        <v/>
      </c>
      <c r="AD36" s="41">
        <f>ROUND($B$7*$B$9*$B$14*$B$15*$B$18*$B$21*$B$22,0)</f>
        <v/>
      </c>
      <c r="AE36" s="41">
        <f>ROUND($B$7*$B$9*$B$14*$B$15*$B$18*$B$21*$B$23,0)</f>
        <v/>
      </c>
      <c r="AF36" s="41">
        <f>ROUND($B$7*$B$9*$B$14*$B$15*$B$19*$B$20*$B$22,0)</f>
        <v/>
      </c>
      <c r="AG36" s="41">
        <f>ROUND($B$7*$B$9*$B$14*$B$15*$B$19*$B$20*$B$23,0)</f>
        <v/>
      </c>
      <c r="AH36" s="41">
        <f>ROUND($B$7*$B$9*$B$14*$B$15*$B$19*$B$21*$B$22,0)</f>
        <v/>
      </c>
      <c r="AI36" s="41">
        <f>ROUND($B$7*$B$9*$B$14*$B$15*$B$19*$B$21*$B$23,0)</f>
        <v/>
      </c>
    </row>
    <row r="37" ht="20.1" customHeight="1" s="62">
      <c r="A37" s="90" t="n"/>
      <c r="B37" s="58" t="n"/>
      <c r="C37" s="87" t="inlineStr">
        <is>
          <t>Structurée</t>
        </is>
      </c>
      <c r="D37" s="40">
        <f>ROUND($B$4*$B$9*$B$14*$B$16*$B$18*$B$20*$B$22,0)</f>
        <v/>
      </c>
      <c r="E37" s="40">
        <f>ROUND($B$4*$B$9*$B$14*$B$16*$B$18*$B$20*$B$23,0)</f>
        <v/>
      </c>
      <c r="F37" s="40">
        <f>ROUND($B$4*$B$9*$B$14*$B$16*$B$18*$B$21*$B$22,0)</f>
        <v/>
      </c>
      <c r="G37" s="40">
        <f>ROUND($B$4*$B$9*$B$14*$B$16*$B$18*$B$21*$B$23,0)</f>
        <v/>
      </c>
      <c r="H37" s="40">
        <f>ROUND($B$4*$B$9*$B$14*$B$16*$B$19*$B$20*$B$22,0)</f>
        <v/>
      </c>
      <c r="I37" s="40">
        <f>ROUND($B$4*$B$9*$B$14*$B$16*$B$19*$B$20*$B$23,0)</f>
        <v/>
      </c>
      <c r="J37" s="40">
        <f>ROUND($B$4*$B$9*$B$14*$B$16*$B$19*$B$21*$B$22,0)</f>
        <v/>
      </c>
      <c r="K37" s="40">
        <f>ROUND($B$4*$B$9*$B$14*$B$16*$B$19*$B$21*$B$23,0)</f>
        <v/>
      </c>
      <c r="L37" s="40">
        <f>ROUND($B$5*$B$9*$B$14*$B$16*$B$18*$B$20*$B$22,0)</f>
        <v/>
      </c>
      <c r="M37" s="40">
        <f>ROUND($B$5*$B$9*$B$14*$B$16*$B$18*$B$20*$B$23,0)</f>
        <v/>
      </c>
      <c r="N37" s="40">
        <f>ROUND($B$5*$B$9*$B$14*$B$16*$B$18*$B$21*$B$22,0)</f>
        <v/>
      </c>
      <c r="O37" s="40">
        <f>ROUND($B$5*$B$9*$B$14*$B$16*$B$18*$B$21*$B$23,0)</f>
        <v/>
      </c>
      <c r="P37" s="40">
        <f>ROUND($B$5*$B$9*$B$14*$B$16*$B$19*$B$20*$B$22,0)</f>
        <v/>
      </c>
      <c r="Q37" s="40">
        <f>ROUND($B$5*$B$9*$B$14*$B$16*$B$19*$B$20*$B$23,0)</f>
        <v/>
      </c>
      <c r="R37" s="40">
        <f>ROUND($B$5*$B$9*$B$14*$B$16*$B$19*$B$21*$B$22,0)</f>
        <v/>
      </c>
      <c r="S37" s="40">
        <f>ROUND($B$5*$B$9*$B$14*$B$16*$B$19*$B$21*$B$23,0)</f>
        <v/>
      </c>
      <c r="T37" s="40">
        <f>ROUND($B$6*$B$9*$B$14*$B$16*$B$18*$B$20*$B$22,0)</f>
        <v/>
      </c>
      <c r="U37" s="40">
        <f>ROUND($B$6*$B$9*$B$14*$B$16*$B$18*$B$20*$B$23,0)</f>
        <v/>
      </c>
      <c r="V37" s="40">
        <f>ROUND($B$6*$B$9*$B$14*$B$16*$B$18*$B$21*$B$22,0)</f>
        <v/>
      </c>
      <c r="W37" s="40">
        <f>ROUND($B$6*$B$9*$B$14*$B$16*$B$18*$B$21*$B$23,0)</f>
        <v/>
      </c>
      <c r="X37" s="40">
        <f>ROUND($B$6*$B$9*$B$14*$B$16*$B$19*$B$20*$B$22,0)</f>
        <v/>
      </c>
      <c r="Y37" s="40">
        <f>ROUND($B$6*$B$9*$B$14*$B$16*$B$19*$B$20*$B$23,0)</f>
        <v/>
      </c>
      <c r="Z37" s="40">
        <f>ROUND($B$6*$B$9*$B$14*$B$16*$B$19*$B$21*$B$22,0)</f>
        <v/>
      </c>
      <c r="AA37" s="40">
        <f>ROUND($B$6*$B$9*$B$14*$B$16*$B$19*$B$21*$B$23,0)</f>
        <v/>
      </c>
      <c r="AB37" s="41">
        <f>ROUND($B$7*$B$9*$B$14*$B$16*$B$18*$B$20*$B$22,0)</f>
        <v/>
      </c>
      <c r="AC37" s="41">
        <f>ROUND($B$7*$B$9*$B$14*$B$16*$B$18*$B$20*$B$23,0)</f>
        <v/>
      </c>
      <c r="AD37" s="41">
        <f>ROUND($B$7*$B$9*$B$14*$B$16*$B$18*$B$21*$B$22,0)</f>
        <v/>
      </c>
      <c r="AE37" s="41">
        <f>ROUND($B$7*$B$9*$B$14*$B$16*$B$18*$B$21*$B$23,0)</f>
        <v/>
      </c>
      <c r="AF37" s="41">
        <f>ROUND($B$7*$B$9*$B$14*$B$16*$B$19*$B$20*$B$22,0)</f>
        <v/>
      </c>
      <c r="AG37" s="41">
        <f>ROUND($B$7*$B$9*$B$14*$B$16*$B$19*$B$20*$B$23,0)</f>
        <v/>
      </c>
      <c r="AH37" s="41">
        <f>ROUND($B$7*$B$9*$B$14*$B$16*$B$19*$B$21*$B$22,0)</f>
        <v/>
      </c>
      <c r="AI37" s="41">
        <f>ROUND($B$7*$B$9*$B$14*$B$16*$B$19*$B$21*$B$23,0)</f>
        <v/>
      </c>
    </row>
    <row r="38" ht="20.1" customHeight="1" s="62">
      <c r="A38" s="91" t="n"/>
      <c r="B38" s="59" t="n"/>
      <c r="C38" s="42" t="inlineStr">
        <is>
          <t>Avancée multi-canal</t>
        </is>
      </c>
      <c r="D38" s="40">
        <f>ROUND($B$4*$B$9*$B$14*$B$17*$B$18*$B$20*$B$22,0)</f>
        <v/>
      </c>
      <c r="E38" s="40">
        <f>ROUND($B$4*$B$9*$B$14*$B$17*$B$18*$B$20*$B$23,0)</f>
        <v/>
      </c>
      <c r="F38" s="40">
        <f>ROUND($B$4*$B$9*$B$14*$B$17*$B$18*$B$21*$B$22,0)</f>
        <v/>
      </c>
      <c r="G38" s="40">
        <f>ROUND($B$4*$B$9*$B$14*$B$17*$B$18*$B$21*$B$23,0)</f>
        <v/>
      </c>
      <c r="H38" s="40">
        <f>ROUND($B$4*$B$9*$B$14*$B$17*$B$19*$B$20*$B$22,0)</f>
        <v/>
      </c>
      <c r="I38" s="40">
        <f>ROUND($B$4*$B$9*$B$14*$B$17*$B$19*$B$20*$B$23,0)</f>
        <v/>
      </c>
      <c r="J38" s="40">
        <f>ROUND($B$4*$B$9*$B$14*$B$17*$B$19*$B$21*$B$22,0)</f>
        <v/>
      </c>
      <c r="K38" s="40">
        <f>ROUND($B$4*$B$9*$B$14*$B$17*$B$19*$B$21*$B$23,0)</f>
        <v/>
      </c>
      <c r="L38" s="40">
        <f>ROUND($B$5*$B$9*$B$14*$B$17*$B$18*$B$20*$B$22,0)</f>
        <v/>
      </c>
      <c r="M38" s="40">
        <f>ROUND($B$5*$B$9*$B$14*$B$17*$B$18*$B$20*$B$23,0)</f>
        <v/>
      </c>
      <c r="N38" s="40">
        <f>ROUND($B$5*$B$9*$B$14*$B$17*$B$18*$B$21*$B$22,0)</f>
        <v/>
      </c>
      <c r="O38" s="40">
        <f>ROUND($B$5*$B$9*$B$14*$B$17*$B$18*$B$21*$B$23,0)</f>
        <v/>
      </c>
      <c r="P38" s="40">
        <f>ROUND($B$5*$B$9*$B$14*$B$17*$B$19*$B$20*$B$22,0)</f>
        <v/>
      </c>
      <c r="Q38" s="40">
        <f>ROUND($B$5*$B$9*$B$14*$B$17*$B$19*$B$20*$B$23,0)</f>
        <v/>
      </c>
      <c r="R38" s="40">
        <f>ROUND($B$5*$B$9*$B$14*$B$17*$B$19*$B$21*$B$22,0)</f>
        <v/>
      </c>
      <c r="S38" s="40">
        <f>ROUND($B$5*$B$9*$B$14*$B$17*$B$19*$B$21*$B$23,0)</f>
        <v/>
      </c>
      <c r="T38" s="40">
        <f>ROUND($B$6*$B$9*$B$14*$B$17*$B$18*$B$20*$B$22,0)</f>
        <v/>
      </c>
      <c r="U38" s="40">
        <f>ROUND($B$6*$B$9*$B$14*$B$17*$B$18*$B$20*$B$23,0)</f>
        <v/>
      </c>
      <c r="V38" s="40">
        <f>ROUND($B$6*$B$9*$B$14*$B$17*$B$18*$B$21*$B$22,0)</f>
        <v/>
      </c>
      <c r="W38" s="40">
        <f>ROUND($B$6*$B$9*$B$14*$B$17*$B$18*$B$21*$B$23,0)</f>
        <v/>
      </c>
      <c r="X38" s="40">
        <f>ROUND($B$6*$B$9*$B$14*$B$17*$B$19*$B$20*$B$22,0)</f>
        <v/>
      </c>
      <c r="Y38" s="40">
        <f>ROUND($B$6*$B$9*$B$14*$B$17*$B$19*$B$20*$B$23,0)</f>
        <v/>
      </c>
      <c r="Z38" s="40">
        <f>ROUND($B$6*$B$9*$B$14*$B$17*$B$19*$B$21*$B$22,0)</f>
        <v/>
      </c>
      <c r="AA38" s="40">
        <f>ROUND($B$6*$B$9*$B$14*$B$17*$B$19*$B$21*$B$23,0)</f>
        <v/>
      </c>
      <c r="AB38" s="41">
        <f>ROUND($B$7*$B$9*$B$14*$B$17*$B$18*$B$20*$B$22,0)</f>
        <v/>
      </c>
      <c r="AC38" s="41">
        <f>ROUND($B$7*$B$9*$B$14*$B$17*$B$18*$B$20*$B$23,0)</f>
        <v/>
      </c>
      <c r="AD38" s="41">
        <f>ROUND($B$7*$B$9*$B$14*$B$17*$B$18*$B$21*$B$22,0)</f>
        <v/>
      </c>
      <c r="AE38" s="41">
        <f>ROUND($B$7*$B$9*$B$14*$B$17*$B$18*$B$21*$B$23,0)</f>
        <v/>
      </c>
      <c r="AF38" s="41">
        <f>ROUND($B$7*$B$9*$B$14*$B$17*$B$19*$B$20*$B$22,0)</f>
        <v/>
      </c>
      <c r="AG38" s="41">
        <f>ROUND($B$7*$B$9*$B$14*$B$17*$B$19*$B$20*$B$23,0)</f>
        <v/>
      </c>
      <c r="AH38" s="41">
        <f>ROUND($B$7*$B$9*$B$14*$B$17*$B$19*$B$21*$B$22,0)</f>
        <v/>
      </c>
      <c r="AI38" s="41">
        <f>ROUND($B$7*$B$9*$B$14*$B$17*$B$19*$B$21*$B$23,0)</f>
        <v/>
      </c>
    </row>
    <row r="39" ht="20.1" customHeight="1" s="62">
      <c r="A39" s="89" t="inlineStr">
        <is>
          <t>Moyen</t>
        </is>
      </c>
      <c r="B39" s="87" t="inlineStr">
        <is>
          <t>1-2 sources</t>
        </is>
      </c>
      <c r="C39" s="39" t="inlineStr">
        <is>
          <t>Simple</t>
        </is>
      </c>
      <c r="D39" s="40">
        <f>ROUND($B$4*$B$10*$B$12*$B$15*$B$18*$B$20*$B$22,0)</f>
        <v/>
      </c>
      <c r="E39" s="40">
        <f>ROUND($B$4*$B$10*$B$12*$B$15*$B$18*$B$20*$B$23,0)</f>
        <v/>
      </c>
      <c r="F39" s="40">
        <f>ROUND($B$4*$B$10*$B$12*$B$15*$B$18*$B$21*$B$22,0)</f>
        <v/>
      </c>
      <c r="G39" s="40">
        <f>ROUND($B$4*$B$10*$B$12*$B$15*$B$18*$B$21*$B$23,0)</f>
        <v/>
      </c>
      <c r="H39" s="40">
        <f>ROUND($B$4*$B$10*$B$12*$B$15*$B$19*$B$20*$B$22,0)</f>
        <v/>
      </c>
      <c r="I39" s="40">
        <f>ROUND($B$4*$B$10*$B$12*$B$15*$B$19*$B$20*$B$23,0)</f>
        <v/>
      </c>
      <c r="J39" s="40">
        <f>ROUND($B$4*$B$10*$B$12*$B$15*$B$19*$B$21*$B$22,0)</f>
        <v/>
      </c>
      <c r="K39" s="40">
        <f>ROUND($B$4*$B$10*$B$12*$B$15*$B$19*$B$21*$B$23,0)</f>
        <v/>
      </c>
      <c r="L39" s="40">
        <f>ROUND($B$5*$B$10*$B$12*$B$15*$B$18*$B$20*$B$22,0)</f>
        <v/>
      </c>
      <c r="M39" s="40">
        <f>ROUND($B$5*$B$10*$B$12*$B$15*$B$18*$B$20*$B$23,0)</f>
        <v/>
      </c>
      <c r="N39" s="40">
        <f>ROUND($B$5*$B$10*$B$12*$B$15*$B$18*$B$21*$B$22,0)</f>
        <v/>
      </c>
      <c r="O39" s="40">
        <f>ROUND($B$5*$B$10*$B$12*$B$15*$B$18*$B$21*$B$23,0)</f>
        <v/>
      </c>
      <c r="P39" s="40">
        <f>ROUND($B$5*$B$10*$B$12*$B$15*$B$19*$B$20*$B$22,0)</f>
        <v/>
      </c>
      <c r="Q39" s="40">
        <f>ROUND($B$5*$B$10*$B$12*$B$15*$B$19*$B$20*$B$23,0)</f>
        <v/>
      </c>
      <c r="R39" s="40">
        <f>ROUND($B$5*$B$10*$B$12*$B$15*$B$19*$B$21*$B$22,0)</f>
        <v/>
      </c>
      <c r="S39" s="40">
        <f>ROUND($B$5*$B$10*$B$12*$B$15*$B$19*$B$21*$B$23,0)</f>
        <v/>
      </c>
      <c r="T39" s="40">
        <f>ROUND($B$6*$B$10*$B$12*$B$15*$B$18*$B$20*$B$22,0)</f>
        <v/>
      </c>
      <c r="U39" s="40">
        <f>ROUND($B$6*$B$10*$B$12*$B$15*$B$18*$B$20*$B$23,0)</f>
        <v/>
      </c>
      <c r="V39" s="40">
        <f>ROUND($B$6*$B$10*$B$12*$B$15*$B$18*$B$21*$B$22,0)</f>
        <v/>
      </c>
      <c r="W39" s="40">
        <f>ROUND($B$6*$B$10*$B$12*$B$15*$B$18*$B$21*$B$23,0)</f>
        <v/>
      </c>
      <c r="X39" s="40">
        <f>ROUND($B$6*$B$10*$B$12*$B$15*$B$19*$B$20*$B$22,0)</f>
        <v/>
      </c>
      <c r="Y39" s="40">
        <f>ROUND($B$6*$B$10*$B$12*$B$15*$B$19*$B$20*$B$23,0)</f>
        <v/>
      </c>
      <c r="Z39" s="40">
        <f>ROUND($B$6*$B$10*$B$12*$B$15*$B$19*$B$21*$B$22,0)</f>
        <v/>
      </c>
      <c r="AA39" s="40">
        <f>ROUND($B$6*$B$10*$B$12*$B$15*$B$19*$B$21*$B$23,0)</f>
        <v/>
      </c>
      <c r="AB39" s="41">
        <f>ROUND($B$7*$B$10*$B$12*$B$15*$B$18*$B$20*$B$22,0)</f>
        <v/>
      </c>
      <c r="AC39" s="41">
        <f>ROUND($B$7*$B$10*$B$12*$B$15*$B$18*$B$20*$B$23,0)</f>
        <v/>
      </c>
      <c r="AD39" s="41">
        <f>ROUND($B$7*$B$10*$B$12*$B$15*$B$18*$B$21*$B$22,0)</f>
        <v/>
      </c>
      <c r="AE39" s="41">
        <f>ROUND($B$7*$B$10*$B$12*$B$15*$B$18*$B$21*$B$23,0)</f>
        <v/>
      </c>
      <c r="AF39" s="41">
        <f>ROUND($B$7*$B$10*$B$12*$B$15*$B$19*$B$20*$B$22,0)</f>
        <v/>
      </c>
      <c r="AG39" s="41">
        <f>ROUND($B$7*$B$10*$B$12*$B$15*$B$19*$B$20*$B$23,0)</f>
        <v/>
      </c>
      <c r="AH39" s="41">
        <f>ROUND($B$7*$B$10*$B$12*$B$15*$B$19*$B$21*$B$22,0)</f>
        <v/>
      </c>
      <c r="AI39" s="41">
        <f>ROUND($B$7*$B$10*$B$12*$B$15*$B$19*$B$21*$B$23,0)</f>
        <v/>
      </c>
    </row>
    <row r="40" ht="20.1" customHeight="1" s="62">
      <c r="A40" s="90" t="n"/>
      <c r="B40" s="58" t="n"/>
      <c r="C40" s="87" t="inlineStr">
        <is>
          <t>Structurée</t>
        </is>
      </c>
      <c r="D40" s="40">
        <f>ROUND($B$4*$B$10*$B$12*$B$16*$B$18*$B$20*$B$22,0)</f>
        <v/>
      </c>
      <c r="E40" s="40">
        <f>ROUND($B$4*$B$10*$B$12*$B$16*$B$18*$B$20*$B$23,0)</f>
        <v/>
      </c>
      <c r="F40" s="40">
        <f>ROUND($B$4*$B$10*$B$12*$B$16*$B$18*$B$21*$B$22,0)</f>
        <v/>
      </c>
      <c r="G40" s="40">
        <f>ROUND($B$4*$B$10*$B$12*$B$16*$B$18*$B$21*$B$23,0)</f>
        <v/>
      </c>
      <c r="H40" s="40">
        <f>ROUND($B$4*$B$10*$B$12*$B$16*$B$19*$B$20*$B$22,0)</f>
        <v/>
      </c>
      <c r="I40" s="40">
        <f>ROUND($B$4*$B$10*$B$12*$B$16*$B$19*$B$20*$B$23,0)</f>
        <v/>
      </c>
      <c r="J40" s="40">
        <f>ROUND($B$4*$B$10*$B$12*$B$16*$B$19*$B$21*$B$22,0)</f>
        <v/>
      </c>
      <c r="K40" s="40">
        <f>ROUND($B$4*$B$10*$B$12*$B$16*$B$19*$B$21*$B$23,0)</f>
        <v/>
      </c>
      <c r="L40" s="40">
        <f>ROUND($B$5*$B$10*$B$12*$B$16*$B$18*$B$20*$B$22,0)</f>
        <v/>
      </c>
      <c r="M40" s="40">
        <f>ROUND($B$5*$B$10*$B$12*$B$16*$B$18*$B$20*$B$23,0)</f>
        <v/>
      </c>
      <c r="N40" s="40">
        <f>ROUND($B$5*$B$10*$B$12*$B$16*$B$18*$B$21*$B$22,0)</f>
        <v/>
      </c>
      <c r="O40" s="40">
        <f>ROUND($B$5*$B$10*$B$12*$B$16*$B$18*$B$21*$B$23,0)</f>
        <v/>
      </c>
      <c r="P40" s="40">
        <f>ROUND($B$5*$B$10*$B$12*$B$16*$B$19*$B$20*$B$22,0)</f>
        <v/>
      </c>
      <c r="Q40" s="40">
        <f>ROUND($B$5*$B$10*$B$12*$B$16*$B$19*$B$20*$B$23,0)</f>
        <v/>
      </c>
      <c r="R40" s="40">
        <f>ROUND($B$5*$B$10*$B$12*$B$16*$B$19*$B$21*$B$22,0)</f>
        <v/>
      </c>
      <c r="S40" s="40">
        <f>ROUND($B$5*$B$10*$B$12*$B$16*$B$19*$B$21*$B$23,0)</f>
        <v/>
      </c>
      <c r="T40" s="40">
        <f>ROUND($B$6*$B$10*$B$12*$B$16*$B$18*$B$20*$B$22,0)</f>
        <v/>
      </c>
      <c r="U40" s="40">
        <f>ROUND($B$6*$B$10*$B$12*$B$16*$B$18*$B$20*$B$23,0)</f>
        <v/>
      </c>
      <c r="V40" s="40">
        <f>ROUND($B$6*$B$10*$B$12*$B$16*$B$18*$B$21*$B$22,0)</f>
        <v/>
      </c>
      <c r="W40" s="40">
        <f>ROUND($B$6*$B$10*$B$12*$B$16*$B$18*$B$21*$B$23,0)</f>
        <v/>
      </c>
      <c r="X40" s="40">
        <f>ROUND($B$6*$B$10*$B$12*$B$16*$B$19*$B$20*$B$22,0)</f>
        <v/>
      </c>
      <c r="Y40" s="40">
        <f>ROUND($B$6*$B$10*$B$12*$B$16*$B$19*$B$20*$B$23,0)</f>
        <v/>
      </c>
      <c r="Z40" s="40">
        <f>ROUND($B$6*$B$10*$B$12*$B$16*$B$19*$B$21*$B$22,0)</f>
        <v/>
      </c>
      <c r="AA40" s="40">
        <f>ROUND($B$6*$B$10*$B$12*$B$16*$B$19*$B$21*$B$23,0)</f>
        <v/>
      </c>
      <c r="AB40" s="41">
        <f>ROUND($B$7*$B$10*$B$12*$B$16*$B$18*$B$20*$B$22,0)</f>
        <v/>
      </c>
      <c r="AC40" s="41">
        <f>ROUND($B$7*$B$10*$B$12*$B$16*$B$18*$B$20*$B$23,0)</f>
        <v/>
      </c>
      <c r="AD40" s="41">
        <f>ROUND($B$7*$B$10*$B$12*$B$16*$B$18*$B$21*$B$22,0)</f>
        <v/>
      </c>
      <c r="AE40" s="41">
        <f>ROUND($B$7*$B$10*$B$12*$B$16*$B$18*$B$21*$B$23,0)</f>
        <v/>
      </c>
      <c r="AF40" s="41">
        <f>ROUND($B$7*$B$10*$B$12*$B$16*$B$19*$B$20*$B$22,0)</f>
        <v/>
      </c>
      <c r="AG40" s="41">
        <f>ROUND($B$7*$B$10*$B$12*$B$16*$B$19*$B$20*$B$23,0)</f>
        <v/>
      </c>
      <c r="AH40" s="41">
        <f>ROUND($B$7*$B$10*$B$12*$B$16*$B$19*$B$21*$B$22,0)</f>
        <v/>
      </c>
      <c r="AI40" s="41">
        <f>ROUND($B$7*$B$10*$B$12*$B$16*$B$19*$B$21*$B$23,0)</f>
        <v/>
      </c>
    </row>
    <row r="41" ht="20.1" customHeight="1" s="62">
      <c r="A41" s="90" t="n"/>
      <c r="B41" s="59" t="n"/>
      <c r="C41" s="42" t="inlineStr">
        <is>
          <t>Avancée multi-canal</t>
        </is>
      </c>
      <c r="D41" s="40">
        <f>ROUND($B$4*$B$10*$B$12*$B$17*$B$18*$B$20*$B$22,0)</f>
        <v/>
      </c>
      <c r="E41" s="40">
        <f>ROUND($B$4*$B$10*$B$12*$B$17*$B$18*$B$20*$B$23,0)</f>
        <v/>
      </c>
      <c r="F41" s="40">
        <f>ROUND($B$4*$B$10*$B$12*$B$17*$B$18*$B$21*$B$22,0)</f>
        <v/>
      </c>
      <c r="G41" s="40">
        <f>ROUND($B$4*$B$10*$B$12*$B$17*$B$18*$B$21*$B$23,0)</f>
        <v/>
      </c>
      <c r="H41" s="40">
        <f>ROUND($B$4*$B$10*$B$12*$B$17*$B$19*$B$20*$B$22,0)</f>
        <v/>
      </c>
      <c r="I41" s="40">
        <f>ROUND($B$4*$B$10*$B$12*$B$17*$B$19*$B$20*$B$23,0)</f>
        <v/>
      </c>
      <c r="J41" s="40">
        <f>ROUND($B$4*$B$10*$B$12*$B$17*$B$19*$B$21*$B$22,0)</f>
        <v/>
      </c>
      <c r="K41" s="40">
        <f>ROUND($B$4*$B$10*$B$12*$B$17*$B$19*$B$21*$B$23,0)</f>
        <v/>
      </c>
      <c r="L41" s="40">
        <f>ROUND($B$5*$B$10*$B$12*$B$17*$B$18*$B$20*$B$22,0)</f>
        <v/>
      </c>
      <c r="M41" s="40">
        <f>ROUND($B$5*$B$10*$B$12*$B$17*$B$18*$B$20*$B$23,0)</f>
        <v/>
      </c>
      <c r="N41" s="40">
        <f>ROUND($B$5*$B$10*$B$12*$B$17*$B$18*$B$21*$B$22,0)</f>
        <v/>
      </c>
      <c r="O41" s="40">
        <f>ROUND($B$5*$B$10*$B$12*$B$17*$B$18*$B$21*$B$23,0)</f>
        <v/>
      </c>
      <c r="P41" s="40">
        <f>ROUND($B$5*$B$10*$B$12*$B$17*$B$19*$B$20*$B$22,0)</f>
        <v/>
      </c>
      <c r="Q41" s="40">
        <f>ROUND($B$5*$B$10*$B$12*$B$17*$B$19*$B$20*$B$23,0)</f>
        <v/>
      </c>
      <c r="R41" s="40">
        <f>ROUND($B$5*$B$10*$B$12*$B$17*$B$19*$B$21*$B$22,0)</f>
        <v/>
      </c>
      <c r="S41" s="40">
        <f>ROUND($B$5*$B$10*$B$12*$B$17*$B$19*$B$21*$B$23,0)</f>
        <v/>
      </c>
      <c r="T41" s="40">
        <f>ROUND($B$6*$B$10*$B$12*$B$17*$B$18*$B$20*$B$22,0)</f>
        <v/>
      </c>
      <c r="U41" s="40">
        <f>ROUND($B$6*$B$10*$B$12*$B$17*$B$18*$B$20*$B$23,0)</f>
        <v/>
      </c>
      <c r="V41" s="40">
        <f>ROUND($B$6*$B$10*$B$12*$B$17*$B$18*$B$21*$B$22,0)</f>
        <v/>
      </c>
      <c r="W41" s="40">
        <f>ROUND($B$6*$B$10*$B$12*$B$17*$B$18*$B$21*$B$23,0)</f>
        <v/>
      </c>
      <c r="X41" s="40">
        <f>ROUND($B$6*$B$10*$B$12*$B$17*$B$19*$B$20*$B$22,0)</f>
        <v/>
      </c>
      <c r="Y41" s="40">
        <f>ROUND($B$6*$B$10*$B$12*$B$17*$B$19*$B$20*$B$23,0)</f>
        <v/>
      </c>
      <c r="Z41" s="40">
        <f>ROUND($B$6*$B$10*$B$12*$B$17*$B$19*$B$21*$B$22,0)</f>
        <v/>
      </c>
      <c r="AA41" s="40">
        <f>ROUND($B$6*$B$10*$B$12*$B$17*$B$19*$B$21*$B$23,0)</f>
        <v/>
      </c>
      <c r="AB41" s="41">
        <f>ROUND($B$7*$B$10*$B$12*$B$17*$B$18*$B$20*$B$22,0)</f>
        <v/>
      </c>
      <c r="AC41" s="41">
        <f>ROUND($B$7*$B$10*$B$12*$B$17*$B$18*$B$20*$B$23,0)</f>
        <v/>
      </c>
      <c r="AD41" s="41">
        <f>ROUND($B$7*$B$10*$B$12*$B$17*$B$18*$B$21*$B$22,0)</f>
        <v/>
      </c>
      <c r="AE41" s="41">
        <f>ROUND($B$7*$B$10*$B$12*$B$17*$B$18*$B$21*$B$23,0)</f>
        <v/>
      </c>
      <c r="AF41" s="41">
        <f>ROUND($B$7*$B$10*$B$12*$B$17*$B$19*$B$20*$B$22,0)</f>
        <v/>
      </c>
      <c r="AG41" s="41">
        <f>ROUND($B$7*$B$10*$B$12*$B$17*$B$19*$B$20*$B$23,0)</f>
        <v/>
      </c>
      <c r="AH41" s="41">
        <f>ROUND($B$7*$B$10*$B$12*$B$17*$B$19*$B$21*$B$22,0)</f>
        <v/>
      </c>
      <c r="AI41" s="41">
        <f>ROUND($B$7*$B$10*$B$12*$B$17*$B$19*$B$21*$B$23,0)</f>
        <v/>
      </c>
    </row>
    <row r="42" ht="20.1" customHeight="1" s="62">
      <c r="A42" s="90" t="n"/>
      <c r="B42" s="87" t="inlineStr">
        <is>
          <t>3-5 sources</t>
        </is>
      </c>
      <c r="C42" s="39" t="inlineStr">
        <is>
          <t>Simple</t>
        </is>
      </c>
      <c r="D42" s="40">
        <f>ROUND($B$4*$B$10*$B$13*$B$15*$B$18*$B$20*$B$22,0)</f>
        <v/>
      </c>
      <c r="E42" s="40">
        <f>ROUND($B$4*$B$10*$B$13*$B$15*$B$18*$B$20*$B$23,0)</f>
        <v/>
      </c>
      <c r="F42" s="40">
        <f>ROUND($B$4*$B$10*$B$13*$B$15*$B$18*$B$21*$B$22,0)</f>
        <v/>
      </c>
      <c r="G42" s="40">
        <f>ROUND($B$4*$B$10*$B$13*$B$15*$B$18*$B$21*$B$23,0)</f>
        <v/>
      </c>
      <c r="H42" s="40">
        <f>ROUND($B$4*$B$10*$B$13*$B$15*$B$19*$B$20*$B$22,0)</f>
        <v/>
      </c>
      <c r="I42" s="40">
        <f>ROUND($B$4*$B$10*$B$13*$B$15*$B$19*$B$20*$B$23,0)</f>
        <v/>
      </c>
      <c r="J42" s="40">
        <f>ROUND($B$4*$B$10*$B$13*$B$15*$B$19*$B$21*$B$22,0)</f>
        <v/>
      </c>
      <c r="K42" s="40">
        <f>ROUND($B$4*$B$10*$B$13*$B$15*$B$19*$B$21*$B$23,0)</f>
        <v/>
      </c>
      <c r="L42" s="40">
        <f>ROUND($B$5*$B$10*$B$13*$B$15*$B$18*$B$20*$B$22,0)</f>
        <v/>
      </c>
      <c r="M42" s="40">
        <f>ROUND($B$5*$B$10*$B$13*$B$15*$B$18*$B$20*$B$23,0)</f>
        <v/>
      </c>
      <c r="N42" s="40">
        <f>ROUND($B$5*$B$10*$B$13*$B$15*$B$18*$B$21*$B$22,0)</f>
        <v/>
      </c>
      <c r="O42" s="40">
        <f>ROUND($B$5*$B$10*$B$13*$B$15*$B$18*$B$21*$B$23,0)</f>
        <v/>
      </c>
      <c r="P42" s="40">
        <f>ROUND($B$5*$B$10*$B$13*$B$15*$B$19*$B$20*$B$22,0)</f>
        <v/>
      </c>
      <c r="Q42" s="40">
        <f>ROUND($B$5*$B$10*$B$13*$B$15*$B$19*$B$20*$B$23,0)</f>
        <v/>
      </c>
      <c r="R42" s="40">
        <f>ROUND($B$5*$B$10*$B$13*$B$15*$B$19*$B$21*$B$22,0)</f>
        <v/>
      </c>
      <c r="S42" s="40">
        <f>ROUND($B$5*$B$10*$B$13*$B$15*$B$19*$B$21*$B$23,0)</f>
        <v/>
      </c>
      <c r="T42" s="40">
        <f>ROUND($B$6*$B$10*$B$13*$B$15*$B$18*$B$20*$B$22,0)</f>
        <v/>
      </c>
      <c r="U42" s="40">
        <f>ROUND($B$6*$B$10*$B$13*$B$15*$B$18*$B$20*$B$23,0)</f>
        <v/>
      </c>
      <c r="V42" s="40">
        <f>ROUND($B$6*$B$10*$B$13*$B$15*$B$18*$B$21*$B$22,0)</f>
        <v/>
      </c>
      <c r="W42" s="40">
        <f>ROUND($B$6*$B$10*$B$13*$B$15*$B$18*$B$21*$B$23,0)</f>
        <v/>
      </c>
      <c r="X42" s="40">
        <f>ROUND($B$6*$B$10*$B$13*$B$15*$B$19*$B$20*$B$22,0)</f>
        <v/>
      </c>
      <c r="Y42" s="40">
        <f>ROUND($B$6*$B$10*$B$13*$B$15*$B$19*$B$20*$B$23,0)</f>
        <v/>
      </c>
      <c r="Z42" s="40">
        <f>ROUND($B$6*$B$10*$B$13*$B$15*$B$19*$B$21*$B$22,0)</f>
        <v/>
      </c>
      <c r="AA42" s="40">
        <f>ROUND($B$6*$B$10*$B$13*$B$15*$B$19*$B$21*$B$23,0)</f>
        <v/>
      </c>
      <c r="AB42" s="41">
        <f>ROUND($B$7*$B$10*$B$13*$B$15*$B$18*$B$20*$B$22,0)</f>
        <v/>
      </c>
      <c r="AC42" s="41">
        <f>ROUND($B$7*$B$10*$B$13*$B$15*$B$18*$B$20*$B$23,0)</f>
        <v/>
      </c>
      <c r="AD42" s="41">
        <f>ROUND($B$7*$B$10*$B$13*$B$15*$B$18*$B$21*$B$22,0)</f>
        <v/>
      </c>
      <c r="AE42" s="41">
        <f>ROUND($B$7*$B$10*$B$13*$B$15*$B$18*$B$21*$B$23,0)</f>
        <v/>
      </c>
      <c r="AF42" s="41">
        <f>ROUND($B$7*$B$10*$B$13*$B$15*$B$19*$B$20*$B$22,0)</f>
        <v/>
      </c>
      <c r="AG42" s="41">
        <f>ROUND($B$7*$B$10*$B$13*$B$15*$B$19*$B$20*$B$23,0)</f>
        <v/>
      </c>
      <c r="AH42" s="41">
        <f>ROUND($B$7*$B$10*$B$13*$B$15*$B$19*$B$21*$B$22,0)</f>
        <v/>
      </c>
      <c r="AI42" s="41">
        <f>ROUND($B$7*$B$10*$B$13*$B$15*$B$19*$B$21*$B$23,0)</f>
        <v/>
      </c>
    </row>
    <row r="43" ht="20.1" customHeight="1" s="62">
      <c r="A43" s="90" t="n"/>
      <c r="B43" s="58" t="n"/>
      <c r="C43" s="87" t="inlineStr">
        <is>
          <t>Structurée</t>
        </is>
      </c>
      <c r="D43" s="40">
        <f>ROUND($B$4*$B$10*$B$13*$B$16*$B$18*$B$20*$B$22,0)</f>
        <v/>
      </c>
      <c r="E43" s="40">
        <f>ROUND($B$4*$B$10*$B$13*$B$16*$B$18*$B$20*$B$23,0)</f>
        <v/>
      </c>
      <c r="F43" s="40">
        <f>ROUND($B$4*$B$10*$B$13*$B$16*$B$18*$B$21*$B$22,0)</f>
        <v/>
      </c>
      <c r="G43" s="40">
        <f>ROUND($B$4*$B$10*$B$13*$B$16*$B$18*$B$21*$B$23,0)</f>
        <v/>
      </c>
      <c r="H43" s="40">
        <f>ROUND($B$4*$B$10*$B$13*$B$16*$B$19*$B$20*$B$22,0)</f>
        <v/>
      </c>
      <c r="I43" s="40">
        <f>ROUND($B$4*$B$10*$B$13*$B$16*$B$19*$B$20*$B$23,0)</f>
        <v/>
      </c>
      <c r="J43" s="40">
        <f>ROUND($B$4*$B$10*$B$13*$B$16*$B$19*$B$21*$B$22,0)</f>
        <v/>
      </c>
      <c r="K43" s="40">
        <f>ROUND($B$4*$B$10*$B$13*$B$16*$B$19*$B$21*$B$23,0)</f>
        <v/>
      </c>
      <c r="L43" s="40">
        <f>ROUND($B$5*$B$10*$B$13*$B$16*$B$18*$B$20*$B$22,0)</f>
        <v/>
      </c>
      <c r="M43" s="40">
        <f>ROUND($B$5*$B$10*$B$13*$B$16*$B$18*$B$20*$B$23,0)</f>
        <v/>
      </c>
      <c r="N43" s="40">
        <f>ROUND($B$5*$B$10*$B$13*$B$16*$B$18*$B$21*$B$22,0)</f>
        <v/>
      </c>
      <c r="O43" s="40">
        <f>ROUND($B$5*$B$10*$B$13*$B$16*$B$18*$B$21*$B$23,0)</f>
        <v/>
      </c>
      <c r="P43" s="40">
        <f>ROUND($B$5*$B$10*$B$13*$B$16*$B$19*$B$20*$B$22,0)</f>
        <v/>
      </c>
      <c r="Q43" s="40">
        <f>ROUND($B$5*$B$10*$B$13*$B$16*$B$19*$B$20*$B$23,0)</f>
        <v/>
      </c>
      <c r="R43" s="40">
        <f>ROUND($B$5*$B$10*$B$13*$B$16*$B$19*$B$21*$B$22,0)</f>
        <v/>
      </c>
      <c r="S43" s="40">
        <f>ROUND($B$5*$B$10*$B$13*$B$16*$B$19*$B$21*$B$23,0)</f>
        <v/>
      </c>
      <c r="T43" s="40">
        <f>ROUND($B$6*$B$10*$B$13*$B$16*$B$18*$B$20*$B$22,0)</f>
        <v/>
      </c>
      <c r="U43" s="40">
        <f>ROUND($B$6*$B$10*$B$13*$B$16*$B$18*$B$20*$B$23,0)</f>
        <v/>
      </c>
      <c r="V43" s="40">
        <f>ROUND($B$6*$B$10*$B$13*$B$16*$B$18*$B$21*$B$22,0)</f>
        <v/>
      </c>
      <c r="W43" s="40">
        <f>ROUND($B$6*$B$10*$B$13*$B$16*$B$18*$B$21*$B$23,0)</f>
        <v/>
      </c>
      <c r="X43" s="40">
        <f>ROUND($B$6*$B$10*$B$13*$B$16*$B$19*$B$20*$B$22,0)</f>
        <v/>
      </c>
      <c r="Y43" s="40">
        <f>ROUND($B$6*$B$10*$B$13*$B$16*$B$19*$B$20*$B$23,0)</f>
        <v/>
      </c>
      <c r="Z43" s="40">
        <f>ROUND($B$6*$B$10*$B$13*$B$16*$B$19*$B$21*$B$22,0)</f>
        <v/>
      </c>
      <c r="AA43" s="40">
        <f>ROUND($B$6*$B$10*$B$13*$B$16*$B$19*$B$21*$B$23,0)</f>
        <v/>
      </c>
      <c r="AB43" s="41">
        <f>ROUND($B$7*$B$10*$B$13*$B$16*$B$18*$B$20*$B$22,0)</f>
        <v/>
      </c>
      <c r="AC43" s="41">
        <f>ROUND($B$7*$B$10*$B$13*$B$16*$B$18*$B$20*$B$23,0)</f>
        <v/>
      </c>
      <c r="AD43" s="41">
        <f>ROUND($B$7*$B$10*$B$13*$B$16*$B$18*$B$21*$B$22,0)</f>
        <v/>
      </c>
      <c r="AE43" s="41">
        <f>ROUND($B$7*$B$10*$B$13*$B$16*$B$18*$B$21*$B$23,0)</f>
        <v/>
      </c>
      <c r="AF43" s="41">
        <f>ROUND($B$7*$B$10*$B$13*$B$16*$B$19*$B$20*$B$22,0)</f>
        <v/>
      </c>
      <c r="AG43" s="41">
        <f>ROUND($B$7*$B$10*$B$13*$B$16*$B$19*$B$20*$B$23,0)</f>
        <v/>
      </c>
      <c r="AH43" s="41">
        <f>ROUND($B$7*$B$10*$B$13*$B$16*$B$19*$B$21*$B$22,0)</f>
        <v/>
      </c>
      <c r="AI43" s="41">
        <f>ROUND($B$7*$B$10*$B$13*$B$16*$B$19*$B$21*$B$23,0)</f>
        <v/>
      </c>
    </row>
    <row r="44" ht="20.1" customHeight="1" s="62">
      <c r="A44" s="90" t="n"/>
      <c r="B44" s="59" t="n"/>
      <c r="C44" s="42" t="inlineStr">
        <is>
          <t>Avancée multi-canal</t>
        </is>
      </c>
      <c r="D44" s="40">
        <f>ROUND($B$4*$B$10*$B$13*$B$17*$B$18*$B$20*$B$22,0)</f>
        <v/>
      </c>
      <c r="E44" s="40">
        <f>ROUND($B$4*$B$10*$B$13*$B$17*$B$18*$B$20*$B$23,0)</f>
        <v/>
      </c>
      <c r="F44" s="40">
        <f>ROUND($B$4*$B$10*$B$13*$B$17*$B$18*$B$21*$B$22,0)</f>
        <v/>
      </c>
      <c r="G44" s="40">
        <f>ROUND($B$4*$B$10*$B$13*$B$17*$B$18*$B$21*$B$23,0)</f>
        <v/>
      </c>
      <c r="H44" s="40">
        <f>ROUND($B$4*$B$10*$B$13*$B$17*$B$19*$B$20*$B$22,0)</f>
        <v/>
      </c>
      <c r="I44" s="40">
        <f>ROUND($B$4*$B$10*$B$13*$B$17*$B$19*$B$20*$B$23,0)</f>
        <v/>
      </c>
      <c r="J44" s="40">
        <f>ROUND($B$4*$B$10*$B$13*$B$17*$B$19*$B$21*$B$22,0)</f>
        <v/>
      </c>
      <c r="K44" s="40">
        <f>ROUND($B$4*$B$10*$B$13*$B$17*$B$19*$B$21*$B$23,0)</f>
        <v/>
      </c>
      <c r="L44" s="40">
        <f>ROUND($B$5*$B$10*$B$13*$B$17*$B$18*$B$20*$B$22,0)</f>
        <v/>
      </c>
      <c r="M44" s="40">
        <f>ROUND($B$5*$B$10*$B$13*$B$17*$B$18*$B$20*$B$23,0)</f>
        <v/>
      </c>
      <c r="N44" s="40">
        <f>ROUND($B$5*$B$10*$B$13*$B$17*$B$18*$B$21*$B$22,0)</f>
        <v/>
      </c>
      <c r="O44" s="40">
        <f>ROUND($B$5*$B$10*$B$13*$B$17*$B$18*$B$21*$B$23,0)</f>
        <v/>
      </c>
      <c r="P44" s="40">
        <f>ROUND($B$5*$B$10*$B$13*$B$17*$B$19*$B$20*$B$22,0)</f>
        <v/>
      </c>
      <c r="Q44" s="40">
        <f>ROUND($B$5*$B$10*$B$13*$B$17*$B$19*$B$20*$B$23,0)</f>
        <v/>
      </c>
      <c r="R44" s="40">
        <f>ROUND($B$5*$B$10*$B$13*$B$17*$B$19*$B$21*$B$22,0)</f>
        <v/>
      </c>
      <c r="S44" s="40">
        <f>ROUND($B$5*$B$10*$B$13*$B$17*$B$19*$B$21*$B$23,0)</f>
        <v/>
      </c>
      <c r="T44" s="40">
        <f>ROUND($B$6*$B$10*$B$13*$B$17*$B$18*$B$20*$B$22,0)</f>
        <v/>
      </c>
      <c r="U44" s="40">
        <f>ROUND($B$6*$B$10*$B$13*$B$17*$B$18*$B$20*$B$23,0)</f>
        <v/>
      </c>
      <c r="V44" s="40">
        <f>ROUND($B$6*$B$10*$B$13*$B$17*$B$18*$B$21*$B$22,0)</f>
        <v/>
      </c>
      <c r="W44" s="40">
        <f>ROUND($B$6*$B$10*$B$13*$B$17*$B$18*$B$21*$B$23,0)</f>
        <v/>
      </c>
      <c r="X44" s="40">
        <f>ROUND($B$6*$B$10*$B$13*$B$17*$B$19*$B$20*$B$22,0)</f>
        <v/>
      </c>
      <c r="Y44" s="40">
        <f>ROUND($B$6*$B$10*$B$13*$B$17*$B$19*$B$20*$B$23,0)</f>
        <v/>
      </c>
      <c r="Z44" s="40">
        <f>ROUND($B$6*$B$10*$B$13*$B$17*$B$19*$B$21*$B$22,0)</f>
        <v/>
      </c>
      <c r="AA44" s="40">
        <f>ROUND($B$6*$B$10*$B$13*$B$17*$B$19*$B$21*$B$23,0)</f>
        <v/>
      </c>
      <c r="AB44" s="41">
        <f>ROUND($B$7*$B$10*$B$13*$B$17*$B$18*$B$20*$B$22,0)</f>
        <v/>
      </c>
      <c r="AC44" s="41">
        <f>ROUND($B$7*$B$10*$B$13*$B$17*$B$18*$B$20*$B$23,0)</f>
        <v/>
      </c>
      <c r="AD44" s="41">
        <f>ROUND($B$7*$B$10*$B$13*$B$17*$B$18*$B$21*$B$22,0)</f>
        <v/>
      </c>
      <c r="AE44" s="41">
        <f>ROUND($B$7*$B$10*$B$13*$B$17*$B$18*$B$21*$B$23,0)</f>
        <v/>
      </c>
      <c r="AF44" s="41">
        <f>ROUND($B$7*$B$10*$B$13*$B$17*$B$19*$B$20*$B$22,0)</f>
        <v/>
      </c>
      <c r="AG44" s="41">
        <f>ROUND($B$7*$B$10*$B$13*$B$17*$B$19*$B$20*$B$23,0)</f>
        <v/>
      </c>
      <c r="AH44" s="41">
        <f>ROUND($B$7*$B$10*$B$13*$B$17*$B$19*$B$21*$B$22,0)</f>
        <v/>
      </c>
      <c r="AI44" s="41">
        <f>ROUND($B$7*$B$10*$B$13*$B$17*$B$19*$B$21*$B$23,0)</f>
        <v/>
      </c>
    </row>
    <row r="45" ht="20.1" customHeight="1" s="62">
      <c r="A45" s="90" t="n"/>
      <c r="B45" s="87" t="inlineStr">
        <is>
          <t>6+ sources</t>
        </is>
      </c>
      <c r="C45" s="39" t="inlineStr">
        <is>
          <t>Simple</t>
        </is>
      </c>
      <c r="D45" s="40">
        <f>ROUND($B$4*$B$10*$B$14*$B$15*$B$18*$B$20*$B$22,0)</f>
        <v/>
      </c>
      <c r="E45" s="40">
        <f>ROUND($B$4*$B$10*$B$14*$B$15*$B$18*$B$20*$B$23,0)</f>
        <v/>
      </c>
      <c r="F45" s="40">
        <f>ROUND($B$4*$B$10*$B$14*$B$15*$B$18*$B$21*$B$22,0)</f>
        <v/>
      </c>
      <c r="G45" s="40">
        <f>ROUND($B$4*$B$10*$B$14*$B$15*$B$18*$B$21*$B$23,0)</f>
        <v/>
      </c>
      <c r="H45" s="40">
        <f>ROUND($B$4*$B$10*$B$14*$B$15*$B$19*$B$20*$B$22,0)</f>
        <v/>
      </c>
      <c r="I45" s="40">
        <f>ROUND($B$4*$B$10*$B$14*$B$15*$B$19*$B$20*$B$23,0)</f>
        <v/>
      </c>
      <c r="J45" s="40">
        <f>ROUND($B$4*$B$10*$B$14*$B$15*$B$19*$B$21*$B$22,0)</f>
        <v/>
      </c>
      <c r="K45" s="40">
        <f>ROUND($B$4*$B$10*$B$14*$B$15*$B$19*$B$21*$B$23,0)</f>
        <v/>
      </c>
      <c r="L45" s="40">
        <f>ROUND($B$5*$B$10*$B$14*$B$15*$B$18*$B$20*$B$22,0)</f>
        <v/>
      </c>
      <c r="M45" s="40">
        <f>ROUND($B$5*$B$10*$B$14*$B$15*$B$18*$B$20*$B$23,0)</f>
        <v/>
      </c>
      <c r="N45" s="40">
        <f>ROUND($B$5*$B$10*$B$14*$B$15*$B$18*$B$21*$B$22,0)</f>
        <v/>
      </c>
      <c r="O45" s="40">
        <f>ROUND($B$5*$B$10*$B$14*$B$15*$B$18*$B$21*$B$23,0)</f>
        <v/>
      </c>
      <c r="P45" s="40">
        <f>ROUND($B$5*$B$10*$B$14*$B$15*$B$19*$B$20*$B$22,0)</f>
        <v/>
      </c>
      <c r="Q45" s="40">
        <f>ROUND($B$5*$B$10*$B$14*$B$15*$B$19*$B$20*$B$23,0)</f>
        <v/>
      </c>
      <c r="R45" s="40">
        <f>ROUND($B$5*$B$10*$B$14*$B$15*$B$19*$B$21*$B$22,0)</f>
        <v/>
      </c>
      <c r="S45" s="40">
        <f>ROUND($B$5*$B$10*$B$14*$B$15*$B$19*$B$21*$B$23,0)</f>
        <v/>
      </c>
      <c r="T45" s="40">
        <f>ROUND($B$6*$B$10*$B$14*$B$15*$B$18*$B$20*$B$22,0)</f>
        <v/>
      </c>
      <c r="U45" s="40">
        <f>ROUND($B$6*$B$10*$B$14*$B$15*$B$18*$B$20*$B$23,0)</f>
        <v/>
      </c>
      <c r="V45" s="40">
        <f>ROUND($B$6*$B$10*$B$14*$B$15*$B$18*$B$21*$B$22,0)</f>
        <v/>
      </c>
      <c r="W45" s="40">
        <f>ROUND($B$6*$B$10*$B$14*$B$15*$B$18*$B$21*$B$23,0)</f>
        <v/>
      </c>
      <c r="X45" s="40">
        <f>ROUND($B$6*$B$10*$B$14*$B$15*$B$19*$B$20*$B$22,0)</f>
        <v/>
      </c>
      <c r="Y45" s="40">
        <f>ROUND($B$6*$B$10*$B$14*$B$15*$B$19*$B$20*$B$23,0)</f>
        <v/>
      </c>
      <c r="Z45" s="40">
        <f>ROUND($B$6*$B$10*$B$14*$B$15*$B$19*$B$21*$B$22,0)</f>
        <v/>
      </c>
      <c r="AA45" s="40">
        <f>ROUND($B$6*$B$10*$B$14*$B$15*$B$19*$B$21*$B$23,0)</f>
        <v/>
      </c>
      <c r="AB45" s="41">
        <f>ROUND($B$7*$B$10*$B$14*$B$15*$B$18*$B$20*$B$22,0)</f>
        <v/>
      </c>
      <c r="AC45" s="41">
        <f>ROUND($B$7*$B$10*$B$14*$B$15*$B$18*$B$20*$B$23,0)</f>
        <v/>
      </c>
      <c r="AD45" s="41">
        <f>ROUND($B$7*$B$10*$B$14*$B$15*$B$18*$B$21*$B$22,0)</f>
        <v/>
      </c>
      <c r="AE45" s="41">
        <f>ROUND($B$7*$B$10*$B$14*$B$15*$B$18*$B$21*$B$23,0)</f>
        <v/>
      </c>
      <c r="AF45" s="41">
        <f>ROUND($B$7*$B$10*$B$14*$B$15*$B$19*$B$20*$B$22,0)</f>
        <v/>
      </c>
      <c r="AG45" s="41">
        <f>ROUND($B$7*$B$10*$B$14*$B$15*$B$19*$B$20*$B$23,0)</f>
        <v/>
      </c>
      <c r="AH45" s="41">
        <f>ROUND($B$7*$B$10*$B$14*$B$15*$B$19*$B$21*$B$22,0)</f>
        <v/>
      </c>
      <c r="AI45" s="41">
        <f>ROUND($B$7*$B$10*$B$14*$B$15*$B$19*$B$21*$B$23,0)</f>
        <v/>
      </c>
    </row>
    <row r="46" ht="20.1" customHeight="1" s="62">
      <c r="A46" s="90" t="n"/>
      <c r="B46" s="58" t="n"/>
      <c r="C46" s="87" t="inlineStr">
        <is>
          <t>Structurée</t>
        </is>
      </c>
      <c r="D46" s="40">
        <f>ROUND($B$4*$B$10*$B$14*$B$16*$B$18*$B$20*$B$22,0)</f>
        <v/>
      </c>
      <c r="E46" s="40">
        <f>ROUND($B$4*$B$10*$B$14*$B$16*$B$18*$B$20*$B$23,0)</f>
        <v/>
      </c>
      <c r="F46" s="40">
        <f>ROUND($B$4*$B$10*$B$14*$B$16*$B$18*$B$21*$B$22,0)</f>
        <v/>
      </c>
      <c r="G46" s="40">
        <f>ROUND($B$4*$B$10*$B$14*$B$16*$B$18*$B$21*$B$23,0)</f>
        <v/>
      </c>
      <c r="H46" s="40">
        <f>ROUND($B$4*$B$10*$B$14*$B$16*$B$19*$B$20*$B$22,0)</f>
        <v/>
      </c>
      <c r="I46" s="40">
        <f>ROUND($B$4*$B$10*$B$14*$B$16*$B$19*$B$20*$B$23,0)</f>
        <v/>
      </c>
      <c r="J46" s="40">
        <f>ROUND($B$4*$B$10*$B$14*$B$16*$B$19*$B$21*$B$22,0)</f>
        <v/>
      </c>
      <c r="K46" s="40">
        <f>ROUND($B$4*$B$10*$B$14*$B$16*$B$19*$B$21*$B$23,0)</f>
        <v/>
      </c>
      <c r="L46" s="40">
        <f>ROUND($B$5*$B$10*$B$14*$B$16*$B$18*$B$20*$B$22,0)</f>
        <v/>
      </c>
      <c r="M46" s="40">
        <f>ROUND($B$5*$B$10*$B$14*$B$16*$B$18*$B$20*$B$23,0)</f>
        <v/>
      </c>
      <c r="N46" s="40">
        <f>ROUND($B$5*$B$10*$B$14*$B$16*$B$18*$B$21*$B$22,0)</f>
        <v/>
      </c>
      <c r="O46" s="40">
        <f>ROUND($B$5*$B$10*$B$14*$B$16*$B$18*$B$21*$B$23,0)</f>
        <v/>
      </c>
      <c r="P46" s="40">
        <f>ROUND($B$5*$B$10*$B$14*$B$16*$B$19*$B$20*$B$22,0)</f>
        <v/>
      </c>
      <c r="Q46" s="40">
        <f>ROUND($B$5*$B$10*$B$14*$B$16*$B$19*$B$20*$B$23,0)</f>
        <v/>
      </c>
      <c r="R46" s="40">
        <f>ROUND($B$5*$B$10*$B$14*$B$16*$B$19*$B$21*$B$22,0)</f>
        <v/>
      </c>
      <c r="S46" s="40">
        <f>ROUND($B$5*$B$10*$B$14*$B$16*$B$19*$B$21*$B$23,0)</f>
        <v/>
      </c>
      <c r="T46" s="40">
        <f>ROUND($B$6*$B$10*$B$14*$B$16*$B$18*$B$20*$B$22,0)</f>
        <v/>
      </c>
      <c r="U46" s="40">
        <f>ROUND($B$6*$B$10*$B$14*$B$16*$B$18*$B$20*$B$23,0)</f>
        <v/>
      </c>
      <c r="V46" s="40">
        <f>ROUND($B$6*$B$10*$B$14*$B$16*$B$18*$B$21*$B$22,0)</f>
        <v/>
      </c>
      <c r="W46" s="40">
        <f>ROUND($B$6*$B$10*$B$14*$B$16*$B$18*$B$21*$B$23,0)</f>
        <v/>
      </c>
      <c r="X46" s="40">
        <f>ROUND($B$6*$B$10*$B$14*$B$16*$B$19*$B$20*$B$22,0)</f>
        <v/>
      </c>
      <c r="Y46" s="40">
        <f>ROUND($B$6*$B$10*$B$14*$B$16*$B$19*$B$20*$B$23,0)</f>
        <v/>
      </c>
      <c r="Z46" s="40">
        <f>ROUND($B$6*$B$10*$B$14*$B$16*$B$19*$B$21*$B$22,0)</f>
        <v/>
      </c>
      <c r="AA46" s="40">
        <f>ROUND($B$6*$B$10*$B$14*$B$16*$B$19*$B$21*$B$23,0)</f>
        <v/>
      </c>
      <c r="AB46" s="41">
        <f>ROUND($B$7*$B$10*$B$14*$B$16*$B$18*$B$20*$B$22,0)</f>
        <v/>
      </c>
      <c r="AC46" s="41">
        <f>ROUND($B$7*$B$10*$B$14*$B$16*$B$18*$B$20*$B$23,0)</f>
        <v/>
      </c>
      <c r="AD46" s="41">
        <f>ROUND($B$7*$B$10*$B$14*$B$16*$B$18*$B$21*$B$22,0)</f>
        <v/>
      </c>
      <c r="AE46" s="41">
        <f>ROUND($B$7*$B$10*$B$14*$B$16*$B$18*$B$21*$B$23,0)</f>
        <v/>
      </c>
      <c r="AF46" s="41">
        <f>ROUND($B$7*$B$10*$B$14*$B$16*$B$19*$B$20*$B$22,0)</f>
        <v/>
      </c>
      <c r="AG46" s="41">
        <f>ROUND($B$7*$B$10*$B$14*$B$16*$B$19*$B$20*$B$23,0)</f>
        <v/>
      </c>
      <c r="AH46" s="41">
        <f>ROUND($B$7*$B$10*$B$14*$B$16*$B$19*$B$21*$B$22,0)</f>
        <v/>
      </c>
      <c r="AI46" s="41">
        <f>ROUND($B$7*$B$10*$B$14*$B$16*$B$19*$B$21*$B$23,0)</f>
        <v/>
      </c>
    </row>
    <row r="47" ht="20.1" customHeight="1" s="62">
      <c r="A47" s="91" t="n"/>
      <c r="B47" s="59" t="n"/>
      <c r="C47" s="42" t="inlineStr">
        <is>
          <t>Avancée multi-canal</t>
        </is>
      </c>
      <c r="D47" s="40">
        <f>ROUND($B$4*$B$10*$B$14*$B$17*$B$18*$B$20*$B$22,0)</f>
        <v/>
      </c>
      <c r="E47" s="40">
        <f>ROUND($B$4*$B$10*$B$14*$B$17*$B$18*$B$20*$B$23,0)</f>
        <v/>
      </c>
      <c r="F47" s="40">
        <f>ROUND($B$4*$B$10*$B$14*$B$17*$B$18*$B$21*$B$22,0)</f>
        <v/>
      </c>
      <c r="G47" s="40">
        <f>ROUND($B$4*$B$10*$B$14*$B$17*$B$18*$B$21*$B$23,0)</f>
        <v/>
      </c>
      <c r="H47" s="40">
        <f>ROUND($B$4*$B$10*$B$14*$B$17*$B$19*$B$20*$B$22,0)</f>
        <v/>
      </c>
      <c r="I47" s="40">
        <f>ROUND($B$4*$B$10*$B$14*$B$17*$B$19*$B$20*$B$23,0)</f>
        <v/>
      </c>
      <c r="J47" s="40">
        <f>ROUND($B$4*$B$10*$B$14*$B$17*$B$19*$B$21*$B$22,0)</f>
        <v/>
      </c>
      <c r="K47" s="40">
        <f>ROUND($B$4*$B$10*$B$14*$B$17*$B$19*$B$21*$B$23,0)</f>
        <v/>
      </c>
      <c r="L47" s="40">
        <f>ROUND($B$5*$B$10*$B$14*$B$17*$B$18*$B$20*$B$22,0)</f>
        <v/>
      </c>
      <c r="M47" s="40">
        <f>ROUND($B$5*$B$10*$B$14*$B$17*$B$18*$B$20*$B$23,0)</f>
        <v/>
      </c>
      <c r="N47" s="40">
        <f>ROUND($B$5*$B$10*$B$14*$B$17*$B$18*$B$21*$B$22,0)</f>
        <v/>
      </c>
      <c r="O47" s="40">
        <f>ROUND($B$5*$B$10*$B$14*$B$17*$B$18*$B$21*$B$23,0)</f>
        <v/>
      </c>
      <c r="P47" s="40">
        <f>ROUND($B$5*$B$10*$B$14*$B$17*$B$19*$B$20*$B$22,0)</f>
        <v/>
      </c>
      <c r="Q47" s="40">
        <f>ROUND($B$5*$B$10*$B$14*$B$17*$B$19*$B$20*$B$23,0)</f>
        <v/>
      </c>
      <c r="R47" s="40">
        <f>ROUND($B$5*$B$10*$B$14*$B$17*$B$19*$B$21*$B$22,0)</f>
        <v/>
      </c>
      <c r="S47" s="40">
        <f>ROUND($B$5*$B$10*$B$14*$B$17*$B$19*$B$21*$B$23,0)</f>
        <v/>
      </c>
      <c r="T47" s="40">
        <f>ROUND($B$6*$B$10*$B$14*$B$17*$B$18*$B$20*$B$22,0)</f>
        <v/>
      </c>
      <c r="U47" s="40">
        <f>ROUND($B$6*$B$10*$B$14*$B$17*$B$18*$B$20*$B$23,0)</f>
        <v/>
      </c>
      <c r="V47" s="40">
        <f>ROUND($B$6*$B$10*$B$14*$B$17*$B$18*$B$21*$B$22,0)</f>
        <v/>
      </c>
      <c r="W47" s="40">
        <f>ROUND($B$6*$B$10*$B$14*$B$17*$B$18*$B$21*$B$23,0)</f>
        <v/>
      </c>
      <c r="X47" s="40">
        <f>ROUND($B$6*$B$10*$B$14*$B$17*$B$19*$B$20*$B$22,0)</f>
        <v/>
      </c>
      <c r="Y47" s="40">
        <f>ROUND($B$6*$B$10*$B$14*$B$17*$B$19*$B$20*$B$23,0)</f>
        <v/>
      </c>
      <c r="Z47" s="40">
        <f>ROUND($B$6*$B$10*$B$14*$B$17*$B$19*$B$21*$B$22,0)</f>
        <v/>
      </c>
      <c r="AA47" s="40">
        <f>ROUND($B$6*$B$10*$B$14*$B$17*$B$19*$B$21*$B$23,0)</f>
        <v/>
      </c>
      <c r="AB47" s="41">
        <f>ROUND($B$7*$B$10*$B$14*$B$17*$B$18*$B$20*$B$22,0)</f>
        <v/>
      </c>
      <c r="AC47" s="41">
        <f>ROUND($B$7*$B$10*$B$14*$B$17*$B$18*$B$20*$B$23,0)</f>
        <v/>
      </c>
      <c r="AD47" s="41">
        <f>ROUND($B$7*$B$10*$B$14*$B$17*$B$18*$B$21*$B$22,0)</f>
        <v/>
      </c>
      <c r="AE47" s="41">
        <f>ROUND($B$7*$B$10*$B$14*$B$17*$B$18*$B$21*$B$23,0)</f>
        <v/>
      </c>
      <c r="AF47" s="41">
        <f>ROUND($B$7*$B$10*$B$14*$B$17*$B$19*$B$20*$B$22,0)</f>
        <v/>
      </c>
      <c r="AG47" s="41">
        <f>ROUND($B$7*$B$10*$B$14*$B$17*$B$19*$B$20*$B$23,0)</f>
        <v/>
      </c>
      <c r="AH47" s="41">
        <f>ROUND($B$7*$B$10*$B$14*$B$17*$B$19*$B$21*$B$22,0)</f>
        <v/>
      </c>
      <c r="AI47" s="41">
        <f>ROUND($B$7*$B$10*$B$14*$B$17*$B$19*$B$21*$B$23,0)</f>
        <v/>
      </c>
    </row>
    <row r="48" ht="20.1" customHeight="1" s="62">
      <c r="A48" s="89" t="inlineStr">
        <is>
          <t>Élevé</t>
        </is>
      </c>
      <c r="B48" s="87" t="inlineStr">
        <is>
          <t>1-2 sources</t>
        </is>
      </c>
      <c r="C48" s="39" t="inlineStr">
        <is>
          <t>Simple</t>
        </is>
      </c>
      <c r="D48" s="40">
        <f>ROUND($B$4*$B$11*$B$12*$B$15*$B$18*$B$20*$B$22,0)</f>
        <v/>
      </c>
      <c r="E48" s="40">
        <f>ROUND($B$4*$B$11*$B$12*$B$15*$B$18*$B$20*$B$23,0)</f>
        <v/>
      </c>
      <c r="F48" s="40">
        <f>ROUND($B$4*$B$11*$B$12*$B$15*$B$18*$B$21*$B$22,0)</f>
        <v/>
      </c>
      <c r="G48" s="40">
        <f>ROUND($B$4*$B$11*$B$12*$B$15*$B$18*$B$21*$B$23,0)</f>
        <v/>
      </c>
      <c r="H48" s="40">
        <f>ROUND($B$4*$B$11*$B$12*$B$15*$B$19*$B$20*$B$22,0)</f>
        <v/>
      </c>
      <c r="I48" s="40">
        <f>ROUND($B$4*$B$11*$B$12*$B$15*$B$19*$B$20*$B$23,0)</f>
        <v/>
      </c>
      <c r="J48" s="40">
        <f>ROUND($B$4*$B$11*$B$12*$B$15*$B$19*$B$21*$B$22,0)</f>
        <v/>
      </c>
      <c r="K48" s="40">
        <f>ROUND($B$4*$B$11*$B$12*$B$15*$B$19*$B$21*$B$23,0)</f>
        <v/>
      </c>
      <c r="L48" s="40">
        <f>ROUND($B$5*$B$11*$B$12*$B$15*$B$18*$B$20*$B$22,0)</f>
        <v/>
      </c>
      <c r="M48" s="40">
        <f>ROUND($B$5*$B$11*$B$12*$B$15*$B$18*$B$20*$B$23,0)</f>
        <v/>
      </c>
      <c r="N48" s="40">
        <f>ROUND($B$5*$B$11*$B$12*$B$15*$B$18*$B$21*$B$22,0)</f>
        <v/>
      </c>
      <c r="O48" s="40">
        <f>ROUND($B$5*$B$11*$B$12*$B$15*$B$18*$B$21*$B$23,0)</f>
        <v/>
      </c>
      <c r="P48" s="40">
        <f>ROUND($B$5*$B$11*$B$12*$B$15*$B$19*$B$20*$B$22,0)</f>
        <v/>
      </c>
      <c r="Q48" s="40">
        <f>ROUND($B$5*$B$11*$B$12*$B$15*$B$19*$B$20*$B$23,0)</f>
        <v/>
      </c>
      <c r="R48" s="40">
        <f>ROUND($B$5*$B$11*$B$12*$B$15*$B$19*$B$21*$B$22,0)</f>
        <v/>
      </c>
      <c r="S48" s="40">
        <f>ROUND($B$5*$B$11*$B$12*$B$15*$B$19*$B$21*$B$23,0)</f>
        <v/>
      </c>
      <c r="T48" s="40">
        <f>ROUND($B$6*$B$11*$B$12*$B$15*$B$18*$B$20*$B$22,0)</f>
        <v/>
      </c>
      <c r="U48" s="40">
        <f>ROUND($B$6*$B$11*$B$12*$B$15*$B$18*$B$20*$B$23,0)</f>
        <v/>
      </c>
      <c r="V48" s="40">
        <f>ROUND($B$6*$B$11*$B$12*$B$15*$B$18*$B$21*$B$22,0)</f>
        <v/>
      </c>
      <c r="W48" s="40">
        <f>ROUND($B$6*$B$11*$B$12*$B$15*$B$18*$B$21*$B$23,0)</f>
        <v/>
      </c>
      <c r="X48" s="40">
        <f>ROUND($B$6*$B$11*$B$12*$B$15*$B$19*$B$20*$B$22,0)</f>
        <v/>
      </c>
      <c r="Y48" s="40">
        <f>ROUND($B$6*$B$11*$B$12*$B$15*$B$19*$B$20*$B$23,0)</f>
        <v/>
      </c>
      <c r="Z48" s="40">
        <f>ROUND($B$6*$B$11*$B$12*$B$15*$B$19*$B$21*$B$22,0)</f>
        <v/>
      </c>
      <c r="AA48" s="40">
        <f>ROUND($B$6*$B$11*$B$12*$B$15*$B$19*$B$21*$B$23,0)</f>
        <v/>
      </c>
      <c r="AB48" s="41">
        <f>ROUND($B$7*$B$11*$B$12*$B$15*$B$18*$B$20*$B$22,0)</f>
        <v/>
      </c>
      <c r="AC48" s="41">
        <f>ROUND($B$7*$B$11*$B$12*$B$15*$B$18*$B$20*$B$23,0)</f>
        <v/>
      </c>
      <c r="AD48" s="41">
        <f>ROUND($B$7*$B$11*$B$12*$B$15*$B$18*$B$21*$B$22,0)</f>
        <v/>
      </c>
      <c r="AE48" s="41">
        <f>ROUND($B$7*$B$11*$B$12*$B$15*$B$18*$B$21*$B$23,0)</f>
        <v/>
      </c>
      <c r="AF48" s="41">
        <f>ROUND($B$7*$B$11*$B$12*$B$15*$B$19*$B$20*$B$22,0)</f>
        <v/>
      </c>
      <c r="AG48" s="41">
        <f>ROUND($B$7*$B$11*$B$12*$B$15*$B$19*$B$20*$B$23,0)</f>
        <v/>
      </c>
      <c r="AH48" s="41">
        <f>ROUND($B$7*$B$11*$B$12*$B$15*$B$19*$B$21*$B$22,0)</f>
        <v/>
      </c>
      <c r="AI48" s="41">
        <f>ROUND($B$7*$B$11*$B$12*$B$15*$B$19*$B$21*$B$23,0)</f>
        <v/>
      </c>
    </row>
    <row r="49" ht="20.1" customHeight="1" s="62">
      <c r="A49" s="90" t="n"/>
      <c r="B49" s="58" t="n"/>
      <c r="C49" s="87" t="inlineStr">
        <is>
          <t>Structurée</t>
        </is>
      </c>
      <c r="D49" s="40">
        <f>ROUND($B$4*$B$11*$B$12*$B$16*$B$18*$B$20*$B$22,0)</f>
        <v/>
      </c>
      <c r="E49" s="40">
        <f>ROUND($B$4*$B$11*$B$12*$B$16*$B$18*$B$20*$B$23,0)</f>
        <v/>
      </c>
      <c r="F49" s="40">
        <f>ROUND($B$4*$B$11*$B$12*$B$16*$B$18*$B$21*$B$22,0)</f>
        <v/>
      </c>
      <c r="G49" s="40">
        <f>ROUND($B$4*$B$11*$B$12*$B$16*$B$18*$B$21*$B$23,0)</f>
        <v/>
      </c>
      <c r="H49" s="40">
        <f>ROUND($B$4*$B$11*$B$12*$B$16*$B$19*$B$20*$B$22,0)</f>
        <v/>
      </c>
      <c r="I49" s="40">
        <f>ROUND($B$4*$B$11*$B$12*$B$16*$B$19*$B$20*$B$23,0)</f>
        <v/>
      </c>
      <c r="J49" s="40">
        <f>ROUND($B$4*$B$11*$B$12*$B$16*$B$19*$B$21*$B$22,0)</f>
        <v/>
      </c>
      <c r="K49" s="40">
        <f>ROUND($B$4*$B$11*$B$12*$B$16*$B$19*$B$21*$B$23,0)</f>
        <v/>
      </c>
      <c r="L49" s="40">
        <f>ROUND($B$5*$B$11*$B$12*$B$16*$B$18*$B$20*$B$22,0)</f>
        <v/>
      </c>
      <c r="M49" s="40">
        <f>ROUND($B$5*$B$11*$B$12*$B$16*$B$18*$B$20*$B$23,0)</f>
        <v/>
      </c>
      <c r="N49" s="40">
        <f>ROUND($B$5*$B$11*$B$12*$B$16*$B$18*$B$21*$B$22,0)</f>
        <v/>
      </c>
      <c r="O49" s="40">
        <f>ROUND($B$5*$B$11*$B$12*$B$16*$B$18*$B$21*$B$23,0)</f>
        <v/>
      </c>
      <c r="P49" s="40">
        <f>ROUND($B$5*$B$11*$B$12*$B$16*$B$19*$B$20*$B$22,0)</f>
        <v/>
      </c>
      <c r="Q49" s="40">
        <f>ROUND($B$5*$B$11*$B$12*$B$16*$B$19*$B$20*$B$23,0)</f>
        <v/>
      </c>
      <c r="R49" s="40">
        <f>ROUND($B$5*$B$11*$B$12*$B$16*$B$19*$B$21*$B$22,0)</f>
        <v/>
      </c>
      <c r="S49" s="40">
        <f>ROUND($B$5*$B$11*$B$12*$B$16*$B$19*$B$21*$B$23,0)</f>
        <v/>
      </c>
      <c r="T49" s="40">
        <f>ROUND($B$6*$B$11*$B$12*$B$16*$B$18*$B$20*$B$22,0)</f>
        <v/>
      </c>
      <c r="U49" s="40">
        <f>ROUND($B$6*$B$11*$B$12*$B$16*$B$18*$B$20*$B$23,0)</f>
        <v/>
      </c>
      <c r="V49" s="40">
        <f>ROUND($B$6*$B$11*$B$12*$B$16*$B$18*$B$21*$B$22,0)</f>
        <v/>
      </c>
      <c r="W49" s="40">
        <f>ROUND($B$6*$B$11*$B$12*$B$16*$B$18*$B$21*$B$23,0)</f>
        <v/>
      </c>
      <c r="X49" s="40">
        <f>ROUND($B$6*$B$11*$B$12*$B$16*$B$19*$B$20*$B$22,0)</f>
        <v/>
      </c>
      <c r="Y49" s="40">
        <f>ROUND($B$6*$B$11*$B$12*$B$16*$B$19*$B$20*$B$23,0)</f>
        <v/>
      </c>
      <c r="Z49" s="40">
        <f>ROUND($B$6*$B$11*$B$12*$B$16*$B$19*$B$21*$B$22,0)</f>
        <v/>
      </c>
      <c r="AA49" s="40">
        <f>ROUND($B$6*$B$11*$B$12*$B$16*$B$19*$B$21*$B$23,0)</f>
        <v/>
      </c>
      <c r="AB49" s="41">
        <f>ROUND($B$7*$B$11*$B$12*$B$16*$B$18*$B$20*$B$22,0)</f>
        <v/>
      </c>
      <c r="AC49" s="41">
        <f>ROUND($B$7*$B$11*$B$12*$B$16*$B$18*$B$20*$B$23,0)</f>
        <v/>
      </c>
      <c r="AD49" s="41">
        <f>ROUND($B$7*$B$11*$B$12*$B$16*$B$18*$B$21*$B$22,0)</f>
        <v/>
      </c>
      <c r="AE49" s="41">
        <f>ROUND($B$7*$B$11*$B$12*$B$16*$B$18*$B$21*$B$23,0)</f>
        <v/>
      </c>
      <c r="AF49" s="41">
        <f>ROUND($B$7*$B$11*$B$12*$B$16*$B$19*$B$20*$B$22,0)</f>
        <v/>
      </c>
      <c r="AG49" s="41">
        <f>ROUND($B$7*$B$11*$B$12*$B$16*$B$19*$B$20*$B$23,0)</f>
        <v/>
      </c>
      <c r="AH49" s="41">
        <f>ROUND($B$7*$B$11*$B$12*$B$16*$B$19*$B$21*$B$22,0)</f>
        <v/>
      </c>
      <c r="AI49" s="41">
        <f>ROUND($B$7*$B$11*$B$12*$B$16*$B$19*$B$21*$B$23,0)</f>
        <v/>
      </c>
    </row>
    <row r="50" ht="20.1" customHeight="1" s="62">
      <c r="A50" s="90" t="n"/>
      <c r="B50" s="59" t="n"/>
      <c r="C50" s="42" t="inlineStr">
        <is>
          <t>Avancée multi-canal</t>
        </is>
      </c>
      <c r="D50" s="40">
        <f>ROUND($B$4*$B$11*$B$12*$B$17*$B$18*$B$20*$B$22,0)</f>
        <v/>
      </c>
      <c r="E50" s="40">
        <f>ROUND($B$4*$B$11*$B$12*$B$17*$B$18*$B$20*$B$23,0)</f>
        <v/>
      </c>
      <c r="F50" s="40">
        <f>ROUND($B$4*$B$11*$B$12*$B$17*$B$18*$B$21*$B$22,0)</f>
        <v/>
      </c>
      <c r="G50" s="40">
        <f>ROUND($B$4*$B$11*$B$12*$B$17*$B$18*$B$21*$B$23,0)</f>
        <v/>
      </c>
      <c r="H50" s="40">
        <f>ROUND($B$4*$B$11*$B$12*$B$17*$B$19*$B$20*$B$22,0)</f>
        <v/>
      </c>
      <c r="I50" s="40">
        <f>ROUND($B$4*$B$11*$B$12*$B$17*$B$19*$B$20*$B$23,0)</f>
        <v/>
      </c>
      <c r="J50" s="40">
        <f>ROUND($B$4*$B$11*$B$12*$B$17*$B$19*$B$21*$B$22,0)</f>
        <v/>
      </c>
      <c r="K50" s="40">
        <f>ROUND($B$4*$B$11*$B$12*$B$17*$B$19*$B$21*$B$23,0)</f>
        <v/>
      </c>
      <c r="L50" s="40">
        <f>ROUND($B$5*$B$11*$B$12*$B$17*$B$18*$B$20*$B$22,0)</f>
        <v/>
      </c>
      <c r="M50" s="40">
        <f>ROUND($B$5*$B$11*$B$12*$B$17*$B$18*$B$20*$B$23,0)</f>
        <v/>
      </c>
      <c r="N50" s="40">
        <f>ROUND($B$5*$B$11*$B$12*$B$17*$B$18*$B$21*$B$22,0)</f>
        <v/>
      </c>
      <c r="O50" s="40">
        <f>ROUND($B$5*$B$11*$B$12*$B$17*$B$18*$B$21*$B$23,0)</f>
        <v/>
      </c>
      <c r="P50" s="40">
        <f>ROUND($B$5*$B$11*$B$12*$B$17*$B$19*$B$20*$B$22,0)</f>
        <v/>
      </c>
      <c r="Q50" s="40">
        <f>ROUND($B$5*$B$11*$B$12*$B$17*$B$19*$B$20*$B$23,0)</f>
        <v/>
      </c>
      <c r="R50" s="40">
        <f>ROUND($B$5*$B$11*$B$12*$B$17*$B$19*$B$21*$B$22,0)</f>
        <v/>
      </c>
      <c r="S50" s="40">
        <f>ROUND($B$5*$B$11*$B$12*$B$17*$B$19*$B$21*$B$23,0)</f>
        <v/>
      </c>
      <c r="T50" s="40">
        <f>ROUND($B$6*$B$11*$B$12*$B$17*$B$18*$B$20*$B$22,0)</f>
        <v/>
      </c>
      <c r="U50" s="40">
        <f>ROUND($B$6*$B$11*$B$12*$B$17*$B$18*$B$20*$B$23,0)</f>
        <v/>
      </c>
      <c r="V50" s="40">
        <f>ROUND($B$6*$B$11*$B$12*$B$17*$B$18*$B$21*$B$22,0)</f>
        <v/>
      </c>
      <c r="W50" s="40">
        <f>ROUND($B$6*$B$11*$B$12*$B$17*$B$18*$B$21*$B$23,0)</f>
        <v/>
      </c>
      <c r="X50" s="40">
        <f>ROUND($B$6*$B$11*$B$12*$B$17*$B$19*$B$20*$B$22,0)</f>
        <v/>
      </c>
      <c r="Y50" s="40">
        <f>ROUND($B$6*$B$11*$B$12*$B$17*$B$19*$B$20*$B$23,0)</f>
        <v/>
      </c>
      <c r="Z50" s="40">
        <f>ROUND($B$6*$B$11*$B$12*$B$17*$B$19*$B$21*$B$22,0)</f>
        <v/>
      </c>
      <c r="AA50" s="40">
        <f>ROUND($B$6*$B$11*$B$12*$B$17*$B$19*$B$21*$B$23,0)</f>
        <v/>
      </c>
      <c r="AB50" s="41">
        <f>ROUND($B$7*$B$11*$B$12*$B$17*$B$18*$B$20*$B$22,0)</f>
        <v/>
      </c>
      <c r="AC50" s="41">
        <f>ROUND($B$7*$B$11*$B$12*$B$17*$B$18*$B$20*$B$23,0)</f>
        <v/>
      </c>
      <c r="AD50" s="41">
        <f>ROUND($B$7*$B$11*$B$12*$B$17*$B$18*$B$21*$B$22,0)</f>
        <v/>
      </c>
      <c r="AE50" s="41">
        <f>ROUND($B$7*$B$11*$B$12*$B$17*$B$18*$B$21*$B$23,0)</f>
        <v/>
      </c>
      <c r="AF50" s="41">
        <f>ROUND($B$7*$B$11*$B$12*$B$17*$B$19*$B$20*$B$22,0)</f>
        <v/>
      </c>
      <c r="AG50" s="41">
        <f>ROUND($B$7*$B$11*$B$12*$B$17*$B$19*$B$20*$B$23,0)</f>
        <v/>
      </c>
      <c r="AH50" s="41">
        <f>ROUND($B$7*$B$11*$B$12*$B$17*$B$19*$B$21*$B$22,0)</f>
        <v/>
      </c>
      <c r="AI50" s="41">
        <f>ROUND($B$7*$B$11*$B$12*$B$17*$B$19*$B$21*$B$23,0)</f>
        <v/>
      </c>
    </row>
    <row r="51" ht="20.1" customHeight="1" s="62">
      <c r="A51" s="90" t="n"/>
      <c r="B51" s="87" t="inlineStr">
        <is>
          <t>3-5 sources</t>
        </is>
      </c>
      <c r="C51" s="39" t="inlineStr">
        <is>
          <t>Simple</t>
        </is>
      </c>
      <c r="D51" s="40">
        <f>ROUND($B$4*$B$11*$B$13*$B$15*$B$18*$B$20*$B$22,0)</f>
        <v/>
      </c>
      <c r="E51" s="40">
        <f>ROUND($B$4*$B$11*$B$13*$B$15*$B$18*$B$20*$B$23,0)</f>
        <v/>
      </c>
      <c r="F51" s="40">
        <f>ROUND($B$4*$B$11*$B$13*$B$15*$B$18*$B$21*$B$22,0)</f>
        <v/>
      </c>
      <c r="G51" s="40">
        <f>ROUND($B$4*$B$11*$B$13*$B$15*$B$18*$B$21*$B$23,0)</f>
        <v/>
      </c>
      <c r="H51" s="40">
        <f>ROUND($B$4*$B$11*$B$13*$B$15*$B$19*$B$20*$B$22,0)</f>
        <v/>
      </c>
      <c r="I51" s="40">
        <f>ROUND($B$4*$B$11*$B$13*$B$15*$B$19*$B$20*$B$23,0)</f>
        <v/>
      </c>
      <c r="J51" s="40">
        <f>ROUND($B$4*$B$11*$B$13*$B$15*$B$19*$B$21*$B$22,0)</f>
        <v/>
      </c>
      <c r="K51" s="40">
        <f>ROUND($B$4*$B$11*$B$13*$B$15*$B$19*$B$21*$B$23,0)</f>
        <v/>
      </c>
      <c r="L51" s="40">
        <f>ROUND($B$5*$B$11*$B$13*$B$15*$B$18*$B$20*$B$22,0)</f>
        <v/>
      </c>
      <c r="M51" s="40">
        <f>ROUND($B$5*$B$11*$B$13*$B$15*$B$18*$B$20*$B$23,0)</f>
        <v/>
      </c>
      <c r="N51" s="40">
        <f>ROUND($B$5*$B$11*$B$13*$B$15*$B$18*$B$21*$B$22,0)</f>
        <v/>
      </c>
      <c r="O51" s="40">
        <f>ROUND($B$5*$B$11*$B$13*$B$15*$B$18*$B$21*$B$23,0)</f>
        <v/>
      </c>
      <c r="P51" s="40">
        <f>ROUND($B$5*$B$11*$B$13*$B$15*$B$19*$B$20*$B$22,0)</f>
        <v/>
      </c>
      <c r="Q51" s="40">
        <f>ROUND($B$5*$B$11*$B$13*$B$15*$B$19*$B$20*$B$23,0)</f>
        <v/>
      </c>
      <c r="R51" s="40">
        <f>ROUND($B$5*$B$11*$B$13*$B$15*$B$19*$B$21*$B$22,0)</f>
        <v/>
      </c>
      <c r="S51" s="40">
        <f>ROUND($B$5*$B$11*$B$13*$B$15*$B$19*$B$21*$B$23,0)</f>
        <v/>
      </c>
      <c r="T51" s="40">
        <f>ROUND($B$6*$B$11*$B$13*$B$15*$B$18*$B$20*$B$22,0)</f>
        <v/>
      </c>
      <c r="U51" s="40">
        <f>ROUND($B$6*$B$11*$B$13*$B$15*$B$18*$B$20*$B$23,0)</f>
        <v/>
      </c>
      <c r="V51" s="40">
        <f>ROUND($B$6*$B$11*$B$13*$B$15*$B$18*$B$21*$B$22,0)</f>
        <v/>
      </c>
      <c r="W51" s="40">
        <f>ROUND($B$6*$B$11*$B$13*$B$15*$B$18*$B$21*$B$23,0)</f>
        <v/>
      </c>
      <c r="X51" s="40">
        <f>ROUND($B$6*$B$11*$B$13*$B$15*$B$19*$B$20*$B$22,0)</f>
        <v/>
      </c>
      <c r="Y51" s="40">
        <f>ROUND($B$6*$B$11*$B$13*$B$15*$B$19*$B$20*$B$23,0)</f>
        <v/>
      </c>
      <c r="Z51" s="40">
        <f>ROUND($B$6*$B$11*$B$13*$B$15*$B$19*$B$21*$B$22,0)</f>
        <v/>
      </c>
      <c r="AA51" s="40">
        <f>ROUND($B$6*$B$11*$B$13*$B$15*$B$19*$B$21*$B$23,0)</f>
        <v/>
      </c>
      <c r="AB51" s="41">
        <f>ROUND($B$7*$B$11*$B$13*$B$15*$B$18*$B$20*$B$22,0)</f>
        <v/>
      </c>
      <c r="AC51" s="41">
        <f>ROUND($B$7*$B$11*$B$13*$B$15*$B$18*$B$20*$B$23,0)</f>
        <v/>
      </c>
      <c r="AD51" s="41">
        <f>ROUND($B$7*$B$11*$B$13*$B$15*$B$18*$B$21*$B$22,0)</f>
        <v/>
      </c>
      <c r="AE51" s="41">
        <f>ROUND($B$7*$B$11*$B$13*$B$15*$B$18*$B$21*$B$23,0)</f>
        <v/>
      </c>
      <c r="AF51" s="41">
        <f>ROUND($B$7*$B$11*$B$13*$B$15*$B$19*$B$20*$B$22,0)</f>
        <v/>
      </c>
      <c r="AG51" s="41">
        <f>ROUND($B$7*$B$11*$B$13*$B$15*$B$19*$B$20*$B$23,0)</f>
        <v/>
      </c>
      <c r="AH51" s="41">
        <f>ROUND($B$7*$B$11*$B$13*$B$15*$B$19*$B$21*$B$22,0)</f>
        <v/>
      </c>
      <c r="AI51" s="41">
        <f>ROUND($B$7*$B$11*$B$13*$B$15*$B$19*$B$21*$B$23,0)</f>
        <v/>
      </c>
    </row>
    <row r="52" ht="20.1" customHeight="1" s="62">
      <c r="A52" s="90" t="n"/>
      <c r="B52" s="58" t="n"/>
      <c r="C52" s="87" t="inlineStr">
        <is>
          <t>Structurée</t>
        </is>
      </c>
      <c r="D52" s="40">
        <f>ROUND($B$4*$B$11*$B$13*$B$16*$B$18*$B$20*$B$22,0)</f>
        <v/>
      </c>
      <c r="E52" s="40">
        <f>ROUND($B$4*$B$11*$B$13*$B$16*$B$18*$B$20*$B$23,0)</f>
        <v/>
      </c>
      <c r="F52" s="40">
        <f>ROUND($B$4*$B$11*$B$13*$B$16*$B$18*$B$21*$B$22,0)</f>
        <v/>
      </c>
      <c r="G52" s="40">
        <f>ROUND($B$4*$B$11*$B$13*$B$16*$B$18*$B$21*$B$23,0)</f>
        <v/>
      </c>
      <c r="H52" s="40">
        <f>ROUND($B$4*$B$11*$B$13*$B$16*$B$19*$B$20*$B$22,0)</f>
        <v/>
      </c>
      <c r="I52" s="40">
        <f>ROUND($B$4*$B$11*$B$13*$B$16*$B$19*$B$20*$B$23,0)</f>
        <v/>
      </c>
      <c r="J52" s="40">
        <f>ROUND($B$4*$B$11*$B$13*$B$16*$B$19*$B$21*$B$22,0)</f>
        <v/>
      </c>
      <c r="K52" s="40">
        <f>ROUND($B$4*$B$11*$B$13*$B$16*$B$19*$B$21*$B$23,0)</f>
        <v/>
      </c>
      <c r="L52" s="40">
        <f>ROUND($B$5*$B$11*$B$13*$B$16*$B$18*$B$20*$B$22,0)</f>
        <v/>
      </c>
      <c r="M52" s="40">
        <f>ROUND($B$5*$B$11*$B$13*$B$16*$B$18*$B$20*$B$23,0)</f>
        <v/>
      </c>
      <c r="N52" s="40">
        <f>ROUND($B$5*$B$11*$B$13*$B$16*$B$18*$B$21*$B$22,0)</f>
        <v/>
      </c>
      <c r="O52" s="40">
        <f>ROUND($B$5*$B$11*$B$13*$B$16*$B$18*$B$21*$B$23,0)</f>
        <v/>
      </c>
      <c r="P52" s="40">
        <f>ROUND($B$5*$B$11*$B$13*$B$16*$B$19*$B$20*$B$22,0)</f>
        <v/>
      </c>
      <c r="Q52" s="40">
        <f>ROUND($B$5*$B$11*$B$13*$B$16*$B$19*$B$20*$B$23,0)</f>
        <v/>
      </c>
      <c r="R52" s="40">
        <f>ROUND($B$5*$B$11*$B$13*$B$16*$B$19*$B$21*$B$22,0)</f>
        <v/>
      </c>
      <c r="S52" s="40">
        <f>ROUND($B$5*$B$11*$B$13*$B$16*$B$19*$B$21*$B$23,0)</f>
        <v/>
      </c>
      <c r="T52" s="40">
        <f>ROUND($B$6*$B$11*$B$13*$B$16*$B$18*$B$20*$B$22,0)</f>
        <v/>
      </c>
      <c r="U52" s="40">
        <f>ROUND($B$6*$B$11*$B$13*$B$16*$B$18*$B$20*$B$23,0)</f>
        <v/>
      </c>
      <c r="V52" s="40">
        <f>ROUND($B$6*$B$11*$B$13*$B$16*$B$18*$B$21*$B$22,0)</f>
        <v/>
      </c>
      <c r="W52" s="40">
        <f>ROUND($B$6*$B$11*$B$13*$B$16*$B$18*$B$21*$B$23,0)</f>
        <v/>
      </c>
      <c r="X52" s="40">
        <f>ROUND($B$6*$B$11*$B$13*$B$16*$B$19*$B$20*$B$22,0)</f>
        <v/>
      </c>
      <c r="Y52" s="40">
        <f>ROUND($B$6*$B$11*$B$13*$B$16*$B$19*$B$20*$B$23,0)</f>
        <v/>
      </c>
      <c r="Z52" s="40">
        <f>ROUND($B$6*$B$11*$B$13*$B$16*$B$19*$B$21*$B$22,0)</f>
        <v/>
      </c>
      <c r="AA52" s="40">
        <f>ROUND($B$6*$B$11*$B$13*$B$16*$B$19*$B$21*$B$23,0)</f>
        <v/>
      </c>
      <c r="AB52" s="41">
        <f>ROUND($B$7*$B$11*$B$13*$B$16*$B$18*$B$20*$B$22,0)</f>
        <v/>
      </c>
      <c r="AC52" s="41">
        <f>ROUND($B$7*$B$11*$B$13*$B$16*$B$18*$B$20*$B$23,0)</f>
        <v/>
      </c>
      <c r="AD52" s="41">
        <f>ROUND($B$7*$B$11*$B$13*$B$16*$B$18*$B$21*$B$22,0)</f>
        <v/>
      </c>
      <c r="AE52" s="41">
        <f>ROUND($B$7*$B$11*$B$13*$B$16*$B$18*$B$21*$B$23,0)</f>
        <v/>
      </c>
      <c r="AF52" s="41">
        <f>ROUND($B$7*$B$11*$B$13*$B$16*$B$19*$B$20*$B$22,0)</f>
        <v/>
      </c>
      <c r="AG52" s="41">
        <f>ROUND($B$7*$B$11*$B$13*$B$16*$B$19*$B$20*$B$23,0)</f>
        <v/>
      </c>
      <c r="AH52" s="41">
        <f>ROUND($B$7*$B$11*$B$13*$B$16*$B$19*$B$21*$B$22,0)</f>
        <v/>
      </c>
      <c r="AI52" s="41">
        <f>ROUND($B$7*$B$11*$B$13*$B$16*$B$19*$B$21*$B$23,0)</f>
        <v/>
      </c>
    </row>
    <row r="53" ht="20.1" customHeight="1" s="62">
      <c r="A53" s="90" t="n"/>
      <c r="B53" s="59" t="n"/>
      <c r="C53" s="42" t="inlineStr">
        <is>
          <t>Avancée multi-canal</t>
        </is>
      </c>
      <c r="D53" s="40">
        <f>ROUND($B$4*$B$11*$B$13*$B$17*$B$18*$B$20*$B$22,0)</f>
        <v/>
      </c>
      <c r="E53" s="40">
        <f>ROUND($B$4*$B$11*$B$13*$B$17*$B$18*$B$20*$B$23,0)</f>
        <v/>
      </c>
      <c r="F53" s="40">
        <f>ROUND($B$4*$B$11*$B$13*$B$17*$B$18*$B$21*$B$22,0)</f>
        <v/>
      </c>
      <c r="G53" s="40">
        <f>ROUND($B$4*$B$11*$B$13*$B$17*$B$18*$B$21*$B$23,0)</f>
        <v/>
      </c>
      <c r="H53" s="40">
        <f>ROUND($B$4*$B$11*$B$13*$B$17*$B$19*$B$20*$B$22,0)</f>
        <v/>
      </c>
      <c r="I53" s="40">
        <f>ROUND($B$4*$B$11*$B$13*$B$17*$B$19*$B$20*$B$23,0)</f>
        <v/>
      </c>
      <c r="J53" s="40">
        <f>ROUND($B$4*$B$11*$B$13*$B$17*$B$19*$B$21*$B$22,0)</f>
        <v/>
      </c>
      <c r="K53" s="40">
        <f>ROUND($B$4*$B$11*$B$13*$B$17*$B$19*$B$21*$B$23,0)</f>
        <v/>
      </c>
      <c r="L53" s="40">
        <f>ROUND($B$5*$B$11*$B$13*$B$17*$B$18*$B$20*$B$22,0)</f>
        <v/>
      </c>
      <c r="M53" s="40">
        <f>ROUND($B$5*$B$11*$B$13*$B$17*$B$18*$B$20*$B$23,0)</f>
        <v/>
      </c>
      <c r="N53" s="40">
        <f>ROUND($B$5*$B$11*$B$13*$B$17*$B$18*$B$21*$B$22,0)</f>
        <v/>
      </c>
      <c r="O53" s="40">
        <f>ROUND($B$5*$B$11*$B$13*$B$17*$B$18*$B$21*$B$23,0)</f>
        <v/>
      </c>
      <c r="P53" s="40">
        <f>ROUND($B$5*$B$11*$B$13*$B$17*$B$19*$B$20*$B$22,0)</f>
        <v/>
      </c>
      <c r="Q53" s="40">
        <f>ROUND($B$5*$B$11*$B$13*$B$17*$B$19*$B$20*$B$23,0)</f>
        <v/>
      </c>
      <c r="R53" s="40">
        <f>ROUND($B$5*$B$11*$B$13*$B$17*$B$19*$B$21*$B$22,0)</f>
        <v/>
      </c>
      <c r="S53" s="40">
        <f>ROUND($B$5*$B$11*$B$13*$B$17*$B$19*$B$21*$B$23,0)</f>
        <v/>
      </c>
      <c r="T53" s="40">
        <f>ROUND($B$6*$B$11*$B$13*$B$17*$B$18*$B$20*$B$22,0)</f>
        <v/>
      </c>
      <c r="U53" s="40">
        <f>ROUND($B$6*$B$11*$B$13*$B$17*$B$18*$B$20*$B$23,0)</f>
        <v/>
      </c>
      <c r="V53" s="40">
        <f>ROUND($B$6*$B$11*$B$13*$B$17*$B$18*$B$21*$B$22,0)</f>
        <v/>
      </c>
      <c r="W53" s="40">
        <f>ROUND($B$6*$B$11*$B$13*$B$17*$B$18*$B$21*$B$23,0)</f>
        <v/>
      </c>
      <c r="X53" s="40">
        <f>ROUND($B$6*$B$11*$B$13*$B$17*$B$19*$B$20*$B$22,0)</f>
        <v/>
      </c>
      <c r="Y53" s="40">
        <f>ROUND($B$6*$B$11*$B$13*$B$17*$B$19*$B$20*$B$23,0)</f>
        <v/>
      </c>
      <c r="Z53" s="40">
        <f>ROUND($B$6*$B$11*$B$13*$B$17*$B$19*$B$21*$B$22,0)</f>
        <v/>
      </c>
      <c r="AA53" s="40">
        <f>ROUND($B$6*$B$11*$B$13*$B$17*$B$19*$B$21*$B$23,0)</f>
        <v/>
      </c>
      <c r="AB53" s="41">
        <f>ROUND($B$7*$B$11*$B$13*$B$17*$B$18*$B$20*$B$22,0)</f>
        <v/>
      </c>
      <c r="AC53" s="41">
        <f>ROUND($B$7*$B$11*$B$13*$B$17*$B$18*$B$20*$B$23,0)</f>
        <v/>
      </c>
      <c r="AD53" s="41">
        <f>ROUND($B$7*$B$11*$B$13*$B$17*$B$18*$B$21*$B$22,0)</f>
        <v/>
      </c>
      <c r="AE53" s="41">
        <f>ROUND($B$7*$B$11*$B$13*$B$17*$B$18*$B$21*$B$23,0)</f>
        <v/>
      </c>
      <c r="AF53" s="41">
        <f>ROUND($B$7*$B$11*$B$13*$B$17*$B$19*$B$20*$B$22,0)</f>
        <v/>
      </c>
      <c r="AG53" s="41">
        <f>ROUND($B$7*$B$11*$B$13*$B$17*$B$19*$B$20*$B$23,0)</f>
        <v/>
      </c>
      <c r="AH53" s="41">
        <f>ROUND($B$7*$B$11*$B$13*$B$17*$B$19*$B$21*$B$22,0)</f>
        <v/>
      </c>
      <c r="AI53" s="41">
        <f>ROUND($B$7*$B$11*$B$13*$B$17*$B$19*$B$21*$B$23,0)</f>
        <v/>
      </c>
    </row>
    <row r="54" ht="20.1" customHeight="1" s="62">
      <c r="A54" s="90" t="n"/>
      <c r="B54" s="87" t="inlineStr">
        <is>
          <t>6+ sources</t>
        </is>
      </c>
      <c r="C54" s="39" t="inlineStr">
        <is>
          <t>Simple</t>
        </is>
      </c>
      <c r="D54" s="40">
        <f>ROUND($B$4*$B$11*$B$14*$B$15*$B$18*$B$20*$B$22,0)</f>
        <v/>
      </c>
      <c r="E54" s="40">
        <f>ROUND($B$4*$B$11*$B$14*$B$15*$B$18*$B$20*$B$23,0)</f>
        <v/>
      </c>
      <c r="F54" s="40">
        <f>ROUND($B$4*$B$11*$B$14*$B$15*$B$18*$B$21*$B$22,0)</f>
        <v/>
      </c>
      <c r="G54" s="40">
        <f>ROUND($B$4*$B$11*$B$14*$B$15*$B$18*$B$21*$B$23,0)</f>
        <v/>
      </c>
      <c r="H54" s="40">
        <f>ROUND($B$4*$B$11*$B$14*$B$15*$B$19*$B$20*$B$22,0)</f>
        <v/>
      </c>
      <c r="I54" s="40">
        <f>ROUND($B$4*$B$11*$B$14*$B$15*$B$19*$B$20*$B$23,0)</f>
        <v/>
      </c>
      <c r="J54" s="40">
        <f>ROUND($B$4*$B$11*$B$14*$B$15*$B$19*$B$21*$B$22,0)</f>
        <v/>
      </c>
      <c r="K54" s="40">
        <f>ROUND($B$4*$B$11*$B$14*$B$15*$B$19*$B$21*$B$23,0)</f>
        <v/>
      </c>
      <c r="L54" s="40">
        <f>ROUND($B$5*$B$11*$B$14*$B$15*$B$18*$B$20*$B$22,0)</f>
        <v/>
      </c>
      <c r="M54" s="40">
        <f>ROUND($B$5*$B$11*$B$14*$B$15*$B$18*$B$20*$B$23,0)</f>
        <v/>
      </c>
      <c r="N54" s="40">
        <f>ROUND($B$5*$B$11*$B$14*$B$15*$B$18*$B$21*$B$22,0)</f>
        <v/>
      </c>
      <c r="O54" s="40">
        <f>ROUND($B$5*$B$11*$B$14*$B$15*$B$18*$B$21*$B$23,0)</f>
        <v/>
      </c>
      <c r="P54" s="40">
        <f>ROUND($B$5*$B$11*$B$14*$B$15*$B$19*$B$20*$B$22,0)</f>
        <v/>
      </c>
      <c r="Q54" s="40">
        <f>ROUND($B$5*$B$11*$B$14*$B$15*$B$19*$B$20*$B$23,0)</f>
        <v/>
      </c>
      <c r="R54" s="40">
        <f>ROUND($B$5*$B$11*$B$14*$B$15*$B$19*$B$21*$B$22,0)</f>
        <v/>
      </c>
      <c r="S54" s="40">
        <f>ROUND($B$5*$B$11*$B$14*$B$15*$B$19*$B$21*$B$23,0)</f>
        <v/>
      </c>
      <c r="T54" s="40">
        <f>ROUND($B$6*$B$11*$B$14*$B$15*$B$18*$B$20*$B$22,0)</f>
        <v/>
      </c>
      <c r="U54" s="40">
        <f>ROUND($B$6*$B$11*$B$14*$B$15*$B$18*$B$20*$B$23,0)</f>
        <v/>
      </c>
      <c r="V54" s="40">
        <f>ROUND($B$6*$B$11*$B$14*$B$15*$B$18*$B$21*$B$22,0)</f>
        <v/>
      </c>
      <c r="W54" s="40">
        <f>ROUND($B$6*$B$11*$B$14*$B$15*$B$18*$B$21*$B$23,0)</f>
        <v/>
      </c>
      <c r="X54" s="40">
        <f>ROUND($B$6*$B$11*$B$14*$B$15*$B$19*$B$20*$B$22,0)</f>
        <v/>
      </c>
      <c r="Y54" s="40">
        <f>ROUND($B$6*$B$11*$B$14*$B$15*$B$19*$B$20*$B$23,0)</f>
        <v/>
      </c>
      <c r="Z54" s="40">
        <f>ROUND($B$6*$B$11*$B$14*$B$15*$B$19*$B$21*$B$22,0)</f>
        <v/>
      </c>
      <c r="AA54" s="40">
        <f>ROUND($B$6*$B$11*$B$14*$B$15*$B$19*$B$21*$B$23,0)</f>
        <v/>
      </c>
      <c r="AB54" s="41">
        <f>ROUND($B$7*$B$11*$B$14*$B$15*$B$18*$B$20*$B$22,0)</f>
        <v/>
      </c>
      <c r="AC54" s="41">
        <f>ROUND($B$7*$B$11*$B$14*$B$15*$B$18*$B$20*$B$23,0)</f>
        <v/>
      </c>
      <c r="AD54" s="41">
        <f>ROUND($B$7*$B$11*$B$14*$B$15*$B$18*$B$21*$B$22,0)</f>
        <v/>
      </c>
      <c r="AE54" s="41">
        <f>ROUND($B$7*$B$11*$B$14*$B$15*$B$18*$B$21*$B$23,0)</f>
        <v/>
      </c>
      <c r="AF54" s="41">
        <f>ROUND($B$7*$B$11*$B$14*$B$15*$B$19*$B$20*$B$22,0)</f>
        <v/>
      </c>
      <c r="AG54" s="41">
        <f>ROUND($B$7*$B$11*$B$14*$B$15*$B$19*$B$20*$B$23,0)</f>
        <v/>
      </c>
      <c r="AH54" s="41">
        <f>ROUND($B$7*$B$11*$B$14*$B$15*$B$19*$B$21*$B$22,0)</f>
        <v/>
      </c>
      <c r="AI54" s="41">
        <f>ROUND($B$7*$B$11*$B$14*$B$15*$B$19*$B$21*$B$23,0)</f>
        <v/>
      </c>
    </row>
    <row r="55" ht="20.1" customHeight="1" s="62">
      <c r="A55" s="90" t="n"/>
      <c r="B55" s="58" t="n"/>
      <c r="C55" s="87" t="inlineStr">
        <is>
          <t>Structurée</t>
        </is>
      </c>
      <c r="D55" s="40">
        <f>ROUND($B$4*$B$11*$B$14*$B$16*$B$18*$B$20*$B$22,0)</f>
        <v/>
      </c>
      <c r="E55" s="40">
        <f>ROUND($B$4*$B$11*$B$14*$B$16*$B$18*$B$20*$B$23,0)</f>
        <v/>
      </c>
      <c r="F55" s="40">
        <f>ROUND($B$4*$B$11*$B$14*$B$16*$B$18*$B$21*$B$22,0)</f>
        <v/>
      </c>
      <c r="G55" s="40">
        <f>ROUND($B$4*$B$11*$B$14*$B$16*$B$18*$B$21*$B$23,0)</f>
        <v/>
      </c>
      <c r="H55" s="40">
        <f>ROUND($B$4*$B$11*$B$14*$B$16*$B$19*$B$20*$B$22,0)</f>
        <v/>
      </c>
      <c r="I55" s="40">
        <f>ROUND($B$4*$B$11*$B$14*$B$16*$B$19*$B$20*$B$23,0)</f>
        <v/>
      </c>
      <c r="J55" s="40">
        <f>ROUND($B$4*$B$11*$B$14*$B$16*$B$19*$B$21*$B$22,0)</f>
        <v/>
      </c>
      <c r="K55" s="40">
        <f>ROUND($B$4*$B$11*$B$14*$B$16*$B$19*$B$21*$B$23,0)</f>
        <v/>
      </c>
      <c r="L55" s="40">
        <f>ROUND($B$5*$B$11*$B$14*$B$16*$B$18*$B$20*$B$22,0)</f>
        <v/>
      </c>
      <c r="M55" s="40">
        <f>ROUND($B$5*$B$11*$B$14*$B$16*$B$18*$B$20*$B$23,0)</f>
        <v/>
      </c>
      <c r="N55" s="40">
        <f>ROUND($B$5*$B$11*$B$14*$B$16*$B$18*$B$21*$B$22,0)</f>
        <v/>
      </c>
      <c r="O55" s="40">
        <f>ROUND($B$5*$B$11*$B$14*$B$16*$B$18*$B$21*$B$23,0)</f>
        <v/>
      </c>
      <c r="P55" s="40">
        <f>ROUND($B$5*$B$11*$B$14*$B$16*$B$19*$B$20*$B$22,0)</f>
        <v/>
      </c>
      <c r="Q55" s="40">
        <f>ROUND($B$5*$B$11*$B$14*$B$16*$B$19*$B$20*$B$23,0)</f>
        <v/>
      </c>
      <c r="R55" s="40">
        <f>ROUND($B$5*$B$11*$B$14*$B$16*$B$19*$B$21*$B$22,0)</f>
        <v/>
      </c>
      <c r="S55" s="40">
        <f>ROUND($B$5*$B$11*$B$14*$B$16*$B$19*$B$21*$B$23,0)</f>
        <v/>
      </c>
      <c r="T55" s="40">
        <f>ROUND($B$6*$B$11*$B$14*$B$16*$B$18*$B$20*$B$22,0)</f>
        <v/>
      </c>
      <c r="U55" s="40">
        <f>ROUND($B$6*$B$11*$B$14*$B$16*$B$18*$B$20*$B$23,0)</f>
        <v/>
      </c>
      <c r="V55" s="40">
        <f>ROUND($B$6*$B$11*$B$14*$B$16*$B$18*$B$21*$B$22,0)</f>
        <v/>
      </c>
      <c r="W55" s="40">
        <f>ROUND($B$6*$B$11*$B$14*$B$16*$B$18*$B$21*$B$23,0)</f>
        <v/>
      </c>
      <c r="X55" s="40">
        <f>ROUND($B$6*$B$11*$B$14*$B$16*$B$19*$B$20*$B$22,0)</f>
        <v/>
      </c>
      <c r="Y55" s="40">
        <f>ROUND($B$6*$B$11*$B$14*$B$16*$B$19*$B$20*$B$23,0)</f>
        <v/>
      </c>
      <c r="Z55" s="40">
        <f>ROUND($B$6*$B$11*$B$14*$B$16*$B$19*$B$21*$B$22,0)</f>
        <v/>
      </c>
      <c r="AA55" s="40">
        <f>ROUND($B$6*$B$11*$B$14*$B$16*$B$19*$B$21*$B$23,0)</f>
        <v/>
      </c>
      <c r="AB55" s="41">
        <f>ROUND($B$7*$B$11*$B$14*$B$16*$B$18*$B$20*$B$22,0)</f>
        <v/>
      </c>
      <c r="AC55" s="41">
        <f>ROUND($B$7*$B$11*$B$14*$B$16*$B$18*$B$20*$B$23,0)</f>
        <v/>
      </c>
      <c r="AD55" s="41">
        <f>ROUND($B$7*$B$11*$B$14*$B$16*$B$18*$B$21*$B$22,0)</f>
        <v/>
      </c>
      <c r="AE55" s="41">
        <f>ROUND($B$7*$B$11*$B$14*$B$16*$B$18*$B$21*$B$23,0)</f>
        <v/>
      </c>
      <c r="AF55" s="41">
        <f>ROUND($B$7*$B$11*$B$14*$B$16*$B$19*$B$20*$B$22,0)</f>
        <v/>
      </c>
      <c r="AG55" s="41">
        <f>ROUND($B$7*$B$11*$B$14*$B$16*$B$19*$B$20*$B$23,0)</f>
        <v/>
      </c>
      <c r="AH55" s="41">
        <f>ROUND($B$7*$B$11*$B$14*$B$16*$B$19*$B$21*$B$22,0)</f>
        <v/>
      </c>
      <c r="AI55" s="41">
        <f>ROUND($B$7*$B$11*$B$14*$B$16*$B$19*$B$21*$B$23,0)</f>
        <v/>
      </c>
    </row>
    <row r="56" ht="20.1" customHeight="1" s="62">
      <c r="A56" s="91" t="n"/>
      <c r="B56" s="59" t="n"/>
      <c r="C56" s="42" t="inlineStr">
        <is>
          <t>Avancée multi-canal</t>
        </is>
      </c>
      <c r="D56" s="40">
        <f>ROUND($B$4*$B$11*$B$14*$B$17*$B$18*$B$20*$B$22,0)</f>
        <v/>
      </c>
      <c r="E56" s="40">
        <f>ROUND($B$4*$B$11*$B$14*$B$17*$B$18*$B$20*$B$23,0)</f>
        <v/>
      </c>
      <c r="F56" s="40">
        <f>ROUND($B$4*$B$11*$B$14*$B$17*$B$18*$B$21*$B$22,0)</f>
        <v/>
      </c>
      <c r="G56" s="40">
        <f>ROUND($B$4*$B$11*$B$14*$B$17*$B$18*$B$21*$B$23,0)</f>
        <v/>
      </c>
      <c r="H56" s="40">
        <f>ROUND($B$4*$B$11*$B$14*$B$17*$B$19*$B$20*$B$22,0)</f>
        <v/>
      </c>
      <c r="I56" s="40">
        <f>ROUND($B$4*$B$11*$B$14*$B$17*$B$19*$B$20*$B$23,0)</f>
        <v/>
      </c>
      <c r="J56" s="40">
        <f>ROUND($B$4*$B$11*$B$14*$B$17*$B$19*$B$21*$B$22,0)</f>
        <v/>
      </c>
      <c r="K56" s="40">
        <f>ROUND($B$4*$B$11*$B$14*$B$17*$B$19*$B$21*$B$23,0)</f>
        <v/>
      </c>
      <c r="L56" s="40">
        <f>ROUND($B$5*$B$11*$B$14*$B$17*$B$18*$B$20*$B$22,0)</f>
        <v/>
      </c>
      <c r="M56" s="40">
        <f>ROUND($B$5*$B$11*$B$14*$B$17*$B$18*$B$20*$B$23,0)</f>
        <v/>
      </c>
      <c r="N56" s="40">
        <f>ROUND($B$5*$B$11*$B$14*$B$17*$B$18*$B$21*$B$22,0)</f>
        <v/>
      </c>
      <c r="O56" s="40">
        <f>ROUND($B$5*$B$11*$B$14*$B$17*$B$18*$B$21*$B$23,0)</f>
        <v/>
      </c>
      <c r="P56" s="40">
        <f>ROUND($B$5*$B$11*$B$14*$B$17*$B$19*$B$20*$B$22,0)</f>
        <v/>
      </c>
      <c r="Q56" s="40">
        <f>ROUND($B$5*$B$11*$B$14*$B$17*$B$19*$B$20*$B$23,0)</f>
        <v/>
      </c>
      <c r="R56" s="40">
        <f>ROUND($B$5*$B$11*$B$14*$B$17*$B$19*$B$21*$B$22,0)</f>
        <v/>
      </c>
      <c r="S56" s="40">
        <f>ROUND($B$5*$B$11*$B$14*$B$17*$B$19*$B$21*$B$23,0)</f>
        <v/>
      </c>
      <c r="T56" s="40">
        <f>ROUND($B$6*$B$11*$B$14*$B$17*$B$18*$B$20*$B$22,0)</f>
        <v/>
      </c>
      <c r="U56" s="40">
        <f>ROUND($B$6*$B$11*$B$14*$B$17*$B$18*$B$20*$B$23,0)</f>
        <v/>
      </c>
      <c r="V56" s="40">
        <f>ROUND($B$6*$B$11*$B$14*$B$17*$B$18*$B$21*$B$22,0)</f>
        <v/>
      </c>
      <c r="W56" s="40">
        <f>ROUND($B$6*$B$11*$B$14*$B$17*$B$18*$B$21*$B$23,0)</f>
        <v/>
      </c>
      <c r="X56" s="40">
        <f>ROUND($B$6*$B$11*$B$14*$B$17*$B$19*$B$20*$B$22,0)</f>
        <v/>
      </c>
      <c r="Y56" s="40">
        <f>ROUND($B$6*$B$11*$B$14*$B$17*$B$19*$B$20*$B$23,0)</f>
        <v/>
      </c>
      <c r="Z56" s="40">
        <f>ROUND($B$6*$B$11*$B$14*$B$17*$B$19*$B$21*$B$22,0)</f>
        <v/>
      </c>
      <c r="AA56" s="40">
        <f>ROUND($B$6*$B$11*$B$14*$B$17*$B$19*$B$21*$B$23,0)</f>
        <v/>
      </c>
      <c r="AB56" s="41">
        <f>ROUND($B$7*$B$11*$B$14*$B$17*$B$18*$B$20*$B$22,0)</f>
        <v/>
      </c>
      <c r="AC56" s="41">
        <f>ROUND($B$7*$B$11*$B$14*$B$17*$B$18*$B$20*$B$23,0)</f>
        <v/>
      </c>
      <c r="AD56" s="41">
        <f>ROUND($B$7*$B$11*$B$14*$B$17*$B$18*$B$21*$B$22,0)</f>
        <v/>
      </c>
      <c r="AE56" s="41">
        <f>ROUND($B$7*$B$11*$B$14*$B$17*$B$18*$B$21*$B$23,0)</f>
        <v/>
      </c>
      <c r="AF56" s="41">
        <f>ROUND($B$7*$B$11*$B$14*$B$17*$B$19*$B$20*$B$22,0)</f>
        <v/>
      </c>
      <c r="AG56" s="41">
        <f>ROUND($B$7*$B$11*$B$14*$B$17*$B$19*$B$20*$B$23,0)</f>
        <v/>
      </c>
      <c r="AH56" s="41">
        <f>ROUND($B$7*$B$11*$B$14*$B$17*$B$19*$B$21*$B$22,0)</f>
        <v/>
      </c>
      <c r="AI56" s="41">
        <f>ROUND($B$7*$B$11*$B$14*$B$17*$B$19*$B$21*$B$23,0)</f>
        <v/>
      </c>
    </row>
  </sheetData>
  <mergeCells count="48">
    <mergeCell ref="D26:K26"/>
    <mergeCell ref="H27:K27"/>
    <mergeCell ref="B30:B32"/>
    <mergeCell ref="C26:C29"/>
    <mergeCell ref="B33:B35"/>
    <mergeCell ref="R28:S28"/>
    <mergeCell ref="J28:K28"/>
    <mergeCell ref="L28:M28"/>
    <mergeCell ref="A24:AI24"/>
    <mergeCell ref="B36:B38"/>
    <mergeCell ref="AB26:AI26"/>
    <mergeCell ref="L27:O27"/>
    <mergeCell ref="B54:B56"/>
    <mergeCell ref="B45:B47"/>
    <mergeCell ref="T27:W27"/>
    <mergeCell ref="X27:AA27"/>
    <mergeCell ref="B51:B53"/>
    <mergeCell ref="V28:W28"/>
    <mergeCell ref="AF27:AI27"/>
    <mergeCell ref="A1:AI1"/>
    <mergeCell ref="X28:Y28"/>
    <mergeCell ref="AD28:AE28"/>
    <mergeCell ref="T26:AA26"/>
    <mergeCell ref="L26:S26"/>
    <mergeCell ref="A26:A29"/>
    <mergeCell ref="N28:O28"/>
    <mergeCell ref="A39:A47"/>
    <mergeCell ref="A3:AI3"/>
    <mergeCell ref="D28:E28"/>
    <mergeCell ref="F28:G28"/>
    <mergeCell ref="P28:Q28"/>
    <mergeCell ref="H28:I28"/>
    <mergeCell ref="D27:G27"/>
    <mergeCell ref="B42:B44"/>
    <mergeCell ref="A48:A56"/>
    <mergeCell ref="P27:S27"/>
    <mergeCell ref="A30:A38"/>
    <mergeCell ref="A2:AI2"/>
    <mergeCell ref="B39:B41"/>
    <mergeCell ref="B48:B50"/>
    <mergeCell ref="AB27:AE27"/>
    <mergeCell ref="Z28:AA28"/>
    <mergeCell ref="B26:B29"/>
    <mergeCell ref="AB28:AC28"/>
    <mergeCell ref="A8:AI8"/>
    <mergeCell ref="T28:U28"/>
    <mergeCell ref="AF28:AG28"/>
    <mergeCell ref="AH28:AI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2D1B5E"/>
    <outlinePr summaryBelow="1" summaryRight="1"/>
    <pageSetUpPr/>
  </sheetPr>
  <dimension ref="A1:AY57"/>
  <sheetViews>
    <sheetView topLeftCell="A2" workbookViewId="0">
      <pane xSplit="3" topLeftCell="D1" activePane="topRight" state="frozen"/>
      <selection pane="topRight" activeCell="A25" sqref="A25:AY25"/>
    </sheetView>
  </sheetViews>
  <sheetFormatPr baseColWidth="10" defaultColWidth="9.140625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51"/>
  </cols>
  <sheetData>
    <row r="1" ht="33.95" customHeight="1" s="62">
      <c r="A1" s="92" t="inlineStr">
        <is>
          <t>GRILLE TARIFAIRE — Structuration marketing</t>
        </is>
      </c>
    </row>
    <row r="2" ht="26.1" customHeight="1" s="62">
      <c r="A2" s="96" t="inlineStr">
        <is>
          <t>⚙  ZONE DE PARAMÉTRAGE — Remplissez uniquement les cases jaunes. Le tableau se calcule automatiquement.</t>
        </is>
      </c>
    </row>
    <row r="3" ht="21.95" customHeight="1" s="62">
      <c r="A3" s="95" t="inlineStr">
        <is>
          <t>TARIFS DE BASE (€)  —  Par niveau de prestation</t>
        </is>
      </c>
    </row>
    <row r="4" ht="21.95" customHeight="1" s="62">
      <c r="A4" s="32" t="inlineStr">
        <is>
          <t>Tarif de base — Structuration simple</t>
        </is>
      </c>
      <c r="B4" s="33" t="n">
        <v>2000</v>
      </c>
      <c r="C4" s="34" t="inlineStr">
        <is>
          <t>Fourchette : 2 000 – 5 000 €</t>
        </is>
      </c>
    </row>
    <row r="5" ht="21.95" customHeight="1" s="62">
      <c r="A5" s="32" t="inlineStr">
        <is>
          <t>Tarif de base — Structuration complète</t>
        </is>
      </c>
      <c r="B5" s="33" t="n">
        <v>5000</v>
      </c>
      <c r="C5" s="34" t="inlineStr">
        <is>
          <t>Fourchette : 5 000 – 12 000 €</t>
        </is>
      </c>
    </row>
    <row r="6" ht="21.95" customHeight="1" s="62">
      <c r="A6" s="32" t="inlineStr">
        <is>
          <t>Tarif de base — Structuration avancée</t>
        </is>
      </c>
      <c r="B6" s="33" t="n">
        <v>12000</v>
      </c>
      <c r="C6" s="34" t="inlineStr">
        <is>
          <t>Fourchette : 12 000 – 25 000 €</t>
        </is>
      </c>
    </row>
    <row r="7" ht="21.95" customHeight="1" s="62">
      <c r="A7" s="32" t="inlineStr">
        <is>
          <t>Tarif de base — Accompagnement mensuel</t>
        </is>
      </c>
      <c r="B7" s="35" t="n">
        <v>2000</v>
      </c>
      <c r="C7" s="34" t="inlineStr">
        <is>
          <t>Fourchette : 800 – 2 500 €/mois</t>
        </is>
      </c>
    </row>
    <row r="8" ht="21.95" customHeight="1" s="62">
      <c r="A8" s="75" t="inlineStr">
        <is>
          <t>COEFFICIENTS MULTIPLICATEURS  —  1,00 = neutre. Ex : 1,20 = +20 %</t>
        </is>
      </c>
    </row>
    <row r="9" ht="20.1" customHeight="1" s="62">
      <c r="A9" s="19" t="inlineStr">
        <is>
          <t>Coeff. maturité — Inexistante</t>
        </is>
      </c>
      <c r="B9" s="36" t="n">
        <v>1.3</v>
      </c>
      <c r="C9" s="37" t="inlineStr">
        <is>
          <t>Mise en place from scratch</t>
        </is>
      </c>
    </row>
    <row r="10" ht="20.1" customHeight="1" s="62">
      <c r="A10" s="19" t="inlineStr">
        <is>
          <t>Coeff. maturité — Partielle</t>
        </is>
      </c>
      <c r="B10" s="36" t="n">
        <v>1</v>
      </c>
      <c r="C10" s="37" t="inlineStr">
        <is>
          <t>Référence</t>
        </is>
      </c>
    </row>
    <row r="11" ht="20.1" customHeight="1" s="62">
      <c r="A11" s="19" t="inlineStr">
        <is>
          <t>Coeff. maturité — Déjà structurée</t>
        </is>
      </c>
      <c r="B11" s="36" t="n">
        <v>1.1</v>
      </c>
      <c r="C11" s="37" t="inlineStr">
        <is>
          <t>Optimisation uniquement</t>
        </is>
      </c>
    </row>
    <row r="12" ht="20.1" customHeight="1" s="62">
      <c r="A12" s="19" t="inlineStr">
        <is>
          <t>Coeff. offres — 1-2 offres</t>
        </is>
      </c>
      <c r="B12" s="36" t="n">
        <v>0.8</v>
      </c>
      <c r="C12" s="37" t="inlineStr">
        <is>
          <t>Périmètre réduit</t>
        </is>
      </c>
    </row>
    <row r="13" ht="20.1" customHeight="1" s="62">
      <c r="A13" s="19" t="inlineStr">
        <is>
          <t>Coeff. offres — 3-5 offres</t>
        </is>
      </c>
      <c r="B13" s="36" t="n">
        <v>1</v>
      </c>
      <c r="C13" s="37" t="inlineStr">
        <is>
          <t>Référence</t>
        </is>
      </c>
    </row>
    <row r="14" ht="20.1" customHeight="1" s="62">
      <c r="A14" s="19" t="inlineStr">
        <is>
          <t>Coeff. offres — 6+ offres</t>
        </is>
      </c>
      <c r="B14" s="36" t="n">
        <v>1.4</v>
      </c>
      <c r="C14" s="37" t="inlineStr">
        <is>
          <t>Catalogue large</t>
        </is>
      </c>
    </row>
    <row r="15" ht="20.1" customHeight="1" s="62">
      <c r="A15" s="19" t="inlineStr">
        <is>
          <t>Coeff. cibles — 1 cible</t>
        </is>
      </c>
      <c r="B15" s="36" t="n">
        <v>0.8</v>
      </c>
      <c r="C15" s="37" t="inlineStr">
        <is>
          <t>Audience unique</t>
        </is>
      </c>
    </row>
    <row r="16" ht="20.1" customHeight="1" s="62">
      <c r="A16" s="19" t="inlineStr">
        <is>
          <t>Coeff. cibles — 2-3 cibles</t>
        </is>
      </c>
      <c r="B16" s="36" t="n">
        <v>1</v>
      </c>
      <c r="C16" s="37" t="inlineStr">
        <is>
          <t>Référence</t>
        </is>
      </c>
    </row>
    <row r="17" ht="20.1" customHeight="1" s="62">
      <c r="A17" s="19" t="inlineStr">
        <is>
          <t>Coeff. cibles — 4+ cibles</t>
        </is>
      </c>
      <c r="B17" s="36" t="n">
        <v>1.4</v>
      </c>
      <c r="C17" s="37" t="inlineStr">
        <is>
          <t>Multi-segments</t>
        </is>
      </c>
    </row>
    <row r="18" ht="20.1" customHeight="1" s="62">
      <c r="A18" s="19" t="inlineStr">
        <is>
          <t>Coeff. secteur — Standard</t>
        </is>
      </c>
      <c r="B18" s="36" t="n">
        <v>1</v>
      </c>
      <c r="C18" s="37" t="inlineStr">
        <is>
          <t>Référence</t>
        </is>
      </c>
    </row>
    <row r="19" ht="20.1" customHeight="1" s="62">
      <c r="A19" s="19" t="inlineStr">
        <is>
          <t>Coeff. secteur — Concurrentiel</t>
        </is>
      </c>
      <c r="B19" s="36" t="n">
        <v>1.2</v>
      </c>
      <c r="C19" s="37" t="inlineStr">
        <is>
          <t>Forte pression marché</t>
        </is>
      </c>
    </row>
    <row r="20" ht="20.1" customHeight="1" s="62">
      <c r="A20" s="19" t="inlineStr">
        <is>
          <t>Coeff. canaux — 1-2 canaux</t>
        </is>
      </c>
      <c r="B20" s="36" t="n">
        <v>0.9</v>
      </c>
      <c r="C20" s="37" t="inlineStr">
        <is>
          <t>Périmètre réduit</t>
        </is>
      </c>
    </row>
    <row r="21" ht="20.1" customHeight="1" s="62">
      <c r="A21" s="19" t="inlineStr">
        <is>
          <t>Coeff. canaux — 3-4 canaux</t>
        </is>
      </c>
      <c r="B21" s="36" t="n">
        <v>1</v>
      </c>
      <c r="C21" s="37" t="inlineStr">
        <is>
          <t>Référence</t>
        </is>
      </c>
    </row>
    <row r="22" ht="20.1" customHeight="1" s="62">
      <c r="A22" s="19" t="inlineStr">
        <is>
          <t>Coeff. canaux — 5+ canaux</t>
        </is>
      </c>
      <c r="B22" s="36" t="n">
        <v>1.35</v>
      </c>
      <c r="C22" s="37" t="inlineStr">
        <is>
          <t>Multi-canal complexe</t>
        </is>
      </c>
    </row>
    <row r="23" ht="20.1" customHeight="1" s="62">
      <c r="A23" s="19" t="inlineStr">
        <is>
          <t>Coeff. mode — Distanciel</t>
        </is>
      </c>
      <c r="B23" s="36" t="n">
        <v>1</v>
      </c>
      <c r="C23" s="37" t="inlineStr">
        <is>
          <t>Référence</t>
        </is>
      </c>
    </row>
    <row r="24" ht="20.1" customHeight="1" s="62">
      <c r="A24" s="19" t="inlineStr">
        <is>
          <t>Coeff. mode — Présentiel</t>
        </is>
      </c>
      <c r="B24" s="36" t="n">
        <v>1.5</v>
      </c>
      <c r="C24" s="37" t="inlineStr">
        <is>
          <t>Ateliers et sessions sur site</t>
        </is>
      </c>
    </row>
    <row r="25" ht="24" customHeight="1" s="62">
      <c r="A25" s="94" t="inlineStr">
        <is>
          <t>▼  GRILLE TARIFAIRE CALCULÉE AUTOMATIQUEMENT  — Les cellules violettes sont en lecture seule (formules).</t>
        </is>
      </c>
    </row>
    <row r="26" ht="6" customHeight="1" s="62"/>
    <row r="27" ht="38.1" customHeight="1" s="62">
      <c r="A27" s="93" t="inlineStr">
        <is>
          <t>Maturité marketing</t>
        </is>
      </c>
      <c r="B27" s="86" t="inlineStr">
        <is>
          <t>Nombre d'offres</t>
        </is>
      </c>
      <c r="C27" s="88" t="inlineStr">
        <is>
          <t>Nombre de cibles</t>
        </is>
      </c>
      <c r="D27" s="93" t="inlineStr">
        <is>
          <t>Structuration simple</t>
        </is>
      </c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6" t="n"/>
      <c r="P27" s="93" t="inlineStr">
        <is>
          <t>Structuration complète</t>
        </is>
      </c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6" t="n"/>
      <c r="AB27" s="93" t="inlineStr">
        <is>
          <t>Structuration avancée</t>
        </is>
      </c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6" t="n"/>
      <c r="AN27" s="93" t="inlineStr">
        <is>
          <t>Accompagnement mensuel</t>
        </is>
      </c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6" t="n"/>
    </row>
    <row r="28" ht="38.1" customHeight="1" s="62">
      <c r="A28" s="64" t="n"/>
      <c r="B28" s="64" t="n"/>
      <c r="C28" s="64" t="n"/>
      <c r="D28" s="86" t="inlineStr">
        <is>
          <t>Secteur standard</t>
        </is>
      </c>
      <c r="E28" s="55" t="n"/>
      <c r="F28" s="55" t="n"/>
      <c r="G28" s="55" t="n"/>
      <c r="H28" s="55" t="n"/>
      <c r="I28" s="56" t="n"/>
      <c r="J28" s="86" t="inlineStr">
        <is>
          <t>Secteur concurrentiel</t>
        </is>
      </c>
      <c r="K28" s="55" t="n"/>
      <c r="L28" s="55" t="n"/>
      <c r="M28" s="55" t="n"/>
      <c r="N28" s="55" t="n"/>
      <c r="O28" s="56" t="n"/>
      <c r="P28" s="86" t="inlineStr">
        <is>
          <t>Secteur standard</t>
        </is>
      </c>
      <c r="Q28" s="55" t="n"/>
      <c r="R28" s="55" t="n"/>
      <c r="S28" s="55" t="n"/>
      <c r="T28" s="55" t="n"/>
      <c r="U28" s="56" t="n"/>
      <c r="V28" s="86" t="inlineStr">
        <is>
          <t>Secteur concurrentiel</t>
        </is>
      </c>
      <c r="W28" s="55" t="n"/>
      <c r="X28" s="55" t="n"/>
      <c r="Y28" s="55" t="n"/>
      <c r="Z28" s="55" t="n"/>
      <c r="AA28" s="56" t="n"/>
      <c r="AB28" s="86" t="inlineStr">
        <is>
          <t>Secteur standard</t>
        </is>
      </c>
      <c r="AC28" s="55" t="n"/>
      <c r="AD28" s="55" t="n"/>
      <c r="AE28" s="55" t="n"/>
      <c r="AF28" s="55" t="n"/>
      <c r="AG28" s="56" t="n"/>
      <c r="AH28" s="86" t="inlineStr">
        <is>
          <t>Secteur concurrentiel</t>
        </is>
      </c>
      <c r="AI28" s="55" t="n"/>
      <c r="AJ28" s="55" t="n"/>
      <c r="AK28" s="55" t="n"/>
      <c r="AL28" s="55" t="n"/>
      <c r="AM28" s="56" t="n"/>
      <c r="AN28" s="86" t="inlineStr">
        <is>
          <t>Secteur standard</t>
        </is>
      </c>
      <c r="AO28" s="55" t="n"/>
      <c r="AP28" s="55" t="n"/>
      <c r="AQ28" s="55" t="n"/>
      <c r="AR28" s="55" t="n"/>
      <c r="AS28" s="56" t="n"/>
      <c r="AT28" s="86" t="inlineStr">
        <is>
          <t>Secteur concurrentiel</t>
        </is>
      </c>
      <c r="AU28" s="55" t="n"/>
      <c r="AV28" s="55" t="n"/>
      <c r="AW28" s="55" t="n"/>
      <c r="AX28" s="55" t="n"/>
      <c r="AY28" s="56" t="n"/>
    </row>
    <row r="29" ht="38.1" customHeight="1" s="62">
      <c r="A29" s="64" t="n"/>
      <c r="B29" s="64" t="n"/>
      <c r="C29" s="64" t="n"/>
      <c r="D29" s="88" t="inlineStr">
        <is>
          <t>1-2 canaux</t>
        </is>
      </c>
      <c r="E29" s="56" t="n"/>
      <c r="F29" s="88" t="inlineStr">
        <is>
          <t>3-4 canaux</t>
        </is>
      </c>
      <c r="G29" s="56" t="n"/>
      <c r="H29" s="88" t="inlineStr">
        <is>
          <t>5+ canaux</t>
        </is>
      </c>
      <c r="I29" s="56" t="n"/>
      <c r="J29" s="88" t="inlineStr">
        <is>
          <t>1-2 canaux</t>
        </is>
      </c>
      <c r="K29" s="56" t="n"/>
      <c r="L29" s="88" t="inlineStr">
        <is>
          <t>3-4 canaux</t>
        </is>
      </c>
      <c r="M29" s="56" t="n"/>
      <c r="N29" s="88" t="inlineStr">
        <is>
          <t>5+ canaux</t>
        </is>
      </c>
      <c r="O29" s="56" t="n"/>
      <c r="P29" s="88" t="inlineStr">
        <is>
          <t>1-2 canaux</t>
        </is>
      </c>
      <c r="Q29" s="56" t="n"/>
      <c r="R29" s="88" t="inlineStr">
        <is>
          <t>3-4 canaux</t>
        </is>
      </c>
      <c r="S29" s="56" t="n"/>
      <c r="T29" s="88" t="inlineStr">
        <is>
          <t>5+ canaux</t>
        </is>
      </c>
      <c r="U29" s="56" t="n"/>
      <c r="V29" s="88" t="inlineStr">
        <is>
          <t>1-2 canaux</t>
        </is>
      </c>
      <c r="W29" s="56" t="n"/>
      <c r="X29" s="88" t="inlineStr">
        <is>
          <t>3-4 canaux</t>
        </is>
      </c>
      <c r="Y29" s="56" t="n"/>
      <c r="Z29" s="88" t="inlineStr">
        <is>
          <t>5+ canaux</t>
        </is>
      </c>
      <c r="AA29" s="56" t="n"/>
      <c r="AB29" s="88" t="inlineStr">
        <is>
          <t>1-2 canaux</t>
        </is>
      </c>
      <c r="AC29" s="56" t="n"/>
      <c r="AD29" s="88" t="inlineStr">
        <is>
          <t>3-4 canaux</t>
        </is>
      </c>
      <c r="AE29" s="56" t="n"/>
      <c r="AF29" s="88" t="inlineStr">
        <is>
          <t>5+ canaux</t>
        </is>
      </c>
      <c r="AG29" s="56" t="n"/>
      <c r="AH29" s="88" t="inlineStr">
        <is>
          <t>1-2 canaux</t>
        </is>
      </c>
      <c r="AI29" s="56" t="n"/>
      <c r="AJ29" s="88" t="inlineStr">
        <is>
          <t>3-4 canaux</t>
        </is>
      </c>
      <c r="AK29" s="56" t="n"/>
      <c r="AL29" s="88" t="inlineStr">
        <is>
          <t>5+ canaux</t>
        </is>
      </c>
      <c r="AM29" s="56" t="n"/>
      <c r="AN29" s="88" t="inlineStr">
        <is>
          <t>1-2 canaux</t>
        </is>
      </c>
      <c r="AO29" s="56" t="n"/>
      <c r="AP29" s="88" t="inlineStr">
        <is>
          <t>3-4 canaux</t>
        </is>
      </c>
      <c r="AQ29" s="56" t="n"/>
      <c r="AR29" s="88" t="inlineStr">
        <is>
          <t>5+ canaux</t>
        </is>
      </c>
      <c r="AS29" s="56" t="n"/>
      <c r="AT29" s="88" t="inlineStr">
        <is>
          <t>1-2 canaux</t>
        </is>
      </c>
      <c r="AU29" s="56" t="n"/>
      <c r="AV29" s="88" t="inlineStr">
        <is>
          <t>3-4 canaux</t>
        </is>
      </c>
      <c r="AW29" s="56" t="n"/>
      <c r="AX29" s="88" t="inlineStr">
        <is>
          <t>5+ canaux</t>
        </is>
      </c>
      <c r="AY29" s="56" t="n"/>
    </row>
    <row r="30" ht="38.1" customHeight="1" s="62">
      <c r="A30" s="65" t="n"/>
      <c r="B30" s="65" t="n"/>
      <c r="C30" s="65" t="n"/>
      <c r="D30" s="22" t="inlineStr">
        <is>
          <t>Distanciel</t>
        </is>
      </c>
      <c r="E30" s="22" t="inlineStr">
        <is>
          <t>Présentiel</t>
        </is>
      </c>
      <c r="F30" s="22" t="inlineStr">
        <is>
          <t>Distanciel</t>
        </is>
      </c>
      <c r="G30" s="22" t="inlineStr">
        <is>
          <t>Présentiel</t>
        </is>
      </c>
      <c r="H30" s="22" t="inlineStr">
        <is>
          <t>Distanciel</t>
        </is>
      </c>
      <c r="I30" s="22" t="inlineStr">
        <is>
          <t>Présentiel</t>
        </is>
      </c>
      <c r="J30" s="22" t="inlineStr">
        <is>
          <t>Distanciel</t>
        </is>
      </c>
      <c r="K30" s="22" t="inlineStr">
        <is>
          <t>Présentiel</t>
        </is>
      </c>
      <c r="L30" s="22" t="inlineStr">
        <is>
          <t>Distanciel</t>
        </is>
      </c>
      <c r="M30" s="22" t="inlineStr">
        <is>
          <t>Présentiel</t>
        </is>
      </c>
      <c r="N30" s="22" t="inlineStr">
        <is>
          <t>Distanciel</t>
        </is>
      </c>
      <c r="O30" s="22" t="inlineStr">
        <is>
          <t>Présentiel</t>
        </is>
      </c>
      <c r="P30" s="22" t="inlineStr">
        <is>
          <t>Distanciel</t>
        </is>
      </c>
      <c r="Q30" s="22" t="inlineStr">
        <is>
          <t>Présentiel</t>
        </is>
      </c>
      <c r="R30" s="22" t="inlineStr">
        <is>
          <t>Distanciel</t>
        </is>
      </c>
      <c r="S30" s="22" t="inlineStr">
        <is>
          <t>Présentiel</t>
        </is>
      </c>
      <c r="T30" s="22" t="inlineStr">
        <is>
          <t>Distanciel</t>
        </is>
      </c>
      <c r="U30" s="22" t="inlineStr">
        <is>
          <t>Présentiel</t>
        </is>
      </c>
      <c r="V30" s="22" t="inlineStr">
        <is>
          <t>Distanciel</t>
        </is>
      </c>
      <c r="W30" s="22" t="inlineStr">
        <is>
          <t>Présentiel</t>
        </is>
      </c>
      <c r="X30" s="22" t="inlineStr">
        <is>
          <t>Distanciel</t>
        </is>
      </c>
      <c r="Y30" s="22" t="inlineStr">
        <is>
          <t>Présentiel</t>
        </is>
      </c>
      <c r="Z30" s="22" t="inlineStr">
        <is>
          <t>Distanciel</t>
        </is>
      </c>
      <c r="AA30" s="22" t="inlineStr">
        <is>
          <t>Présentiel</t>
        </is>
      </c>
      <c r="AB30" s="22" t="inlineStr">
        <is>
          <t>Distanciel</t>
        </is>
      </c>
      <c r="AC30" s="22" t="inlineStr">
        <is>
          <t>Présentiel</t>
        </is>
      </c>
      <c r="AD30" s="22" t="inlineStr">
        <is>
          <t>Distanciel</t>
        </is>
      </c>
      <c r="AE30" s="22" t="inlineStr">
        <is>
          <t>Présentiel</t>
        </is>
      </c>
      <c r="AF30" s="22" t="inlineStr">
        <is>
          <t>Distanciel</t>
        </is>
      </c>
      <c r="AG30" s="22" t="inlineStr">
        <is>
          <t>Présentiel</t>
        </is>
      </c>
      <c r="AH30" s="22" t="inlineStr">
        <is>
          <t>Distanciel</t>
        </is>
      </c>
      <c r="AI30" s="22" t="inlineStr">
        <is>
          <t>Présentiel</t>
        </is>
      </c>
      <c r="AJ30" s="22" t="inlineStr">
        <is>
          <t>Distanciel</t>
        </is>
      </c>
      <c r="AK30" s="22" t="inlineStr">
        <is>
          <t>Présentiel</t>
        </is>
      </c>
      <c r="AL30" s="22" t="inlineStr">
        <is>
          <t>Distanciel</t>
        </is>
      </c>
      <c r="AM30" s="22" t="inlineStr">
        <is>
          <t>Présentiel</t>
        </is>
      </c>
      <c r="AN30" s="22" t="inlineStr">
        <is>
          <t>Distanciel</t>
        </is>
      </c>
      <c r="AO30" s="22" t="inlineStr">
        <is>
          <t>Présentiel</t>
        </is>
      </c>
      <c r="AP30" s="22" t="inlineStr">
        <is>
          <t>Distanciel</t>
        </is>
      </c>
      <c r="AQ30" s="22" t="inlineStr">
        <is>
          <t>Présentiel</t>
        </is>
      </c>
      <c r="AR30" s="22" t="inlineStr">
        <is>
          <t>Distanciel</t>
        </is>
      </c>
      <c r="AS30" s="22" t="inlineStr">
        <is>
          <t>Présentiel</t>
        </is>
      </c>
      <c r="AT30" s="22" t="inlineStr">
        <is>
          <t>Distanciel</t>
        </is>
      </c>
      <c r="AU30" s="22" t="inlineStr">
        <is>
          <t>Présentiel</t>
        </is>
      </c>
      <c r="AV30" s="22" t="inlineStr">
        <is>
          <t>Distanciel</t>
        </is>
      </c>
      <c r="AW30" s="22" t="inlineStr">
        <is>
          <t>Présentiel</t>
        </is>
      </c>
      <c r="AX30" s="22" t="inlineStr">
        <is>
          <t>Distanciel</t>
        </is>
      </c>
      <c r="AY30" s="22" t="inlineStr">
        <is>
          <t>Présentiel</t>
        </is>
      </c>
    </row>
    <row r="31" ht="20.1" customHeight="1" s="62">
      <c r="A31" s="89" t="inlineStr">
        <is>
          <t>Inexistante</t>
        </is>
      </c>
      <c r="B31" s="87" t="inlineStr">
        <is>
          <t>1-2 offres</t>
        </is>
      </c>
      <c r="C31" s="39" t="inlineStr">
        <is>
          <t>1 cible</t>
        </is>
      </c>
      <c r="D31" s="40">
        <f>ROUND($B$4*$B$9*$B$12*$B$15*$B$18*$B$20*$B$23,0)</f>
        <v/>
      </c>
      <c r="E31" s="40">
        <f>ROUND($B$4*$B$9*$B$12*$B$15*$B$18*$B$20*$B$24,0)</f>
        <v/>
      </c>
      <c r="F31" s="40">
        <f>ROUND($B$4*$B$9*$B$12*$B$15*$B$18*$B$21*$B$23,0)</f>
        <v/>
      </c>
      <c r="G31" s="40">
        <f>ROUND($B$4*$B$9*$B$12*$B$15*$B$18*$B$21*$B$24,0)</f>
        <v/>
      </c>
      <c r="H31" s="40">
        <f>ROUND($B$4*$B$9*$B$12*$B$15*$B$18*$B$22*$B$23,0)</f>
        <v/>
      </c>
      <c r="I31" s="40">
        <f>ROUND($B$4*$B$9*$B$12*$B$15*$B$18*$B$22*$B$24,0)</f>
        <v/>
      </c>
      <c r="J31" s="40">
        <f>ROUND($B$4*$B$9*$B$12*$B$15*$B$19*$B$20*$B$23,0)</f>
        <v/>
      </c>
      <c r="K31" s="40">
        <f>ROUND($B$4*$B$9*$B$12*$B$15*$B$19*$B$20*$B$24,0)</f>
        <v/>
      </c>
      <c r="L31" s="40">
        <f>ROUND($B$4*$B$9*$B$12*$B$15*$B$19*$B$21*$B$23,0)</f>
        <v/>
      </c>
      <c r="M31" s="40">
        <f>ROUND($B$4*$B$9*$B$12*$B$15*$B$19*$B$21*$B$24,0)</f>
        <v/>
      </c>
      <c r="N31" s="40">
        <f>ROUND($B$4*$B$9*$B$12*$B$15*$B$19*$B$22*$B$23,0)</f>
        <v/>
      </c>
      <c r="O31" s="40">
        <f>ROUND($B$4*$B$9*$B$12*$B$15*$B$19*$B$22*$B$24,0)</f>
        <v/>
      </c>
      <c r="P31" s="40">
        <f>ROUND($B$5*$B$9*$B$12*$B$15*$B$18*$B$20*$B$23,0)</f>
        <v/>
      </c>
      <c r="Q31" s="40">
        <f>ROUND($B$5*$B$9*$B$12*$B$15*$B$18*$B$20*$B$24,0)</f>
        <v/>
      </c>
      <c r="R31" s="40">
        <f>ROUND($B$5*$B$9*$B$12*$B$15*$B$18*$B$21*$B$23,0)</f>
        <v/>
      </c>
      <c r="S31" s="40">
        <f>ROUND($B$5*$B$9*$B$12*$B$15*$B$18*$B$21*$B$24,0)</f>
        <v/>
      </c>
      <c r="T31" s="40">
        <f>ROUND($B$5*$B$9*$B$12*$B$15*$B$18*$B$22*$B$23,0)</f>
        <v/>
      </c>
      <c r="U31" s="40">
        <f>ROUND($B$5*$B$9*$B$12*$B$15*$B$18*$B$22*$B$24,0)</f>
        <v/>
      </c>
      <c r="V31" s="40">
        <f>ROUND($B$5*$B$9*$B$12*$B$15*$B$19*$B$20*$B$23,0)</f>
        <v/>
      </c>
      <c r="W31" s="40">
        <f>ROUND($B$5*$B$9*$B$12*$B$15*$B$19*$B$20*$B$24,0)</f>
        <v/>
      </c>
      <c r="X31" s="40">
        <f>ROUND($B$5*$B$9*$B$12*$B$15*$B$19*$B$21*$B$23,0)</f>
        <v/>
      </c>
      <c r="Y31" s="40">
        <f>ROUND($B$5*$B$9*$B$12*$B$15*$B$19*$B$21*$B$24,0)</f>
        <v/>
      </c>
      <c r="Z31" s="40">
        <f>ROUND($B$5*$B$9*$B$12*$B$15*$B$19*$B$22*$B$23,0)</f>
        <v/>
      </c>
      <c r="AA31" s="40">
        <f>ROUND($B$5*$B$9*$B$12*$B$15*$B$19*$B$22*$B$24,0)</f>
        <v/>
      </c>
      <c r="AB31" s="40">
        <f>ROUND($B$6*$B$9*$B$12*$B$15*$B$18*$B$20*$B$23,0)</f>
        <v/>
      </c>
      <c r="AC31" s="40">
        <f>ROUND($B$6*$B$9*$B$12*$B$15*$B$18*$B$20*$B$24,0)</f>
        <v/>
      </c>
      <c r="AD31" s="40">
        <f>ROUND($B$6*$B$9*$B$12*$B$15*$B$18*$B$21*$B$23,0)</f>
        <v/>
      </c>
      <c r="AE31" s="40">
        <f>ROUND($B$6*$B$9*$B$12*$B$15*$B$18*$B$21*$B$24,0)</f>
        <v/>
      </c>
      <c r="AF31" s="40">
        <f>ROUND($B$6*$B$9*$B$12*$B$15*$B$18*$B$22*$B$23,0)</f>
        <v/>
      </c>
      <c r="AG31" s="40">
        <f>ROUND($B$6*$B$9*$B$12*$B$15*$B$18*$B$22*$B$24,0)</f>
        <v/>
      </c>
      <c r="AH31" s="40">
        <f>ROUND($B$6*$B$9*$B$12*$B$15*$B$19*$B$20*$B$23,0)</f>
        <v/>
      </c>
      <c r="AI31" s="40">
        <f>ROUND($B$6*$B$9*$B$12*$B$15*$B$19*$B$20*$B$24,0)</f>
        <v/>
      </c>
      <c r="AJ31" s="40">
        <f>ROUND($B$6*$B$9*$B$12*$B$15*$B$19*$B$21*$B$23,0)</f>
        <v/>
      </c>
      <c r="AK31" s="40">
        <f>ROUND($B$6*$B$9*$B$12*$B$15*$B$19*$B$21*$B$24,0)</f>
        <v/>
      </c>
      <c r="AL31" s="40">
        <f>ROUND($B$6*$B$9*$B$12*$B$15*$B$19*$B$22*$B$23,0)</f>
        <v/>
      </c>
      <c r="AM31" s="40">
        <f>ROUND($B$6*$B$9*$B$12*$B$15*$B$19*$B$22*$B$24,0)</f>
        <v/>
      </c>
      <c r="AN31" s="41">
        <f>ROUND($B$7*$B$9*$B$12*$B$15*$B$18*$B$20*$B$23,0)</f>
        <v/>
      </c>
      <c r="AO31" s="41">
        <f>ROUND($B$7*$B$9*$B$12*$B$15*$B$18*$B$20*$B$24,0)</f>
        <v/>
      </c>
      <c r="AP31" s="41">
        <f>ROUND($B$7*$B$9*$B$12*$B$15*$B$18*$B$21*$B$23,0)</f>
        <v/>
      </c>
      <c r="AQ31" s="41">
        <f>ROUND($B$7*$B$9*$B$12*$B$15*$B$18*$B$21*$B$24,0)</f>
        <v/>
      </c>
      <c r="AR31" s="41">
        <f>ROUND($B$7*$B$9*$B$12*$B$15*$B$18*$B$22*$B$23,0)</f>
        <v/>
      </c>
      <c r="AS31" s="41">
        <f>ROUND($B$7*$B$9*$B$12*$B$15*$B$18*$B$22*$B$24,0)</f>
        <v/>
      </c>
      <c r="AT31" s="41">
        <f>ROUND($B$7*$B$9*$B$12*$B$15*$B$19*$B$20*$B$23,0)</f>
        <v/>
      </c>
      <c r="AU31" s="41">
        <f>ROUND($B$7*$B$9*$B$12*$B$15*$B$19*$B$20*$B$24,0)</f>
        <v/>
      </c>
      <c r="AV31" s="41">
        <f>ROUND($B$7*$B$9*$B$12*$B$15*$B$19*$B$21*$B$23,0)</f>
        <v/>
      </c>
      <c r="AW31" s="41">
        <f>ROUND($B$7*$B$9*$B$12*$B$15*$B$19*$B$21*$B$24,0)</f>
        <v/>
      </c>
      <c r="AX31" s="41">
        <f>ROUND($B$7*$B$9*$B$12*$B$15*$B$19*$B$22*$B$23,0)</f>
        <v/>
      </c>
      <c r="AY31" s="41">
        <f>ROUND($B$7*$B$9*$B$12*$B$15*$B$19*$B$22*$B$24,0)</f>
        <v/>
      </c>
    </row>
    <row r="32" ht="20.1" customHeight="1" s="62">
      <c r="A32" s="90" t="n"/>
      <c r="B32" s="58" t="n"/>
      <c r="C32" s="87" t="inlineStr">
        <is>
          <t>2-3 cibles</t>
        </is>
      </c>
      <c r="D32" s="40">
        <f>ROUND($B$4*$B$9*$B$12*$B$16*$B$18*$B$20*$B$23,0)</f>
        <v/>
      </c>
      <c r="E32" s="40">
        <f>ROUND($B$4*$B$9*$B$12*$B$16*$B$18*$B$20*$B$24,0)</f>
        <v/>
      </c>
      <c r="F32" s="40">
        <f>ROUND($B$4*$B$9*$B$12*$B$16*$B$18*$B$21*$B$23,0)</f>
        <v/>
      </c>
      <c r="G32" s="40">
        <f>ROUND($B$4*$B$9*$B$12*$B$16*$B$18*$B$21*$B$24,0)</f>
        <v/>
      </c>
      <c r="H32" s="40">
        <f>ROUND($B$4*$B$9*$B$12*$B$16*$B$18*$B$22*$B$23,0)</f>
        <v/>
      </c>
      <c r="I32" s="40">
        <f>ROUND($B$4*$B$9*$B$12*$B$16*$B$18*$B$22*$B$24,0)</f>
        <v/>
      </c>
      <c r="J32" s="40">
        <f>ROUND($B$4*$B$9*$B$12*$B$16*$B$19*$B$20*$B$23,0)</f>
        <v/>
      </c>
      <c r="K32" s="40">
        <f>ROUND($B$4*$B$9*$B$12*$B$16*$B$19*$B$20*$B$24,0)</f>
        <v/>
      </c>
      <c r="L32" s="40">
        <f>ROUND($B$4*$B$9*$B$12*$B$16*$B$19*$B$21*$B$23,0)</f>
        <v/>
      </c>
      <c r="M32" s="40">
        <f>ROUND($B$4*$B$9*$B$12*$B$16*$B$19*$B$21*$B$24,0)</f>
        <v/>
      </c>
      <c r="N32" s="40">
        <f>ROUND($B$4*$B$9*$B$12*$B$16*$B$19*$B$22*$B$23,0)</f>
        <v/>
      </c>
      <c r="O32" s="40">
        <f>ROUND($B$4*$B$9*$B$12*$B$16*$B$19*$B$22*$B$24,0)</f>
        <v/>
      </c>
      <c r="P32" s="40">
        <f>ROUND($B$5*$B$9*$B$12*$B$16*$B$18*$B$20*$B$23,0)</f>
        <v/>
      </c>
      <c r="Q32" s="40">
        <f>ROUND($B$5*$B$9*$B$12*$B$16*$B$18*$B$20*$B$24,0)</f>
        <v/>
      </c>
      <c r="R32" s="40">
        <f>ROUND($B$5*$B$9*$B$12*$B$16*$B$18*$B$21*$B$23,0)</f>
        <v/>
      </c>
      <c r="S32" s="40">
        <f>ROUND($B$5*$B$9*$B$12*$B$16*$B$18*$B$21*$B$24,0)</f>
        <v/>
      </c>
      <c r="T32" s="40">
        <f>ROUND($B$5*$B$9*$B$12*$B$16*$B$18*$B$22*$B$23,0)</f>
        <v/>
      </c>
      <c r="U32" s="40">
        <f>ROUND($B$5*$B$9*$B$12*$B$16*$B$18*$B$22*$B$24,0)</f>
        <v/>
      </c>
      <c r="V32" s="40">
        <f>ROUND($B$5*$B$9*$B$12*$B$16*$B$19*$B$20*$B$23,0)</f>
        <v/>
      </c>
      <c r="W32" s="40">
        <f>ROUND($B$5*$B$9*$B$12*$B$16*$B$19*$B$20*$B$24,0)</f>
        <v/>
      </c>
      <c r="X32" s="40">
        <f>ROUND($B$5*$B$9*$B$12*$B$16*$B$19*$B$21*$B$23,0)</f>
        <v/>
      </c>
      <c r="Y32" s="40">
        <f>ROUND($B$5*$B$9*$B$12*$B$16*$B$19*$B$21*$B$24,0)</f>
        <v/>
      </c>
      <c r="Z32" s="40">
        <f>ROUND($B$5*$B$9*$B$12*$B$16*$B$19*$B$22*$B$23,0)</f>
        <v/>
      </c>
      <c r="AA32" s="40">
        <f>ROUND($B$5*$B$9*$B$12*$B$16*$B$19*$B$22*$B$24,0)</f>
        <v/>
      </c>
      <c r="AB32" s="40">
        <f>ROUND($B$6*$B$9*$B$12*$B$16*$B$18*$B$20*$B$23,0)</f>
        <v/>
      </c>
      <c r="AC32" s="40">
        <f>ROUND($B$6*$B$9*$B$12*$B$16*$B$18*$B$20*$B$24,0)</f>
        <v/>
      </c>
      <c r="AD32" s="40">
        <f>ROUND($B$6*$B$9*$B$12*$B$16*$B$18*$B$21*$B$23,0)</f>
        <v/>
      </c>
      <c r="AE32" s="40">
        <f>ROUND($B$6*$B$9*$B$12*$B$16*$B$18*$B$21*$B$24,0)</f>
        <v/>
      </c>
      <c r="AF32" s="40">
        <f>ROUND($B$6*$B$9*$B$12*$B$16*$B$18*$B$22*$B$23,0)</f>
        <v/>
      </c>
      <c r="AG32" s="40">
        <f>ROUND($B$6*$B$9*$B$12*$B$16*$B$18*$B$22*$B$24,0)</f>
        <v/>
      </c>
      <c r="AH32" s="40">
        <f>ROUND($B$6*$B$9*$B$12*$B$16*$B$19*$B$20*$B$23,0)</f>
        <v/>
      </c>
      <c r="AI32" s="40">
        <f>ROUND($B$6*$B$9*$B$12*$B$16*$B$19*$B$20*$B$24,0)</f>
        <v/>
      </c>
      <c r="AJ32" s="40">
        <f>ROUND($B$6*$B$9*$B$12*$B$16*$B$19*$B$21*$B$23,0)</f>
        <v/>
      </c>
      <c r="AK32" s="40">
        <f>ROUND($B$6*$B$9*$B$12*$B$16*$B$19*$B$21*$B$24,0)</f>
        <v/>
      </c>
      <c r="AL32" s="40">
        <f>ROUND($B$6*$B$9*$B$12*$B$16*$B$19*$B$22*$B$23,0)</f>
        <v/>
      </c>
      <c r="AM32" s="40">
        <f>ROUND($B$6*$B$9*$B$12*$B$16*$B$19*$B$22*$B$24,0)</f>
        <v/>
      </c>
      <c r="AN32" s="41">
        <f>ROUND($B$7*$B$9*$B$12*$B$16*$B$18*$B$20*$B$23,0)</f>
        <v/>
      </c>
      <c r="AO32" s="41">
        <f>ROUND($B$7*$B$9*$B$12*$B$16*$B$18*$B$20*$B$24,0)</f>
        <v/>
      </c>
      <c r="AP32" s="41">
        <f>ROUND($B$7*$B$9*$B$12*$B$16*$B$18*$B$21*$B$23,0)</f>
        <v/>
      </c>
      <c r="AQ32" s="41">
        <f>ROUND($B$7*$B$9*$B$12*$B$16*$B$18*$B$21*$B$24,0)</f>
        <v/>
      </c>
      <c r="AR32" s="41">
        <f>ROUND($B$7*$B$9*$B$12*$B$16*$B$18*$B$22*$B$23,0)</f>
        <v/>
      </c>
      <c r="AS32" s="41">
        <f>ROUND($B$7*$B$9*$B$12*$B$16*$B$18*$B$22*$B$24,0)</f>
        <v/>
      </c>
      <c r="AT32" s="41">
        <f>ROUND($B$7*$B$9*$B$12*$B$16*$B$19*$B$20*$B$23,0)</f>
        <v/>
      </c>
      <c r="AU32" s="41">
        <f>ROUND($B$7*$B$9*$B$12*$B$16*$B$19*$B$20*$B$24,0)</f>
        <v/>
      </c>
      <c r="AV32" s="41">
        <f>ROUND($B$7*$B$9*$B$12*$B$16*$B$19*$B$21*$B$23,0)</f>
        <v/>
      </c>
      <c r="AW32" s="41">
        <f>ROUND($B$7*$B$9*$B$12*$B$16*$B$19*$B$21*$B$24,0)</f>
        <v/>
      </c>
      <c r="AX32" s="41">
        <f>ROUND($B$7*$B$9*$B$12*$B$16*$B$19*$B$22*$B$23,0)</f>
        <v/>
      </c>
      <c r="AY32" s="41">
        <f>ROUND($B$7*$B$9*$B$12*$B$16*$B$19*$B$22*$B$24,0)</f>
        <v/>
      </c>
    </row>
    <row r="33" ht="20.1" customHeight="1" s="62">
      <c r="A33" s="90" t="n"/>
      <c r="B33" s="59" t="n"/>
      <c r="C33" s="42" t="inlineStr">
        <is>
          <t>4+ cibles</t>
        </is>
      </c>
      <c r="D33" s="40">
        <f>ROUND($B$4*$B$9*$B$12*$B$17*$B$18*$B$20*$B$23,0)</f>
        <v/>
      </c>
      <c r="E33" s="40">
        <f>ROUND($B$4*$B$9*$B$12*$B$17*$B$18*$B$20*$B$24,0)</f>
        <v/>
      </c>
      <c r="F33" s="40">
        <f>ROUND($B$4*$B$9*$B$12*$B$17*$B$18*$B$21*$B$23,0)</f>
        <v/>
      </c>
      <c r="G33" s="40">
        <f>ROUND($B$4*$B$9*$B$12*$B$17*$B$18*$B$21*$B$24,0)</f>
        <v/>
      </c>
      <c r="H33" s="40">
        <f>ROUND($B$4*$B$9*$B$12*$B$17*$B$18*$B$22*$B$23,0)</f>
        <v/>
      </c>
      <c r="I33" s="40">
        <f>ROUND($B$4*$B$9*$B$12*$B$17*$B$18*$B$22*$B$24,0)</f>
        <v/>
      </c>
      <c r="J33" s="40">
        <f>ROUND($B$4*$B$9*$B$12*$B$17*$B$19*$B$20*$B$23,0)</f>
        <v/>
      </c>
      <c r="K33" s="40">
        <f>ROUND($B$4*$B$9*$B$12*$B$17*$B$19*$B$20*$B$24,0)</f>
        <v/>
      </c>
      <c r="L33" s="40">
        <f>ROUND($B$4*$B$9*$B$12*$B$17*$B$19*$B$21*$B$23,0)</f>
        <v/>
      </c>
      <c r="M33" s="40">
        <f>ROUND($B$4*$B$9*$B$12*$B$17*$B$19*$B$21*$B$24,0)</f>
        <v/>
      </c>
      <c r="N33" s="40">
        <f>ROUND($B$4*$B$9*$B$12*$B$17*$B$19*$B$22*$B$23,0)</f>
        <v/>
      </c>
      <c r="O33" s="40">
        <f>ROUND($B$4*$B$9*$B$12*$B$17*$B$19*$B$22*$B$24,0)</f>
        <v/>
      </c>
      <c r="P33" s="40">
        <f>ROUND($B$5*$B$9*$B$12*$B$17*$B$18*$B$20*$B$23,0)</f>
        <v/>
      </c>
      <c r="Q33" s="40">
        <f>ROUND($B$5*$B$9*$B$12*$B$17*$B$18*$B$20*$B$24,0)</f>
        <v/>
      </c>
      <c r="R33" s="40">
        <f>ROUND($B$5*$B$9*$B$12*$B$17*$B$18*$B$21*$B$23,0)</f>
        <v/>
      </c>
      <c r="S33" s="40">
        <f>ROUND($B$5*$B$9*$B$12*$B$17*$B$18*$B$21*$B$24,0)</f>
        <v/>
      </c>
      <c r="T33" s="40">
        <f>ROUND($B$5*$B$9*$B$12*$B$17*$B$18*$B$22*$B$23,0)</f>
        <v/>
      </c>
      <c r="U33" s="40">
        <f>ROUND($B$5*$B$9*$B$12*$B$17*$B$18*$B$22*$B$24,0)</f>
        <v/>
      </c>
      <c r="V33" s="40">
        <f>ROUND($B$5*$B$9*$B$12*$B$17*$B$19*$B$20*$B$23,0)</f>
        <v/>
      </c>
      <c r="W33" s="40">
        <f>ROUND($B$5*$B$9*$B$12*$B$17*$B$19*$B$20*$B$24,0)</f>
        <v/>
      </c>
      <c r="X33" s="40">
        <f>ROUND($B$5*$B$9*$B$12*$B$17*$B$19*$B$21*$B$23,0)</f>
        <v/>
      </c>
      <c r="Y33" s="40">
        <f>ROUND($B$5*$B$9*$B$12*$B$17*$B$19*$B$21*$B$24,0)</f>
        <v/>
      </c>
      <c r="Z33" s="40">
        <f>ROUND($B$5*$B$9*$B$12*$B$17*$B$19*$B$22*$B$23,0)</f>
        <v/>
      </c>
      <c r="AA33" s="40">
        <f>ROUND($B$5*$B$9*$B$12*$B$17*$B$19*$B$22*$B$24,0)</f>
        <v/>
      </c>
      <c r="AB33" s="40">
        <f>ROUND($B$6*$B$9*$B$12*$B$17*$B$18*$B$20*$B$23,0)</f>
        <v/>
      </c>
      <c r="AC33" s="40">
        <f>ROUND($B$6*$B$9*$B$12*$B$17*$B$18*$B$20*$B$24,0)</f>
        <v/>
      </c>
      <c r="AD33" s="40">
        <f>ROUND($B$6*$B$9*$B$12*$B$17*$B$18*$B$21*$B$23,0)</f>
        <v/>
      </c>
      <c r="AE33" s="40">
        <f>ROUND($B$6*$B$9*$B$12*$B$17*$B$18*$B$21*$B$24,0)</f>
        <v/>
      </c>
      <c r="AF33" s="40">
        <f>ROUND($B$6*$B$9*$B$12*$B$17*$B$18*$B$22*$B$23,0)</f>
        <v/>
      </c>
      <c r="AG33" s="40">
        <f>ROUND($B$6*$B$9*$B$12*$B$17*$B$18*$B$22*$B$24,0)</f>
        <v/>
      </c>
      <c r="AH33" s="40">
        <f>ROUND($B$6*$B$9*$B$12*$B$17*$B$19*$B$20*$B$23,0)</f>
        <v/>
      </c>
      <c r="AI33" s="40">
        <f>ROUND($B$6*$B$9*$B$12*$B$17*$B$19*$B$20*$B$24,0)</f>
        <v/>
      </c>
      <c r="AJ33" s="40">
        <f>ROUND($B$6*$B$9*$B$12*$B$17*$B$19*$B$21*$B$23,0)</f>
        <v/>
      </c>
      <c r="AK33" s="40">
        <f>ROUND($B$6*$B$9*$B$12*$B$17*$B$19*$B$21*$B$24,0)</f>
        <v/>
      </c>
      <c r="AL33" s="40">
        <f>ROUND($B$6*$B$9*$B$12*$B$17*$B$19*$B$22*$B$23,0)</f>
        <v/>
      </c>
      <c r="AM33" s="40">
        <f>ROUND($B$6*$B$9*$B$12*$B$17*$B$19*$B$22*$B$24,0)</f>
        <v/>
      </c>
      <c r="AN33" s="41">
        <f>ROUND($B$7*$B$9*$B$12*$B$17*$B$18*$B$20*$B$23,0)</f>
        <v/>
      </c>
      <c r="AO33" s="41">
        <f>ROUND($B$7*$B$9*$B$12*$B$17*$B$18*$B$20*$B$24,0)</f>
        <v/>
      </c>
      <c r="AP33" s="41">
        <f>ROUND($B$7*$B$9*$B$12*$B$17*$B$18*$B$21*$B$23,0)</f>
        <v/>
      </c>
      <c r="AQ33" s="41">
        <f>ROUND($B$7*$B$9*$B$12*$B$17*$B$18*$B$21*$B$24,0)</f>
        <v/>
      </c>
      <c r="AR33" s="41">
        <f>ROUND($B$7*$B$9*$B$12*$B$17*$B$18*$B$22*$B$23,0)</f>
        <v/>
      </c>
      <c r="AS33" s="41">
        <f>ROUND($B$7*$B$9*$B$12*$B$17*$B$18*$B$22*$B$24,0)</f>
        <v/>
      </c>
      <c r="AT33" s="41">
        <f>ROUND($B$7*$B$9*$B$12*$B$17*$B$19*$B$20*$B$23,0)</f>
        <v/>
      </c>
      <c r="AU33" s="41">
        <f>ROUND($B$7*$B$9*$B$12*$B$17*$B$19*$B$20*$B$24,0)</f>
        <v/>
      </c>
      <c r="AV33" s="41">
        <f>ROUND($B$7*$B$9*$B$12*$B$17*$B$19*$B$21*$B$23,0)</f>
        <v/>
      </c>
      <c r="AW33" s="41">
        <f>ROUND($B$7*$B$9*$B$12*$B$17*$B$19*$B$21*$B$24,0)</f>
        <v/>
      </c>
      <c r="AX33" s="41">
        <f>ROUND($B$7*$B$9*$B$12*$B$17*$B$19*$B$22*$B$23,0)</f>
        <v/>
      </c>
      <c r="AY33" s="41">
        <f>ROUND($B$7*$B$9*$B$12*$B$17*$B$19*$B$22*$B$24,0)</f>
        <v/>
      </c>
    </row>
    <row r="34" ht="20.1" customHeight="1" s="62">
      <c r="A34" s="90" t="n"/>
      <c r="B34" s="87" t="inlineStr">
        <is>
          <t>3-5 offres</t>
        </is>
      </c>
      <c r="C34" s="39" t="inlineStr">
        <is>
          <t>1 cible</t>
        </is>
      </c>
      <c r="D34" s="40">
        <f>ROUND($B$4*$B$9*$B$13*$B$15*$B$18*$B$20*$B$23,0)</f>
        <v/>
      </c>
      <c r="E34" s="40">
        <f>ROUND($B$4*$B$9*$B$13*$B$15*$B$18*$B$20*$B$24,0)</f>
        <v/>
      </c>
      <c r="F34" s="40">
        <f>ROUND($B$4*$B$9*$B$13*$B$15*$B$18*$B$21*$B$23,0)</f>
        <v/>
      </c>
      <c r="G34" s="40">
        <f>ROUND($B$4*$B$9*$B$13*$B$15*$B$18*$B$21*$B$24,0)</f>
        <v/>
      </c>
      <c r="H34" s="40">
        <f>ROUND($B$4*$B$9*$B$13*$B$15*$B$18*$B$22*$B$23,0)</f>
        <v/>
      </c>
      <c r="I34" s="40">
        <f>ROUND($B$4*$B$9*$B$13*$B$15*$B$18*$B$22*$B$24,0)</f>
        <v/>
      </c>
      <c r="J34" s="40">
        <f>ROUND($B$4*$B$9*$B$13*$B$15*$B$19*$B$20*$B$23,0)</f>
        <v/>
      </c>
      <c r="K34" s="40">
        <f>ROUND($B$4*$B$9*$B$13*$B$15*$B$19*$B$20*$B$24,0)</f>
        <v/>
      </c>
      <c r="L34" s="40">
        <f>ROUND($B$4*$B$9*$B$13*$B$15*$B$19*$B$21*$B$23,0)</f>
        <v/>
      </c>
      <c r="M34" s="40">
        <f>ROUND($B$4*$B$9*$B$13*$B$15*$B$19*$B$21*$B$24,0)</f>
        <v/>
      </c>
      <c r="N34" s="40">
        <f>ROUND($B$4*$B$9*$B$13*$B$15*$B$19*$B$22*$B$23,0)</f>
        <v/>
      </c>
      <c r="O34" s="40">
        <f>ROUND($B$4*$B$9*$B$13*$B$15*$B$19*$B$22*$B$24,0)</f>
        <v/>
      </c>
      <c r="P34" s="40">
        <f>ROUND($B$5*$B$9*$B$13*$B$15*$B$18*$B$20*$B$23,0)</f>
        <v/>
      </c>
      <c r="Q34" s="40">
        <f>ROUND($B$5*$B$9*$B$13*$B$15*$B$18*$B$20*$B$24,0)</f>
        <v/>
      </c>
      <c r="R34" s="40">
        <f>ROUND($B$5*$B$9*$B$13*$B$15*$B$18*$B$21*$B$23,0)</f>
        <v/>
      </c>
      <c r="S34" s="40">
        <f>ROUND($B$5*$B$9*$B$13*$B$15*$B$18*$B$21*$B$24,0)</f>
        <v/>
      </c>
      <c r="T34" s="40">
        <f>ROUND($B$5*$B$9*$B$13*$B$15*$B$18*$B$22*$B$23,0)</f>
        <v/>
      </c>
      <c r="U34" s="40">
        <f>ROUND($B$5*$B$9*$B$13*$B$15*$B$18*$B$22*$B$24,0)</f>
        <v/>
      </c>
      <c r="V34" s="40">
        <f>ROUND($B$5*$B$9*$B$13*$B$15*$B$19*$B$20*$B$23,0)</f>
        <v/>
      </c>
      <c r="W34" s="40">
        <f>ROUND($B$5*$B$9*$B$13*$B$15*$B$19*$B$20*$B$24,0)</f>
        <v/>
      </c>
      <c r="X34" s="40">
        <f>ROUND($B$5*$B$9*$B$13*$B$15*$B$19*$B$21*$B$23,0)</f>
        <v/>
      </c>
      <c r="Y34" s="40">
        <f>ROUND($B$5*$B$9*$B$13*$B$15*$B$19*$B$21*$B$24,0)</f>
        <v/>
      </c>
      <c r="Z34" s="40">
        <f>ROUND($B$5*$B$9*$B$13*$B$15*$B$19*$B$22*$B$23,0)</f>
        <v/>
      </c>
      <c r="AA34" s="40">
        <f>ROUND($B$5*$B$9*$B$13*$B$15*$B$19*$B$22*$B$24,0)</f>
        <v/>
      </c>
      <c r="AB34" s="40">
        <f>ROUND($B$6*$B$9*$B$13*$B$15*$B$18*$B$20*$B$23,0)</f>
        <v/>
      </c>
      <c r="AC34" s="40">
        <f>ROUND($B$6*$B$9*$B$13*$B$15*$B$18*$B$20*$B$24,0)</f>
        <v/>
      </c>
      <c r="AD34" s="40">
        <f>ROUND($B$6*$B$9*$B$13*$B$15*$B$18*$B$21*$B$23,0)</f>
        <v/>
      </c>
      <c r="AE34" s="40">
        <f>ROUND($B$6*$B$9*$B$13*$B$15*$B$18*$B$21*$B$24,0)</f>
        <v/>
      </c>
      <c r="AF34" s="40">
        <f>ROUND($B$6*$B$9*$B$13*$B$15*$B$18*$B$22*$B$23,0)</f>
        <v/>
      </c>
      <c r="AG34" s="40">
        <f>ROUND($B$6*$B$9*$B$13*$B$15*$B$18*$B$22*$B$24,0)</f>
        <v/>
      </c>
      <c r="AH34" s="40">
        <f>ROUND($B$6*$B$9*$B$13*$B$15*$B$19*$B$20*$B$23,0)</f>
        <v/>
      </c>
      <c r="AI34" s="40">
        <f>ROUND($B$6*$B$9*$B$13*$B$15*$B$19*$B$20*$B$24,0)</f>
        <v/>
      </c>
      <c r="AJ34" s="40">
        <f>ROUND($B$6*$B$9*$B$13*$B$15*$B$19*$B$21*$B$23,0)</f>
        <v/>
      </c>
      <c r="AK34" s="40">
        <f>ROUND($B$6*$B$9*$B$13*$B$15*$B$19*$B$21*$B$24,0)</f>
        <v/>
      </c>
      <c r="AL34" s="40">
        <f>ROUND($B$6*$B$9*$B$13*$B$15*$B$19*$B$22*$B$23,0)</f>
        <v/>
      </c>
      <c r="AM34" s="40">
        <f>ROUND($B$6*$B$9*$B$13*$B$15*$B$19*$B$22*$B$24,0)</f>
        <v/>
      </c>
      <c r="AN34" s="41">
        <f>ROUND($B$7*$B$9*$B$13*$B$15*$B$18*$B$20*$B$23,0)</f>
        <v/>
      </c>
      <c r="AO34" s="41">
        <f>ROUND($B$7*$B$9*$B$13*$B$15*$B$18*$B$20*$B$24,0)</f>
        <v/>
      </c>
      <c r="AP34" s="41">
        <f>ROUND($B$7*$B$9*$B$13*$B$15*$B$18*$B$21*$B$23,0)</f>
        <v/>
      </c>
      <c r="AQ34" s="41">
        <f>ROUND($B$7*$B$9*$B$13*$B$15*$B$18*$B$21*$B$24,0)</f>
        <v/>
      </c>
      <c r="AR34" s="41">
        <f>ROUND($B$7*$B$9*$B$13*$B$15*$B$18*$B$22*$B$23,0)</f>
        <v/>
      </c>
      <c r="AS34" s="41">
        <f>ROUND($B$7*$B$9*$B$13*$B$15*$B$18*$B$22*$B$24,0)</f>
        <v/>
      </c>
      <c r="AT34" s="41">
        <f>ROUND($B$7*$B$9*$B$13*$B$15*$B$19*$B$20*$B$23,0)</f>
        <v/>
      </c>
      <c r="AU34" s="41">
        <f>ROUND($B$7*$B$9*$B$13*$B$15*$B$19*$B$20*$B$24,0)</f>
        <v/>
      </c>
      <c r="AV34" s="41">
        <f>ROUND($B$7*$B$9*$B$13*$B$15*$B$19*$B$21*$B$23,0)</f>
        <v/>
      </c>
      <c r="AW34" s="41">
        <f>ROUND($B$7*$B$9*$B$13*$B$15*$B$19*$B$21*$B$24,0)</f>
        <v/>
      </c>
      <c r="AX34" s="41">
        <f>ROUND($B$7*$B$9*$B$13*$B$15*$B$19*$B$22*$B$23,0)</f>
        <v/>
      </c>
      <c r="AY34" s="41">
        <f>ROUND($B$7*$B$9*$B$13*$B$15*$B$19*$B$22*$B$24,0)</f>
        <v/>
      </c>
    </row>
    <row r="35" ht="20.1" customHeight="1" s="62">
      <c r="A35" s="90" t="n"/>
      <c r="B35" s="58" t="n"/>
      <c r="C35" s="87" t="inlineStr">
        <is>
          <t>2-3 cibles</t>
        </is>
      </c>
      <c r="D35" s="40">
        <f>ROUND($B$4*$B$9*$B$13*$B$16*$B$18*$B$20*$B$23,0)</f>
        <v/>
      </c>
      <c r="E35" s="40">
        <f>ROUND($B$4*$B$9*$B$13*$B$16*$B$18*$B$20*$B$24,0)</f>
        <v/>
      </c>
      <c r="F35" s="40">
        <f>ROUND($B$4*$B$9*$B$13*$B$16*$B$18*$B$21*$B$23,0)</f>
        <v/>
      </c>
      <c r="G35" s="40">
        <f>ROUND($B$4*$B$9*$B$13*$B$16*$B$18*$B$21*$B$24,0)</f>
        <v/>
      </c>
      <c r="H35" s="40">
        <f>ROUND($B$4*$B$9*$B$13*$B$16*$B$18*$B$22*$B$23,0)</f>
        <v/>
      </c>
      <c r="I35" s="40">
        <f>ROUND($B$4*$B$9*$B$13*$B$16*$B$18*$B$22*$B$24,0)</f>
        <v/>
      </c>
      <c r="J35" s="40">
        <f>ROUND($B$4*$B$9*$B$13*$B$16*$B$19*$B$20*$B$23,0)</f>
        <v/>
      </c>
      <c r="K35" s="40">
        <f>ROUND($B$4*$B$9*$B$13*$B$16*$B$19*$B$20*$B$24,0)</f>
        <v/>
      </c>
      <c r="L35" s="40">
        <f>ROUND($B$4*$B$9*$B$13*$B$16*$B$19*$B$21*$B$23,0)</f>
        <v/>
      </c>
      <c r="M35" s="40">
        <f>ROUND($B$4*$B$9*$B$13*$B$16*$B$19*$B$21*$B$24,0)</f>
        <v/>
      </c>
      <c r="N35" s="40">
        <f>ROUND($B$4*$B$9*$B$13*$B$16*$B$19*$B$22*$B$23,0)</f>
        <v/>
      </c>
      <c r="O35" s="40">
        <f>ROUND($B$4*$B$9*$B$13*$B$16*$B$19*$B$22*$B$24,0)</f>
        <v/>
      </c>
      <c r="P35" s="40">
        <f>ROUND($B$5*$B$9*$B$13*$B$16*$B$18*$B$20*$B$23,0)</f>
        <v/>
      </c>
      <c r="Q35" s="40">
        <f>ROUND($B$5*$B$9*$B$13*$B$16*$B$18*$B$20*$B$24,0)</f>
        <v/>
      </c>
      <c r="R35" s="40">
        <f>ROUND($B$5*$B$9*$B$13*$B$16*$B$18*$B$21*$B$23,0)</f>
        <v/>
      </c>
      <c r="S35" s="40">
        <f>ROUND($B$5*$B$9*$B$13*$B$16*$B$18*$B$21*$B$24,0)</f>
        <v/>
      </c>
      <c r="T35" s="40">
        <f>ROUND($B$5*$B$9*$B$13*$B$16*$B$18*$B$22*$B$23,0)</f>
        <v/>
      </c>
      <c r="U35" s="40">
        <f>ROUND($B$5*$B$9*$B$13*$B$16*$B$18*$B$22*$B$24,0)</f>
        <v/>
      </c>
      <c r="V35" s="40">
        <f>ROUND($B$5*$B$9*$B$13*$B$16*$B$19*$B$20*$B$23,0)</f>
        <v/>
      </c>
      <c r="W35" s="40">
        <f>ROUND($B$5*$B$9*$B$13*$B$16*$B$19*$B$20*$B$24,0)</f>
        <v/>
      </c>
      <c r="X35" s="40">
        <f>ROUND($B$5*$B$9*$B$13*$B$16*$B$19*$B$21*$B$23,0)</f>
        <v/>
      </c>
      <c r="Y35" s="40">
        <f>ROUND($B$5*$B$9*$B$13*$B$16*$B$19*$B$21*$B$24,0)</f>
        <v/>
      </c>
      <c r="Z35" s="40">
        <f>ROUND($B$5*$B$9*$B$13*$B$16*$B$19*$B$22*$B$23,0)</f>
        <v/>
      </c>
      <c r="AA35" s="40">
        <f>ROUND($B$5*$B$9*$B$13*$B$16*$B$19*$B$22*$B$24,0)</f>
        <v/>
      </c>
      <c r="AB35" s="40">
        <f>ROUND($B$6*$B$9*$B$13*$B$16*$B$18*$B$20*$B$23,0)</f>
        <v/>
      </c>
      <c r="AC35" s="40">
        <f>ROUND($B$6*$B$9*$B$13*$B$16*$B$18*$B$20*$B$24,0)</f>
        <v/>
      </c>
      <c r="AD35" s="40">
        <f>ROUND($B$6*$B$9*$B$13*$B$16*$B$18*$B$21*$B$23,0)</f>
        <v/>
      </c>
      <c r="AE35" s="40">
        <f>ROUND($B$6*$B$9*$B$13*$B$16*$B$18*$B$21*$B$24,0)</f>
        <v/>
      </c>
      <c r="AF35" s="40">
        <f>ROUND($B$6*$B$9*$B$13*$B$16*$B$18*$B$22*$B$23,0)</f>
        <v/>
      </c>
      <c r="AG35" s="40">
        <f>ROUND($B$6*$B$9*$B$13*$B$16*$B$18*$B$22*$B$24,0)</f>
        <v/>
      </c>
      <c r="AH35" s="40">
        <f>ROUND($B$6*$B$9*$B$13*$B$16*$B$19*$B$20*$B$23,0)</f>
        <v/>
      </c>
      <c r="AI35" s="40">
        <f>ROUND($B$6*$B$9*$B$13*$B$16*$B$19*$B$20*$B$24,0)</f>
        <v/>
      </c>
      <c r="AJ35" s="40">
        <f>ROUND($B$6*$B$9*$B$13*$B$16*$B$19*$B$21*$B$23,0)</f>
        <v/>
      </c>
      <c r="AK35" s="40">
        <f>ROUND($B$6*$B$9*$B$13*$B$16*$B$19*$B$21*$B$24,0)</f>
        <v/>
      </c>
      <c r="AL35" s="40">
        <f>ROUND($B$6*$B$9*$B$13*$B$16*$B$19*$B$22*$B$23,0)</f>
        <v/>
      </c>
      <c r="AM35" s="40">
        <f>ROUND($B$6*$B$9*$B$13*$B$16*$B$19*$B$22*$B$24,0)</f>
        <v/>
      </c>
      <c r="AN35" s="41">
        <f>ROUND($B$7*$B$9*$B$13*$B$16*$B$18*$B$20*$B$23,0)</f>
        <v/>
      </c>
      <c r="AO35" s="41">
        <f>ROUND($B$7*$B$9*$B$13*$B$16*$B$18*$B$20*$B$24,0)</f>
        <v/>
      </c>
      <c r="AP35" s="41">
        <f>ROUND($B$7*$B$9*$B$13*$B$16*$B$18*$B$21*$B$23,0)</f>
        <v/>
      </c>
      <c r="AQ35" s="41">
        <f>ROUND($B$7*$B$9*$B$13*$B$16*$B$18*$B$21*$B$24,0)</f>
        <v/>
      </c>
      <c r="AR35" s="41">
        <f>ROUND($B$7*$B$9*$B$13*$B$16*$B$18*$B$22*$B$23,0)</f>
        <v/>
      </c>
      <c r="AS35" s="41">
        <f>ROUND($B$7*$B$9*$B$13*$B$16*$B$18*$B$22*$B$24,0)</f>
        <v/>
      </c>
      <c r="AT35" s="41">
        <f>ROUND($B$7*$B$9*$B$13*$B$16*$B$19*$B$20*$B$23,0)</f>
        <v/>
      </c>
      <c r="AU35" s="41">
        <f>ROUND($B$7*$B$9*$B$13*$B$16*$B$19*$B$20*$B$24,0)</f>
        <v/>
      </c>
      <c r="AV35" s="41">
        <f>ROUND($B$7*$B$9*$B$13*$B$16*$B$19*$B$21*$B$23,0)</f>
        <v/>
      </c>
      <c r="AW35" s="41">
        <f>ROUND($B$7*$B$9*$B$13*$B$16*$B$19*$B$21*$B$24,0)</f>
        <v/>
      </c>
      <c r="AX35" s="41">
        <f>ROUND($B$7*$B$9*$B$13*$B$16*$B$19*$B$22*$B$23,0)</f>
        <v/>
      </c>
      <c r="AY35" s="41">
        <f>ROUND($B$7*$B$9*$B$13*$B$16*$B$19*$B$22*$B$24,0)</f>
        <v/>
      </c>
    </row>
    <row r="36" ht="20.1" customHeight="1" s="62">
      <c r="A36" s="90" t="n"/>
      <c r="B36" s="59" t="n"/>
      <c r="C36" s="42" t="inlineStr">
        <is>
          <t>4+ cibles</t>
        </is>
      </c>
      <c r="D36" s="40">
        <f>ROUND($B$4*$B$9*$B$13*$B$17*$B$18*$B$20*$B$23,0)</f>
        <v/>
      </c>
      <c r="E36" s="40">
        <f>ROUND($B$4*$B$9*$B$13*$B$17*$B$18*$B$20*$B$24,0)</f>
        <v/>
      </c>
      <c r="F36" s="40">
        <f>ROUND($B$4*$B$9*$B$13*$B$17*$B$18*$B$21*$B$23,0)</f>
        <v/>
      </c>
      <c r="G36" s="40">
        <f>ROUND($B$4*$B$9*$B$13*$B$17*$B$18*$B$21*$B$24,0)</f>
        <v/>
      </c>
      <c r="H36" s="40">
        <f>ROUND($B$4*$B$9*$B$13*$B$17*$B$18*$B$22*$B$23,0)</f>
        <v/>
      </c>
      <c r="I36" s="40">
        <f>ROUND($B$4*$B$9*$B$13*$B$17*$B$18*$B$22*$B$24,0)</f>
        <v/>
      </c>
      <c r="J36" s="40">
        <f>ROUND($B$4*$B$9*$B$13*$B$17*$B$19*$B$20*$B$23,0)</f>
        <v/>
      </c>
      <c r="K36" s="40">
        <f>ROUND($B$4*$B$9*$B$13*$B$17*$B$19*$B$20*$B$24,0)</f>
        <v/>
      </c>
      <c r="L36" s="40">
        <f>ROUND($B$4*$B$9*$B$13*$B$17*$B$19*$B$21*$B$23,0)</f>
        <v/>
      </c>
      <c r="M36" s="40">
        <f>ROUND($B$4*$B$9*$B$13*$B$17*$B$19*$B$21*$B$24,0)</f>
        <v/>
      </c>
      <c r="N36" s="40">
        <f>ROUND($B$4*$B$9*$B$13*$B$17*$B$19*$B$22*$B$23,0)</f>
        <v/>
      </c>
      <c r="O36" s="40">
        <f>ROUND($B$4*$B$9*$B$13*$B$17*$B$19*$B$22*$B$24,0)</f>
        <v/>
      </c>
      <c r="P36" s="40">
        <f>ROUND($B$5*$B$9*$B$13*$B$17*$B$18*$B$20*$B$23,0)</f>
        <v/>
      </c>
      <c r="Q36" s="40">
        <f>ROUND($B$5*$B$9*$B$13*$B$17*$B$18*$B$20*$B$24,0)</f>
        <v/>
      </c>
      <c r="R36" s="40">
        <f>ROUND($B$5*$B$9*$B$13*$B$17*$B$18*$B$21*$B$23,0)</f>
        <v/>
      </c>
      <c r="S36" s="40">
        <f>ROUND($B$5*$B$9*$B$13*$B$17*$B$18*$B$21*$B$24,0)</f>
        <v/>
      </c>
      <c r="T36" s="40">
        <f>ROUND($B$5*$B$9*$B$13*$B$17*$B$18*$B$22*$B$23,0)</f>
        <v/>
      </c>
      <c r="U36" s="40">
        <f>ROUND($B$5*$B$9*$B$13*$B$17*$B$18*$B$22*$B$24,0)</f>
        <v/>
      </c>
      <c r="V36" s="40">
        <f>ROUND($B$5*$B$9*$B$13*$B$17*$B$19*$B$20*$B$23,0)</f>
        <v/>
      </c>
      <c r="W36" s="40">
        <f>ROUND($B$5*$B$9*$B$13*$B$17*$B$19*$B$20*$B$24,0)</f>
        <v/>
      </c>
      <c r="X36" s="40">
        <f>ROUND($B$5*$B$9*$B$13*$B$17*$B$19*$B$21*$B$23,0)</f>
        <v/>
      </c>
      <c r="Y36" s="40">
        <f>ROUND($B$5*$B$9*$B$13*$B$17*$B$19*$B$21*$B$24,0)</f>
        <v/>
      </c>
      <c r="Z36" s="40">
        <f>ROUND($B$5*$B$9*$B$13*$B$17*$B$19*$B$22*$B$23,0)</f>
        <v/>
      </c>
      <c r="AA36" s="40">
        <f>ROUND($B$5*$B$9*$B$13*$B$17*$B$19*$B$22*$B$24,0)</f>
        <v/>
      </c>
      <c r="AB36" s="40">
        <f>ROUND($B$6*$B$9*$B$13*$B$17*$B$18*$B$20*$B$23,0)</f>
        <v/>
      </c>
      <c r="AC36" s="40">
        <f>ROUND($B$6*$B$9*$B$13*$B$17*$B$18*$B$20*$B$24,0)</f>
        <v/>
      </c>
      <c r="AD36" s="40">
        <f>ROUND($B$6*$B$9*$B$13*$B$17*$B$18*$B$21*$B$23,0)</f>
        <v/>
      </c>
      <c r="AE36" s="40">
        <f>ROUND($B$6*$B$9*$B$13*$B$17*$B$18*$B$21*$B$24,0)</f>
        <v/>
      </c>
      <c r="AF36" s="40">
        <f>ROUND($B$6*$B$9*$B$13*$B$17*$B$18*$B$22*$B$23,0)</f>
        <v/>
      </c>
      <c r="AG36" s="40">
        <f>ROUND($B$6*$B$9*$B$13*$B$17*$B$18*$B$22*$B$24,0)</f>
        <v/>
      </c>
      <c r="AH36" s="40">
        <f>ROUND($B$6*$B$9*$B$13*$B$17*$B$19*$B$20*$B$23,0)</f>
        <v/>
      </c>
      <c r="AI36" s="40">
        <f>ROUND($B$6*$B$9*$B$13*$B$17*$B$19*$B$20*$B$24,0)</f>
        <v/>
      </c>
      <c r="AJ36" s="40">
        <f>ROUND($B$6*$B$9*$B$13*$B$17*$B$19*$B$21*$B$23,0)</f>
        <v/>
      </c>
      <c r="AK36" s="40">
        <f>ROUND($B$6*$B$9*$B$13*$B$17*$B$19*$B$21*$B$24,0)</f>
        <v/>
      </c>
      <c r="AL36" s="40">
        <f>ROUND($B$6*$B$9*$B$13*$B$17*$B$19*$B$22*$B$23,0)</f>
        <v/>
      </c>
      <c r="AM36" s="40">
        <f>ROUND($B$6*$B$9*$B$13*$B$17*$B$19*$B$22*$B$24,0)</f>
        <v/>
      </c>
      <c r="AN36" s="41">
        <f>ROUND($B$7*$B$9*$B$13*$B$17*$B$18*$B$20*$B$23,0)</f>
        <v/>
      </c>
      <c r="AO36" s="41">
        <f>ROUND($B$7*$B$9*$B$13*$B$17*$B$18*$B$20*$B$24,0)</f>
        <v/>
      </c>
      <c r="AP36" s="41">
        <f>ROUND($B$7*$B$9*$B$13*$B$17*$B$18*$B$21*$B$23,0)</f>
        <v/>
      </c>
      <c r="AQ36" s="41">
        <f>ROUND($B$7*$B$9*$B$13*$B$17*$B$18*$B$21*$B$24,0)</f>
        <v/>
      </c>
      <c r="AR36" s="41">
        <f>ROUND($B$7*$B$9*$B$13*$B$17*$B$18*$B$22*$B$23,0)</f>
        <v/>
      </c>
      <c r="AS36" s="41">
        <f>ROUND($B$7*$B$9*$B$13*$B$17*$B$18*$B$22*$B$24,0)</f>
        <v/>
      </c>
      <c r="AT36" s="41">
        <f>ROUND($B$7*$B$9*$B$13*$B$17*$B$19*$B$20*$B$23,0)</f>
        <v/>
      </c>
      <c r="AU36" s="41">
        <f>ROUND($B$7*$B$9*$B$13*$B$17*$B$19*$B$20*$B$24,0)</f>
        <v/>
      </c>
      <c r="AV36" s="41">
        <f>ROUND($B$7*$B$9*$B$13*$B$17*$B$19*$B$21*$B$23,0)</f>
        <v/>
      </c>
      <c r="AW36" s="41">
        <f>ROUND($B$7*$B$9*$B$13*$B$17*$B$19*$B$21*$B$24,0)</f>
        <v/>
      </c>
      <c r="AX36" s="41">
        <f>ROUND($B$7*$B$9*$B$13*$B$17*$B$19*$B$22*$B$23,0)</f>
        <v/>
      </c>
      <c r="AY36" s="41">
        <f>ROUND($B$7*$B$9*$B$13*$B$17*$B$19*$B$22*$B$24,0)</f>
        <v/>
      </c>
    </row>
    <row r="37" ht="20.1" customHeight="1" s="62">
      <c r="A37" s="90" t="n"/>
      <c r="B37" s="87" t="inlineStr">
        <is>
          <t>6+ offres</t>
        </is>
      </c>
      <c r="C37" s="39" t="inlineStr">
        <is>
          <t>1 cible</t>
        </is>
      </c>
      <c r="D37" s="40">
        <f>ROUND($B$4*$B$9*$B$14*$B$15*$B$18*$B$20*$B$23,0)</f>
        <v/>
      </c>
      <c r="E37" s="40">
        <f>ROUND($B$4*$B$9*$B$14*$B$15*$B$18*$B$20*$B$24,0)</f>
        <v/>
      </c>
      <c r="F37" s="40">
        <f>ROUND($B$4*$B$9*$B$14*$B$15*$B$18*$B$21*$B$23,0)</f>
        <v/>
      </c>
      <c r="G37" s="40">
        <f>ROUND($B$4*$B$9*$B$14*$B$15*$B$18*$B$21*$B$24,0)</f>
        <v/>
      </c>
      <c r="H37" s="40">
        <f>ROUND($B$4*$B$9*$B$14*$B$15*$B$18*$B$22*$B$23,0)</f>
        <v/>
      </c>
      <c r="I37" s="40">
        <f>ROUND($B$4*$B$9*$B$14*$B$15*$B$18*$B$22*$B$24,0)</f>
        <v/>
      </c>
      <c r="J37" s="40">
        <f>ROUND($B$4*$B$9*$B$14*$B$15*$B$19*$B$20*$B$23,0)</f>
        <v/>
      </c>
      <c r="K37" s="40">
        <f>ROUND($B$4*$B$9*$B$14*$B$15*$B$19*$B$20*$B$24,0)</f>
        <v/>
      </c>
      <c r="L37" s="40">
        <f>ROUND($B$4*$B$9*$B$14*$B$15*$B$19*$B$21*$B$23,0)</f>
        <v/>
      </c>
      <c r="M37" s="40">
        <f>ROUND($B$4*$B$9*$B$14*$B$15*$B$19*$B$21*$B$24,0)</f>
        <v/>
      </c>
      <c r="N37" s="40">
        <f>ROUND($B$4*$B$9*$B$14*$B$15*$B$19*$B$22*$B$23,0)</f>
        <v/>
      </c>
      <c r="O37" s="40">
        <f>ROUND($B$4*$B$9*$B$14*$B$15*$B$19*$B$22*$B$24,0)</f>
        <v/>
      </c>
      <c r="P37" s="40">
        <f>ROUND($B$5*$B$9*$B$14*$B$15*$B$18*$B$20*$B$23,0)</f>
        <v/>
      </c>
      <c r="Q37" s="40">
        <f>ROUND($B$5*$B$9*$B$14*$B$15*$B$18*$B$20*$B$24,0)</f>
        <v/>
      </c>
      <c r="R37" s="40">
        <f>ROUND($B$5*$B$9*$B$14*$B$15*$B$18*$B$21*$B$23,0)</f>
        <v/>
      </c>
      <c r="S37" s="40">
        <f>ROUND($B$5*$B$9*$B$14*$B$15*$B$18*$B$21*$B$24,0)</f>
        <v/>
      </c>
      <c r="T37" s="40">
        <f>ROUND($B$5*$B$9*$B$14*$B$15*$B$18*$B$22*$B$23,0)</f>
        <v/>
      </c>
      <c r="U37" s="40">
        <f>ROUND($B$5*$B$9*$B$14*$B$15*$B$18*$B$22*$B$24,0)</f>
        <v/>
      </c>
      <c r="V37" s="40">
        <f>ROUND($B$5*$B$9*$B$14*$B$15*$B$19*$B$20*$B$23,0)</f>
        <v/>
      </c>
      <c r="W37" s="40">
        <f>ROUND($B$5*$B$9*$B$14*$B$15*$B$19*$B$20*$B$24,0)</f>
        <v/>
      </c>
      <c r="X37" s="40">
        <f>ROUND($B$5*$B$9*$B$14*$B$15*$B$19*$B$21*$B$23,0)</f>
        <v/>
      </c>
      <c r="Y37" s="40">
        <f>ROUND($B$5*$B$9*$B$14*$B$15*$B$19*$B$21*$B$24,0)</f>
        <v/>
      </c>
      <c r="Z37" s="40">
        <f>ROUND($B$5*$B$9*$B$14*$B$15*$B$19*$B$22*$B$23,0)</f>
        <v/>
      </c>
      <c r="AA37" s="40">
        <f>ROUND($B$5*$B$9*$B$14*$B$15*$B$19*$B$22*$B$24,0)</f>
        <v/>
      </c>
      <c r="AB37" s="40">
        <f>ROUND($B$6*$B$9*$B$14*$B$15*$B$18*$B$20*$B$23,0)</f>
        <v/>
      </c>
      <c r="AC37" s="40">
        <f>ROUND($B$6*$B$9*$B$14*$B$15*$B$18*$B$20*$B$24,0)</f>
        <v/>
      </c>
      <c r="AD37" s="40">
        <f>ROUND($B$6*$B$9*$B$14*$B$15*$B$18*$B$21*$B$23,0)</f>
        <v/>
      </c>
      <c r="AE37" s="40">
        <f>ROUND($B$6*$B$9*$B$14*$B$15*$B$18*$B$21*$B$24,0)</f>
        <v/>
      </c>
      <c r="AF37" s="40">
        <f>ROUND($B$6*$B$9*$B$14*$B$15*$B$18*$B$22*$B$23,0)</f>
        <v/>
      </c>
      <c r="AG37" s="40">
        <f>ROUND($B$6*$B$9*$B$14*$B$15*$B$18*$B$22*$B$24,0)</f>
        <v/>
      </c>
      <c r="AH37" s="40">
        <f>ROUND($B$6*$B$9*$B$14*$B$15*$B$19*$B$20*$B$23,0)</f>
        <v/>
      </c>
      <c r="AI37" s="40">
        <f>ROUND($B$6*$B$9*$B$14*$B$15*$B$19*$B$20*$B$24,0)</f>
        <v/>
      </c>
      <c r="AJ37" s="40">
        <f>ROUND($B$6*$B$9*$B$14*$B$15*$B$19*$B$21*$B$23,0)</f>
        <v/>
      </c>
      <c r="AK37" s="40">
        <f>ROUND($B$6*$B$9*$B$14*$B$15*$B$19*$B$21*$B$24,0)</f>
        <v/>
      </c>
      <c r="AL37" s="40">
        <f>ROUND($B$6*$B$9*$B$14*$B$15*$B$19*$B$22*$B$23,0)</f>
        <v/>
      </c>
      <c r="AM37" s="40">
        <f>ROUND($B$6*$B$9*$B$14*$B$15*$B$19*$B$22*$B$24,0)</f>
        <v/>
      </c>
      <c r="AN37" s="41">
        <f>ROUND($B$7*$B$9*$B$14*$B$15*$B$18*$B$20*$B$23,0)</f>
        <v/>
      </c>
      <c r="AO37" s="41">
        <f>ROUND($B$7*$B$9*$B$14*$B$15*$B$18*$B$20*$B$24,0)</f>
        <v/>
      </c>
      <c r="AP37" s="41">
        <f>ROUND($B$7*$B$9*$B$14*$B$15*$B$18*$B$21*$B$23,0)</f>
        <v/>
      </c>
      <c r="AQ37" s="41">
        <f>ROUND($B$7*$B$9*$B$14*$B$15*$B$18*$B$21*$B$24,0)</f>
        <v/>
      </c>
      <c r="AR37" s="41">
        <f>ROUND($B$7*$B$9*$B$14*$B$15*$B$18*$B$22*$B$23,0)</f>
        <v/>
      </c>
      <c r="AS37" s="41">
        <f>ROUND($B$7*$B$9*$B$14*$B$15*$B$18*$B$22*$B$24,0)</f>
        <v/>
      </c>
      <c r="AT37" s="41">
        <f>ROUND($B$7*$B$9*$B$14*$B$15*$B$19*$B$20*$B$23,0)</f>
        <v/>
      </c>
      <c r="AU37" s="41">
        <f>ROUND($B$7*$B$9*$B$14*$B$15*$B$19*$B$20*$B$24,0)</f>
        <v/>
      </c>
      <c r="AV37" s="41">
        <f>ROUND($B$7*$B$9*$B$14*$B$15*$B$19*$B$21*$B$23,0)</f>
        <v/>
      </c>
      <c r="AW37" s="41">
        <f>ROUND($B$7*$B$9*$B$14*$B$15*$B$19*$B$21*$B$24,0)</f>
        <v/>
      </c>
      <c r="AX37" s="41">
        <f>ROUND($B$7*$B$9*$B$14*$B$15*$B$19*$B$22*$B$23,0)</f>
        <v/>
      </c>
      <c r="AY37" s="41">
        <f>ROUND($B$7*$B$9*$B$14*$B$15*$B$19*$B$22*$B$24,0)</f>
        <v/>
      </c>
    </row>
    <row r="38" ht="20.1" customHeight="1" s="62">
      <c r="A38" s="90" t="n"/>
      <c r="B38" s="58" t="n"/>
      <c r="C38" s="87" t="inlineStr">
        <is>
          <t>2-3 cibles</t>
        </is>
      </c>
      <c r="D38" s="40">
        <f>ROUND($B$4*$B$9*$B$14*$B$16*$B$18*$B$20*$B$23,0)</f>
        <v/>
      </c>
      <c r="E38" s="40">
        <f>ROUND($B$4*$B$9*$B$14*$B$16*$B$18*$B$20*$B$24,0)</f>
        <v/>
      </c>
      <c r="F38" s="40">
        <f>ROUND($B$4*$B$9*$B$14*$B$16*$B$18*$B$21*$B$23,0)</f>
        <v/>
      </c>
      <c r="G38" s="40">
        <f>ROUND($B$4*$B$9*$B$14*$B$16*$B$18*$B$21*$B$24,0)</f>
        <v/>
      </c>
      <c r="H38" s="40">
        <f>ROUND($B$4*$B$9*$B$14*$B$16*$B$18*$B$22*$B$23,0)</f>
        <v/>
      </c>
      <c r="I38" s="40">
        <f>ROUND($B$4*$B$9*$B$14*$B$16*$B$18*$B$22*$B$24,0)</f>
        <v/>
      </c>
      <c r="J38" s="40">
        <f>ROUND($B$4*$B$9*$B$14*$B$16*$B$19*$B$20*$B$23,0)</f>
        <v/>
      </c>
      <c r="K38" s="40">
        <f>ROUND($B$4*$B$9*$B$14*$B$16*$B$19*$B$20*$B$24,0)</f>
        <v/>
      </c>
      <c r="L38" s="40">
        <f>ROUND($B$4*$B$9*$B$14*$B$16*$B$19*$B$21*$B$23,0)</f>
        <v/>
      </c>
      <c r="M38" s="40">
        <f>ROUND($B$4*$B$9*$B$14*$B$16*$B$19*$B$21*$B$24,0)</f>
        <v/>
      </c>
      <c r="N38" s="40">
        <f>ROUND($B$4*$B$9*$B$14*$B$16*$B$19*$B$22*$B$23,0)</f>
        <v/>
      </c>
      <c r="O38" s="40">
        <f>ROUND($B$4*$B$9*$B$14*$B$16*$B$19*$B$22*$B$24,0)</f>
        <v/>
      </c>
      <c r="P38" s="40">
        <f>ROUND($B$5*$B$9*$B$14*$B$16*$B$18*$B$20*$B$23,0)</f>
        <v/>
      </c>
      <c r="Q38" s="40">
        <f>ROUND($B$5*$B$9*$B$14*$B$16*$B$18*$B$20*$B$24,0)</f>
        <v/>
      </c>
      <c r="R38" s="40">
        <f>ROUND($B$5*$B$9*$B$14*$B$16*$B$18*$B$21*$B$23,0)</f>
        <v/>
      </c>
      <c r="S38" s="40">
        <f>ROUND($B$5*$B$9*$B$14*$B$16*$B$18*$B$21*$B$24,0)</f>
        <v/>
      </c>
      <c r="T38" s="40">
        <f>ROUND($B$5*$B$9*$B$14*$B$16*$B$18*$B$22*$B$23,0)</f>
        <v/>
      </c>
      <c r="U38" s="40">
        <f>ROUND($B$5*$B$9*$B$14*$B$16*$B$18*$B$22*$B$24,0)</f>
        <v/>
      </c>
      <c r="V38" s="40">
        <f>ROUND($B$5*$B$9*$B$14*$B$16*$B$19*$B$20*$B$23,0)</f>
        <v/>
      </c>
      <c r="W38" s="40">
        <f>ROUND($B$5*$B$9*$B$14*$B$16*$B$19*$B$20*$B$24,0)</f>
        <v/>
      </c>
      <c r="X38" s="40">
        <f>ROUND($B$5*$B$9*$B$14*$B$16*$B$19*$B$21*$B$23,0)</f>
        <v/>
      </c>
      <c r="Y38" s="40">
        <f>ROUND($B$5*$B$9*$B$14*$B$16*$B$19*$B$21*$B$24,0)</f>
        <v/>
      </c>
      <c r="Z38" s="40">
        <f>ROUND($B$5*$B$9*$B$14*$B$16*$B$19*$B$22*$B$23,0)</f>
        <v/>
      </c>
      <c r="AA38" s="40">
        <f>ROUND($B$5*$B$9*$B$14*$B$16*$B$19*$B$22*$B$24,0)</f>
        <v/>
      </c>
      <c r="AB38" s="40">
        <f>ROUND($B$6*$B$9*$B$14*$B$16*$B$18*$B$20*$B$23,0)</f>
        <v/>
      </c>
      <c r="AC38" s="40">
        <f>ROUND($B$6*$B$9*$B$14*$B$16*$B$18*$B$20*$B$24,0)</f>
        <v/>
      </c>
      <c r="AD38" s="40">
        <f>ROUND($B$6*$B$9*$B$14*$B$16*$B$18*$B$21*$B$23,0)</f>
        <v/>
      </c>
      <c r="AE38" s="40">
        <f>ROUND($B$6*$B$9*$B$14*$B$16*$B$18*$B$21*$B$24,0)</f>
        <v/>
      </c>
      <c r="AF38" s="40">
        <f>ROUND($B$6*$B$9*$B$14*$B$16*$B$18*$B$22*$B$23,0)</f>
        <v/>
      </c>
      <c r="AG38" s="40">
        <f>ROUND($B$6*$B$9*$B$14*$B$16*$B$18*$B$22*$B$24,0)</f>
        <v/>
      </c>
      <c r="AH38" s="40">
        <f>ROUND($B$6*$B$9*$B$14*$B$16*$B$19*$B$20*$B$23,0)</f>
        <v/>
      </c>
      <c r="AI38" s="40">
        <f>ROUND($B$6*$B$9*$B$14*$B$16*$B$19*$B$20*$B$24,0)</f>
        <v/>
      </c>
      <c r="AJ38" s="40">
        <f>ROUND($B$6*$B$9*$B$14*$B$16*$B$19*$B$21*$B$23,0)</f>
        <v/>
      </c>
      <c r="AK38" s="40">
        <f>ROUND($B$6*$B$9*$B$14*$B$16*$B$19*$B$21*$B$24,0)</f>
        <v/>
      </c>
      <c r="AL38" s="40">
        <f>ROUND($B$6*$B$9*$B$14*$B$16*$B$19*$B$22*$B$23,0)</f>
        <v/>
      </c>
      <c r="AM38" s="40">
        <f>ROUND($B$6*$B$9*$B$14*$B$16*$B$19*$B$22*$B$24,0)</f>
        <v/>
      </c>
      <c r="AN38" s="41">
        <f>ROUND($B$7*$B$9*$B$14*$B$16*$B$18*$B$20*$B$23,0)</f>
        <v/>
      </c>
      <c r="AO38" s="41">
        <f>ROUND($B$7*$B$9*$B$14*$B$16*$B$18*$B$20*$B$24,0)</f>
        <v/>
      </c>
      <c r="AP38" s="41">
        <f>ROUND($B$7*$B$9*$B$14*$B$16*$B$18*$B$21*$B$23,0)</f>
        <v/>
      </c>
      <c r="AQ38" s="41">
        <f>ROUND($B$7*$B$9*$B$14*$B$16*$B$18*$B$21*$B$24,0)</f>
        <v/>
      </c>
      <c r="AR38" s="41">
        <f>ROUND($B$7*$B$9*$B$14*$B$16*$B$18*$B$22*$B$23,0)</f>
        <v/>
      </c>
      <c r="AS38" s="41">
        <f>ROUND($B$7*$B$9*$B$14*$B$16*$B$18*$B$22*$B$24,0)</f>
        <v/>
      </c>
      <c r="AT38" s="41">
        <f>ROUND($B$7*$B$9*$B$14*$B$16*$B$19*$B$20*$B$23,0)</f>
        <v/>
      </c>
      <c r="AU38" s="41">
        <f>ROUND($B$7*$B$9*$B$14*$B$16*$B$19*$B$20*$B$24,0)</f>
        <v/>
      </c>
      <c r="AV38" s="41">
        <f>ROUND($B$7*$B$9*$B$14*$B$16*$B$19*$B$21*$B$23,0)</f>
        <v/>
      </c>
      <c r="AW38" s="41">
        <f>ROUND($B$7*$B$9*$B$14*$B$16*$B$19*$B$21*$B$24,0)</f>
        <v/>
      </c>
      <c r="AX38" s="41">
        <f>ROUND($B$7*$B$9*$B$14*$B$16*$B$19*$B$22*$B$23,0)</f>
        <v/>
      </c>
      <c r="AY38" s="41">
        <f>ROUND($B$7*$B$9*$B$14*$B$16*$B$19*$B$22*$B$24,0)</f>
        <v/>
      </c>
    </row>
    <row r="39" ht="20.1" customHeight="1" s="62">
      <c r="A39" s="91" t="n"/>
      <c r="B39" s="59" t="n"/>
      <c r="C39" s="42" t="inlineStr">
        <is>
          <t>4+ cibles</t>
        </is>
      </c>
      <c r="D39" s="40">
        <f>ROUND($B$4*$B$9*$B$14*$B$17*$B$18*$B$20*$B$23,0)</f>
        <v/>
      </c>
      <c r="E39" s="40">
        <f>ROUND($B$4*$B$9*$B$14*$B$17*$B$18*$B$20*$B$24,0)</f>
        <v/>
      </c>
      <c r="F39" s="40">
        <f>ROUND($B$4*$B$9*$B$14*$B$17*$B$18*$B$21*$B$23,0)</f>
        <v/>
      </c>
      <c r="G39" s="40">
        <f>ROUND($B$4*$B$9*$B$14*$B$17*$B$18*$B$21*$B$24,0)</f>
        <v/>
      </c>
      <c r="H39" s="40">
        <f>ROUND($B$4*$B$9*$B$14*$B$17*$B$18*$B$22*$B$23,0)</f>
        <v/>
      </c>
      <c r="I39" s="40">
        <f>ROUND($B$4*$B$9*$B$14*$B$17*$B$18*$B$22*$B$24,0)</f>
        <v/>
      </c>
      <c r="J39" s="40">
        <f>ROUND($B$4*$B$9*$B$14*$B$17*$B$19*$B$20*$B$23,0)</f>
        <v/>
      </c>
      <c r="K39" s="40">
        <f>ROUND($B$4*$B$9*$B$14*$B$17*$B$19*$B$20*$B$24,0)</f>
        <v/>
      </c>
      <c r="L39" s="40">
        <f>ROUND($B$4*$B$9*$B$14*$B$17*$B$19*$B$21*$B$23,0)</f>
        <v/>
      </c>
      <c r="M39" s="40">
        <f>ROUND($B$4*$B$9*$B$14*$B$17*$B$19*$B$21*$B$24,0)</f>
        <v/>
      </c>
      <c r="N39" s="40">
        <f>ROUND($B$4*$B$9*$B$14*$B$17*$B$19*$B$22*$B$23,0)</f>
        <v/>
      </c>
      <c r="O39" s="40">
        <f>ROUND($B$4*$B$9*$B$14*$B$17*$B$19*$B$22*$B$24,0)</f>
        <v/>
      </c>
      <c r="P39" s="40">
        <f>ROUND($B$5*$B$9*$B$14*$B$17*$B$18*$B$20*$B$23,0)</f>
        <v/>
      </c>
      <c r="Q39" s="40">
        <f>ROUND($B$5*$B$9*$B$14*$B$17*$B$18*$B$20*$B$24,0)</f>
        <v/>
      </c>
      <c r="R39" s="40">
        <f>ROUND($B$5*$B$9*$B$14*$B$17*$B$18*$B$21*$B$23,0)</f>
        <v/>
      </c>
      <c r="S39" s="40">
        <f>ROUND($B$5*$B$9*$B$14*$B$17*$B$18*$B$21*$B$24,0)</f>
        <v/>
      </c>
      <c r="T39" s="40">
        <f>ROUND($B$5*$B$9*$B$14*$B$17*$B$18*$B$22*$B$23,0)</f>
        <v/>
      </c>
      <c r="U39" s="40">
        <f>ROUND($B$5*$B$9*$B$14*$B$17*$B$18*$B$22*$B$24,0)</f>
        <v/>
      </c>
      <c r="V39" s="40">
        <f>ROUND($B$5*$B$9*$B$14*$B$17*$B$19*$B$20*$B$23,0)</f>
        <v/>
      </c>
      <c r="W39" s="40">
        <f>ROUND($B$5*$B$9*$B$14*$B$17*$B$19*$B$20*$B$24,0)</f>
        <v/>
      </c>
      <c r="X39" s="40">
        <f>ROUND($B$5*$B$9*$B$14*$B$17*$B$19*$B$21*$B$23,0)</f>
        <v/>
      </c>
      <c r="Y39" s="40">
        <f>ROUND($B$5*$B$9*$B$14*$B$17*$B$19*$B$21*$B$24,0)</f>
        <v/>
      </c>
      <c r="Z39" s="40">
        <f>ROUND($B$5*$B$9*$B$14*$B$17*$B$19*$B$22*$B$23,0)</f>
        <v/>
      </c>
      <c r="AA39" s="40">
        <f>ROUND($B$5*$B$9*$B$14*$B$17*$B$19*$B$22*$B$24,0)</f>
        <v/>
      </c>
      <c r="AB39" s="40">
        <f>ROUND($B$6*$B$9*$B$14*$B$17*$B$18*$B$20*$B$23,0)</f>
        <v/>
      </c>
      <c r="AC39" s="40">
        <f>ROUND($B$6*$B$9*$B$14*$B$17*$B$18*$B$20*$B$24,0)</f>
        <v/>
      </c>
      <c r="AD39" s="40">
        <f>ROUND($B$6*$B$9*$B$14*$B$17*$B$18*$B$21*$B$23,0)</f>
        <v/>
      </c>
      <c r="AE39" s="40">
        <f>ROUND($B$6*$B$9*$B$14*$B$17*$B$18*$B$21*$B$24,0)</f>
        <v/>
      </c>
      <c r="AF39" s="40">
        <f>ROUND($B$6*$B$9*$B$14*$B$17*$B$18*$B$22*$B$23,0)</f>
        <v/>
      </c>
      <c r="AG39" s="40">
        <f>ROUND($B$6*$B$9*$B$14*$B$17*$B$18*$B$22*$B$24,0)</f>
        <v/>
      </c>
      <c r="AH39" s="40">
        <f>ROUND($B$6*$B$9*$B$14*$B$17*$B$19*$B$20*$B$23,0)</f>
        <v/>
      </c>
      <c r="AI39" s="40">
        <f>ROUND($B$6*$B$9*$B$14*$B$17*$B$19*$B$20*$B$24,0)</f>
        <v/>
      </c>
      <c r="AJ39" s="40">
        <f>ROUND($B$6*$B$9*$B$14*$B$17*$B$19*$B$21*$B$23,0)</f>
        <v/>
      </c>
      <c r="AK39" s="40">
        <f>ROUND($B$6*$B$9*$B$14*$B$17*$B$19*$B$21*$B$24,0)</f>
        <v/>
      </c>
      <c r="AL39" s="40">
        <f>ROUND($B$6*$B$9*$B$14*$B$17*$B$19*$B$22*$B$23,0)</f>
        <v/>
      </c>
      <c r="AM39" s="40">
        <f>ROUND($B$6*$B$9*$B$14*$B$17*$B$19*$B$22*$B$24,0)</f>
        <v/>
      </c>
      <c r="AN39" s="41">
        <f>ROUND($B$7*$B$9*$B$14*$B$17*$B$18*$B$20*$B$23,0)</f>
        <v/>
      </c>
      <c r="AO39" s="41">
        <f>ROUND($B$7*$B$9*$B$14*$B$17*$B$18*$B$20*$B$24,0)</f>
        <v/>
      </c>
      <c r="AP39" s="41">
        <f>ROUND($B$7*$B$9*$B$14*$B$17*$B$18*$B$21*$B$23,0)</f>
        <v/>
      </c>
      <c r="AQ39" s="41">
        <f>ROUND($B$7*$B$9*$B$14*$B$17*$B$18*$B$21*$B$24,0)</f>
        <v/>
      </c>
      <c r="AR39" s="41">
        <f>ROUND($B$7*$B$9*$B$14*$B$17*$B$18*$B$22*$B$23,0)</f>
        <v/>
      </c>
      <c r="AS39" s="41">
        <f>ROUND($B$7*$B$9*$B$14*$B$17*$B$18*$B$22*$B$24,0)</f>
        <v/>
      </c>
      <c r="AT39" s="41">
        <f>ROUND($B$7*$B$9*$B$14*$B$17*$B$19*$B$20*$B$23,0)</f>
        <v/>
      </c>
      <c r="AU39" s="41">
        <f>ROUND($B$7*$B$9*$B$14*$B$17*$B$19*$B$20*$B$24,0)</f>
        <v/>
      </c>
      <c r="AV39" s="41">
        <f>ROUND($B$7*$B$9*$B$14*$B$17*$B$19*$B$21*$B$23,0)</f>
        <v/>
      </c>
      <c r="AW39" s="41">
        <f>ROUND($B$7*$B$9*$B$14*$B$17*$B$19*$B$21*$B$24,0)</f>
        <v/>
      </c>
      <c r="AX39" s="41">
        <f>ROUND($B$7*$B$9*$B$14*$B$17*$B$19*$B$22*$B$23,0)</f>
        <v/>
      </c>
      <c r="AY39" s="41">
        <f>ROUND($B$7*$B$9*$B$14*$B$17*$B$19*$B$22*$B$24,0)</f>
        <v/>
      </c>
    </row>
    <row r="40" ht="20.1" customHeight="1" s="62">
      <c r="A40" s="89" t="inlineStr">
        <is>
          <t>Partielle</t>
        </is>
      </c>
      <c r="B40" s="87" t="inlineStr">
        <is>
          <t>1-2 offres</t>
        </is>
      </c>
      <c r="C40" s="39" t="inlineStr">
        <is>
          <t>1 cible</t>
        </is>
      </c>
      <c r="D40" s="40">
        <f>ROUND($B$4*$B$10*$B$12*$B$15*$B$18*$B$20*$B$23,0)</f>
        <v/>
      </c>
      <c r="E40" s="40">
        <f>ROUND($B$4*$B$10*$B$12*$B$15*$B$18*$B$20*$B$24,0)</f>
        <v/>
      </c>
      <c r="F40" s="40">
        <f>ROUND($B$4*$B$10*$B$12*$B$15*$B$18*$B$21*$B$23,0)</f>
        <v/>
      </c>
      <c r="G40" s="40">
        <f>ROUND($B$4*$B$10*$B$12*$B$15*$B$18*$B$21*$B$24,0)</f>
        <v/>
      </c>
      <c r="H40" s="40">
        <f>ROUND($B$4*$B$10*$B$12*$B$15*$B$18*$B$22*$B$23,0)</f>
        <v/>
      </c>
      <c r="I40" s="40">
        <f>ROUND($B$4*$B$10*$B$12*$B$15*$B$18*$B$22*$B$24,0)</f>
        <v/>
      </c>
      <c r="J40" s="40">
        <f>ROUND($B$4*$B$10*$B$12*$B$15*$B$19*$B$20*$B$23,0)</f>
        <v/>
      </c>
      <c r="K40" s="40">
        <f>ROUND($B$4*$B$10*$B$12*$B$15*$B$19*$B$20*$B$24,0)</f>
        <v/>
      </c>
      <c r="L40" s="40">
        <f>ROUND($B$4*$B$10*$B$12*$B$15*$B$19*$B$21*$B$23,0)</f>
        <v/>
      </c>
      <c r="M40" s="40">
        <f>ROUND($B$4*$B$10*$B$12*$B$15*$B$19*$B$21*$B$24,0)</f>
        <v/>
      </c>
      <c r="N40" s="40">
        <f>ROUND($B$4*$B$10*$B$12*$B$15*$B$19*$B$22*$B$23,0)</f>
        <v/>
      </c>
      <c r="O40" s="40">
        <f>ROUND($B$4*$B$10*$B$12*$B$15*$B$19*$B$22*$B$24,0)</f>
        <v/>
      </c>
      <c r="P40" s="40">
        <f>ROUND($B$5*$B$10*$B$12*$B$15*$B$18*$B$20*$B$23,0)</f>
        <v/>
      </c>
      <c r="Q40" s="40">
        <f>ROUND($B$5*$B$10*$B$12*$B$15*$B$18*$B$20*$B$24,0)</f>
        <v/>
      </c>
      <c r="R40" s="40">
        <f>ROUND($B$5*$B$10*$B$12*$B$15*$B$18*$B$21*$B$23,0)</f>
        <v/>
      </c>
      <c r="S40" s="40">
        <f>ROUND($B$5*$B$10*$B$12*$B$15*$B$18*$B$21*$B$24,0)</f>
        <v/>
      </c>
      <c r="T40" s="40">
        <f>ROUND($B$5*$B$10*$B$12*$B$15*$B$18*$B$22*$B$23,0)</f>
        <v/>
      </c>
      <c r="U40" s="40">
        <f>ROUND($B$5*$B$10*$B$12*$B$15*$B$18*$B$22*$B$24,0)</f>
        <v/>
      </c>
      <c r="V40" s="40">
        <f>ROUND($B$5*$B$10*$B$12*$B$15*$B$19*$B$20*$B$23,0)</f>
        <v/>
      </c>
      <c r="W40" s="40">
        <f>ROUND($B$5*$B$10*$B$12*$B$15*$B$19*$B$20*$B$24,0)</f>
        <v/>
      </c>
      <c r="X40" s="40">
        <f>ROUND($B$5*$B$10*$B$12*$B$15*$B$19*$B$21*$B$23,0)</f>
        <v/>
      </c>
      <c r="Y40" s="40">
        <f>ROUND($B$5*$B$10*$B$12*$B$15*$B$19*$B$21*$B$24,0)</f>
        <v/>
      </c>
      <c r="Z40" s="40">
        <f>ROUND($B$5*$B$10*$B$12*$B$15*$B$19*$B$22*$B$23,0)</f>
        <v/>
      </c>
      <c r="AA40" s="40">
        <f>ROUND($B$5*$B$10*$B$12*$B$15*$B$19*$B$22*$B$24,0)</f>
        <v/>
      </c>
      <c r="AB40" s="40">
        <f>ROUND($B$6*$B$10*$B$12*$B$15*$B$18*$B$20*$B$23,0)</f>
        <v/>
      </c>
      <c r="AC40" s="40">
        <f>ROUND($B$6*$B$10*$B$12*$B$15*$B$18*$B$20*$B$24,0)</f>
        <v/>
      </c>
      <c r="AD40" s="40">
        <f>ROUND($B$6*$B$10*$B$12*$B$15*$B$18*$B$21*$B$23,0)</f>
        <v/>
      </c>
      <c r="AE40" s="40">
        <f>ROUND($B$6*$B$10*$B$12*$B$15*$B$18*$B$21*$B$24,0)</f>
        <v/>
      </c>
      <c r="AF40" s="40">
        <f>ROUND($B$6*$B$10*$B$12*$B$15*$B$18*$B$22*$B$23,0)</f>
        <v/>
      </c>
      <c r="AG40" s="40">
        <f>ROUND($B$6*$B$10*$B$12*$B$15*$B$18*$B$22*$B$24,0)</f>
        <v/>
      </c>
      <c r="AH40" s="40">
        <f>ROUND($B$6*$B$10*$B$12*$B$15*$B$19*$B$20*$B$23,0)</f>
        <v/>
      </c>
      <c r="AI40" s="40">
        <f>ROUND($B$6*$B$10*$B$12*$B$15*$B$19*$B$20*$B$24,0)</f>
        <v/>
      </c>
      <c r="AJ40" s="40">
        <f>ROUND($B$6*$B$10*$B$12*$B$15*$B$19*$B$21*$B$23,0)</f>
        <v/>
      </c>
      <c r="AK40" s="40">
        <f>ROUND($B$6*$B$10*$B$12*$B$15*$B$19*$B$21*$B$24,0)</f>
        <v/>
      </c>
      <c r="AL40" s="40">
        <f>ROUND($B$6*$B$10*$B$12*$B$15*$B$19*$B$22*$B$23,0)</f>
        <v/>
      </c>
      <c r="AM40" s="40">
        <f>ROUND($B$6*$B$10*$B$12*$B$15*$B$19*$B$22*$B$24,0)</f>
        <v/>
      </c>
      <c r="AN40" s="41">
        <f>ROUND($B$7*$B$10*$B$12*$B$15*$B$18*$B$20*$B$23,0)</f>
        <v/>
      </c>
      <c r="AO40" s="41">
        <f>ROUND($B$7*$B$10*$B$12*$B$15*$B$18*$B$20*$B$24,0)</f>
        <v/>
      </c>
      <c r="AP40" s="41">
        <f>ROUND($B$7*$B$10*$B$12*$B$15*$B$18*$B$21*$B$23,0)</f>
        <v/>
      </c>
      <c r="AQ40" s="41">
        <f>ROUND($B$7*$B$10*$B$12*$B$15*$B$18*$B$21*$B$24,0)</f>
        <v/>
      </c>
      <c r="AR40" s="41">
        <f>ROUND($B$7*$B$10*$B$12*$B$15*$B$18*$B$22*$B$23,0)</f>
        <v/>
      </c>
      <c r="AS40" s="41">
        <f>ROUND($B$7*$B$10*$B$12*$B$15*$B$18*$B$22*$B$24,0)</f>
        <v/>
      </c>
      <c r="AT40" s="41">
        <f>ROUND($B$7*$B$10*$B$12*$B$15*$B$19*$B$20*$B$23,0)</f>
        <v/>
      </c>
      <c r="AU40" s="41">
        <f>ROUND($B$7*$B$10*$B$12*$B$15*$B$19*$B$20*$B$24,0)</f>
        <v/>
      </c>
      <c r="AV40" s="41">
        <f>ROUND($B$7*$B$10*$B$12*$B$15*$B$19*$B$21*$B$23,0)</f>
        <v/>
      </c>
      <c r="AW40" s="41">
        <f>ROUND($B$7*$B$10*$B$12*$B$15*$B$19*$B$21*$B$24,0)</f>
        <v/>
      </c>
      <c r="AX40" s="41">
        <f>ROUND($B$7*$B$10*$B$12*$B$15*$B$19*$B$22*$B$23,0)</f>
        <v/>
      </c>
      <c r="AY40" s="41">
        <f>ROUND($B$7*$B$10*$B$12*$B$15*$B$19*$B$22*$B$24,0)</f>
        <v/>
      </c>
    </row>
    <row r="41" ht="20.1" customHeight="1" s="62">
      <c r="A41" s="90" t="n"/>
      <c r="B41" s="58" t="n"/>
      <c r="C41" s="87" t="inlineStr">
        <is>
          <t>2-3 cibles</t>
        </is>
      </c>
      <c r="D41" s="40">
        <f>ROUND($B$4*$B$10*$B$12*$B$16*$B$18*$B$20*$B$23,0)</f>
        <v/>
      </c>
      <c r="E41" s="40">
        <f>ROUND($B$4*$B$10*$B$12*$B$16*$B$18*$B$20*$B$24,0)</f>
        <v/>
      </c>
      <c r="F41" s="40">
        <f>ROUND($B$4*$B$10*$B$12*$B$16*$B$18*$B$21*$B$23,0)</f>
        <v/>
      </c>
      <c r="G41" s="40">
        <f>ROUND($B$4*$B$10*$B$12*$B$16*$B$18*$B$21*$B$24,0)</f>
        <v/>
      </c>
      <c r="H41" s="40">
        <f>ROUND($B$4*$B$10*$B$12*$B$16*$B$18*$B$22*$B$23,0)</f>
        <v/>
      </c>
      <c r="I41" s="40">
        <f>ROUND($B$4*$B$10*$B$12*$B$16*$B$18*$B$22*$B$24,0)</f>
        <v/>
      </c>
      <c r="J41" s="40">
        <f>ROUND($B$4*$B$10*$B$12*$B$16*$B$19*$B$20*$B$23,0)</f>
        <v/>
      </c>
      <c r="K41" s="40">
        <f>ROUND($B$4*$B$10*$B$12*$B$16*$B$19*$B$20*$B$24,0)</f>
        <v/>
      </c>
      <c r="L41" s="40">
        <f>ROUND($B$4*$B$10*$B$12*$B$16*$B$19*$B$21*$B$23,0)</f>
        <v/>
      </c>
      <c r="M41" s="40">
        <f>ROUND($B$4*$B$10*$B$12*$B$16*$B$19*$B$21*$B$24,0)</f>
        <v/>
      </c>
      <c r="N41" s="40">
        <f>ROUND($B$4*$B$10*$B$12*$B$16*$B$19*$B$22*$B$23,0)</f>
        <v/>
      </c>
      <c r="O41" s="40">
        <f>ROUND($B$4*$B$10*$B$12*$B$16*$B$19*$B$22*$B$24,0)</f>
        <v/>
      </c>
      <c r="P41" s="40">
        <f>ROUND($B$5*$B$10*$B$12*$B$16*$B$18*$B$20*$B$23,0)</f>
        <v/>
      </c>
      <c r="Q41" s="40">
        <f>ROUND($B$5*$B$10*$B$12*$B$16*$B$18*$B$20*$B$24,0)</f>
        <v/>
      </c>
      <c r="R41" s="40">
        <f>ROUND($B$5*$B$10*$B$12*$B$16*$B$18*$B$21*$B$23,0)</f>
        <v/>
      </c>
      <c r="S41" s="40">
        <f>ROUND($B$5*$B$10*$B$12*$B$16*$B$18*$B$21*$B$24,0)</f>
        <v/>
      </c>
      <c r="T41" s="40">
        <f>ROUND($B$5*$B$10*$B$12*$B$16*$B$18*$B$22*$B$23,0)</f>
        <v/>
      </c>
      <c r="U41" s="40">
        <f>ROUND($B$5*$B$10*$B$12*$B$16*$B$18*$B$22*$B$24,0)</f>
        <v/>
      </c>
      <c r="V41" s="40">
        <f>ROUND($B$5*$B$10*$B$12*$B$16*$B$19*$B$20*$B$23,0)</f>
        <v/>
      </c>
      <c r="W41" s="40">
        <f>ROUND($B$5*$B$10*$B$12*$B$16*$B$19*$B$20*$B$24,0)</f>
        <v/>
      </c>
      <c r="X41" s="40">
        <f>ROUND($B$5*$B$10*$B$12*$B$16*$B$19*$B$21*$B$23,0)</f>
        <v/>
      </c>
      <c r="Y41" s="40">
        <f>ROUND($B$5*$B$10*$B$12*$B$16*$B$19*$B$21*$B$24,0)</f>
        <v/>
      </c>
      <c r="Z41" s="40">
        <f>ROUND($B$5*$B$10*$B$12*$B$16*$B$19*$B$22*$B$23,0)</f>
        <v/>
      </c>
      <c r="AA41" s="40">
        <f>ROUND($B$5*$B$10*$B$12*$B$16*$B$19*$B$22*$B$24,0)</f>
        <v/>
      </c>
      <c r="AB41" s="40">
        <f>ROUND($B$6*$B$10*$B$12*$B$16*$B$18*$B$20*$B$23,0)</f>
        <v/>
      </c>
      <c r="AC41" s="40">
        <f>ROUND($B$6*$B$10*$B$12*$B$16*$B$18*$B$20*$B$24,0)</f>
        <v/>
      </c>
      <c r="AD41" s="40">
        <f>ROUND($B$6*$B$10*$B$12*$B$16*$B$18*$B$21*$B$23,0)</f>
        <v/>
      </c>
      <c r="AE41" s="40">
        <f>ROUND($B$6*$B$10*$B$12*$B$16*$B$18*$B$21*$B$24,0)</f>
        <v/>
      </c>
      <c r="AF41" s="40">
        <f>ROUND($B$6*$B$10*$B$12*$B$16*$B$18*$B$22*$B$23,0)</f>
        <v/>
      </c>
      <c r="AG41" s="40">
        <f>ROUND($B$6*$B$10*$B$12*$B$16*$B$18*$B$22*$B$24,0)</f>
        <v/>
      </c>
      <c r="AH41" s="40">
        <f>ROUND($B$6*$B$10*$B$12*$B$16*$B$19*$B$20*$B$23,0)</f>
        <v/>
      </c>
      <c r="AI41" s="40">
        <f>ROUND($B$6*$B$10*$B$12*$B$16*$B$19*$B$20*$B$24,0)</f>
        <v/>
      </c>
      <c r="AJ41" s="40">
        <f>ROUND($B$6*$B$10*$B$12*$B$16*$B$19*$B$21*$B$23,0)</f>
        <v/>
      </c>
      <c r="AK41" s="40">
        <f>ROUND($B$6*$B$10*$B$12*$B$16*$B$19*$B$21*$B$24,0)</f>
        <v/>
      </c>
      <c r="AL41" s="40">
        <f>ROUND($B$6*$B$10*$B$12*$B$16*$B$19*$B$22*$B$23,0)</f>
        <v/>
      </c>
      <c r="AM41" s="40">
        <f>ROUND($B$6*$B$10*$B$12*$B$16*$B$19*$B$22*$B$24,0)</f>
        <v/>
      </c>
      <c r="AN41" s="41">
        <f>ROUND($B$7*$B$10*$B$12*$B$16*$B$18*$B$20*$B$23,0)</f>
        <v/>
      </c>
      <c r="AO41" s="41">
        <f>ROUND($B$7*$B$10*$B$12*$B$16*$B$18*$B$20*$B$24,0)</f>
        <v/>
      </c>
      <c r="AP41" s="41">
        <f>ROUND($B$7*$B$10*$B$12*$B$16*$B$18*$B$21*$B$23,0)</f>
        <v/>
      </c>
      <c r="AQ41" s="41">
        <f>ROUND($B$7*$B$10*$B$12*$B$16*$B$18*$B$21*$B$24,0)</f>
        <v/>
      </c>
      <c r="AR41" s="41">
        <f>ROUND($B$7*$B$10*$B$12*$B$16*$B$18*$B$22*$B$23,0)</f>
        <v/>
      </c>
      <c r="AS41" s="41">
        <f>ROUND($B$7*$B$10*$B$12*$B$16*$B$18*$B$22*$B$24,0)</f>
        <v/>
      </c>
      <c r="AT41" s="41">
        <f>ROUND($B$7*$B$10*$B$12*$B$16*$B$19*$B$20*$B$23,0)</f>
        <v/>
      </c>
      <c r="AU41" s="41">
        <f>ROUND($B$7*$B$10*$B$12*$B$16*$B$19*$B$20*$B$24,0)</f>
        <v/>
      </c>
      <c r="AV41" s="41">
        <f>ROUND($B$7*$B$10*$B$12*$B$16*$B$19*$B$21*$B$23,0)</f>
        <v/>
      </c>
      <c r="AW41" s="41">
        <f>ROUND($B$7*$B$10*$B$12*$B$16*$B$19*$B$21*$B$24,0)</f>
        <v/>
      </c>
      <c r="AX41" s="41">
        <f>ROUND($B$7*$B$10*$B$12*$B$16*$B$19*$B$22*$B$23,0)</f>
        <v/>
      </c>
      <c r="AY41" s="41">
        <f>ROUND($B$7*$B$10*$B$12*$B$16*$B$19*$B$22*$B$24,0)</f>
        <v/>
      </c>
    </row>
    <row r="42" ht="20.1" customHeight="1" s="62">
      <c r="A42" s="90" t="n"/>
      <c r="B42" s="59" t="n"/>
      <c r="C42" s="42" t="inlineStr">
        <is>
          <t>4+ cibles</t>
        </is>
      </c>
      <c r="D42" s="40">
        <f>ROUND($B$4*$B$10*$B$12*$B$17*$B$18*$B$20*$B$23,0)</f>
        <v/>
      </c>
      <c r="E42" s="40">
        <f>ROUND($B$4*$B$10*$B$12*$B$17*$B$18*$B$20*$B$24,0)</f>
        <v/>
      </c>
      <c r="F42" s="40">
        <f>ROUND($B$4*$B$10*$B$12*$B$17*$B$18*$B$21*$B$23,0)</f>
        <v/>
      </c>
      <c r="G42" s="40">
        <f>ROUND($B$4*$B$10*$B$12*$B$17*$B$18*$B$21*$B$24,0)</f>
        <v/>
      </c>
      <c r="H42" s="40">
        <f>ROUND($B$4*$B$10*$B$12*$B$17*$B$18*$B$22*$B$23,0)</f>
        <v/>
      </c>
      <c r="I42" s="40">
        <f>ROUND($B$4*$B$10*$B$12*$B$17*$B$18*$B$22*$B$24,0)</f>
        <v/>
      </c>
      <c r="J42" s="40">
        <f>ROUND($B$4*$B$10*$B$12*$B$17*$B$19*$B$20*$B$23,0)</f>
        <v/>
      </c>
      <c r="K42" s="40">
        <f>ROUND($B$4*$B$10*$B$12*$B$17*$B$19*$B$20*$B$24,0)</f>
        <v/>
      </c>
      <c r="L42" s="40">
        <f>ROUND($B$4*$B$10*$B$12*$B$17*$B$19*$B$21*$B$23,0)</f>
        <v/>
      </c>
      <c r="M42" s="40">
        <f>ROUND($B$4*$B$10*$B$12*$B$17*$B$19*$B$21*$B$24,0)</f>
        <v/>
      </c>
      <c r="N42" s="40">
        <f>ROUND($B$4*$B$10*$B$12*$B$17*$B$19*$B$22*$B$23,0)</f>
        <v/>
      </c>
      <c r="O42" s="40">
        <f>ROUND($B$4*$B$10*$B$12*$B$17*$B$19*$B$22*$B$24,0)</f>
        <v/>
      </c>
      <c r="P42" s="40">
        <f>ROUND($B$5*$B$10*$B$12*$B$17*$B$18*$B$20*$B$23,0)</f>
        <v/>
      </c>
      <c r="Q42" s="40">
        <f>ROUND($B$5*$B$10*$B$12*$B$17*$B$18*$B$20*$B$24,0)</f>
        <v/>
      </c>
      <c r="R42" s="40">
        <f>ROUND($B$5*$B$10*$B$12*$B$17*$B$18*$B$21*$B$23,0)</f>
        <v/>
      </c>
      <c r="S42" s="40">
        <f>ROUND($B$5*$B$10*$B$12*$B$17*$B$18*$B$21*$B$24,0)</f>
        <v/>
      </c>
      <c r="T42" s="40">
        <f>ROUND($B$5*$B$10*$B$12*$B$17*$B$18*$B$22*$B$23,0)</f>
        <v/>
      </c>
      <c r="U42" s="40">
        <f>ROUND($B$5*$B$10*$B$12*$B$17*$B$18*$B$22*$B$24,0)</f>
        <v/>
      </c>
      <c r="V42" s="40">
        <f>ROUND($B$5*$B$10*$B$12*$B$17*$B$19*$B$20*$B$23,0)</f>
        <v/>
      </c>
      <c r="W42" s="40">
        <f>ROUND($B$5*$B$10*$B$12*$B$17*$B$19*$B$20*$B$24,0)</f>
        <v/>
      </c>
      <c r="X42" s="40">
        <f>ROUND($B$5*$B$10*$B$12*$B$17*$B$19*$B$21*$B$23,0)</f>
        <v/>
      </c>
      <c r="Y42" s="40">
        <f>ROUND($B$5*$B$10*$B$12*$B$17*$B$19*$B$21*$B$24,0)</f>
        <v/>
      </c>
      <c r="Z42" s="40">
        <f>ROUND($B$5*$B$10*$B$12*$B$17*$B$19*$B$22*$B$23,0)</f>
        <v/>
      </c>
      <c r="AA42" s="40">
        <f>ROUND($B$5*$B$10*$B$12*$B$17*$B$19*$B$22*$B$24,0)</f>
        <v/>
      </c>
      <c r="AB42" s="40">
        <f>ROUND($B$6*$B$10*$B$12*$B$17*$B$18*$B$20*$B$23,0)</f>
        <v/>
      </c>
      <c r="AC42" s="40">
        <f>ROUND($B$6*$B$10*$B$12*$B$17*$B$18*$B$20*$B$24,0)</f>
        <v/>
      </c>
      <c r="AD42" s="40">
        <f>ROUND($B$6*$B$10*$B$12*$B$17*$B$18*$B$21*$B$23,0)</f>
        <v/>
      </c>
      <c r="AE42" s="40">
        <f>ROUND($B$6*$B$10*$B$12*$B$17*$B$18*$B$21*$B$24,0)</f>
        <v/>
      </c>
      <c r="AF42" s="40">
        <f>ROUND($B$6*$B$10*$B$12*$B$17*$B$18*$B$22*$B$23,0)</f>
        <v/>
      </c>
      <c r="AG42" s="40">
        <f>ROUND($B$6*$B$10*$B$12*$B$17*$B$18*$B$22*$B$24,0)</f>
        <v/>
      </c>
      <c r="AH42" s="40">
        <f>ROUND($B$6*$B$10*$B$12*$B$17*$B$19*$B$20*$B$23,0)</f>
        <v/>
      </c>
      <c r="AI42" s="40">
        <f>ROUND($B$6*$B$10*$B$12*$B$17*$B$19*$B$20*$B$24,0)</f>
        <v/>
      </c>
      <c r="AJ42" s="40">
        <f>ROUND($B$6*$B$10*$B$12*$B$17*$B$19*$B$21*$B$23,0)</f>
        <v/>
      </c>
      <c r="AK42" s="40">
        <f>ROUND($B$6*$B$10*$B$12*$B$17*$B$19*$B$21*$B$24,0)</f>
        <v/>
      </c>
      <c r="AL42" s="40">
        <f>ROUND($B$6*$B$10*$B$12*$B$17*$B$19*$B$22*$B$23,0)</f>
        <v/>
      </c>
      <c r="AM42" s="40">
        <f>ROUND($B$6*$B$10*$B$12*$B$17*$B$19*$B$22*$B$24,0)</f>
        <v/>
      </c>
      <c r="AN42" s="41">
        <f>ROUND($B$7*$B$10*$B$12*$B$17*$B$18*$B$20*$B$23,0)</f>
        <v/>
      </c>
      <c r="AO42" s="41">
        <f>ROUND($B$7*$B$10*$B$12*$B$17*$B$18*$B$20*$B$24,0)</f>
        <v/>
      </c>
      <c r="AP42" s="41">
        <f>ROUND($B$7*$B$10*$B$12*$B$17*$B$18*$B$21*$B$23,0)</f>
        <v/>
      </c>
      <c r="AQ42" s="41">
        <f>ROUND($B$7*$B$10*$B$12*$B$17*$B$18*$B$21*$B$24,0)</f>
        <v/>
      </c>
      <c r="AR42" s="41">
        <f>ROUND($B$7*$B$10*$B$12*$B$17*$B$18*$B$22*$B$23,0)</f>
        <v/>
      </c>
      <c r="AS42" s="41">
        <f>ROUND($B$7*$B$10*$B$12*$B$17*$B$18*$B$22*$B$24,0)</f>
        <v/>
      </c>
      <c r="AT42" s="41">
        <f>ROUND($B$7*$B$10*$B$12*$B$17*$B$19*$B$20*$B$23,0)</f>
        <v/>
      </c>
      <c r="AU42" s="41">
        <f>ROUND($B$7*$B$10*$B$12*$B$17*$B$19*$B$20*$B$24,0)</f>
        <v/>
      </c>
      <c r="AV42" s="41">
        <f>ROUND($B$7*$B$10*$B$12*$B$17*$B$19*$B$21*$B$23,0)</f>
        <v/>
      </c>
      <c r="AW42" s="41">
        <f>ROUND($B$7*$B$10*$B$12*$B$17*$B$19*$B$21*$B$24,0)</f>
        <v/>
      </c>
      <c r="AX42" s="41">
        <f>ROUND($B$7*$B$10*$B$12*$B$17*$B$19*$B$22*$B$23,0)</f>
        <v/>
      </c>
      <c r="AY42" s="41">
        <f>ROUND($B$7*$B$10*$B$12*$B$17*$B$19*$B$22*$B$24,0)</f>
        <v/>
      </c>
    </row>
    <row r="43" ht="20.1" customHeight="1" s="62">
      <c r="A43" s="90" t="n"/>
      <c r="B43" s="87" t="inlineStr">
        <is>
          <t>3-5 offres</t>
        </is>
      </c>
      <c r="C43" s="39" t="inlineStr">
        <is>
          <t>1 cible</t>
        </is>
      </c>
      <c r="D43" s="40">
        <f>ROUND($B$4*$B$10*$B$13*$B$15*$B$18*$B$20*$B$23,0)</f>
        <v/>
      </c>
      <c r="E43" s="40">
        <f>ROUND($B$4*$B$10*$B$13*$B$15*$B$18*$B$20*$B$24,0)</f>
        <v/>
      </c>
      <c r="F43" s="40">
        <f>ROUND($B$4*$B$10*$B$13*$B$15*$B$18*$B$21*$B$23,0)</f>
        <v/>
      </c>
      <c r="G43" s="40">
        <f>ROUND($B$4*$B$10*$B$13*$B$15*$B$18*$B$21*$B$24,0)</f>
        <v/>
      </c>
      <c r="H43" s="40">
        <f>ROUND($B$4*$B$10*$B$13*$B$15*$B$18*$B$22*$B$23,0)</f>
        <v/>
      </c>
      <c r="I43" s="40">
        <f>ROUND($B$4*$B$10*$B$13*$B$15*$B$18*$B$22*$B$24,0)</f>
        <v/>
      </c>
      <c r="J43" s="40">
        <f>ROUND($B$4*$B$10*$B$13*$B$15*$B$19*$B$20*$B$23,0)</f>
        <v/>
      </c>
      <c r="K43" s="40">
        <f>ROUND($B$4*$B$10*$B$13*$B$15*$B$19*$B$20*$B$24,0)</f>
        <v/>
      </c>
      <c r="L43" s="40">
        <f>ROUND($B$4*$B$10*$B$13*$B$15*$B$19*$B$21*$B$23,0)</f>
        <v/>
      </c>
      <c r="M43" s="40">
        <f>ROUND($B$4*$B$10*$B$13*$B$15*$B$19*$B$21*$B$24,0)</f>
        <v/>
      </c>
      <c r="N43" s="40">
        <f>ROUND($B$4*$B$10*$B$13*$B$15*$B$19*$B$22*$B$23,0)</f>
        <v/>
      </c>
      <c r="O43" s="40">
        <f>ROUND($B$4*$B$10*$B$13*$B$15*$B$19*$B$22*$B$24,0)</f>
        <v/>
      </c>
      <c r="P43" s="40">
        <f>ROUND($B$5*$B$10*$B$13*$B$15*$B$18*$B$20*$B$23,0)</f>
        <v/>
      </c>
      <c r="Q43" s="40">
        <f>ROUND($B$5*$B$10*$B$13*$B$15*$B$18*$B$20*$B$24,0)</f>
        <v/>
      </c>
      <c r="R43" s="40">
        <f>ROUND($B$5*$B$10*$B$13*$B$15*$B$18*$B$21*$B$23,0)</f>
        <v/>
      </c>
      <c r="S43" s="40">
        <f>ROUND($B$5*$B$10*$B$13*$B$15*$B$18*$B$21*$B$24,0)</f>
        <v/>
      </c>
      <c r="T43" s="40">
        <f>ROUND($B$5*$B$10*$B$13*$B$15*$B$18*$B$22*$B$23,0)</f>
        <v/>
      </c>
      <c r="U43" s="40">
        <f>ROUND($B$5*$B$10*$B$13*$B$15*$B$18*$B$22*$B$24,0)</f>
        <v/>
      </c>
      <c r="V43" s="40">
        <f>ROUND($B$5*$B$10*$B$13*$B$15*$B$19*$B$20*$B$23,0)</f>
        <v/>
      </c>
      <c r="W43" s="40">
        <f>ROUND($B$5*$B$10*$B$13*$B$15*$B$19*$B$20*$B$24,0)</f>
        <v/>
      </c>
      <c r="X43" s="40">
        <f>ROUND($B$5*$B$10*$B$13*$B$15*$B$19*$B$21*$B$23,0)</f>
        <v/>
      </c>
      <c r="Y43" s="40">
        <f>ROUND($B$5*$B$10*$B$13*$B$15*$B$19*$B$21*$B$24,0)</f>
        <v/>
      </c>
      <c r="Z43" s="40">
        <f>ROUND($B$5*$B$10*$B$13*$B$15*$B$19*$B$22*$B$23,0)</f>
        <v/>
      </c>
      <c r="AA43" s="40">
        <f>ROUND($B$5*$B$10*$B$13*$B$15*$B$19*$B$22*$B$24,0)</f>
        <v/>
      </c>
      <c r="AB43" s="40">
        <f>ROUND($B$6*$B$10*$B$13*$B$15*$B$18*$B$20*$B$23,0)</f>
        <v/>
      </c>
      <c r="AC43" s="40">
        <f>ROUND($B$6*$B$10*$B$13*$B$15*$B$18*$B$20*$B$24,0)</f>
        <v/>
      </c>
      <c r="AD43" s="40">
        <f>ROUND($B$6*$B$10*$B$13*$B$15*$B$18*$B$21*$B$23,0)</f>
        <v/>
      </c>
      <c r="AE43" s="40">
        <f>ROUND($B$6*$B$10*$B$13*$B$15*$B$18*$B$21*$B$24,0)</f>
        <v/>
      </c>
      <c r="AF43" s="40">
        <f>ROUND($B$6*$B$10*$B$13*$B$15*$B$18*$B$22*$B$23,0)</f>
        <v/>
      </c>
      <c r="AG43" s="40">
        <f>ROUND($B$6*$B$10*$B$13*$B$15*$B$18*$B$22*$B$24,0)</f>
        <v/>
      </c>
      <c r="AH43" s="40">
        <f>ROUND($B$6*$B$10*$B$13*$B$15*$B$19*$B$20*$B$23,0)</f>
        <v/>
      </c>
      <c r="AI43" s="40">
        <f>ROUND($B$6*$B$10*$B$13*$B$15*$B$19*$B$20*$B$24,0)</f>
        <v/>
      </c>
      <c r="AJ43" s="40">
        <f>ROUND($B$6*$B$10*$B$13*$B$15*$B$19*$B$21*$B$23,0)</f>
        <v/>
      </c>
      <c r="AK43" s="40">
        <f>ROUND($B$6*$B$10*$B$13*$B$15*$B$19*$B$21*$B$24,0)</f>
        <v/>
      </c>
      <c r="AL43" s="40">
        <f>ROUND($B$6*$B$10*$B$13*$B$15*$B$19*$B$22*$B$23,0)</f>
        <v/>
      </c>
      <c r="AM43" s="40">
        <f>ROUND($B$6*$B$10*$B$13*$B$15*$B$19*$B$22*$B$24,0)</f>
        <v/>
      </c>
      <c r="AN43" s="41">
        <f>ROUND($B$7*$B$10*$B$13*$B$15*$B$18*$B$20*$B$23,0)</f>
        <v/>
      </c>
      <c r="AO43" s="41">
        <f>ROUND($B$7*$B$10*$B$13*$B$15*$B$18*$B$20*$B$24,0)</f>
        <v/>
      </c>
      <c r="AP43" s="41">
        <f>ROUND($B$7*$B$10*$B$13*$B$15*$B$18*$B$21*$B$23,0)</f>
        <v/>
      </c>
      <c r="AQ43" s="41">
        <f>ROUND($B$7*$B$10*$B$13*$B$15*$B$18*$B$21*$B$24,0)</f>
        <v/>
      </c>
      <c r="AR43" s="41">
        <f>ROUND($B$7*$B$10*$B$13*$B$15*$B$18*$B$22*$B$23,0)</f>
        <v/>
      </c>
      <c r="AS43" s="41">
        <f>ROUND($B$7*$B$10*$B$13*$B$15*$B$18*$B$22*$B$24,0)</f>
        <v/>
      </c>
      <c r="AT43" s="41">
        <f>ROUND($B$7*$B$10*$B$13*$B$15*$B$19*$B$20*$B$23,0)</f>
        <v/>
      </c>
      <c r="AU43" s="41">
        <f>ROUND($B$7*$B$10*$B$13*$B$15*$B$19*$B$20*$B$24,0)</f>
        <v/>
      </c>
      <c r="AV43" s="41">
        <f>ROUND($B$7*$B$10*$B$13*$B$15*$B$19*$B$21*$B$23,0)</f>
        <v/>
      </c>
      <c r="AW43" s="41">
        <f>ROUND($B$7*$B$10*$B$13*$B$15*$B$19*$B$21*$B$24,0)</f>
        <v/>
      </c>
      <c r="AX43" s="41">
        <f>ROUND($B$7*$B$10*$B$13*$B$15*$B$19*$B$22*$B$23,0)</f>
        <v/>
      </c>
      <c r="AY43" s="41">
        <f>ROUND($B$7*$B$10*$B$13*$B$15*$B$19*$B$22*$B$24,0)</f>
        <v/>
      </c>
    </row>
    <row r="44" ht="20.1" customHeight="1" s="62">
      <c r="A44" s="90" t="n"/>
      <c r="B44" s="58" t="n"/>
      <c r="C44" s="87" t="inlineStr">
        <is>
          <t>2-3 cibles</t>
        </is>
      </c>
      <c r="D44" s="40">
        <f>ROUND($B$4*$B$10*$B$13*$B$16*$B$18*$B$20*$B$23,0)</f>
        <v/>
      </c>
      <c r="E44" s="40">
        <f>ROUND($B$4*$B$10*$B$13*$B$16*$B$18*$B$20*$B$24,0)</f>
        <v/>
      </c>
      <c r="F44" s="40">
        <f>ROUND($B$4*$B$10*$B$13*$B$16*$B$18*$B$21*$B$23,0)</f>
        <v/>
      </c>
      <c r="G44" s="40">
        <f>ROUND($B$4*$B$10*$B$13*$B$16*$B$18*$B$21*$B$24,0)</f>
        <v/>
      </c>
      <c r="H44" s="40">
        <f>ROUND($B$4*$B$10*$B$13*$B$16*$B$18*$B$22*$B$23,0)</f>
        <v/>
      </c>
      <c r="I44" s="40">
        <f>ROUND($B$4*$B$10*$B$13*$B$16*$B$18*$B$22*$B$24,0)</f>
        <v/>
      </c>
      <c r="J44" s="40">
        <f>ROUND($B$4*$B$10*$B$13*$B$16*$B$19*$B$20*$B$23,0)</f>
        <v/>
      </c>
      <c r="K44" s="40">
        <f>ROUND($B$4*$B$10*$B$13*$B$16*$B$19*$B$20*$B$24,0)</f>
        <v/>
      </c>
      <c r="L44" s="40">
        <f>ROUND($B$4*$B$10*$B$13*$B$16*$B$19*$B$21*$B$23,0)</f>
        <v/>
      </c>
      <c r="M44" s="40">
        <f>ROUND($B$4*$B$10*$B$13*$B$16*$B$19*$B$21*$B$24,0)</f>
        <v/>
      </c>
      <c r="N44" s="40">
        <f>ROUND($B$4*$B$10*$B$13*$B$16*$B$19*$B$22*$B$23,0)</f>
        <v/>
      </c>
      <c r="O44" s="40">
        <f>ROUND($B$4*$B$10*$B$13*$B$16*$B$19*$B$22*$B$24,0)</f>
        <v/>
      </c>
      <c r="P44" s="40">
        <f>ROUND($B$5*$B$10*$B$13*$B$16*$B$18*$B$20*$B$23,0)</f>
        <v/>
      </c>
      <c r="Q44" s="40">
        <f>ROUND($B$5*$B$10*$B$13*$B$16*$B$18*$B$20*$B$24,0)</f>
        <v/>
      </c>
      <c r="R44" s="40">
        <f>ROUND($B$5*$B$10*$B$13*$B$16*$B$18*$B$21*$B$23,0)</f>
        <v/>
      </c>
      <c r="S44" s="40">
        <f>ROUND($B$5*$B$10*$B$13*$B$16*$B$18*$B$21*$B$24,0)</f>
        <v/>
      </c>
      <c r="T44" s="40">
        <f>ROUND($B$5*$B$10*$B$13*$B$16*$B$18*$B$22*$B$23,0)</f>
        <v/>
      </c>
      <c r="U44" s="40">
        <f>ROUND($B$5*$B$10*$B$13*$B$16*$B$18*$B$22*$B$24,0)</f>
        <v/>
      </c>
      <c r="V44" s="40">
        <f>ROUND($B$5*$B$10*$B$13*$B$16*$B$19*$B$20*$B$23,0)</f>
        <v/>
      </c>
      <c r="W44" s="40">
        <f>ROUND($B$5*$B$10*$B$13*$B$16*$B$19*$B$20*$B$24,0)</f>
        <v/>
      </c>
      <c r="X44" s="40">
        <f>ROUND($B$5*$B$10*$B$13*$B$16*$B$19*$B$21*$B$23,0)</f>
        <v/>
      </c>
      <c r="Y44" s="40">
        <f>ROUND($B$5*$B$10*$B$13*$B$16*$B$19*$B$21*$B$24,0)</f>
        <v/>
      </c>
      <c r="Z44" s="40">
        <f>ROUND($B$5*$B$10*$B$13*$B$16*$B$19*$B$22*$B$23,0)</f>
        <v/>
      </c>
      <c r="AA44" s="40">
        <f>ROUND($B$5*$B$10*$B$13*$B$16*$B$19*$B$22*$B$24,0)</f>
        <v/>
      </c>
      <c r="AB44" s="40">
        <f>ROUND($B$6*$B$10*$B$13*$B$16*$B$18*$B$20*$B$23,0)</f>
        <v/>
      </c>
      <c r="AC44" s="40">
        <f>ROUND($B$6*$B$10*$B$13*$B$16*$B$18*$B$20*$B$24,0)</f>
        <v/>
      </c>
      <c r="AD44" s="40">
        <f>ROUND($B$6*$B$10*$B$13*$B$16*$B$18*$B$21*$B$23,0)</f>
        <v/>
      </c>
      <c r="AE44" s="40">
        <f>ROUND($B$6*$B$10*$B$13*$B$16*$B$18*$B$21*$B$24,0)</f>
        <v/>
      </c>
      <c r="AF44" s="40">
        <f>ROUND($B$6*$B$10*$B$13*$B$16*$B$18*$B$22*$B$23,0)</f>
        <v/>
      </c>
      <c r="AG44" s="40">
        <f>ROUND($B$6*$B$10*$B$13*$B$16*$B$18*$B$22*$B$24,0)</f>
        <v/>
      </c>
      <c r="AH44" s="40">
        <f>ROUND($B$6*$B$10*$B$13*$B$16*$B$19*$B$20*$B$23,0)</f>
        <v/>
      </c>
      <c r="AI44" s="40">
        <f>ROUND($B$6*$B$10*$B$13*$B$16*$B$19*$B$20*$B$24,0)</f>
        <v/>
      </c>
      <c r="AJ44" s="40">
        <f>ROUND($B$6*$B$10*$B$13*$B$16*$B$19*$B$21*$B$23,0)</f>
        <v/>
      </c>
      <c r="AK44" s="40">
        <f>ROUND($B$6*$B$10*$B$13*$B$16*$B$19*$B$21*$B$24,0)</f>
        <v/>
      </c>
      <c r="AL44" s="40">
        <f>ROUND($B$6*$B$10*$B$13*$B$16*$B$19*$B$22*$B$23,0)</f>
        <v/>
      </c>
      <c r="AM44" s="40">
        <f>ROUND($B$6*$B$10*$B$13*$B$16*$B$19*$B$22*$B$24,0)</f>
        <v/>
      </c>
      <c r="AN44" s="41">
        <f>ROUND($B$7*$B$10*$B$13*$B$16*$B$18*$B$20*$B$23,0)</f>
        <v/>
      </c>
      <c r="AO44" s="41">
        <f>ROUND($B$7*$B$10*$B$13*$B$16*$B$18*$B$20*$B$24,0)</f>
        <v/>
      </c>
      <c r="AP44" s="41">
        <f>ROUND($B$7*$B$10*$B$13*$B$16*$B$18*$B$21*$B$23,0)</f>
        <v/>
      </c>
      <c r="AQ44" s="41">
        <f>ROUND($B$7*$B$10*$B$13*$B$16*$B$18*$B$21*$B$24,0)</f>
        <v/>
      </c>
      <c r="AR44" s="41">
        <f>ROUND($B$7*$B$10*$B$13*$B$16*$B$18*$B$22*$B$23,0)</f>
        <v/>
      </c>
      <c r="AS44" s="41">
        <f>ROUND($B$7*$B$10*$B$13*$B$16*$B$18*$B$22*$B$24,0)</f>
        <v/>
      </c>
      <c r="AT44" s="41">
        <f>ROUND($B$7*$B$10*$B$13*$B$16*$B$19*$B$20*$B$23,0)</f>
        <v/>
      </c>
      <c r="AU44" s="41">
        <f>ROUND($B$7*$B$10*$B$13*$B$16*$B$19*$B$20*$B$24,0)</f>
        <v/>
      </c>
      <c r="AV44" s="41">
        <f>ROUND($B$7*$B$10*$B$13*$B$16*$B$19*$B$21*$B$23,0)</f>
        <v/>
      </c>
      <c r="AW44" s="41">
        <f>ROUND($B$7*$B$10*$B$13*$B$16*$B$19*$B$21*$B$24,0)</f>
        <v/>
      </c>
      <c r="AX44" s="41">
        <f>ROUND($B$7*$B$10*$B$13*$B$16*$B$19*$B$22*$B$23,0)</f>
        <v/>
      </c>
      <c r="AY44" s="41">
        <f>ROUND($B$7*$B$10*$B$13*$B$16*$B$19*$B$22*$B$24,0)</f>
        <v/>
      </c>
    </row>
    <row r="45" ht="20.1" customHeight="1" s="62">
      <c r="A45" s="90" t="n"/>
      <c r="B45" s="59" t="n"/>
      <c r="C45" s="42" t="inlineStr">
        <is>
          <t>4+ cibles</t>
        </is>
      </c>
      <c r="D45" s="40">
        <f>ROUND($B$4*$B$10*$B$13*$B$17*$B$18*$B$20*$B$23,0)</f>
        <v/>
      </c>
      <c r="E45" s="40">
        <f>ROUND($B$4*$B$10*$B$13*$B$17*$B$18*$B$20*$B$24,0)</f>
        <v/>
      </c>
      <c r="F45" s="40">
        <f>ROUND($B$4*$B$10*$B$13*$B$17*$B$18*$B$21*$B$23,0)</f>
        <v/>
      </c>
      <c r="G45" s="40">
        <f>ROUND($B$4*$B$10*$B$13*$B$17*$B$18*$B$21*$B$24,0)</f>
        <v/>
      </c>
      <c r="H45" s="40">
        <f>ROUND($B$4*$B$10*$B$13*$B$17*$B$18*$B$22*$B$23,0)</f>
        <v/>
      </c>
      <c r="I45" s="40">
        <f>ROUND($B$4*$B$10*$B$13*$B$17*$B$18*$B$22*$B$24,0)</f>
        <v/>
      </c>
      <c r="J45" s="40">
        <f>ROUND($B$4*$B$10*$B$13*$B$17*$B$19*$B$20*$B$23,0)</f>
        <v/>
      </c>
      <c r="K45" s="40">
        <f>ROUND($B$4*$B$10*$B$13*$B$17*$B$19*$B$20*$B$24,0)</f>
        <v/>
      </c>
      <c r="L45" s="40">
        <f>ROUND($B$4*$B$10*$B$13*$B$17*$B$19*$B$21*$B$23,0)</f>
        <v/>
      </c>
      <c r="M45" s="40">
        <f>ROUND($B$4*$B$10*$B$13*$B$17*$B$19*$B$21*$B$24,0)</f>
        <v/>
      </c>
      <c r="N45" s="40">
        <f>ROUND($B$4*$B$10*$B$13*$B$17*$B$19*$B$22*$B$23,0)</f>
        <v/>
      </c>
      <c r="O45" s="40">
        <f>ROUND($B$4*$B$10*$B$13*$B$17*$B$19*$B$22*$B$24,0)</f>
        <v/>
      </c>
      <c r="P45" s="40">
        <f>ROUND($B$5*$B$10*$B$13*$B$17*$B$18*$B$20*$B$23,0)</f>
        <v/>
      </c>
      <c r="Q45" s="40">
        <f>ROUND($B$5*$B$10*$B$13*$B$17*$B$18*$B$20*$B$24,0)</f>
        <v/>
      </c>
      <c r="R45" s="40">
        <f>ROUND($B$5*$B$10*$B$13*$B$17*$B$18*$B$21*$B$23,0)</f>
        <v/>
      </c>
      <c r="S45" s="40">
        <f>ROUND($B$5*$B$10*$B$13*$B$17*$B$18*$B$21*$B$24,0)</f>
        <v/>
      </c>
      <c r="T45" s="40">
        <f>ROUND($B$5*$B$10*$B$13*$B$17*$B$18*$B$22*$B$23,0)</f>
        <v/>
      </c>
      <c r="U45" s="40">
        <f>ROUND($B$5*$B$10*$B$13*$B$17*$B$18*$B$22*$B$24,0)</f>
        <v/>
      </c>
      <c r="V45" s="40">
        <f>ROUND($B$5*$B$10*$B$13*$B$17*$B$19*$B$20*$B$23,0)</f>
        <v/>
      </c>
      <c r="W45" s="40">
        <f>ROUND($B$5*$B$10*$B$13*$B$17*$B$19*$B$20*$B$24,0)</f>
        <v/>
      </c>
      <c r="X45" s="40">
        <f>ROUND($B$5*$B$10*$B$13*$B$17*$B$19*$B$21*$B$23,0)</f>
        <v/>
      </c>
      <c r="Y45" s="40">
        <f>ROUND($B$5*$B$10*$B$13*$B$17*$B$19*$B$21*$B$24,0)</f>
        <v/>
      </c>
      <c r="Z45" s="40">
        <f>ROUND($B$5*$B$10*$B$13*$B$17*$B$19*$B$22*$B$23,0)</f>
        <v/>
      </c>
      <c r="AA45" s="40">
        <f>ROUND($B$5*$B$10*$B$13*$B$17*$B$19*$B$22*$B$24,0)</f>
        <v/>
      </c>
      <c r="AB45" s="40">
        <f>ROUND($B$6*$B$10*$B$13*$B$17*$B$18*$B$20*$B$23,0)</f>
        <v/>
      </c>
      <c r="AC45" s="40">
        <f>ROUND($B$6*$B$10*$B$13*$B$17*$B$18*$B$20*$B$24,0)</f>
        <v/>
      </c>
      <c r="AD45" s="40">
        <f>ROUND($B$6*$B$10*$B$13*$B$17*$B$18*$B$21*$B$23,0)</f>
        <v/>
      </c>
      <c r="AE45" s="40">
        <f>ROUND($B$6*$B$10*$B$13*$B$17*$B$18*$B$21*$B$24,0)</f>
        <v/>
      </c>
      <c r="AF45" s="40">
        <f>ROUND($B$6*$B$10*$B$13*$B$17*$B$18*$B$22*$B$23,0)</f>
        <v/>
      </c>
      <c r="AG45" s="40">
        <f>ROUND($B$6*$B$10*$B$13*$B$17*$B$18*$B$22*$B$24,0)</f>
        <v/>
      </c>
      <c r="AH45" s="40">
        <f>ROUND($B$6*$B$10*$B$13*$B$17*$B$19*$B$20*$B$23,0)</f>
        <v/>
      </c>
      <c r="AI45" s="40">
        <f>ROUND($B$6*$B$10*$B$13*$B$17*$B$19*$B$20*$B$24,0)</f>
        <v/>
      </c>
      <c r="AJ45" s="40">
        <f>ROUND($B$6*$B$10*$B$13*$B$17*$B$19*$B$21*$B$23,0)</f>
        <v/>
      </c>
      <c r="AK45" s="40">
        <f>ROUND($B$6*$B$10*$B$13*$B$17*$B$19*$B$21*$B$24,0)</f>
        <v/>
      </c>
      <c r="AL45" s="40">
        <f>ROUND($B$6*$B$10*$B$13*$B$17*$B$19*$B$22*$B$23,0)</f>
        <v/>
      </c>
      <c r="AM45" s="40">
        <f>ROUND($B$6*$B$10*$B$13*$B$17*$B$19*$B$22*$B$24,0)</f>
        <v/>
      </c>
      <c r="AN45" s="41">
        <f>ROUND($B$7*$B$10*$B$13*$B$17*$B$18*$B$20*$B$23,0)</f>
        <v/>
      </c>
      <c r="AO45" s="41">
        <f>ROUND($B$7*$B$10*$B$13*$B$17*$B$18*$B$20*$B$24,0)</f>
        <v/>
      </c>
      <c r="AP45" s="41">
        <f>ROUND($B$7*$B$10*$B$13*$B$17*$B$18*$B$21*$B$23,0)</f>
        <v/>
      </c>
      <c r="AQ45" s="41">
        <f>ROUND($B$7*$B$10*$B$13*$B$17*$B$18*$B$21*$B$24,0)</f>
        <v/>
      </c>
      <c r="AR45" s="41">
        <f>ROUND($B$7*$B$10*$B$13*$B$17*$B$18*$B$22*$B$23,0)</f>
        <v/>
      </c>
      <c r="AS45" s="41">
        <f>ROUND($B$7*$B$10*$B$13*$B$17*$B$18*$B$22*$B$24,0)</f>
        <v/>
      </c>
      <c r="AT45" s="41">
        <f>ROUND($B$7*$B$10*$B$13*$B$17*$B$19*$B$20*$B$23,0)</f>
        <v/>
      </c>
      <c r="AU45" s="41">
        <f>ROUND($B$7*$B$10*$B$13*$B$17*$B$19*$B$20*$B$24,0)</f>
        <v/>
      </c>
      <c r="AV45" s="41">
        <f>ROUND($B$7*$B$10*$B$13*$B$17*$B$19*$B$21*$B$23,0)</f>
        <v/>
      </c>
      <c r="AW45" s="41">
        <f>ROUND($B$7*$B$10*$B$13*$B$17*$B$19*$B$21*$B$24,0)</f>
        <v/>
      </c>
      <c r="AX45" s="41">
        <f>ROUND($B$7*$B$10*$B$13*$B$17*$B$19*$B$22*$B$23,0)</f>
        <v/>
      </c>
      <c r="AY45" s="41">
        <f>ROUND($B$7*$B$10*$B$13*$B$17*$B$19*$B$22*$B$24,0)</f>
        <v/>
      </c>
    </row>
    <row r="46" ht="20.1" customHeight="1" s="62">
      <c r="A46" s="90" t="n"/>
      <c r="B46" s="87" t="inlineStr">
        <is>
          <t>6+ offres</t>
        </is>
      </c>
      <c r="C46" s="39" t="inlineStr">
        <is>
          <t>1 cible</t>
        </is>
      </c>
      <c r="D46" s="40">
        <f>ROUND($B$4*$B$10*$B$14*$B$15*$B$18*$B$20*$B$23,0)</f>
        <v/>
      </c>
      <c r="E46" s="40">
        <f>ROUND($B$4*$B$10*$B$14*$B$15*$B$18*$B$20*$B$24,0)</f>
        <v/>
      </c>
      <c r="F46" s="40">
        <f>ROUND($B$4*$B$10*$B$14*$B$15*$B$18*$B$21*$B$23,0)</f>
        <v/>
      </c>
      <c r="G46" s="40">
        <f>ROUND($B$4*$B$10*$B$14*$B$15*$B$18*$B$21*$B$24,0)</f>
        <v/>
      </c>
      <c r="H46" s="40">
        <f>ROUND($B$4*$B$10*$B$14*$B$15*$B$18*$B$22*$B$23,0)</f>
        <v/>
      </c>
      <c r="I46" s="40">
        <f>ROUND($B$4*$B$10*$B$14*$B$15*$B$18*$B$22*$B$24,0)</f>
        <v/>
      </c>
      <c r="J46" s="40">
        <f>ROUND($B$4*$B$10*$B$14*$B$15*$B$19*$B$20*$B$23,0)</f>
        <v/>
      </c>
      <c r="K46" s="40">
        <f>ROUND($B$4*$B$10*$B$14*$B$15*$B$19*$B$20*$B$24,0)</f>
        <v/>
      </c>
      <c r="L46" s="40">
        <f>ROUND($B$4*$B$10*$B$14*$B$15*$B$19*$B$21*$B$23,0)</f>
        <v/>
      </c>
      <c r="M46" s="40">
        <f>ROUND($B$4*$B$10*$B$14*$B$15*$B$19*$B$21*$B$24,0)</f>
        <v/>
      </c>
      <c r="N46" s="40">
        <f>ROUND($B$4*$B$10*$B$14*$B$15*$B$19*$B$22*$B$23,0)</f>
        <v/>
      </c>
      <c r="O46" s="40">
        <f>ROUND($B$4*$B$10*$B$14*$B$15*$B$19*$B$22*$B$24,0)</f>
        <v/>
      </c>
      <c r="P46" s="40">
        <f>ROUND($B$5*$B$10*$B$14*$B$15*$B$18*$B$20*$B$23,0)</f>
        <v/>
      </c>
      <c r="Q46" s="40">
        <f>ROUND($B$5*$B$10*$B$14*$B$15*$B$18*$B$20*$B$24,0)</f>
        <v/>
      </c>
      <c r="R46" s="40">
        <f>ROUND($B$5*$B$10*$B$14*$B$15*$B$18*$B$21*$B$23,0)</f>
        <v/>
      </c>
      <c r="S46" s="40">
        <f>ROUND($B$5*$B$10*$B$14*$B$15*$B$18*$B$21*$B$24,0)</f>
        <v/>
      </c>
      <c r="T46" s="40">
        <f>ROUND($B$5*$B$10*$B$14*$B$15*$B$18*$B$22*$B$23,0)</f>
        <v/>
      </c>
      <c r="U46" s="40">
        <f>ROUND($B$5*$B$10*$B$14*$B$15*$B$18*$B$22*$B$24,0)</f>
        <v/>
      </c>
      <c r="V46" s="40">
        <f>ROUND($B$5*$B$10*$B$14*$B$15*$B$19*$B$20*$B$23,0)</f>
        <v/>
      </c>
      <c r="W46" s="40">
        <f>ROUND($B$5*$B$10*$B$14*$B$15*$B$19*$B$20*$B$24,0)</f>
        <v/>
      </c>
      <c r="X46" s="40">
        <f>ROUND($B$5*$B$10*$B$14*$B$15*$B$19*$B$21*$B$23,0)</f>
        <v/>
      </c>
      <c r="Y46" s="40">
        <f>ROUND($B$5*$B$10*$B$14*$B$15*$B$19*$B$21*$B$24,0)</f>
        <v/>
      </c>
      <c r="Z46" s="40">
        <f>ROUND($B$5*$B$10*$B$14*$B$15*$B$19*$B$22*$B$23,0)</f>
        <v/>
      </c>
      <c r="AA46" s="40">
        <f>ROUND($B$5*$B$10*$B$14*$B$15*$B$19*$B$22*$B$24,0)</f>
        <v/>
      </c>
      <c r="AB46" s="40">
        <f>ROUND($B$6*$B$10*$B$14*$B$15*$B$18*$B$20*$B$23,0)</f>
        <v/>
      </c>
      <c r="AC46" s="40">
        <f>ROUND($B$6*$B$10*$B$14*$B$15*$B$18*$B$20*$B$24,0)</f>
        <v/>
      </c>
      <c r="AD46" s="40">
        <f>ROUND($B$6*$B$10*$B$14*$B$15*$B$18*$B$21*$B$23,0)</f>
        <v/>
      </c>
      <c r="AE46" s="40">
        <f>ROUND($B$6*$B$10*$B$14*$B$15*$B$18*$B$21*$B$24,0)</f>
        <v/>
      </c>
      <c r="AF46" s="40">
        <f>ROUND($B$6*$B$10*$B$14*$B$15*$B$18*$B$22*$B$23,0)</f>
        <v/>
      </c>
      <c r="AG46" s="40">
        <f>ROUND($B$6*$B$10*$B$14*$B$15*$B$18*$B$22*$B$24,0)</f>
        <v/>
      </c>
      <c r="AH46" s="40">
        <f>ROUND($B$6*$B$10*$B$14*$B$15*$B$19*$B$20*$B$23,0)</f>
        <v/>
      </c>
      <c r="AI46" s="40">
        <f>ROUND($B$6*$B$10*$B$14*$B$15*$B$19*$B$20*$B$24,0)</f>
        <v/>
      </c>
      <c r="AJ46" s="40">
        <f>ROUND($B$6*$B$10*$B$14*$B$15*$B$19*$B$21*$B$23,0)</f>
        <v/>
      </c>
      <c r="AK46" s="40">
        <f>ROUND($B$6*$B$10*$B$14*$B$15*$B$19*$B$21*$B$24,0)</f>
        <v/>
      </c>
      <c r="AL46" s="40">
        <f>ROUND($B$6*$B$10*$B$14*$B$15*$B$19*$B$22*$B$23,0)</f>
        <v/>
      </c>
      <c r="AM46" s="40">
        <f>ROUND($B$6*$B$10*$B$14*$B$15*$B$19*$B$22*$B$24,0)</f>
        <v/>
      </c>
      <c r="AN46" s="41">
        <f>ROUND($B$7*$B$10*$B$14*$B$15*$B$18*$B$20*$B$23,0)</f>
        <v/>
      </c>
      <c r="AO46" s="41">
        <f>ROUND($B$7*$B$10*$B$14*$B$15*$B$18*$B$20*$B$24,0)</f>
        <v/>
      </c>
      <c r="AP46" s="41">
        <f>ROUND($B$7*$B$10*$B$14*$B$15*$B$18*$B$21*$B$23,0)</f>
        <v/>
      </c>
      <c r="AQ46" s="41">
        <f>ROUND($B$7*$B$10*$B$14*$B$15*$B$18*$B$21*$B$24,0)</f>
        <v/>
      </c>
      <c r="AR46" s="41">
        <f>ROUND($B$7*$B$10*$B$14*$B$15*$B$18*$B$22*$B$23,0)</f>
        <v/>
      </c>
      <c r="AS46" s="41">
        <f>ROUND($B$7*$B$10*$B$14*$B$15*$B$18*$B$22*$B$24,0)</f>
        <v/>
      </c>
      <c r="AT46" s="41">
        <f>ROUND($B$7*$B$10*$B$14*$B$15*$B$19*$B$20*$B$23,0)</f>
        <v/>
      </c>
      <c r="AU46" s="41">
        <f>ROUND($B$7*$B$10*$B$14*$B$15*$B$19*$B$20*$B$24,0)</f>
        <v/>
      </c>
      <c r="AV46" s="41">
        <f>ROUND($B$7*$B$10*$B$14*$B$15*$B$19*$B$21*$B$23,0)</f>
        <v/>
      </c>
      <c r="AW46" s="41">
        <f>ROUND($B$7*$B$10*$B$14*$B$15*$B$19*$B$21*$B$24,0)</f>
        <v/>
      </c>
      <c r="AX46" s="41">
        <f>ROUND($B$7*$B$10*$B$14*$B$15*$B$19*$B$22*$B$23,0)</f>
        <v/>
      </c>
      <c r="AY46" s="41">
        <f>ROUND($B$7*$B$10*$B$14*$B$15*$B$19*$B$22*$B$24,0)</f>
        <v/>
      </c>
    </row>
    <row r="47" ht="20.1" customHeight="1" s="62">
      <c r="A47" s="90" t="n"/>
      <c r="B47" s="58" t="n"/>
      <c r="C47" s="87" t="inlineStr">
        <is>
          <t>2-3 cibles</t>
        </is>
      </c>
      <c r="D47" s="40">
        <f>ROUND($B$4*$B$10*$B$14*$B$16*$B$18*$B$20*$B$23,0)</f>
        <v/>
      </c>
      <c r="E47" s="40">
        <f>ROUND($B$4*$B$10*$B$14*$B$16*$B$18*$B$20*$B$24,0)</f>
        <v/>
      </c>
      <c r="F47" s="40">
        <f>ROUND($B$4*$B$10*$B$14*$B$16*$B$18*$B$21*$B$23,0)</f>
        <v/>
      </c>
      <c r="G47" s="40">
        <f>ROUND($B$4*$B$10*$B$14*$B$16*$B$18*$B$21*$B$24,0)</f>
        <v/>
      </c>
      <c r="H47" s="40">
        <f>ROUND($B$4*$B$10*$B$14*$B$16*$B$18*$B$22*$B$23,0)</f>
        <v/>
      </c>
      <c r="I47" s="40">
        <f>ROUND($B$4*$B$10*$B$14*$B$16*$B$18*$B$22*$B$24,0)</f>
        <v/>
      </c>
      <c r="J47" s="40">
        <f>ROUND($B$4*$B$10*$B$14*$B$16*$B$19*$B$20*$B$23,0)</f>
        <v/>
      </c>
      <c r="K47" s="40">
        <f>ROUND($B$4*$B$10*$B$14*$B$16*$B$19*$B$20*$B$24,0)</f>
        <v/>
      </c>
      <c r="L47" s="40">
        <f>ROUND($B$4*$B$10*$B$14*$B$16*$B$19*$B$21*$B$23,0)</f>
        <v/>
      </c>
      <c r="M47" s="40">
        <f>ROUND($B$4*$B$10*$B$14*$B$16*$B$19*$B$21*$B$24,0)</f>
        <v/>
      </c>
      <c r="N47" s="40">
        <f>ROUND($B$4*$B$10*$B$14*$B$16*$B$19*$B$22*$B$23,0)</f>
        <v/>
      </c>
      <c r="O47" s="40">
        <f>ROUND($B$4*$B$10*$B$14*$B$16*$B$19*$B$22*$B$24,0)</f>
        <v/>
      </c>
      <c r="P47" s="40">
        <f>ROUND($B$5*$B$10*$B$14*$B$16*$B$18*$B$20*$B$23,0)</f>
        <v/>
      </c>
      <c r="Q47" s="40">
        <f>ROUND($B$5*$B$10*$B$14*$B$16*$B$18*$B$20*$B$24,0)</f>
        <v/>
      </c>
      <c r="R47" s="40">
        <f>ROUND($B$5*$B$10*$B$14*$B$16*$B$18*$B$21*$B$23,0)</f>
        <v/>
      </c>
      <c r="S47" s="40">
        <f>ROUND($B$5*$B$10*$B$14*$B$16*$B$18*$B$21*$B$24,0)</f>
        <v/>
      </c>
      <c r="T47" s="40">
        <f>ROUND($B$5*$B$10*$B$14*$B$16*$B$18*$B$22*$B$23,0)</f>
        <v/>
      </c>
      <c r="U47" s="40">
        <f>ROUND($B$5*$B$10*$B$14*$B$16*$B$18*$B$22*$B$24,0)</f>
        <v/>
      </c>
      <c r="V47" s="40">
        <f>ROUND($B$5*$B$10*$B$14*$B$16*$B$19*$B$20*$B$23,0)</f>
        <v/>
      </c>
      <c r="W47" s="40">
        <f>ROUND($B$5*$B$10*$B$14*$B$16*$B$19*$B$20*$B$24,0)</f>
        <v/>
      </c>
      <c r="X47" s="40">
        <f>ROUND($B$5*$B$10*$B$14*$B$16*$B$19*$B$21*$B$23,0)</f>
        <v/>
      </c>
      <c r="Y47" s="40">
        <f>ROUND($B$5*$B$10*$B$14*$B$16*$B$19*$B$21*$B$24,0)</f>
        <v/>
      </c>
      <c r="Z47" s="40">
        <f>ROUND($B$5*$B$10*$B$14*$B$16*$B$19*$B$22*$B$23,0)</f>
        <v/>
      </c>
      <c r="AA47" s="40">
        <f>ROUND($B$5*$B$10*$B$14*$B$16*$B$19*$B$22*$B$24,0)</f>
        <v/>
      </c>
      <c r="AB47" s="40">
        <f>ROUND($B$6*$B$10*$B$14*$B$16*$B$18*$B$20*$B$23,0)</f>
        <v/>
      </c>
      <c r="AC47" s="40">
        <f>ROUND($B$6*$B$10*$B$14*$B$16*$B$18*$B$20*$B$24,0)</f>
        <v/>
      </c>
      <c r="AD47" s="40">
        <f>ROUND($B$6*$B$10*$B$14*$B$16*$B$18*$B$21*$B$23,0)</f>
        <v/>
      </c>
      <c r="AE47" s="40">
        <f>ROUND($B$6*$B$10*$B$14*$B$16*$B$18*$B$21*$B$24,0)</f>
        <v/>
      </c>
      <c r="AF47" s="40">
        <f>ROUND($B$6*$B$10*$B$14*$B$16*$B$18*$B$22*$B$23,0)</f>
        <v/>
      </c>
      <c r="AG47" s="40">
        <f>ROUND($B$6*$B$10*$B$14*$B$16*$B$18*$B$22*$B$24,0)</f>
        <v/>
      </c>
      <c r="AH47" s="40">
        <f>ROUND($B$6*$B$10*$B$14*$B$16*$B$19*$B$20*$B$23,0)</f>
        <v/>
      </c>
      <c r="AI47" s="40">
        <f>ROUND($B$6*$B$10*$B$14*$B$16*$B$19*$B$20*$B$24,0)</f>
        <v/>
      </c>
      <c r="AJ47" s="40">
        <f>ROUND($B$6*$B$10*$B$14*$B$16*$B$19*$B$21*$B$23,0)</f>
        <v/>
      </c>
      <c r="AK47" s="40">
        <f>ROUND($B$6*$B$10*$B$14*$B$16*$B$19*$B$21*$B$24,0)</f>
        <v/>
      </c>
      <c r="AL47" s="40">
        <f>ROUND($B$6*$B$10*$B$14*$B$16*$B$19*$B$22*$B$23,0)</f>
        <v/>
      </c>
      <c r="AM47" s="40">
        <f>ROUND($B$6*$B$10*$B$14*$B$16*$B$19*$B$22*$B$24,0)</f>
        <v/>
      </c>
      <c r="AN47" s="41">
        <f>ROUND($B$7*$B$10*$B$14*$B$16*$B$18*$B$20*$B$23,0)</f>
        <v/>
      </c>
      <c r="AO47" s="41">
        <f>ROUND($B$7*$B$10*$B$14*$B$16*$B$18*$B$20*$B$24,0)</f>
        <v/>
      </c>
      <c r="AP47" s="41">
        <f>ROUND($B$7*$B$10*$B$14*$B$16*$B$18*$B$21*$B$23,0)</f>
        <v/>
      </c>
      <c r="AQ47" s="41">
        <f>ROUND($B$7*$B$10*$B$14*$B$16*$B$18*$B$21*$B$24,0)</f>
        <v/>
      </c>
      <c r="AR47" s="41">
        <f>ROUND($B$7*$B$10*$B$14*$B$16*$B$18*$B$22*$B$23,0)</f>
        <v/>
      </c>
      <c r="AS47" s="41">
        <f>ROUND($B$7*$B$10*$B$14*$B$16*$B$18*$B$22*$B$24,0)</f>
        <v/>
      </c>
      <c r="AT47" s="41">
        <f>ROUND($B$7*$B$10*$B$14*$B$16*$B$19*$B$20*$B$23,0)</f>
        <v/>
      </c>
      <c r="AU47" s="41">
        <f>ROUND($B$7*$B$10*$B$14*$B$16*$B$19*$B$20*$B$24,0)</f>
        <v/>
      </c>
      <c r="AV47" s="41">
        <f>ROUND($B$7*$B$10*$B$14*$B$16*$B$19*$B$21*$B$23,0)</f>
        <v/>
      </c>
      <c r="AW47" s="41">
        <f>ROUND($B$7*$B$10*$B$14*$B$16*$B$19*$B$21*$B$24,0)</f>
        <v/>
      </c>
      <c r="AX47" s="41">
        <f>ROUND($B$7*$B$10*$B$14*$B$16*$B$19*$B$22*$B$23,0)</f>
        <v/>
      </c>
      <c r="AY47" s="41">
        <f>ROUND($B$7*$B$10*$B$14*$B$16*$B$19*$B$22*$B$24,0)</f>
        <v/>
      </c>
    </row>
    <row r="48" ht="20.1" customHeight="1" s="62">
      <c r="A48" s="91" t="n"/>
      <c r="B48" s="59" t="n"/>
      <c r="C48" s="42" t="inlineStr">
        <is>
          <t>4+ cibles</t>
        </is>
      </c>
      <c r="D48" s="40">
        <f>ROUND($B$4*$B$10*$B$14*$B$17*$B$18*$B$20*$B$23,0)</f>
        <v/>
      </c>
      <c r="E48" s="40">
        <f>ROUND($B$4*$B$10*$B$14*$B$17*$B$18*$B$20*$B$24,0)</f>
        <v/>
      </c>
      <c r="F48" s="40">
        <f>ROUND($B$4*$B$10*$B$14*$B$17*$B$18*$B$21*$B$23,0)</f>
        <v/>
      </c>
      <c r="G48" s="40">
        <f>ROUND($B$4*$B$10*$B$14*$B$17*$B$18*$B$21*$B$24,0)</f>
        <v/>
      </c>
      <c r="H48" s="40">
        <f>ROUND($B$4*$B$10*$B$14*$B$17*$B$18*$B$22*$B$23,0)</f>
        <v/>
      </c>
      <c r="I48" s="40">
        <f>ROUND($B$4*$B$10*$B$14*$B$17*$B$18*$B$22*$B$24,0)</f>
        <v/>
      </c>
      <c r="J48" s="40">
        <f>ROUND($B$4*$B$10*$B$14*$B$17*$B$19*$B$20*$B$23,0)</f>
        <v/>
      </c>
      <c r="K48" s="40">
        <f>ROUND($B$4*$B$10*$B$14*$B$17*$B$19*$B$20*$B$24,0)</f>
        <v/>
      </c>
      <c r="L48" s="40">
        <f>ROUND($B$4*$B$10*$B$14*$B$17*$B$19*$B$21*$B$23,0)</f>
        <v/>
      </c>
      <c r="M48" s="40">
        <f>ROUND($B$4*$B$10*$B$14*$B$17*$B$19*$B$21*$B$24,0)</f>
        <v/>
      </c>
      <c r="N48" s="40">
        <f>ROUND($B$4*$B$10*$B$14*$B$17*$B$19*$B$22*$B$23,0)</f>
        <v/>
      </c>
      <c r="O48" s="40">
        <f>ROUND($B$4*$B$10*$B$14*$B$17*$B$19*$B$22*$B$24,0)</f>
        <v/>
      </c>
      <c r="P48" s="40">
        <f>ROUND($B$5*$B$10*$B$14*$B$17*$B$18*$B$20*$B$23,0)</f>
        <v/>
      </c>
      <c r="Q48" s="40">
        <f>ROUND($B$5*$B$10*$B$14*$B$17*$B$18*$B$20*$B$24,0)</f>
        <v/>
      </c>
      <c r="R48" s="40">
        <f>ROUND($B$5*$B$10*$B$14*$B$17*$B$18*$B$21*$B$23,0)</f>
        <v/>
      </c>
      <c r="S48" s="40">
        <f>ROUND($B$5*$B$10*$B$14*$B$17*$B$18*$B$21*$B$24,0)</f>
        <v/>
      </c>
      <c r="T48" s="40">
        <f>ROUND($B$5*$B$10*$B$14*$B$17*$B$18*$B$22*$B$23,0)</f>
        <v/>
      </c>
      <c r="U48" s="40">
        <f>ROUND($B$5*$B$10*$B$14*$B$17*$B$18*$B$22*$B$24,0)</f>
        <v/>
      </c>
      <c r="V48" s="40">
        <f>ROUND($B$5*$B$10*$B$14*$B$17*$B$19*$B$20*$B$23,0)</f>
        <v/>
      </c>
      <c r="W48" s="40">
        <f>ROUND($B$5*$B$10*$B$14*$B$17*$B$19*$B$20*$B$24,0)</f>
        <v/>
      </c>
      <c r="X48" s="40">
        <f>ROUND($B$5*$B$10*$B$14*$B$17*$B$19*$B$21*$B$23,0)</f>
        <v/>
      </c>
      <c r="Y48" s="40">
        <f>ROUND($B$5*$B$10*$B$14*$B$17*$B$19*$B$21*$B$24,0)</f>
        <v/>
      </c>
      <c r="Z48" s="40">
        <f>ROUND($B$5*$B$10*$B$14*$B$17*$B$19*$B$22*$B$23,0)</f>
        <v/>
      </c>
      <c r="AA48" s="40">
        <f>ROUND($B$5*$B$10*$B$14*$B$17*$B$19*$B$22*$B$24,0)</f>
        <v/>
      </c>
      <c r="AB48" s="40">
        <f>ROUND($B$6*$B$10*$B$14*$B$17*$B$18*$B$20*$B$23,0)</f>
        <v/>
      </c>
      <c r="AC48" s="40">
        <f>ROUND($B$6*$B$10*$B$14*$B$17*$B$18*$B$20*$B$24,0)</f>
        <v/>
      </c>
      <c r="AD48" s="40">
        <f>ROUND($B$6*$B$10*$B$14*$B$17*$B$18*$B$21*$B$23,0)</f>
        <v/>
      </c>
      <c r="AE48" s="40">
        <f>ROUND($B$6*$B$10*$B$14*$B$17*$B$18*$B$21*$B$24,0)</f>
        <v/>
      </c>
      <c r="AF48" s="40">
        <f>ROUND($B$6*$B$10*$B$14*$B$17*$B$18*$B$22*$B$23,0)</f>
        <v/>
      </c>
      <c r="AG48" s="40">
        <f>ROUND($B$6*$B$10*$B$14*$B$17*$B$18*$B$22*$B$24,0)</f>
        <v/>
      </c>
      <c r="AH48" s="40">
        <f>ROUND($B$6*$B$10*$B$14*$B$17*$B$19*$B$20*$B$23,0)</f>
        <v/>
      </c>
      <c r="AI48" s="40">
        <f>ROUND($B$6*$B$10*$B$14*$B$17*$B$19*$B$20*$B$24,0)</f>
        <v/>
      </c>
      <c r="AJ48" s="40">
        <f>ROUND($B$6*$B$10*$B$14*$B$17*$B$19*$B$21*$B$23,0)</f>
        <v/>
      </c>
      <c r="AK48" s="40">
        <f>ROUND($B$6*$B$10*$B$14*$B$17*$B$19*$B$21*$B$24,0)</f>
        <v/>
      </c>
      <c r="AL48" s="40">
        <f>ROUND($B$6*$B$10*$B$14*$B$17*$B$19*$B$22*$B$23,0)</f>
        <v/>
      </c>
      <c r="AM48" s="40">
        <f>ROUND($B$6*$B$10*$B$14*$B$17*$B$19*$B$22*$B$24,0)</f>
        <v/>
      </c>
      <c r="AN48" s="41">
        <f>ROUND($B$7*$B$10*$B$14*$B$17*$B$18*$B$20*$B$23,0)</f>
        <v/>
      </c>
      <c r="AO48" s="41">
        <f>ROUND($B$7*$B$10*$B$14*$B$17*$B$18*$B$20*$B$24,0)</f>
        <v/>
      </c>
      <c r="AP48" s="41">
        <f>ROUND($B$7*$B$10*$B$14*$B$17*$B$18*$B$21*$B$23,0)</f>
        <v/>
      </c>
      <c r="AQ48" s="41">
        <f>ROUND($B$7*$B$10*$B$14*$B$17*$B$18*$B$21*$B$24,0)</f>
        <v/>
      </c>
      <c r="AR48" s="41">
        <f>ROUND($B$7*$B$10*$B$14*$B$17*$B$18*$B$22*$B$23,0)</f>
        <v/>
      </c>
      <c r="AS48" s="41">
        <f>ROUND($B$7*$B$10*$B$14*$B$17*$B$18*$B$22*$B$24,0)</f>
        <v/>
      </c>
      <c r="AT48" s="41">
        <f>ROUND($B$7*$B$10*$B$14*$B$17*$B$19*$B$20*$B$23,0)</f>
        <v/>
      </c>
      <c r="AU48" s="41">
        <f>ROUND($B$7*$B$10*$B$14*$B$17*$B$19*$B$20*$B$24,0)</f>
        <v/>
      </c>
      <c r="AV48" s="41">
        <f>ROUND($B$7*$B$10*$B$14*$B$17*$B$19*$B$21*$B$23,0)</f>
        <v/>
      </c>
      <c r="AW48" s="41">
        <f>ROUND($B$7*$B$10*$B$14*$B$17*$B$19*$B$21*$B$24,0)</f>
        <v/>
      </c>
      <c r="AX48" s="41">
        <f>ROUND($B$7*$B$10*$B$14*$B$17*$B$19*$B$22*$B$23,0)</f>
        <v/>
      </c>
      <c r="AY48" s="41">
        <f>ROUND($B$7*$B$10*$B$14*$B$17*$B$19*$B$22*$B$24,0)</f>
        <v/>
      </c>
    </row>
    <row r="49" ht="20.1" customHeight="1" s="62">
      <c r="A49" s="89" t="inlineStr">
        <is>
          <t>Déjà structurée</t>
        </is>
      </c>
      <c r="B49" s="87" t="inlineStr">
        <is>
          <t>1-2 offres</t>
        </is>
      </c>
      <c r="C49" s="39" t="inlineStr">
        <is>
          <t>1 cible</t>
        </is>
      </c>
      <c r="D49" s="40">
        <f>ROUND($B$4*$B$11*$B$12*$B$15*$B$18*$B$20*$B$23,0)</f>
        <v/>
      </c>
      <c r="E49" s="40">
        <f>ROUND($B$4*$B$11*$B$12*$B$15*$B$18*$B$20*$B$24,0)</f>
        <v/>
      </c>
      <c r="F49" s="40">
        <f>ROUND($B$4*$B$11*$B$12*$B$15*$B$18*$B$21*$B$23,0)</f>
        <v/>
      </c>
      <c r="G49" s="40">
        <f>ROUND($B$4*$B$11*$B$12*$B$15*$B$18*$B$21*$B$24,0)</f>
        <v/>
      </c>
      <c r="H49" s="40">
        <f>ROUND($B$4*$B$11*$B$12*$B$15*$B$18*$B$22*$B$23,0)</f>
        <v/>
      </c>
      <c r="I49" s="40">
        <f>ROUND($B$4*$B$11*$B$12*$B$15*$B$18*$B$22*$B$24,0)</f>
        <v/>
      </c>
      <c r="J49" s="40">
        <f>ROUND($B$4*$B$11*$B$12*$B$15*$B$19*$B$20*$B$23,0)</f>
        <v/>
      </c>
      <c r="K49" s="40">
        <f>ROUND($B$4*$B$11*$B$12*$B$15*$B$19*$B$20*$B$24,0)</f>
        <v/>
      </c>
      <c r="L49" s="40">
        <f>ROUND($B$4*$B$11*$B$12*$B$15*$B$19*$B$21*$B$23,0)</f>
        <v/>
      </c>
      <c r="M49" s="40">
        <f>ROUND($B$4*$B$11*$B$12*$B$15*$B$19*$B$21*$B$24,0)</f>
        <v/>
      </c>
      <c r="N49" s="40">
        <f>ROUND($B$4*$B$11*$B$12*$B$15*$B$19*$B$22*$B$23,0)</f>
        <v/>
      </c>
      <c r="O49" s="40">
        <f>ROUND($B$4*$B$11*$B$12*$B$15*$B$19*$B$22*$B$24,0)</f>
        <v/>
      </c>
      <c r="P49" s="40">
        <f>ROUND($B$5*$B$11*$B$12*$B$15*$B$18*$B$20*$B$23,0)</f>
        <v/>
      </c>
      <c r="Q49" s="40">
        <f>ROUND($B$5*$B$11*$B$12*$B$15*$B$18*$B$20*$B$24,0)</f>
        <v/>
      </c>
      <c r="R49" s="40">
        <f>ROUND($B$5*$B$11*$B$12*$B$15*$B$18*$B$21*$B$23,0)</f>
        <v/>
      </c>
      <c r="S49" s="40">
        <f>ROUND($B$5*$B$11*$B$12*$B$15*$B$18*$B$21*$B$24,0)</f>
        <v/>
      </c>
      <c r="T49" s="40">
        <f>ROUND($B$5*$B$11*$B$12*$B$15*$B$18*$B$22*$B$23,0)</f>
        <v/>
      </c>
      <c r="U49" s="40">
        <f>ROUND($B$5*$B$11*$B$12*$B$15*$B$18*$B$22*$B$24,0)</f>
        <v/>
      </c>
      <c r="V49" s="40">
        <f>ROUND($B$5*$B$11*$B$12*$B$15*$B$19*$B$20*$B$23,0)</f>
        <v/>
      </c>
      <c r="W49" s="40">
        <f>ROUND($B$5*$B$11*$B$12*$B$15*$B$19*$B$20*$B$24,0)</f>
        <v/>
      </c>
      <c r="X49" s="40">
        <f>ROUND($B$5*$B$11*$B$12*$B$15*$B$19*$B$21*$B$23,0)</f>
        <v/>
      </c>
      <c r="Y49" s="40">
        <f>ROUND($B$5*$B$11*$B$12*$B$15*$B$19*$B$21*$B$24,0)</f>
        <v/>
      </c>
      <c r="Z49" s="40">
        <f>ROUND($B$5*$B$11*$B$12*$B$15*$B$19*$B$22*$B$23,0)</f>
        <v/>
      </c>
      <c r="AA49" s="40">
        <f>ROUND($B$5*$B$11*$B$12*$B$15*$B$19*$B$22*$B$24,0)</f>
        <v/>
      </c>
      <c r="AB49" s="40">
        <f>ROUND($B$6*$B$11*$B$12*$B$15*$B$18*$B$20*$B$23,0)</f>
        <v/>
      </c>
      <c r="AC49" s="40">
        <f>ROUND($B$6*$B$11*$B$12*$B$15*$B$18*$B$20*$B$24,0)</f>
        <v/>
      </c>
      <c r="AD49" s="40">
        <f>ROUND($B$6*$B$11*$B$12*$B$15*$B$18*$B$21*$B$23,0)</f>
        <v/>
      </c>
      <c r="AE49" s="40">
        <f>ROUND($B$6*$B$11*$B$12*$B$15*$B$18*$B$21*$B$24,0)</f>
        <v/>
      </c>
      <c r="AF49" s="40">
        <f>ROUND($B$6*$B$11*$B$12*$B$15*$B$18*$B$22*$B$23,0)</f>
        <v/>
      </c>
      <c r="AG49" s="40">
        <f>ROUND($B$6*$B$11*$B$12*$B$15*$B$18*$B$22*$B$24,0)</f>
        <v/>
      </c>
      <c r="AH49" s="40">
        <f>ROUND($B$6*$B$11*$B$12*$B$15*$B$19*$B$20*$B$23,0)</f>
        <v/>
      </c>
      <c r="AI49" s="40">
        <f>ROUND($B$6*$B$11*$B$12*$B$15*$B$19*$B$20*$B$24,0)</f>
        <v/>
      </c>
      <c r="AJ49" s="40">
        <f>ROUND($B$6*$B$11*$B$12*$B$15*$B$19*$B$21*$B$23,0)</f>
        <v/>
      </c>
      <c r="AK49" s="40">
        <f>ROUND($B$6*$B$11*$B$12*$B$15*$B$19*$B$21*$B$24,0)</f>
        <v/>
      </c>
      <c r="AL49" s="40">
        <f>ROUND($B$6*$B$11*$B$12*$B$15*$B$19*$B$22*$B$23,0)</f>
        <v/>
      </c>
      <c r="AM49" s="40">
        <f>ROUND($B$6*$B$11*$B$12*$B$15*$B$19*$B$22*$B$24,0)</f>
        <v/>
      </c>
      <c r="AN49" s="41">
        <f>ROUND($B$7*$B$11*$B$12*$B$15*$B$18*$B$20*$B$23,0)</f>
        <v/>
      </c>
      <c r="AO49" s="41">
        <f>ROUND($B$7*$B$11*$B$12*$B$15*$B$18*$B$20*$B$24,0)</f>
        <v/>
      </c>
      <c r="AP49" s="41">
        <f>ROUND($B$7*$B$11*$B$12*$B$15*$B$18*$B$21*$B$23,0)</f>
        <v/>
      </c>
      <c r="AQ49" s="41">
        <f>ROUND($B$7*$B$11*$B$12*$B$15*$B$18*$B$21*$B$24,0)</f>
        <v/>
      </c>
      <c r="AR49" s="41">
        <f>ROUND($B$7*$B$11*$B$12*$B$15*$B$18*$B$22*$B$23,0)</f>
        <v/>
      </c>
      <c r="AS49" s="41">
        <f>ROUND($B$7*$B$11*$B$12*$B$15*$B$18*$B$22*$B$24,0)</f>
        <v/>
      </c>
      <c r="AT49" s="41">
        <f>ROUND($B$7*$B$11*$B$12*$B$15*$B$19*$B$20*$B$23,0)</f>
        <v/>
      </c>
      <c r="AU49" s="41">
        <f>ROUND($B$7*$B$11*$B$12*$B$15*$B$19*$B$20*$B$24,0)</f>
        <v/>
      </c>
      <c r="AV49" s="41">
        <f>ROUND($B$7*$B$11*$B$12*$B$15*$B$19*$B$21*$B$23,0)</f>
        <v/>
      </c>
      <c r="AW49" s="41">
        <f>ROUND($B$7*$B$11*$B$12*$B$15*$B$19*$B$21*$B$24,0)</f>
        <v/>
      </c>
      <c r="AX49" s="41">
        <f>ROUND($B$7*$B$11*$B$12*$B$15*$B$19*$B$22*$B$23,0)</f>
        <v/>
      </c>
      <c r="AY49" s="41">
        <f>ROUND($B$7*$B$11*$B$12*$B$15*$B$19*$B$22*$B$24,0)</f>
        <v/>
      </c>
    </row>
    <row r="50" ht="20.1" customHeight="1" s="62">
      <c r="A50" s="90" t="n"/>
      <c r="B50" s="58" t="n"/>
      <c r="C50" s="87" t="inlineStr">
        <is>
          <t>2-3 cibles</t>
        </is>
      </c>
      <c r="D50" s="40">
        <f>ROUND($B$4*$B$11*$B$12*$B$16*$B$18*$B$20*$B$23,0)</f>
        <v/>
      </c>
      <c r="E50" s="40">
        <f>ROUND($B$4*$B$11*$B$12*$B$16*$B$18*$B$20*$B$24,0)</f>
        <v/>
      </c>
      <c r="F50" s="40">
        <f>ROUND($B$4*$B$11*$B$12*$B$16*$B$18*$B$21*$B$23,0)</f>
        <v/>
      </c>
      <c r="G50" s="40">
        <f>ROUND($B$4*$B$11*$B$12*$B$16*$B$18*$B$21*$B$24,0)</f>
        <v/>
      </c>
      <c r="H50" s="40">
        <f>ROUND($B$4*$B$11*$B$12*$B$16*$B$18*$B$22*$B$23,0)</f>
        <v/>
      </c>
      <c r="I50" s="40">
        <f>ROUND($B$4*$B$11*$B$12*$B$16*$B$18*$B$22*$B$24,0)</f>
        <v/>
      </c>
      <c r="J50" s="40">
        <f>ROUND($B$4*$B$11*$B$12*$B$16*$B$19*$B$20*$B$23,0)</f>
        <v/>
      </c>
      <c r="K50" s="40">
        <f>ROUND($B$4*$B$11*$B$12*$B$16*$B$19*$B$20*$B$24,0)</f>
        <v/>
      </c>
      <c r="L50" s="40">
        <f>ROUND($B$4*$B$11*$B$12*$B$16*$B$19*$B$21*$B$23,0)</f>
        <v/>
      </c>
      <c r="M50" s="40">
        <f>ROUND($B$4*$B$11*$B$12*$B$16*$B$19*$B$21*$B$24,0)</f>
        <v/>
      </c>
      <c r="N50" s="40">
        <f>ROUND($B$4*$B$11*$B$12*$B$16*$B$19*$B$22*$B$23,0)</f>
        <v/>
      </c>
      <c r="O50" s="40">
        <f>ROUND($B$4*$B$11*$B$12*$B$16*$B$19*$B$22*$B$24,0)</f>
        <v/>
      </c>
      <c r="P50" s="40">
        <f>ROUND($B$5*$B$11*$B$12*$B$16*$B$18*$B$20*$B$23,0)</f>
        <v/>
      </c>
      <c r="Q50" s="40">
        <f>ROUND($B$5*$B$11*$B$12*$B$16*$B$18*$B$20*$B$24,0)</f>
        <v/>
      </c>
      <c r="R50" s="40">
        <f>ROUND($B$5*$B$11*$B$12*$B$16*$B$18*$B$21*$B$23,0)</f>
        <v/>
      </c>
      <c r="S50" s="40">
        <f>ROUND($B$5*$B$11*$B$12*$B$16*$B$18*$B$21*$B$24,0)</f>
        <v/>
      </c>
      <c r="T50" s="40">
        <f>ROUND($B$5*$B$11*$B$12*$B$16*$B$18*$B$22*$B$23,0)</f>
        <v/>
      </c>
      <c r="U50" s="40">
        <f>ROUND($B$5*$B$11*$B$12*$B$16*$B$18*$B$22*$B$24,0)</f>
        <v/>
      </c>
      <c r="V50" s="40">
        <f>ROUND($B$5*$B$11*$B$12*$B$16*$B$19*$B$20*$B$23,0)</f>
        <v/>
      </c>
      <c r="W50" s="40">
        <f>ROUND($B$5*$B$11*$B$12*$B$16*$B$19*$B$20*$B$24,0)</f>
        <v/>
      </c>
      <c r="X50" s="40">
        <f>ROUND($B$5*$B$11*$B$12*$B$16*$B$19*$B$21*$B$23,0)</f>
        <v/>
      </c>
      <c r="Y50" s="40">
        <f>ROUND($B$5*$B$11*$B$12*$B$16*$B$19*$B$21*$B$24,0)</f>
        <v/>
      </c>
      <c r="Z50" s="40">
        <f>ROUND($B$5*$B$11*$B$12*$B$16*$B$19*$B$22*$B$23,0)</f>
        <v/>
      </c>
      <c r="AA50" s="40">
        <f>ROUND($B$5*$B$11*$B$12*$B$16*$B$19*$B$22*$B$24,0)</f>
        <v/>
      </c>
      <c r="AB50" s="40">
        <f>ROUND($B$6*$B$11*$B$12*$B$16*$B$18*$B$20*$B$23,0)</f>
        <v/>
      </c>
      <c r="AC50" s="40">
        <f>ROUND($B$6*$B$11*$B$12*$B$16*$B$18*$B$20*$B$24,0)</f>
        <v/>
      </c>
      <c r="AD50" s="40">
        <f>ROUND($B$6*$B$11*$B$12*$B$16*$B$18*$B$21*$B$23,0)</f>
        <v/>
      </c>
      <c r="AE50" s="40">
        <f>ROUND($B$6*$B$11*$B$12*$B$16*$B$18*$B$21*$B$24,0)</f>
        <v/>
      </c>
      <c r="AF50" s="40">
        <f>ROUND($B$6*$B$11*$B$12*$B$16*$B$18*$B$22*$B$23,0)</f>
        <v/>
      </c>
      <c r="AG50" s="40">
        <f>ROUND($B$6*$B$11*$B$12*$B$16*$B$18*$B$22*$B$24,0)</f>
        <v/>
      </c>
      <c r="AH50" s="40">
        <f>ROUND($B$6*$B$11*$B$12*$B$16*$B$19*$B$20*$B$23,0)</f>
        <v/>
      </c>
      <c r="AI50" s="40">
        <f>ROUND($B$6*$B$11*$B$12*$B$16*$B$19*$B$20*$B$24,0)</f>
        <v/>
      </c>
      <c r="AJ50" s="40">
        <f>ROUND($B$6*$B$11*$B$12*$B$16*$B$19*$B$21*$B$23,0)</f>
        <v/>
      </c>
      <c r="AK50" s="40">
        <f>ROUND($B$6*$B$11*$B$12*$B$16*$B$19*$B$21*$B$24,0)</f>
        <v/>
      </c>
      <c r="AL50" s="40">
        <f>ROUND($B$6*$B$11*$B$12*$B$16*$B$19*$B$22*$B$23,0)</f>
        <v/>
      </c>
      <c r="AM50" s="40">
        <f>ROUND($B$6*$B$11*$B$12*$B$16*$B$19*$B$22*$B$24,0)</f>
        <v/>
      </c>
      <c r="AN50" s="41">
        <f>ROUND($B$7*$B$11*$B$12*$B$16*$B$18*$B$20*$B$23,0)</f>
        <v/>
      </c>
      <c r="AO50" s="41">
        <f>ROUND($B$7*$B$11*$B$12*$B$16*$B$18*$B$20*$B$24,0)</f>
        <v/>
      </c>
      <c r="AP50" s="41">
        <f>ROUND($B$7*$B$11*$B$12*$B$16*$B$18*$B$21*$B$23,0)</f>
        <v/>
      </c>
      <c r="AQ50" s="41">
        <f>ROUND($B$7*$B$11*$B$12*$B$16*$B$18*$B$21*$B$24,0)</f>
        <v/>
      </c>
      <c r="AR50" s="41">
        <f>ROUND($B$7*$B$11*$B$12*$B$16*$B$18*$B$22*$B$23,0)</f>
        <v/>
      </c>
      <c r="AS50" s="41">
        <f>ROUND($B$7*$B$11*$B$12*$B$16*$B$18*$B$22*$B$24,0)</f>
        <v/>
      </c>
      <c r="AT50" s="41">
        <f>ROUND($B$7*$B$11*$B$12*$B$16*$B$19*$B$20*$B$23,0)</f>
        <v/>
      </c>
      <c r="AU50" s="41">
        <f>ROUND($B$7*$B$11*$B$12*$B$16*$B$19*$B$20*$B$24,0)</f>
        <v/>
      </c>
      <c r="AV50" s="41">
        <f>ROUND($B$7*$B$11*$B$12*$B$16*$B$19*$B$21*$B$23,0)</f>
        <v/>
      </c>
      <c r="AW50" s="41">
        <f>ROUND($B$7*$B$11*$B$12*$B$16*$B$19*$B$21*$B$24,0)</f>
        <v/>
      </c>
      <c r="AX50" s="41">
        <f>ROUND($B$7*$B$11*$B$12*$B$16*$B$19*$B$22*$B$23,0)</f>
        <v/>
      </c>
      <c r="AY50" s="41">
        <f>ROUND($B$7*$B$11*$B$12*$B$16*$B$19*$B$22*$B$24,0)</f>
        <v/>
      </c>
    </row>
    <row r="51" ht="20.1" customHeight="1" s="62">
      <c r="A51" s="90" t="n"/>
      <c r="B51" s="59" t="n"/>
      <c r="C51" s="42" t="inlineStr">
        <is>
          <t>4+ cibles</t>
        </is>
      </c>
      <c r="D51" s="40">
        <f>ROUND($B$4*$B$11*$B$12*$B$17*$B$18*$B$20*$B$23,0)</f>
        <v/>
      </c>
      <c r="E51" s="40">
        <f>ROUND($B$4*$B$11*$B$12*$B$17*$B$18*$B$20*$B$24,0)</f>
        <v/>
      </c>
      <c r="F51" s="40">
        <f>ROUND($B$4*$B$11*$B$12*$B$17*$B$18*$B$21*$B$23,0)</f>
        <v/>
      </c>
      <c r="G51" s="40">
        <f>ROUND($B$4*$B$11*$B$12*$B$17*$B$18*$B$21*$B$24,0)</f>
        <v/>
      </c>
      <c r="H51" s="40">
        <f>ROUND($B$4*$B$11*$B$12*$B$17*$B$18*$B$22*$B$23,0)</f>
        <v/>
      </c>
      <c r="I51" s="40">
        <f>ROUND($B$4*$B$11*$B$12*$B$17*$B$18*$B$22*$B$24,0)</f>
        <v/>
      </c>
      <c r="J51" s="40">
        <f>ROUND($B$4*$B$11*$B$12*$B$17*$B$19*$B$20*$B$23,0)</f>
        <v/>
      </c>
      <c r="K51" s="40">
        <f>ROUND($B$4*$B$11*$B$12*$B$17*$B$19*$B$20*$B$24,0)</f>
        <v/>
      </c>
      <c r="L51" s="40">
        <f>ROUND($B$4*$B$11*$B$12*$B$17*$B$19*$B$21*$B$23,0)</f>
        <v/>
      </c>
      <c r="M51" s="40">
        <f>ROUND($B$4*$B$11*$B$12*$B$17*$B$19*$B$21*$B$24,0)</f>
        <v/>
      </c>
      <c r="N51" s="40">
        <f>ROUND($B$4*$B$11*$B$12*$B$17*$B$19*$B$22*$B$23,0)</f>
        <v/>
      </c>
      <c r="O51" s="40">
        <f>ROUND($B$4*$B$11*$B$12*$B$17*$B$19*$B$22*$B$24,0)</f>
        <v/>
      </c>
      <c r="P51" s="40">
        <f>ROUND($B$5*$B$11*$B$12*$B$17*$B$18*$B$20*$B$23,0)</f>
        <v/>
      </c>
      <c r="Q51" s="40">
        <f>ROUND($B$5*$B$11*$B$12*$B$17*$B$18*$B$20*$B$24,0)</f>
        <v/>
      </c>
      <c r="R51" s="40">
        <f>ROUND($B$5*$B$11*$B$12*$B$17*$B$18*$B$21*$B$23,0)</f>
        <v/>
      </c>
      <c r="S51" s="40">
        <f>ROUND($B$5*$B$11*$B$12*$B$17*$B$18*$B$21*$B$24,0)</f>
        <v/>
      </c>
      <c r="T51" s="40">
        <f>ROUND($B$5*$B$11*$B$12*$B$17*$B$18*$B$22*$B$23,0)</f>
        <v/>
      </c>
      <c r="U51" s="40">
        <f>ROUND($B$5*$B$11*$B$12*$B$17*$B$18*$B$22*$B$24,0)</f>
        <v/>
      </c>
      <c r="V51" s="40">
        <f>ROUND($B$5*$B$11*$B$12*$B$17*$B$19*$B$20*$B$23,0)</f>
        <v/>
      </c>
      <c r="W51" s="40">
        <f>ROUND($B$5*$B$11*$B$12*$B$17*$B$19*$B$20*$B$24,0)</f>
        <v/>
      </c>
      <c r="X51" s="40">
        <f>ROUND($B$5*$B$11*$B$12*$B$17*$B$19*$B$21*$B$23,0)</f>
        <v/>
      </c>
      <c r="Y51" s="40">
        <f>ROUND($B$5*$B$11*$B$12*$B$17*$B$19*$B$21*$B$24,0)</f>
        <v/>
      </c>
      <c r="Z51" s="40">
        <f>ROUND($B$5*$B$11*$B$12*$B$17*$B$19*$B$22*$B$23,0)</f>
        <v/>
      </c>
      <c r="AA51" s="40">
        <f>ROUND($B$5*$B$11*$B$12*$B$17*$B$19*$B$22*$B$24,0)</f>
        <v/>
      </c>
      <c r="AB51" s="40">
        <f>ROUND($B$6*$B$11*$B$12*$B$17*$B$18*$B$20*$B$23,0)</f>
        <v/>
      </c>
      <c r="AC51" s="40">
        <f>ROUND($B$6*$B$11*$B$12*$B$17*$B$18*$B$20*$B$24,0)</f>
        <v/>
      </c>
      <c r="AD51" s="40">
        <f>ROUND($B$6*$B$11*$B$12*$B$17*$B$18*$B$21*$B$23,0)</f>
        <v/>
      </c>
      <c r="AE51" s="40">
        <f>ROUND($B$6*$B$11*$B$12*$B$17*$B$18*$B$21*$B$24,0)</f>
        <v/>
      </c>
      <c r="AF51" s="40">
        <f>ROUND($B$6*$B$11*$B$12*$B$17*$B$18*$B$22*$B$23,0)</f>
        <v/>
      </c>
      <c r="AG51" s="40">
        <f>ROUND($B$6*$B$11*$B$12*$B$17*$B$18*$B$22*$B$24,0)</f>
        <v/>
      </c>
      <c r="AH51" s="40">
        <f>ROUND($B$6*$B$11*$B$12*$B$17*$B$19*$B$20*$B$23,0)</f>
        <v/>
      </c>
      <c r="AI51" s="40">
        <f>ROUND($B$6*$B$11*$B$12*$B$17*$B$19*$B$20*$B$24,0)</f>
        <v/>
      </c>
      <c r="AJ51" s="40">
        <f>ROUND($B$6*$B$11*$B$12*$B$17*$B$19*$B$21*$B$23,0)</f>
        <v/>
      </c>
      <c r="AK51" s="40">
        <f>ROUND($B$6*$B$11*$B$12*$B$17*$B$19*$B$21*$B$24,0)</f>
        <v/>
      </c>
      <c r="AL51" s="40">
        <f>ROUND($B$6*$B$11*$B$12*$B$17*$B$19*$B$22*$B$23,0)</f>
        <v/>
      </c>
      <c r="AM51" s="40">
        <f>ROUND($B$6*$B$11*$B$12*$B$17*$B$19*$B$22*$B$24,0)</f>
        <v/>
      </c>
      <c r="AN51" s="41">
        <f>ROUND($B$7*$B$11*$B$12*$B$17*$B$18*$B$20*$B$23,0)</f>
        <v/>
      </c>
      <c r="AO51" s="41">
        <f>ROUND($B$7*$B$11*$B$12*$B$17*$B$18*$B$20*$B$24,0)</f>
        <v/>
      </c>
      <c r="AP51" s="41">
        <f>ROUND($B$7*$B$11*$B$12*$B$17*$B$18*$B$21*$B$23,0)</f>
        <v/>
      </c>
      <c r="AQ51" s="41">
        <f>ROUND($B$7*$B$11*$B$12*$B$17*$B$18*$B$21*$B$24,0)</f>
        <v/>
      </c>
      <c r="AR51" s="41">
        <f>ROUND($B$7*$B$11*$B$12*$B$17*$B$18*$B$22*$B$23,0)</f>
        <v/>
      </c>
      <c r="AS51" s="41">
        <f>ROUND($B$7*$B$11*$B$12*$B$17*$B$18*$B$22*$B$24,0)</f>
        <v/>
      </c>
      <c r="AT51" s="41">
        <f>ROUND($B$7*$B$11*$B$12*$B$17*$B$19*$B$20*$B$23,0)</f>
        <v/>
      </c>
      <c r="AU51" s="41">
        <f>ROUND($B$7*$B$11*$B$12*$B$17*$B$19*$B$20*$B$24,0)</f>
        <v/>
      </c>
      <c r="AV51" s="41">
        <f>ROUND($B$7*$B$11*$B$12*$B$17*$B$19*$B$21*$B$23,0)</f>
        <v/>
      </c>
      <c r="AW51" s="41">
        <f>ROUND($B$7*$B$11*$B$12*$B$17*$B$19*$B$21*$B$24,0)</f>
        <v/>
      </c>
      <c r="AX51" s="41">
        <f>ROUND($B$7*$B$11*$B$12*$B$17*$B$19*$B$22*$B$23,0)</f>
        <v/>
      </c>
      <c r="AY51" s="41">
        <f>ROUND($B$7*$B$11*$B$12*$B$17*$B$19*$B$22*$B$24,0)</f>
        <v/>
      </c>
    </row>
    <row r="52" ht="20.1" customHeight="1" s="62">
      <c r="A52" s="90" t="n"/>
      <c r="B52" s="87" t="inlineStr">
        <is>
          <t>3-5 offres</t>
        </is>
      </c>
      <c r="C52" s="39" t="inlineStr">
        <is>
          <t>1 cible</t>
        </is>
      </c>
      <c r="D52" s="40">
        <f>ROUND($B$4*$B$11*$B$13*$B$15*$B$18*$B$20*$B$23,0)</f>
        <v/>
      </c>
      <c r="E52" s="40">
        <f>ROUND($B$4*$B$11*$B$13*$B$15*$B$18*$B$20*$B$24,0)</f>
        <v/>
      </c>
      <c r="F52" s="40">
        <f>ROUND($B$4*$B$11*$B$13*$B$15*$B$18*$B$21*$B$23,0)</f>
        <v/>
      </c>
      <c r="G52" s="40">
        <f>ROUND($B$4*$B$11*$B$13*$B$15*$B$18*$B$21*$B$24,0)</f>
        <v/>
      </c>
      <c r="H52" s="40">
        <f>ROUND($B$4*$B$11*$B$13*$B$15*$B$18*$B$22*$B$23,0)</f>
        <v/>
      </c>
      <c r="I52" s="40">
        <f>ROUND($B$4*$B$11*$B$13*$B$15*$B$18*$B$22*$B$24,0)</f>
        <v/>
      </c>
      <c r="J52" s="40">
        <f>ROUND($B$4*$B$11*$B$13*$B$15*$B$19*$B$20*$B$23,0)</f>
        <v/>
      </c>
      <c r="K52" s="40">
        <f>ROUND($B$4*$B$11*$B$13*$B$15*$B$19*$B$20*$B$24,0)</f>
        <v/>
      </c>
      <c r="L52" s="40">
        <f>ROUND($B$4*$B$11*$B$13*$B$15*$B$19*$B$21*$B$23,0)</f>
        <v/>
      </c>
      <c r="M52" s="40">
        <f>ROUND($B$4*$B$11*$B$13*$B$15*$B$19*$B$21*$B$24,0)</f>
        <v/>
      </c>
      <c r="N52" s="40">
        <f>ROUND($B$4*$B$11*$B$13*$B$15*$B$19*$B$22*$B$23,0)</f>
        <v/>
      </c>
      <c r="O52" s="40">
        <f>ROUND($B$4*$B$11*$B$13*$B$15*$B$19*$B$22*$B$24,0)</f>
        <v/>
      </c>
      <c r="P52" s="40">
        <f>ROUND($B$5*$B$11*$B$13*$B$15*$B$18*$B$20*$B$23,0)</f>
        <v/>
      </c>
      <c r="Q52" s="40">
        <f>ROUND($B$5*$B$11*$B$13*$B$15*$B$18*$B$20*$B$24,0)</f>
        <v/>
      </c>
      <c r="R52" s="40">
        <f>ROUND($B$5*$B$11*$B$13*$B$15*$B$18*$B$21*$B$23,0)</f>
        <v/>
      </c>
      <c r="S52" s="40">
        <f>ROUND($B$5*$B$11*$B$13*$B$15*$B$18*$B$21*$B$24,0)</f>
        <v/>
      </c>
      <c r="T52" s="40">
        <f>ROUND($B$5*$B$11*$B$13*$B$15*$B$18*$B$22*$B$23,0)</f>
        <v/>
      </c>
      <c r="U52" s="40">
        <f>ROUND($B$5*$B$11*$B$13*$B$15*$B$18*$B$22*$B$24,0)</f>
        <v/>
      </c>
      <c r="V52" s="40">
        <f>ROUND($B$5*$B$11*$B$13*$B$15*$B$19*$B$20*$B$23,0)</f>
        <v/>
      </c>
      <c r="W52" s="40">
        <f>ROUND($B$5*$B$11*$B$13*$B$15*$B$19*$B$20*$B$24,0)</f>
        <v/>
      </c>
      <c r="X52" s="40">
        <f>ROUND($B$5*$B$11*$B$13*$B$15*$B$19*$B$21*$B$23,0)</f>
        <v/>
      </c>
      <c r="Y52" s="40">
        <f>ROUND($B$5*$B$11*$B$13*$B$15*$B$19*$B$21*$B$24,0)</f>
        <v/>
      </c>
      <c r="Z52" s="40">
        <f>ROUND($B$5*$B$11*$B$13*$B$15*$B$19*$B$22*$B$23,0)</f>
        <v/>
      </c>
      <c r="AA52" s="40">
        <f>ROUND($B$5*$B$11*$B$13*$B$15*$B$19*$B$22*$B$24,0)</f>
        <v/>
      </c>
      <c r="AB52" s="40">
        <f>ROUND($B$6*$B$11*$B$13*$B$15*$B$18*$B$20*$B$23,0)</f>
        <v/>
      </c>
      <c r="AC52" s="40">
        <f>ROUND($B$6*$B$11*$B$13*$B$15*$B$18*$B$20*$B$24,0)</f>
        <v/>
      </c>
      <c r="AD52" s="40">
        <f>ROUND($B$6*$B$11*$B$13*$B$15*$B$18*$B$21*$B$23,0)</f>
        <v/>
      </c>
      <c r="AE52" s="40">
        <f>ROUND($B$6*$B$11*$B$13*$B$15*$B$18*$B$21*$B$24,0)</f>
        <v/>
      </c>
      <c r="AF52" s="40">
        <f>ROUND($B$6*$B$11*$B$13*$B$15*$B$18*$B$22*$B$23,0)</f>
        <v/>
      </c>
      <c r="AG52" s="40">
        <f>ROUND($B$6*$B$11*$B$13*$B$15*$B$18*$B$22*$B$24,0)</f>
        <v/>
      </c>
      <c r="AH52" s="40">
        <f>ROUND($B$6*$B$11*$B$13*$B$15*$B$19*$B$20*$B$23,0)</f>
        <v/>
      </c>
      <c r="AI52" s="40">
        <f>ROUND($B$6*$B$11*$B$13*$B$15*$B$19*$B$20*$B$24,0)</f>
        <v/>
      </c>
      <c r="AJ52" s="40">
        <f>ROUND($B$6*$B$11*$B$13*$B$15*$B$19*$B$21*$B$23,0)</f>
        <v/>
      </c>
      <c r="AK52" s="40">
        <f>ROUND($B$6*$B$11*$B$13*$B$15*$B$19*$B$21*$B$24,0)</f>
        <v/>
      </c>
      <c r="AL52" s="40">
        <f>ROUND($B$6*$B$11*$B$13*$B$15*$B$19*$B$22*$B$23,0)</f>
        <v/>
      </c>
      <c r="AM52" s="40">
        <f>ROUND($B$6*$B$11*$B$13*$B$15*$B$19*$B$22*$B$24,0)</f>
        <v/>
      </c>
      <c r="AN52" s="41">
        <f>ROUND($B$7*$B$11*$B$13*$B$15*$B$18*$B$20*$B$23,0)</f>
        <v/>
      </c>
      <c r="AO52" s="41">
        <f>ROUND($B$7*$B$11*$B$13*$B$15*$B$18*$B$20*$B$24,0)</f>
        <v/>
      </c>
      <c r="AP52" s="41">
        <f>ROUND($B$7*$B$11*$B$13*$B$15*$B$18*$B$21*$B$23,0)</f>
        <v/>
      </c>
      <c r="AQ52" s="41">
        <f>ROUND($B$7*$B$11*$B$13*$B$15*$B$18*$B$21*$B$24,0)</f>
        <v/>
      </c>
      <c r="AR52" s="41">
        <f>ROUND($B$7*$B$11*$B$13*$B$15*$B$18*$B$22*$B$23,0)</f>
        <v/>
      </c>
      <c r="AS52" s="41">
        <f>ROUND($B$7*$B$11*$B$13*$B$15*$B$18*$B$22*$B$24,0)</f>
        <v/>
      </c>
      <c r="AT52" s="41">
        <f>ROUND($B$7*$B$11*$B$13*$B$15*$B$19*$B$20*$B$23,0)</f>
        <v/>
      </c>
      <c r="AU52" s="41">
        <f>ROUND($B$7*$B$11*$B$13*$B$15*$B$19*$B$20*$B$24,0)</f>
        <v/>
      </c>
      <c r="AV52" s="41">
        <f>ROUND($B$7*$B$11*$B$13*$B$15*$B$19*$B$21*$B$23,0)</f>
        <v/>
      </c>
      <c r="AW52" s="41">
        <f>ROUND($B$7*$B$11*$B$13*$B$15*$B$19*$B$21*$B$24,0)</f>
        <v/>
      </c>
      <c r="AX52" s="41">
        <f>ROUND($B$7*$B$11*$B$13*$B$15*$B$19*$B$22*$B$23,0)</f>
        <v/>
      </c>
      <c r="AY52" s="41">
        <f>ROUND($B$7*$B$11*$B$13*$B$15*$B$19*$B$22*$B$24,0)</f>
        <v/>
      </c>
    </row>
    <row r="53" ht="20.1" customHeight="1" s="62">
      <c r="A53" s="90" t="n"/>
      <c r="B53" s="58" t="n"/>
      <c r="C53" s="87" t="inlineStr">
        <is>
          <t>2-3 cibles</t>
        </is>
      </c>
      <c r="D53" s="40">
        <f>ROUND($B$4*$B$11*$B$13*$B$16*$B$18*$B$20*$B$23,0)</f>
        <v/>
      </c>
      <c r="E53" s="40">
        <f>ROUND($B$4*$B$11*$B$13*$B$16*$B$18*$B$20*$B$24,0)</f>
        <v/>
      </c>
      <c r="F53" s="40">
        <f>ROUND($B$4*$B$11*$B$13*$B$16*$B$18*$B$21*$B$23,0)</f>
        <v/>
      </c>
      <c r="G53" s="40">
        <f>ROUND($B$4*$B$11*$B$13*$B$16*$B$18*$B$21*$B$24,0)</f>
        <v/>
      </c>
      <c r="H53" s="40">
        <f>ROUND($B$4*$B$11*$B$13*$B$16*$B$18*$B$22*$B$23,0)</f>
        <v/>
      </c>
      <c r="I53" s="40">
        <f>ROUND($B$4*$B$11*$B$13*$B$16*$B$18*$B$22*$B$24,0)</f>
        <v/>
      </c>
      <c r="J53" s="40">
        <f>ROUND($B$4*$B$11*$B$13*$B$16*$B$19*$B$20*$B$23,0)</f>
        <v/>
      </c>
      <c r="K53" s="40">
        <f>ROUND($B$4*$B$11*$B$13*$B$16*$B$19*$B$20*$B$24,0)</f>
        <v/>
      </c>
      <c r="L53" s="40">
        <f>ROUND($B$4*$B$11*$B$13*$B$16*$B$19*$B$21*$B$23,0)</f>
        <v/>
      </c>
      <c r="M53" s="40">
        <f>ROUND($B$4*$B$11*$B$13*$B$16*$B$19*$B$21*$B$24,0)</f>
        <v/>
      </c>
      <c r="N53" s="40">
        <f>ROUND($B$4*$B$11*$B$13*$B$16*$B$19*$B$22*$B$23,0)</f>
        <v/>
      </c>
      <c r="O53" s="40">
        <f>ROUND($B$4*$B$11*$B$13*$B$16*$B$19*$B$22*$B$24,0)</f>
        <v/>
      </c>
      <c r="P53" s="40">
        <f>ROUND($B$5*$B$11*$B$13*$B$16*$B$18*$B$20*$B$23,0)</f>
        <v/>
      </c>
      <c r="Q53" s="40">
        <f>ROUND($B$5*$B$11*$B$13*$B$16*$B$18*$B$20*$B$24,0)</f>
        <v/>
      </c>
      <c r="R53" s="40">
        <f>ROUND($B$5*$B$11*$B$13*$B$16*$B$18*$B$21*$B$23,0)</f>
        <v/>
      </c>
      <c r="S53" s="40">
        <f>ROUND($B$5*$B$11*$B$13*$B$16*$B$18*$B$21*$B$24,0)</f>
        <v/>
      </c>
      <c r="T53" s="40">
        <f>ROUND($B$5*$B$11*$B$13*$B$16*$B$18*$B$22*$B$23,0)</f>
        <v/>
      </c>
      <c r="U53" s="40">
        <f>ROUND($B$5*$B$11*$B$13*$B$16*$B$18*$B$22*$B$24,0)</f>
        <v/>
      </c>
      <c r="V53" s="40">
        <f>ROUND($B$5*$B$11*$B$13*$B$16*$B$19*$B$20*$B$23,0)</f>
        <v/>
      </c>
      <c r="W53" s="40">
        <f>ROUND($B$5*$B$11*$B$13*$B$16*$B$19*$B$20*$B$24,0)</f>
        <v/>
      </c>
      <c r="X53" s="40">
        <f>ROUND($B$5*$B$11*$B$13*$B$16*$B$19*$B$21*$B$23,0)</f>
        <v/>
      </c>
      <c r="Y53" s="40">
        <f>ROUND($B$5*$B$11*$B$13*$B$16*$B$19*$B$21*$B$24,0)</f>
        <v/>
      </c>
      <c r="Z53" s="40">
        <f>ROUND($B$5*$B$11*$B$13*$B$16*$B$19*$B$22*$B$23,0)</f>
        <v/>
      </c>
      <c r="AA53" s="40">
        <f>ROUND($B$5*$B$11*$B$13*$B$16*$B$19*$B$22*$B$24,0)</f>
        <v/>
      </c>
      <c r="AB53" s="40">
        <f>ROUND($B$6*$B$11*$B$13*$B$16*$B$18*$B$20*$B$23,0)</f>
        <v/>
      </c>
      <c r="AC53" s="40">
        <f>ROUND($B$6*$B$11*$B$13*$B$16*$B$18*$B$20*$B$24,0)</f>
        <v/>
      </c>
      <c r="AD53" s="40">
        <f>ROUND($B$6*$B$11*$B$13*$B$16*$B$18*$B$21*$B$23,0)</f>
        <v/>
      </c>
      <c r="AE53" s="40">
        <f>ROUND($B$6*$B$11*$B$13*$B$16*$B$18*$B$21*$B$24,0)</f>
        <v/>
      </c>
      <c r="AF53" s="40">
        <f>ROUND($B$6*$B$11*$B$13*$B$16*$B$18*$B$22*$B$23,0)</f>
        <v/>
      </c>
      <c r="AG53" s="40">
        <f>ROUND($B$6*$B$11*$B$13*$B$16*$B$18*$B$22*$B$24,0)</f>
        <v/>
      </c>
      <c r="AH53" s="40">
        <f>ROUND($B$6*$B$11*$B$13*$B$16*$B$19*$B$20*$B$23,0)</f>
        <v/>
      </c>
      <c r="AI53" s="40">
        <f>ROUND($B$6*$B$11*$B$13*$B$16*$B$19*$B$20*$B$24,0)</f>
        <v/>
      </c>
      <c r="AJ53" s="40">
        <f>ROUND($B$6*$B$11*$B$13*$B$16*$B$19*$B$21*$B$23,0)</f>
        <v/>
      </c>
      <c r="AK53" s="40">
        <f>ROUND($B$6*$B$11*$B$13*$B$16*$B$19*$B$21*$B$24,0)</f>
        <v/>
      </c>
      <c r="AL53" s="40">
        <f>ROUND($B$6*$B$11*$B$13*$B$16*$B$19*$B$22*$B$23,0)</f>
        <v/>
      </c>
      <c r="AM53" s="40">
        <f>ROUND($B$6*$B$11*$B$13*$B$16*$B$19*$B$22*$B$24,0)</f>
        <v/>
      </c>
      <c r="AN53" s="41">
        <f>ROUND($B$7*$B$11*$B$13*$B$16*$B$18*$B$20*$B$23,0)</f>
        <v/>
      </c>
      <c r="AO53" s="41">
        <f>ROUND($B$7*$B$11*$B$13*$B$16*$B$18*$B$20*$B$24,0)</f>
        <v/>
      </c>
      <c r="AP53" s="41">
        <f>ROUND($B$7*$B$11*$B$13*$B$16*$B$18*$B$21*$B$23,0)</f>
        <v/>
      </c>
      <c r="AQ53" s="41">
        <f>ROUND($B$7*$B$11*$B$13*$B$16*$B$18*$B$21*$B$24,0)</f>
        <v/>
      </c>
      <c r="AR53" s="41">
        <f>ROUND($B$7*$B$11*$B$13*$B$16*$B$18*$B$22*$B$23,0)</f>
        <v/>
      </c>
      <c r="AS53" s="41">
        <f>ROUND($B$7*$B$11*$B$13*$B$16*$B$18*$B$22*$B$24,0)</f>
        <v/>
      </c>
      <c r="AT53" s="41">
        <f>ROUND($B$7*$B$11*$B$13*$B$16*$B$19*$B$20*$B$23,0)</f>
        <v/>
      </c>
      <c r="AU53" s="41">
        <f>ROUND($B$7*$B$11*$B$13*$B$16*$B$19*$B$20*$B$24,0)</f>
        <v/>
      </c>
      <c r="AV53" s="41">
        <f>ROUND($B$7*$B$11*$B$13*$B$16*$B$19*$B$21*$B$23,0)</f>
        <v/>
      </c>
      <c r="AW53" s="41">
        <f>ROUND($B$7*$B$11*$B$13*$B$16*$B$19*$B$21*$B$24,0)</f>
        <v/>
      </c>
      <c r="AX53" s="41">
        <f>ROUND($B$7*$B$11*$B$13*$B$16*$B$19*$B$22*$B$23,0)</f>
        <v/>
      </c>
      <c r="AY53" s="41">
        <f>ROUND($B$7*$B$11*$B$13*$B$16*$B$19*$B$22*$B$24,0)</f>
        <v/>
      </c>
    </row>
    <row r="54" ht="20.1" customHeight="1" s="62">
      <c r="A54" s="90" t="n"/>
      <c r="B54" s="59" t="n"/>
      <c r="C54" s="42" t="inlineStr">
        <is>
          <t>4+ cibles</t>
        </is>
      </c>
      <c r="D54" s="40">
        <f>ROUND($B$4*$B$11*$B$13*$B$17*$B$18*$B$20*$B$23,0)</f>
        <v/>
      </c>
      <c r="E54" s="40">
        <f>ROUND($B$4*$B$11*$B$13*$B$17*$B$18*$B$20*$B$24,0)</f>
        <v/>
      </c>
      <c r="F54" s="40">
        <f>ROUND($B$4*$B$11*$B$13*$B$17*$B$18*$B$21*$B$23,0)</f>
        <v/>
      </c>
      <c r="G54" s="40">
        <f>ROUND($B$4*$B$11*$B$13*$B$17*$B$18*$B$21*$B$24,0)</f>
        <v/>
      </c>
      <c r="H54" s="40">
        <f>ROUND($B$4*$B$11*$B$13*$B$17*$B$18*$B$22*$B$23,0)</f>
        <v/>
      </c>
      <c r="I54" s="40">
        <f>ROUND($B$4*$B$11*$B$13*$B$17*$B$18*$B$22*$B$24,0)</f>
        <v/>
      </c>
      <c r="J54" s="40">
        <f>ROUND($B$4*$B$11*$B$13*$B$17*$B$19*$B$20*$B$23,0)</f>
        <v/>
      </c>
      <c r="K54" s="40">
        <f>ROUND($B$4*$B$11*$B$13*$B$17*$B$19*$B$20*$B$24,0)</f>
        <v/>
      </c>
      <c r="L54" s="40">
        <f>ROUND($B$4*$B$11*$B$13*$B$17*$B$19*$B$21*$B$23,0)</f>
        <v/>
      </c>
      <c r="M54" s="40">
        <f>ROUND($B$4*$B$11*$B$13*$B$17*$B$19*$B$21*$B$24,0)</f>
        <v/>
      </c>
      <c r="N54" s="40">
        <f>ROUND($B$4*$B$11*$B$13*$B$17*$B$19*$B$22*$B$23,0)</f>
        <v/>
      </c>
      <c r="O54" s="40">
        <f>ROUND($B$4*$B$11*$B$13*$B$17*$B$19*$B$22*$B$24,0)</f>
        <v/>
      </c>
      <c r="P54" s="40">
        <f>ROUND($B$5*$B$11*$B$13*$B$17*$B$18*$B$20*$B$23,0)</f>
        <v/>
      </c>
      <c r="Q54" s="40">
        <f>ROUND($B$5*$B$11*$B$13*$B$17*$B$18*$B$20*$B$24,0)</f>
        <v/>
      </c>
      <c r="R54" s="40">
        <f>ROUND($B$5*$B$11*$B$13*$B$17*$B$18*$B$21*$B$23,0)</f>
        <v/>
      </c>
      <c r="S54" s="40">
        <f>ROUND($B$5*$B$11*$B$13*$B$17*$B$18*$B$21*$B$24,0)</f>
        <v/>
      </c>
      <c r="T54" s="40">
        <f>ROUND($B$5*$B$11*$B$13*$B$17*$B$18*$B$22*$B$23,0)</f>
        <v/>
      </c>
      <c r="U54" s="40">
        <f>ROUND($B$5*$B$11*$B$13*$B$17*$B$18*$B$22*$B$24,0)</f>
        <v/>
      </c>
      <c r="V54" s="40">
        <f>ROUND($B$5*$B$11*$B$13*$B$17*$B$19*$B$20*$B$23,0)</f>
        <v/>
      </c>
      <c r="W54" s="40">
        <f>ROUND($B$5*$B$11*$B$13*$B$17*$B$19*$B$20*$B$24,0)</f>
        <v/>
      </c>
      <c r="X54" s="40">
        <f>ROUND($B$5*$B$11*$B$13*$B$17*$B$19*$B$21*$B$23,0)</f>
        <v/>
      </c>
      <c r="Y54" s="40">
        <f>ROUND($B$5*$B$11*$B$13*$B$17*$B$19*$B$21*$B$24,0)</f>
        <v/>
      </c>
      <c r="Z54" s="40">
        <f>ROUND($B$5*$B$11*$B$13*$B$17*$B$19*$B$22*$B$23,0)</f>
        <v/>
      </c>
      <c r="AA54" s="40">
        <f>ROUND($B$5*$B$11*$B$13*$B$17*$B$19*$B$22*$B$24,0)</f>
        <v/>
      </c>
      <c r="AB54" s="40">
        <f>ROUND($B$6*$B$11*$B$13*$B$17*$B$18*$B$20*$B$23,0)</f>
        <v/>
      </c>
      <c r="AC54" s="40">
        <f>ROUND($B$6*$B$11*$B$13*$B$17*$B$18*$B$20*$B$24,0)</f>
        <v/>
      </c>
      <c r="AD54" s="40">
        <f>ROUND($B$6*$B$11*$B$13*$B$17*$B$18*$B$21*$B$23,0)</f>
        <v/>
      </c>
      <c r="AE54" s="40">
        <f>ROUND($B$6*$B$11*$B$13*$B$17*$B$18*$B$21*$B$24,0)</f>
        <v/>
      </c>
      <c r="AF54" s="40">
        <f>ROUND($B$6*$B$11*$B$13*$B$17*$B$18*$B$22*$B$23,0)</f>
        <v/>
      </c>
      <c r="AG54" s="40">
        <f>ROUND($B$6*$B$11*$B$13*$B$17*$B$18*$B$22*$B$24,0)</f>
        <v/>
      </c>
      <c r="AH54" s="40">
        <f>ROUND($B$6*$B$11*$B$13*$B$17*$B$19*$B$20*$B$23,0)</f>
        <v/>
      </c>
      <c r="AI54" s="40">
        <f>ROUND($B$6*$B$11*$B$13*$B$17*$B$19*$B$20*$B$24,0)</f>
        <v/>
      </c>
      <c r="AJ54" s="40">
        <f>ROUND($B$6*$B$11*$B$13*$B$17*$B$19*$B$21*$B$23,0)</f>
        <v/>
      </c>
      <c r="AK54" s="40">
        <f>ROUND($B$6*$B$11*$B$13*$B$17*$B$19*$B$21*$B$24,0)</f>
        <v/>
      </c>
      <c r="AL54" s="40">
        <f>ROUND($B$6*$B$11*$B$13*$B$17*$B$19*$B$22*$B$23,0)</f>
        <v/>
      </c>
      <c r="AM54" s="40">
        <f>ROUND($B$6*$B$11*$B$13*$B$17*$B$19*$B$22*$B$24,0)</f>
        <v/>
      </c>
      <c r="AN54" s="41">
        <f>ROUND($B$7*$B$11*$B$13*$B$17*$B$18*$B$20*$B$23,0)</f>
        <v/>
      </c>
      <c r="AO54" s="41">
        <f>ROUND($B$7*$B$11*$B$13*$B$17*$B$18*$B$20*$B$24,0)</f>
        <v/>
      </c>
      <c r="AP54" s="41">
        <f>ROUND($B$7*$B$11*$B$13*$B$17*$B$18*$B$21*$B$23,0)</f>
        <v/>
      </c>
      <c r="AQ54" s="41">
        <f>ROUND($B$7*$B$11*$B$13*$B$17*$B$18*$B$21*$B$24,0)</f>
        <v/>
      </c>
      <c r="AR54" s="41">
        <f>ROUND($B$7*$B$11*$B$13*$B$17*$B$18*$B$22*$B$23,0)</f>
        <v/>
      </c>
      <c r="AS54" s="41">
        <f>ROUND($B$7*$B$11*$B$13*$B$17*$B$18*$B$22*$B$24,0)</f>
        <v/>
      </c>
      <c r="AT54" s="41">
        <f>ROUND($B$7*$B$11*$B$13*$B$17*$B$19*$B$20*$B$23,0)</f>
        <v/>
      </c>
      <c r="AU54" s="41">
        <f>ROUND($B$7*$B$11*$B$13*$B$17*$B$19*$B$20*$B$24,0)</f>
        <v/>
      </c>
      <c r="AV54" s="41">
        <f>ROUND($B$7*$B$11*$B$13*$B$17*$B$19*$B$21*$B$23,0)</f>
        <v/>
      </c>
      <c r="AW54" s="41">
        <f>ROUND($B$7*$B$11*$B$13*$B$17*$B$19*$B$21*$B$24,0)</f>
        <v/>
      </c>
      <c r="AX54" s="41">
        <f>ROUND($B$7*$B$11*$B$13*$B$17*$B$19*$B$22*$B$23,0)</f>
        <v/>
      </c>
      <c r="AY54" s="41">
        <f>ROUND($B$7*$B$11*$B$13*$B$17*$B$19*$B$22*$B$24,0)</f>
        <v/>
      </c>
    </row>
    <row r="55" ht="20.1" customHeight="1" s="62">
      <c r="A55" s="90" t="n"/>
      <c r="B55" s="87" t="inlineStr">
        <is>
          <t>6+ offres</t>
        </is>
      </c>
      <c r="C55" s="39" t="inlineStr">
        <is>
          <t>1 cible</t>
        </is>
      </c>
      <c r="D55" s="40">
        <f>ROUND($B$4*$B$11*$B$14*$B$15*$B$18*$B$20*$B$23,0)</f>
        <v/>
      </c>
      <c r="E55" s="40">
        <f>ROUND($B$4*$B$11*$B$14*$B$15*$B$18*$B$20*$B$24,0)</f>
        <v/>
      </c>
      <c r="F55" s="40">
        <f>ROUND($B$4*$B$11*$B$14*$B$15*$B$18*$B$21*$B$23,0)</f>
        <v/>
      </c>
      <c r="G55" s="40">
        <f>ROUND($B$4*$B$11*$B$14*$B$15*$B$18*$B$21*$B$24,0)</f>
        <v/>
      </c>
      <c r="H55" s="40">
        <f>ROUND($B$4*$B$11*$B$14*$B$15*$B$18*$B$22*$B$23,0)</f>
        <v/>
      </c>
      <c r="I55" s="40">
        <f>ROUND($B$4*$B$11*$B$14*$B$15*$B$18*$B$22*$B$24,0)</f>
        <v/>
      </c>
      <c r="J55" s="40">
        <f>ROUND($B$4*$B$11*$B$14*$B$15*$B$19*$B$20*$B$23,0)</f>
        <v/>
      </c>
      <c r="K55" s="40">
        <f>ROUND($B$4*$B$11*$B$14*$B$15*$B$19*$B$20*$B$24,0)</f>
        <v/>
      </c>
      <c r="L55" s="40">
        <f>ROUND($B$4*$B$11*$B$14*$B$15*$B$19*$B$21*$B$23,0)</f>
        <v/>
      </c>
      <c r="M55" s="40">
        <f>ROUND($B$4*$B$11*$B$14*$B$15*$B$19*$B$21*$B$24,0)</f>
        <v/>
      </c>
      <c r="N55" s="40">
        <f>ROUND($B$4*$B$11*$B$14*$B$15*$B$19*$B$22*$B$23,0)</f>
        <v/>
      </c>
      <c r="O55" s="40">
        <f>ROUND($B$4*$B$11*$B$14*$B$15*$B$19*$B$22*$B$24,0)</f>
        <v/>
      </c>
      <c r="P55" s="40">
        <f>ROUND($B$5*$B$11*$B$14*$B$15*$B$18*$B$20*$B$23,0)</f>
        <v/>
      </c>
      <c r="Q55" s="40">
        <f>ROUND($B$5*$B$11*$B$14*$B$15*$B$18*$B$20*$B$24,0)</f>
        <v/>
      </c>
      <c r="R55" s="40">
        <f>ROUND($B$5*$B$11*$B$14*$B$15*$B$18*$B$21*$B$23,0)</f>
        <v/>
      </c>
      <c r="S55" s="40">
        <f>ROUND($B$5*$B$11*$B$14*$B$15*$B$18*$B$21*$B$24,0)</f>
        <v/>
      </c>
      <c r="T55" s="40">
        <f>ROUND($B$5*$B$11*$B$14*$B$15*$B$18*$B$22*$B$23,0)</f>
        <v/>
      </c>
      <c r="U55" s="40">
        <f>ROUND($B$5*$B$11*$B$14*$B$15*$B$18*$B$22*$B$24,0)</f>
        <v/>
      </c>
      <c r="V55" s="40">
        <f>ROUND($B$5*$B$11*$B$14*$B$15*$B$19*$B$20*$B$23,0)</f>
        <v/>
      </c>
      <c r="W55" s="40">
        <f>ROUND($B$5*$B$11*$B$14*$B$15*$B$19*$B$20*$B$24,0)</f>
        <v/>
      </c>
      <c r="X55" s="40">
        <f>ROUND($B$5*$B$11*$B$14*$B$15*$B$19*$B$21*$B$23,0)</f>
        <v/>
      </c>
      <c r="Y55" s="40">
        <f>ROUND($B$5*$B$11*$B$14*$B$15*$B$19*$B$21*$B$24,0)</f>
        <v/>
      </c>
      <c r="Z55" s="40">
        <f>ROUND($B$5*$B$11*$B$14*$B$15*$B$19*$B$22*$B$23,0)</f>
        <v/>
      </c>
      <c r="AA55" s="40">
        <f>ROUND($B$5*$B$11*$B$14*$B$15*$B$19*$B$22*$B$24,0)</f>
        <v/>
      </c>
      <c r="AB55" s="40">
        <f>ROUND($B$6*$B$11*$B$14*$B$15*$B$18*$B$20*$B$23,0)</f>
        <v/>
      </c>
      <c r="AC55" s="40">
        <f>ROUND($B$6*$B$11*$B$14*$B$15*$B$18*$B$20*$B$24,0)</f>
        <v/>
      </c>
      <c r="AD55" s="40">
        <f>ROUND($B$6*$B$11*$B$14*$B$15*$B$18*$B$21*$B$23,0)</f>
        <v/>
      </c>
      <c r="AE55" s="40">
        <f>ROUND($B$6*$B$11*$B$14*$B$15*$B$18*$B$21*$B$24,0)</f>
        <v/>
      </c>
      <c r="AF55" s="40">
        <f>ROUND($B$6*$B$11*$B$14*$B$15*$B$18*$B$22*$B$23,0)</f>
        <v/>
      </c>
      <c r="AG55" s="40">
        <f>ROUND($B$6*$B$11*$B$14*$B$15*$B$18*$B$22*$B$24,0)</f>
        <v/>
      </c>
      <c r="AH55" s="40">
        <f>ROUND($B$6*$B$11*$B$14*$B$15*$B$19*$B$20*$B$23,0)</f>
        <v/>
      </c>
      <c r="AI55" s="40">
        <f>ROUND($B$6*$B$11*$B$14*$B$15*$B$19*$B$20*$B$24,0)</f>
        <v/>
      </c>
      <c r="AJ55" s="40">
        <f>ROUND($B$6*$B$11*$B$14*$B$15*$B$19*$B$21*$B$23,0)</f>
        <v/>
      </c>
      <c r="AK55" s="40">
        <f>ROUND($B$6*$B$11*$B$14*$B$15*$B$19*$B$21*$B$24,0)</f>
        <v/>
      </c>
      <c r="AL55" s="40">
        <f>ROUND($B$6*$B$11*$B$14*$B$15*$B$19*$B$22*$B$23,0)</f>
        <v/>
      </c>
      <c r="AM55" s="40">
        <f>ROUND($B$6*$B$11*$B$14*$B$15*$B$19*$B$22*$B$24,0)</f>
        <v/>
      </c>
      <c r="AN55" s="41">
        <f>ROUND($B$7*$B$11*$B$14*$B$15*$B$18*$B$20*$B$23,0)</f>
        <v/>
      </c>
      <c r="AO55" s="41">
        <f>ROUND($B$7*$B$11*$B$14*$B$15*$B$18*$B$20*$B$24,0)</f>
        <v/>
      </c>
      <c r="AP55" s="41">
        <f>ROUND($B$7*$B$11*$B$14*$B$15*$B$18*$B$21*$B$23,0)</f>
        <v/>
      </c>
      <c r="AQ55" s="41">
        <f>ROUND($B$7*$B$11*$B$14*$B$15*$B$18*$B$21*$B$24,0)</f>
        <v/>
      </c>
      <c r="AR55" s="41">
        <f>ROUND($B$7*$B$11*$B$14*$B$15*$B$18*$B$22*$B$23,0)</f>
        <v/>
      </c>
      <c r="AS55" s="41">
        <f>ROUND($B$7*$B$11*$B$14*$B$15*$B$18*$B$22*$B$24,0)</f>
        <v/>
      </c>
      <c r="AT55" s="41">
        <f>ROUND($B$7*$B$11*$B$14*$B$15*$B$19*$B$20*$B$23,0)</f>
        <v/>
      </c>
      <c r="AU55" s="41">
        <f>ROUND($B$7*$B$11*$B$14*$B$15*$B$19*$B$20*$B$24,0)</f>
        <v/>
      </c>
      <c r="AV55" s="41">
        <f>ROUND($B$7*$B$11*$B$14*$B$15*$B$19*$B$21*$B$23,0)</f>
        <v/>
      </c>
      <c r="AW55" s="41">
        <f>ROUND($B$7*$B$11*$B$14*$B$15*$B$19*$B$21*$B$24,0)</f>
        <v/>
      </c>
      <c r="AX55" s="41">
        <f>ROUND($B$7*$B$11*$B$14*$B$15*$B$19*$B$22*$B$23,0)</f>
        <v/>
      </c>
      <c r="AY55" s="41">
        <f>ROUND($B$7*$B$11*$B$14*$B$15*$B$19*$B$22*$B$24,0)</f>
        <v/>
      </c>
    </row>
    <row r="56" ht="20.1" customHeight="1" s="62">
      <c r="A56" s="90" t="n"/>
      <c r="B56" s="58" t="n"/>
      <c r="C56" s="87" t="inlineStr">
        <is>
          <t>2-3 cibles</t>
        </is>
      </c>
      <c r="D56" s="40">
        <f>ROUND($B$4*$B$11*$B$14*$B$16*$B$18*$B$20*$B$23,0)</f>
        <v/>
      </c>
      <c r="E56" s="40">
        <f>ROUND($B$4*$B$11*$B$14*$B$16*$B$18*$B$20*$B$24,0)</f>
        <v/>
      </c>
      <c r="F56" s="40">
        <f>ROUND($B$4*$B$11*$B$14*$B$16*$B$18*$B$21*$B$23,0)</f>
        <v/>
      </c>
      <c r="G56" s="40">
        <f>ROUND($B$4*$B$11*$B$14*$B$16*$B$18*$B$21*$B$24,0)</f>
        <v/>
      </c>
      <c r="H56" s="40">
        <f>ROUND($B$4*$B$11*$B$14*$B$16*$B$18*$B$22*$B$23,0)</f>
        <v/>
      </c>
      <c r="I56" s="40">
        <f>ROUND($B$4*$B$11*$B$14*$B$16*$B$18*$B$22*$B$24,0)</f>
        <v/>
      </c>
      <c r="J56" s="40">
        <f>ROUND($B$4*$B$11*$B$14*$B$16*$B$19*$B$20*$B$23,0)</f>
        <v/>
      </c>
      <c r="K56" s="40">
        <f>ROUND($B$4*$B$11*$B$14*$B$16*$B$19*$B$20*$B$24,0)</f>
        <v/>
      </c>
      <c r="L56" s="40">
        <f>ROUND($B$4*$B$11*$B$14*$B$16*$B$19*$B$21*$B$23,0)</f>
        <v/>
      </c>
      <c r="M56" s="40">
        <f>ROUND($B$4*$B$11*$B$14*$B$16*$B$19*$B$21*$B$24,0)</f>
        <v/>
      </c>
      <c r="N56" s="40">
        <f>ROUND($B$4*$B$11*$B$14*$B$16*$B$19*$B$22*$B$23,0)</f>
        <v/>
      </c>
      <c r="O56" s="40">
        <f>ROUND($B$4*$B$11*$B$14*$B$16*$B$19*$B$22*$B$24,0)</f>
        <v/>
      </c>
      <c r="P56" s="40">
        <f>ROUND($B$5*$B$11*$B$14*$B$16*$B$18*$B$20*$B$23,0)</f>
        <v/>
      </c>
      <c r="Q56" s="40">
        <f>ROUND($B$5*$B$11*$B$14*$B$16*$B$18*$B$20*$B$24,0)</f>
        <v/>
      </c>
      <c r="R56" s="40">
        <f>ROUND($B$5*$B$11*$B$14*$B$16*$B$18*$B$21*$B$23,0)</f>
        <v/>
      </c>
      <c r="S56" s="40">
        <f>ROUND($B$5*$B$11*$B$14*$B$16*$B$18*$B$21*$B$24,0)</f>
        <v/>
      </c>
      <c r="T56" s="40">
        <f>ROUND($B$5*$B$11*$B$14*$B$16*$B$18*$B$22*$B$23,0)</f>
        <v/>
      </c>
      <c r="U56" s="40">
        <f>ROUND($B$5*$B$11*$B$14*$B$16*$B$18*$B$22*$B$24,0)</f>
        <v/>
      </c>
      <c r="V56" s="40">
        <f>ROUND($B$5*$B$11*$B$14*$B$16*$B$19*$B$20*$B$23,0)</f>
        <v/>
      </c>
      <c r="W56" s="40">
        <f>ROUND($B$5*$B$11*$B$14*$B$16*$B$19*$B$20*$B$24,0)</f>
        <v/>
      </c>
      <c r="X56" s="40">
        <f>ROUND($B$5*$B$11*$B$14*$B$16*$B$19*$B$21*$B$23,0)</f>
        <v/>
      </c>
      <c r="Y56" s="40">
        <f>ROUND($B$5*$B$11*$B$14*$B$16*$B$19*$B$21*$B$24,0)</f>
        <v/>
      </c>
      <c r="Z56" s="40">
        <f>ROUND($B$5*$B$11*$B$14*$B$16*$B$19*$B$22*$B$23,0)</f>
        <v/>
      </c>
      <c r="AA56" s="40">
        <f>ROUND($B$5*$B$11*$B$14*$B$16*$B$19*$B$22*$B$24,0)</f>
        <v/>
      </c>
      <c r="AB56" s="40">
        <f>ROUND($B$6*$B$11*$B$14*$B$16*$B$18*$B$20*$B$23,0)</f>
        <v/>
      </c>
      <c r="AC56" s="40">
        <f>ROUND($B$6*$B$11*$B$14*$B$16*$B$18*$B$20*$B$24,0)</f>
        <v/>
      </c>
      <c r="AD56" s="40">
        <f>ROUND($B$6*$B$11*$B$14*$B$16*$B$18*$B$21*$B$23,0)</f>
        <v/>
      </c>
      <c r="AE56" s="40">
        <f>ROUND($B$6*$B$11*$B$14*$B$16*$B$18*$B$21*$B$24,0)</f>
        <v/>
      </c>
      <c r="AF56" s="40">
        <f>ROUND($B$6*$B$11*$B$14*$B$16*$B$18*$B$22*$B$23,0)</f>
        <v/>
      </c>
      <c r="AG56" s="40">
        <f>ROUND($B$6*$B$11*$B$14*$B$16*$B$18*$B$22*$B$24,0)</f>
        <v/>
      </c>
      <c r="AH56" s="40">
        <f>ROUND($B$6*$B$11*$B$14*$B$16*$B$19*$B$20*$B$23,0)</f>
        <v/>
      </c>
      <c r="AI56" s="40">
        <f>ROUND($B$6*$B$11*$B$14*$B$16*$B$19*$B$20*$B$24,0)</f>
        <v/>
      </c>
      <c r="AJ56" s="40">
        <f>ROUND($B$6*$B$11*$B$14*$B$16*$B$19*$B$21*$B$23,0)</f>
        <v/>
      </c>
      <c r="AK56" s="40">
        <f>ROUND($B$6*$B$11*$B$14*$B$16*$B$19*$B$21*$B$24,0)</f>
        <v/>
      </c>
      <c r="AL56" s="40">
        <f>ROUND($B$6*$B$11*$B$14*$B$16*$B$19*$B$22*$B$23,0)</f>
        <v/>
      </c>
      <c r="AM56" s="40">
        <f>ROUND($B$6*$B$11*$B$14*$B$16*$B$19*$B$22*$B$24,0)</f>
        <v/>
      </c>
      <c r="AN56" s="41">
        <f>ROUND($B$7*$B$11*$B$14*$B$16*$B$18*$B$20*$B$23,0)</f>
        <v/>
      </c>
      <c r="AO56" s="41">
        <f>ROUND($B$7*$B$11*$B$14*$B$16*$B$18*$B$20*$B$24,0)</f>
        <v/>
      </c>
      <c r="AP56" s="41">
        <f>ROUND($B$7*$B$11*$B$14*$B$16*$B$18*$B$21*$B$23,0)</f>
        <v/>
      </c>
      <c r="AQ56" s="41">
        <f>ROUND($B$7*$B$11*$B$14*$B$16*$B$18*$B$21*$B$24,0)</f>
        <v/>
      </c>
      <c r="AR56" s="41">
        <f>ROUND($B$7*$B$11*$B$14*$B$16*$B$18*$B$22*$B$23,0)</f>
        <v/>
      </c>
      <c r="AS56" s="41">
        <f>ROUND($B$7*$B$11*$B$14*$B$16*$B$18*$B$22*$B$24,0)</f>
        <v/>
      </c>
      <c r="AT56" s="41">
        <f>ROUND($B$7*$B$11*$B$14*$B$16*$B$19*$B$20*$B$23,0)</f>
        <v/>
      </c>
      <c r="AU56" s="41">
        <f>ROUND($B$7*$B$11*$B$14*$B$16*$B$19*$B$20*$B$24,0)</f>
        <v/>
      </c>
      <c r="AV56" s="41">
        <f>ROUND($B$7*$B$11*$B$14*$B$16*$B$19*$B$21*$B$23,0)</f>
        <v/>
      </c>
      <c r="AW56" s="41">
        <f>ROUND($B$7*$B$11*$B$14*$B$16*$B$19*$B$21*$B$24,0)</f>
        <v/>
      </c>
      <c r="AX56" s="41">
        <f>ROUND($B$7*$B$11*$B$14*$B$16*$B$19*$B$22*$B$23,0)</f>
        <v/>
      </c>
      <c r="AY56" s="41">
        <f>ROUND($B$7*$B$11*$B$14*$B$16*$B$19*$B$22*$B$24,0)</f>
        <v/>
      </c>
    </row>
    <row r="57" ht="20.1" customHeight="1" s="62">
      <c r="A57" s="91" t="n"/>
      <c r="B57" s="59" t="n"/>
      <c r="C57" s="42" t="inlineStr">
        <is>
          <t>4+ cibles</t>
        </is>
      </c>
      <c r="D57" s="40">
        <f>ROUND($B$4*$B$11*$B$14*$B$17*$B$18*$B$20*$B$23,0)</f>
        <v/>
      </c>
      <c r="E57" s="40">
        <f>ROUND($B$4*$B$11*$B$14*$B$17*$B$18*$B$20*$B$24,0)</f>
        <v/>
      </c>
      <c r="F57" s="40">
        <f>ROUND($B$4*$B$11*$B$14*$B$17*$B$18*$B$21*$B$23,0)</f>
        <v/>
      </c>
      <c r="G57" s="40">
        <f>ROUND($B$4*$B$11*$B$14*$B$17*$B$18*$B$21*$B$24,0)</f>
        <v/>
      </c>
      <c r="H57" s="40">
        <f>ROUND($B$4*$B$11*$B$14*$B$17*$B$18*$B$22*$B$23,0)</f>
        <v/>
      </c>
      <c r="I57" s="40">
        <f>ROUND($B$4*$B$11*$B$14*$B$17*$B$18*$B$22*$B$24,0)</f>
        <v/>
      </c>
      <c r="J57" s="40">
        <f>ROUND($B$4*$B$11*$B$14*$B$17*$B$19*$B$20*$B$23,0)</f>
        <v/>
      </c>
      <c r="K57" s="40">
        <f>ROUND($B$4*$B$11*$B$14*$B$17*$B$19*$B$20*$B$24,0)</f>
        <v/>
      </c>
      <c r="L57" s="40">
        <f>ROUND($B$4*$B$11*$B$14*$B$17*$B$19*$B$21*$B$23,0)</f>
        <v/>
      </c>
      <c r="M57" s="40">
        <f>ROUND($B$4*$B$11*$B$14*$B$17*$B$19*$B$21*$B$24,0)</f>
        <v/>
      </c>
      <c r="N57" s="40">
        <f>ROUND($B$4*$B$11*$B$14*$B$17*$B$19*$B$22*$B$23,0)</f>
        <v/>
      </c>
      <c r="O57" s="40">
        <f>ROUND($B$4*$B$11*$B$14*$B$17*$B$19*$B$22*$B$24,0)</f>
        <v/>
      </c>
      <c r="P57" s="40">
        <f>ROUND($B$5*$B$11*$B$14*$B$17*$B$18*$B$20*$B$23,0)</f>
        <v/>
      </c>
      <c r="Q57" s="40">
        <f>ROUND($B$5*$B$11*$B$14*$B$17*$B$18*$B$20*$B$24,0)</f>
        <v/>
      </c>
      <c r="R57" s="40">
        <f>ROUND($B$5*$B$11*$B$14*$B$17*$B$18*$B$21*$B$23,0)</f>
        <v/>
      </c>
      <c r="S57" s="40">
        <f>ROUND($B$5*$B$11*$B$14*$B$17*$B$18*$B$21*$B$24,0)</f>
        <v/>
      </c>
      <c r="T57" s="40">
        <f>ROUND($B$5*$B$11*$B$14*$B$17*$B$18*$B$22*$B$23,0)</f>
        <v/>
      </c>
      <c r="U57" s="40">
        <f>ROUND($B$5*$B$11*$B$14*$B$17*$B$18*$B$22*$B$24,0)</f>
        <v/>
      </c>
      <c r="V57" s="40">
        <f>ROUND($B$5*$B$11*$B$14*$B$17*$B$19*$B$20*$B$23,0)</f>
        <v/>
      </c>
      <c r="W57" s="40">
        <f>ROUND($B$5*$B$11*$B$14*$B$17*$B$19*$B$20*$B$24,0)</f>
        <v/>
      </c>
      <c r="X57" s="40">
        <f>ROUND($B$5*$B$11*$B$14*$B$17*$B$19*$B$21*$B$23,0)</f>
        <v/>
      </c>
      <c r="Y57" s="40">
        <f>ROUND($B$5*$B$11*$B$14*$B$17*$B$19*$B$21*$B$24,0)</f>
        <v/>
      </c>
      <c r="Z57" s="40">
        <f>ROUND($B$5*$B$11*$B$14*$B$17*$B$19*$B$22*$B$23,0)</f>
        <v/>
      </c>
      <c r="AA57" s="40">
        <f>ROUND($B$5*$B$11*$B$14*$B$17*$B$19*$B$22*$B$24,0)</f>
        <v/>
      </c>
      <c r="AB57" s="40">
        <f>ROUND($B$6*$B$11*$B$14*$B$17*$B$18*$B$20*$B$23,0)</f>
        <v/>
      </c>
      <c r="AC57" s="40">
        <f>ROUND($B$6*$B$11*$B$14*$B$17*$B$18*$B$20*$B$24,0)</f>
        <v/>
      </c>
      <c r="AD57" s="40">
        <f>ROUND($B$6*$B$11*$B$14*$B$17*$B$18*$B$21*$B$23,0)</f>
        <v/>
      </c>
      <c r="AE57" s="40">
        <f>ROUND($B$6*$B$11*$B$14*$B$17*$B$18*$B$21*$B$24,0)</f>
        <v/>
      </c>
      <c r="AF57" s="40">
        <f>ROUND($B$6*$B$11*$B$14*$B$17*$B$18*$B$22*$B$23,0)</f>
        <v/>
      </c>
      <c r="AG57" s="40">
        <f>ROUND($B$6*$B$11*$B$14*$B$17*$B$18*$B$22*$B$24,0)</f>
        <v/>
      </c>
      <c r="AH57" s="40">
        <f>ROUND($B$6*$B$11*$B$14*$B$17*$B$19*$B$20*$B$23,0)</f>
        <v/>
      </c>
      <c r="AI57" s="40">
        <f>ROUND($B$6*$B$11*$B$14*$B$17*$B$19*$B$20*$B$24,0)</f>
        <v/>
      </c>
      <c r="AJ57" s="40">
        <f>ROUND($B$6*$B$11*$B$14*$B$17*$B$19*$B$21*$B$23,0)</f>
        <v/>
      </c>
      <c r="AK57" s="40">
        <f>ROUND($B$6*$B$11*$B$14*$B$17*$B$19*$B$21*$B$24,0)</f>
        <v/>
      </c>
      <c r="AL57" s="40">
        <f>ROUND($B$6*$B$11*$B$14*$B$17*$B$19*$B$22*$B$23,0)</f>
        <v/>
      </c>
      <c r="AM57" s="40">
        <f>ROUND($B$6*$B$11*$B$14*$B$17*$B$19*$B$22*$B$24,0)</f>
        <v/>
      </c>
      <c r="AN57" s="41">
        <f>ROUND($B$7*$B$11*$B$14*$B$17*$B$18*$B$20*$B$23,0)</f>
        <v/>
      </c>
      <c r="AO57" s="41">
        <f>ROUND($B$7*$B$11*$B$14*$B$17*$B$18*$B$20*$B$24,0)</f>
        <v/>
      </c>
      <c r="AP57" s="41">
        <f>ROUND($B$7*$B$11*$B$14*$B$17*$B$18*$B$21*$B$23,0)</f>
        <v/>
      </c>
      <c r="AQ57" s="41">
        <f>ROUND($B$7*$B$11*$B$14*$B$17*$B$18*$B$21*$B$24,0)</f>
        <v/>
      </c>
      <c r="AR57" s="41">
        <f>ROUND($B$7*$B$11*$B$14*$B$17*$B$18*$B$22*$B$23,0)</f>
        <v/>
      </c>
      <c r="AS57" s="41">
        <f>ROUND($B$7*$B$11*$B$14*$B$17*$B$18*$B$22*$B$24,0)</f>
        <v/>
      </c>
      <c r="AT57" s="41">
        <f>ROUND($B$7*$B$11*$B$14*$B$17*$B$19*$B$20*$B$23,0)</f>
        <v/>
      </c>
      <c r="AU57" s="41">
        <f>ROUND($B$7*$B$11*$B$14*$B$17*$B$19*$B$20*$B$24,0)</f>
        <v/>
      </c>
      <c r="AV57" s="41">
        <f>ROUND($B$7*$B$11*$B$14*$B$17*$B$19*$B$21*$B$23,0)</f>
        <v/>
      </c>
      <c r="AW57" s="41">
        <f>ROUND($B$7*$B$11*$B$14*$B$17*$B$19*$B$21*$B$24,0)</f>
        <v/>
      </c>
      <c r="AX57" s="41">
        <f>ROUND($B$7*$B$11*$B$14*$B$17*$B$19*$B$22*$B$23,0)</f>
        <v/>
      </c>
      <c r="AY57" s="41">
        <f>ROUND($B$7*$B$11*$B$14*$B$17*$B$19*$B$22*$B$24,0)</f>
        <v/>
      </c>
    </row>
  </sheetData>
  <mergeCells count="56">
    <mergeCell ref="J29:K29"/>
    <mergeCell ref="V28:AA28"/>
    <mergeCell ref="F29:G29"/>
    <mergeCell ref="B49:B51"/>
    <mergeCell ref="B40:B42"/>
    <mergeCell ref="D27:O27"/>
    <mergeCell ref="A1:AY1"/>
    <mergeCell ref="R29:S29"/>
    <mergeCell ref="T29:U29"/>
    <mergeCell ref="B34:B36"/>
    <mergeCell ref="AB29:AC29"/>
    <mergeCell ref="H29:I29"/>
    <mergeCell ref="AD29:AE29"/>
    <mergeCell ref="P27:AA27"/>
    <mergeCell ref="B55:B57"/>
    <mergeCell ref="AB27:AM27"/>
    <mergeCell ref="B27:B30"/>
    <mergeCell ref="A25:AY25"/>
    <mergeCell ref="V29:W29"/>
    <mergeCell ref="AF29:AG29"/>
    <mergeCell ref="D28:I28"/>
    <mergeCell ref="AH29:AI29"/>
    <mergeCell ref="AN29:AO29"/>
    <mergeCell ref="AP29:AQ29"/>
    <mergeCell ref="P28:U28"/>
    <mergeCell ref="AN27:AY27"/>
    <mergeCell ref="AT29:AU29"/>
    <mergeCell ref="AV29:AW29"/>
    <mergeCell ref="A3:AY3"/>
    <mergeCell ref="C27:C30"/>
    <mergeCell ref="A2:AY2"/>
    <mergeCell ref="B31:B33"/>
    <mergeCell ref="A27:A30"/>
    <mergeCell ref="L29:M29"/>
    <mergeCell ref="N29:O29"/>
    <mergeCell ref="B43:B45"/>
    <mergeCell ref="AB28:AG28"/>
    <mergeCell ref="B52:B54"/>
    <mergeCell ref="AN28:AS28"/>
    <mergeCell ref="X29:Y29"/>
    <mergeCell ref="A8:AY8"/>
    <mergeCell ref="Z29:AA29"/>
    <mergeCell ref="P29:Q29"/>
    <mergeCell ref="AH28:AM28"/>
    <mergeCell ref="B46:B48"/>
    <mergeCell ref="A31:A39"/>
    <mergeCell ref="A49:A57"/>
    <mergeCell ref="A40:A48"/>
    <mergeCell ref="AT28:AY28"/>
    <mergeCell ref="AJ29:AK29"/>
    <mergeCell ref="J28:O28"/>
    <mergeCell ref="AR29:AS29"/>
    <mergeCell ref="D29:E29"/>
    <mergeCell ref="AL29:AM29"/>
    <mergeCell ref="AX29:AY29"/>
    <mergeCell ref="B37:B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2D1B5E"/>
    <outlinePr summaryBelow="1" summaryRight="1"/>
    <pageSetUpPr/>
  </sheetPr>
  <dimension ref="A1:AM56"/>
  <sheetViews>
    <sheetView workbookViewId="0">
      <pane xSplit="3" topLeftCell="D1" activePane="topRight" state="frozen"/>
      <selection pane="topRight" activeCell="B22" sqref="B22"/>
    </sheetView>
  </sheetViews>
  <sheetFormatPr baseColWidth="10" defaultColWidth="9.140625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39"/>
  </cols>
  <sheetData>
    <row r="1" ht="33.95" customHeight="1" s="62">
      <c r="A1" s="92" t="inlineStr">
        <is>
          <t>GRILLE TARIFAIRE — SEO &amp; optimisation de site</t>
        </is>
      </c>
    </row>
    <row r="2" ht="26.1" customHeight="1" s="62">
      <c r="A2" s="96" t="inlineStr">
        <is>
          <t>⚙  ZONE DE PARAMÉTRAGE — Remplissez uniquement les cases jaunes.  |  Suivi mensuel = €/mois  |  Autres = forfait</t>
        </is>
      </c>
    </row>
    <row r="3" ht="21.95" customHeight="1" s="62">
      <c r="A3" s="95" t="inlineStr">
        <is>
          <t>TARIFS DE BASE (€)  —  Par type de prestation SEO</t>
        </is>
      </c>
    </row>
    <row r="4" ht="21.95" customHeight="1" s="62">
      <c r="A4" s="32" t="inlineStr">
        <is>
          <t>Tarif de base — Stratégie SEO seule</t>
        </is>
      </c>
      <c r="B4" s="33" t="n">
        <v>1500</v>
      </c>
      <c r="C4" s="34" t="inlineStr">
        <is>
          <t>Fourchette indicative : 1 500 – 5 000 €</t>
        </is>
      </c>
    </row>
    <row r="5" ht="21.95" customHeight="1" s="62">
      <c r="A5" s="32" t="inlineStr">
        <is>
          <t>Tarif de base — Stratégie + Optimisation</t>
        </is>
      </c>
      <c r="B5" s="33" t="n">
        <v>4500</v>
      </c>
      <c r="C5" s="34" t="inlineStr">
        <is>
          <t>Fourchette indicative : 3 000 – 12 000 €</t>
        </is>
      </c>
    </row>
    <row r="6" ht="21.95" customHeight="1" s="62">
      <c r="A6" s="32" t="inlineStr">
        <is>
          <t>Tarif de base — Suivi SEO mensuel</t>
        </is>
      </c>
      <c r="B6" s="35" t="n">
        <v>1500</v>
      </c>
      <c r="C6" s="34" t="inlineStr">
        <is>
          <t>Fourchette indicative : 500 – 4 000 €/mois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concurrence — Faible</t>
        </is>
      </c>
      <c r="B8" s="36" t="n">
        <v>0.9</v>
      </c>
      <c r="C8" s="37" t="inlineStr">
        <is>
          <t>Marché peu disputé</t>
        </is>
      </c>
    </row>
    <row r="9" ht="20.1" customHeight="1" s="62">
      <c r="A9" s="19" t="inlineStr">
        <is>
          <t>Coeff. concurrence — Modérée</t>
        </is>
      </c>
      <c r="B9" s="36" t="n">
        <v>1</v>
      </c>
      <c r="C9" s="37" t="inlineStr">
        <is>
          <t>Référence</t>
        </is>
      </c>
    </row>
    <row r="10" ht="20.1" customHeight="1" s="62">
      <c r="A10" s="19" t="inlineStr">
        <is>
          <t>Coeff. concurrence — Élevée</t>
        </is>
      </c>
      <c r="B10" s="36" t="n">
        <v>1.45</v>
      </c>
      <c r="C10" s="37" t="inlineStr">
        <is>
          <t>Marché très concurrentiel</t>
        </is>
      </c>
    </row>
    <row r="11" ht="20.1" customHeight="1" s="62">
      <c r="A11" s="19" t="inlineStr">
        <is>
          <t>Coeff. état site — Bien structuré</t>
        </is>
      </c>
      <c r="B11" s="36" t="n">
        <v>0.85</v>
      </c>
      <c r="C11" s="37" t="inlineStr">
        <is>
          <t>Peu de travail technique</t>
        </is>
      </c>
    </row>
    <row r="12" ht="20.1" customHeight="1" s="62">
      <c r="A12" s="19" t="inlineStr">
        <is>
          <t>Coeff. état site — À améliorer</t>
        </is>
      </c>
      <c r="B12" s="36" t="n">
        <v>1</v>
      </c>
      <c r="C12" s="37" t="inlineStr">
        <is>
          <t>Référence</t>
        </is>
      </c>
    </row>
    <row r="13" ht="20.1" customHeight="1" s="62">
      <c r="A13" s="19" t="inlineStr">
        <is>
          <t>Coeff. état site — À refondre</t>
        </is>
      </c>
      <c r="B13" s="36" t="n">
        <v>1.5</v>
      </c>
      <c r="C13" s="37" t="inlineStr">
        <is>
          <t>Refonte technique importante</t>
        </is>
      </c>
    </row>
    <row r="14" ht="20.1" customHeight="1" s="62">
      <c r="A14" s="19" t="inlineStr">
        <is>
          <t>Coeff. secteur — Standard</t>
        </is>
      </c>
      <c r="B14" s="36" t="n">
        <v>1</v>
      </c>
      <c r="C14" s="37" t="inlineStr">
        <is>
          <t>Référence</t>
        </is>
      </c>
    </row>
    <row r="15" ht="20.1" customHeight="1" s="62">
      <c r="A15" s="19" t="inlineStr">
        <is>
          <t>Coeff. secteur — Concurrentiel (finance, santé…)</t>
        </is>
      </c>
      <c r="B15" s="36" t="n">
        <v>1.35</v>
      </c>
      <c r="C15" s="37" t="inlineStr">
        <is>
          <t>Secteur à forte pression SEO</t>
        </is>
      </c>
    </row>
    <row r="16" ht="20.1" customHeight="1" s="62">
      <c r="A16" s="19" t="inlineStr">
        <is>
          <t>Coeff. zone — Locale</t>
        </is>
      </c>
      <c r="B16" s="36" t="n">
        <v>0.9</v>
      </c>
      <c r="C16" s="37" t="inlineStr">
        <is>
          <t>SEO local</t>
        </is>
      </c>
    </row>
    <row r="17" ht="20.1" customHeight="1" s="62">
      <c r="A17" s="19" t="inlineStr">
        <is>
          <t>Coeff. zone — Nationale</t>
        </is>
      </c>
      <c r="B17" s="36" t="n">
        <v>1</v>
      </c>
      <c r="C17" s="37" t="inlineStr">
        <is>
          <t>Référence</t>
        </is>
      </c>
    </row>
    <row r="18" ht="20.1" customHeight="1" s="62">
      <c r="A18" s="19" t="inlineStr">
        <is>
          <t>Coeff. zone — Internationale</t>
        </is>
      </c>
      <c r="B18" s="36" t="n">
        <v>1.5</v>
      </c>
      <c r="C18" s="37" t="inlineStr">
        <is>
          <t>SEO multi-langues, multi-pays</t>
        </is>
      </c>
    </row>
    <row r="19" ht="20.1" customHeight="1" s="62">
      <c r="A19" s="19" t="inlineStr">
        <is>
          <t>Coeff. mode — Distanciel</t>
        </is>
      </c>
      <c r="B19" s="36" t="n">
        <v>1</v>
      </c>
      <c r="C19" s="37" t="inlineStr">
        <is>
          <t>Référence</t>
        </is>
      </c>
    </row>
    <row r="20" ht="20.1" customHeight="1" s="62">
      <c r="A20" s="19" t="inlineStr">
        <is>
          <t>Coeff. mode — Présentiel</t>
        </is>
      </c>
      <c r="B20" s="36" t="n">
        <v>1.15</v>
      </c>
      <c r="C20" s="37" t="inlineStr">
        <is>
          <t>Réunions et ateliers sur site</t>
        </is>
      </c>
    </row>
    <row r="21" ht="20.1" customHeight="1" s="62">
      <c r="A21" s="19" t="inlineStr">
        <is>
          <t>Coeff. taille — Petit (&lt; 20 pages)</t>
        </is>
      </c>
      <c r="B21" s="36" t="n">
        <v>1</v>
      </c>
      <c r="C21" s="37" t="inlineStr">
        <is>
          <t>Périmètre réduit</t>
        </is>
      </c>
    </row>
    <row r="22" ht="20.1" customHeight="1" s="62">
      <c r="A22" s="19" t="inlineStr">
        <is>
          <t>Coeff. taille — Moyen (20-100 pages)</t>
        </is>
      </c>
      <c r="B22" s="36" t="n">
        <v>1.3</v>
      </c>
      <c r="C22" s="37" t="inlineStr">
        <is>
          <t>Référence</t>
        </is>
      </c>
    </row>
    <row r="23" ht="20.1" customHeight="1" s="62">
      <c r="A23" s="19" t="inlineStr">
        <is>
          <t>Coeff. taille — Grand (100+ pages)</t>
        </is>
      </c>
      <c r="B23" s="36" t="n">
        <v>1.8</v>
      </c>
      <c r="C23" s="37" t="inlineStr">
        <is>
          <t>Périmètre large</t>
        </is>
      </c>
    </row>
    <row r="24" ht="24" customHeight="1" s="62">
      <c r="A24" s="94" t="inlineStr">
        <is>
          <t>▼  GRILLE TARIFAIRE CALCULÉE AUTOMATIQUEMENT  — Les cellules bleues sont en lecture seule (formules).</t>
        </is>
      </c>
    </row>
    <row r="25" ht="6" customHeight="1" s="62"/>
    <row r="26" ht="38.1" customHeight="1" s="62">
      <c r="A26" s="93" t="inlineStr">
        <is>
          <t>Taille du site</t>
        </is>
      </c>
      <c r="B26" s="86" t="inlineStr">
        <is>
          <t>Niveau de concurrence</t>
        </is>
      </c>
      <c r="C26" s="88" t="inlineStr">
        <is>
          <t>État initial du site</t>
        </is>
      </c>
      <c r="D26" s="93" t="inlineStr">
        <is>
          <t>Stratégie SEO seule</t>
        </is>
      </c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6" t="n"/>
      <c r="P26" s="93" t="inlineStr">
        <is>
          <t>Stratégie + Optimisation</t>
        </is>
      </c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6" t="n"/>
      <c r="AB26" s="93" t="inlineStr">
        <is>
          <t>Suivi SEO mensuel</t>
        </is>
      </c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6" t="n"/>
    </row>
    <row r="27" ht="38.1" customHeight="1" s="62">
      <c r="A27" s="64" t="n"/>
      <c r="B27" s="64" t="n"/>
      <c r="C27" s="64" t="n"/>
      <c r="D27" s="86" t="inlineStr">
        <is>
          <t>Secteur standard</t>
        </is>
      </c>
      <c r="E27" s="55" t="n"/>
      <c r="F27" s="55" t="n"/>
      <c r="G27" s="55" t="n"/>
      <c r="H27" s="55" t="n"/>
      <c r="I27" s="56" t="n"/>
      <c r="J27" s="86" t="inlineStr">
        <is>
          <t>Secteur concurrentiel</t>
        </is>
      </c>
      <c r="K27" s="55" t="n"/>
      <c r="L27" s="55" t="n"/>
      <c r="M27" s="55" t="n"/>
      <c r="N27" s="55" t="n"/>
      <c r="O27" s="56" t="n"/>
      <c r="P27" s="86" t="inlineStr">
        <is>
          <t>Secteur standard</t>
        </is>
      </c>
      <c r="Q27" s="55" t="n"/>
      <c r="R27" s="55" t="n"/>
      <c r="S27" s="55" t="n"/>
      <c r="T27" s="55" t="n"/>
      <c r="U27" s="56" t="n"/>
      <c r="V27" s="86" t="inlineStr">
        <is>
          <t>Secteur concurrentiel</t>
        </is>
      </c>
      <c r="W27" s="55" t="n"/>
      <c r="X27" s="55" t="n"/>
      <c r="Y27" s="55" t="n"/>
      <c r="Z27" s="55" t="n"/>
      <c r="AA27" s="56" t="n"/>
      <c r="AB27" s="86" t="inlineStr">
        <is>
          <t>Secteur standard</t>
        </is>
      </c>
      <c r="AC27" s="55" t="n"/>
      <c r="AD27" s="55" t="n"/>
      <c r="AE27" s="55" t="n"/>
      <c r="AF27" s="55" t="n"/>
      <c r="AG27" s="56" t="n"/>
      <c r="AH27" s="86" t="inlineStr">
        <is>
          <t>Secteur concurrentiel</t>
        </is>
      </c>
      <c r="AI27" s="55" t="n"/>
      <c r="AJ27" s="55" t="n"/>
      <c r="AK27" s="55" t="n"/>
      <c r="AL27" s="55" t="n"/>
      <c r="AM27" s="56" t="n"/>
    </row>
    <row r="28" ht="38.1" customHeight="1" s="62">
      <c r="A28" s="64" t="n"/>
      <c r="B28" s="64" t="n"/>
      <c r="C28" s="64" t="n"/>
      <c r="D28" s="88" t="inlineStr">
        <is>
          <t>Zone locale</t>
        </is>
      </c>
      <c r="E28" s="56" t="n"/>
      <c r="F28" s="88" t="inlineStr">
        <is>
          <t>Zone nationale</t>
        </is>
      </c>
      <c r="G28" s="56" t="n"/>
      <c r="H28" s="88" t="inlineStr">
        <is>
          <t>Zone internationale</t>
        </is>
      </c>
      <c r="I28" s="56" t="n"/>
      <c r="J28" s="88" t="inlineStr">
        <is>
          <t>Zone locale</t>
        </is>
      </c>
      <c r="K28" s="56" t="n"/>
      <c r="L28" s="88" t="inlineStr">
        <is>
          <t>Zone nationale</t>
        </is>
      </c>
      <c r="M28" s="56" t="n"/>
      <c r="N28" s="88" t="inlineStr">
        <is>
          <t>Zone internationale</t>
        </is>
      </c>
      <c r="O28" s="56" t="n"/>
      <c r="P28" s="88" t="inlineStr">
        <is>
          <t>Zone locale</t>
        </is>
      </c>
      <c r="Q28" s="56" t="n"/>
      <c r="R28" s="88" t="inlineStr">
        <is>
          <t>Zone nationale</t>
        </is>
      </c>
      <c r="S28" s="56" t="n"/>
      <c r="T28" s="88" t="inlineStr">
        <is>
          <t>Zone internationale</t>
        </is>
      </c>
      <c r="U28" s="56" t="n"/>
      <c r="V28" s="88" t="inlineStr">
        <is>
          <t>Zone locale</t>
        </is>
      </c>
      <c r="W28" s="56" t="n"/>
      <c r="X28" s="88" t="inlineStr">
        <is>
          <t>Zone nationale</t>
        </is>
      </c>
      <c r="Y28" s="56" t="n"/>
      <c r="Z28" s="88" t="inlineStr">
        <is>
          <t>Zone internationale</t>
        </is>
      </c>
      <c r="AA28" s="56" t="n"/>
      <c r="AB28" s="88" t="inlineStr">
        <is>
          <t>Zone locale</t>
        </is>
      </c>
      <c r="AC28" s="56" t="n"/>
      <c r="AD28" s="88" t="inlineStr">
        <is>
          <t>Zone nationale</t>
        </is>
      </c>
      <c r="AE28" s="56" t="n"/>
      <c r="AF28" s="88" t="inlineStr">
        <is>
          <t>Zone internationale</t>
        </is>
      </c>
      <c r="AG28" s="56" t="n"/>
      <c r="AH28" s="88" t="inlineStr">
        <is>
          <t>Zone locale</t>
        </is>
      </c>
      <c r="AI28" s="56" t="n"/>
      <c r="AJ28" s="88" t="inlineStr">
        <is>
          <t>Zone nationale</t>
        </is>
      </c>
      <c r="AK28" s="56" t="n"/>
      <c r="AL28" s="88" t="inlineStr">
        <is>
          <t>Zone internationale</t>
        </is>
      </c>
      <c r="AM28" s="56" t="n"/>
    </row>
    <row r="29" ht="38.1" customHeight="1" s="62">
      <c r="A29" s="65" t="n"/>
      <c r="B29" s="65" t="n"/>
      <c r="C29" s="65" t="n"/>
      <c r="D29" s="22" t="inlineStr">
        <is>
          <t>Distanciel</t>
        </is>
      </c>
      <c r="E29" s="22" t="inlineStr">
        <is>
          <t>Présentiel</t>
        </is>
      </c>
      <c r="F29" s="22" t="inlineStr">
        <is>
          <t>Distanciel</t>
        </is>
      </c>
      <c r="G29" s="22" t="inlineStr">
        <is>
          <t>Présentiel</t>
        </is>
      </c>
      <c r="H29" s="22" t="inlineStr">
        <is>
          <t>Distanciel</t>
        </is>
      </c>
      <c r="I29" s="22" t="inlineStr">
        <is>
          <t>Présentiel</t>
        </is>
      </c>
      <c r="J29" s="22" t="inlineStr">
        <is>
          <t>Distanciel</t>
        </is>
      </c>
      <c r="K29" s="22" t="inlineStr">
        <is>
          <t>Présentiel</t>
        </is>
      </c>
      <c r="L29" s="22" t="inlineStr">
        <is>
          <t>Distanciel</t>
        </is>
      </c>
      <c r="M29" s="22" t="inlineStr">
        <is>
          <t>Présentiel</t>
        </is>
      </c>
      <c r="N29" s="22" t="inlineStr">
        <is>
          <t>Distanciel</t>
        </is>
      </c>
      <c r="O29" s="22" t="inlineStr">
        <is>
          <t>Présentiel</t>
        </is>
      </c>
      <c r="P29" s="22" t="inlineStr">
        <is>
          <t>Distanciel</t>
        </is>
      </c>
      <c r="Q29" s="22" t="inlineStr">
        <is>
          <t>Présentiel</t>
        </is>
      </c>
      <c r="R29" s="22" t="inlineStr">
        <is>
          <t>Distanciel</t>
        </is>
      </c>
      <c r="S29" s="22" t="inlineStr">
        <is>
          <t>Présentiel</t>
        </is>
      </c>
      <c r="T29" s="22" t="inlineStr">
        <is>
          <t>Distanciel</t>
        </is>
      </c>
      <c r="U29" s="22" t="inlineStr">
        <is>
          <t>Présentiel</t>
        </is>
      </c>
      <c r="V29" s="22" t="inlineStr">
        <is>
          <t>Distanciel</t>
        </is>
      </c>
      <c r="W29" s="22" t="inlineStr">
        <is>
          <t>Présentiel</t>
        </is>
      </c>
      <c r="X29" s="22" t="inlineStr">
        <is>
          <t>Distanciel</t>
        </is>
      </c>
      <c r="Y29" s="22" t="inlineStr">
        <is>
          <t>Présentiel</t>
        </is>
      </c>
      <c r="Z29" s="22" t="inlineStr">
        <is>
          <t>Distanciel</t>
        </is>
      </c>
      <c r="AA29" s="22" t="inlineStr">
        <is>
          <t>Présentiel</t>
        </is>
      </c>
      <c r="AB29" s="22" t="inlineStr">
        <is>
          <t>Distanciel</t>
        </is>
      </c>
      <c r="AC29" s="22" t="inlineStr">
        <is>
          <t>Présentiel</t>
        </is>
      </c>
      <c r="AD29" s="22" t="inlineStr">
        <is>
          <t>Distanciel</t>
        </is>
      </c>
      <c r="AE29" s="22" t="inlineStr">
        <is>
          <t>Présentiel</t>
        </is>
      </c>
      <c r="AF29" s="22" t="inlineStr">
        <is>
          <t>Distanciel</t>
        </is>
      </c>
      <c r="AG29" s="22" t="inlineStr">
        <is>
          <t>Présentiel</t>
        </is>
      </c>
      <c r="AH29" s="22" t="inlineStr">
        <is>
          <t>Distanciel</t>
        </is>
      </c>
      <c r="AI29" s="22" t="inlineStr">
        <is>
          <t>Présentiel</t>
        </is>
      </c>
      <c r="AJ29" s="22" t="inlineStr">
        <is>
          <t>Distanciel</t>
        </is>
      </c>
      <c r="AK29" s="22" t="inlineStr">
        <is>
          <t>Présentiel</t>
        </is>
      </c>
      <c r="AL29" s="22" t="inlineStr">
        <is>
          <t>Distanciel</t>
        </is>
      </c>
      <c r="AM29" s="22" t="inlineStr">
        <is>
          <t>Présentiel</t>
        </is>
      </c>
    </row>
    <row r="30" ht="20.1" customHeight="1" s="62">
      <c r="A30" s="89" t="inlineStr">
        <is>
          <t>Petit site (&lt; 20 pages)</t>
        </is>
      </c>
      <c r="B30" s="87" t="inlineStr">
        <is>
          <t>Concurrence faible</t>
        </is>
      </c>
      <c r="C30" s="39" t="inlineStr">
        <is>
          <t>Site bien structuré</t>
        </is>
      </c>
      <c r="D30" s="40">
        <f>ROUND($B$4*$B$21*$B$8*$B$11*$B$14*$B$16*$B$19,0)</f>
        <v/>
      </c>
      <c r="E30" s="40">
        <f>ROUND($B$4*$B$21*$B$8*$B$11*$B$14*$B$16*$B$20,0)</f>
        <v/>
      </c>
      <c r="F30" s="40">
        <f>ROUND($B$4*$B$21*$B$8*$B$11*$B$14*$B$17*$B$19,0)</f>
        <v/>
      </c>
      <c r="G30" s="40">
        <f>ROUND($B$4*$B$21*$B$8*$B$11*$B$14*$B$17*$B$20,0)</f>
        <v/>
      </c>
      <c r="H30" s="40">
        <f>ROUND($B$4*$B$21*$B$8*$B$11*$B$14*$B$18*$B$19,0)</f>
        <v/>
      </c>
      <c r="I30" s="40">
        <f>ROUND($B$4*$B$21*$B$8*$B$11*$B$14*$B$18*$B$20,0)</f>
        <v/>
      </c>
      <c r="J30" s="40">
        <f>ROUND($B$4*$B$21*$B$8*$B$11*$B$15*$B$16*$B$19,0)</f>
        <v/>
      </c>
      <c r="K30" s="40">
        <f>ROUND($B$4*$B$21*$B$8*$B$11*$B$15*$B$16*$B$20,0)</f>
        <v/>
      </c>
      <c r="L30" s="40">
        <f>ROUND($B$4*$B$21*$B$8*$B$11*$B$15*$B$17*$B$19,0)</f>
        <v/>
      </c>
      <c r="M30" s="40">
        <f>ROUND($B$4*$B$21*$B$8*$B$11*$B$15*$B$17*$B$20,0)</f>
        <v/>
      </c>
      <c r="N30" s="40">
        <f>ROUND($B$4*$B$21*$B$8*$B$11*$B$15*$B$18*$B$19,0)</f>
        <v/>
      </c>
      <c r="O30" s="40">
        <f>ROUND($B$4*$B$21*$B$8*$B$11*$B$15*$B$18*$B$20,0)</f>
        <v/>
      </c>
      <c r="P30" s="40">
        <f>ROUND($B$5*$B$21*$B$8*$B$11*$B$14*$B$16*$B$19,0)</f>
        <v/>
      </c>
      <c r="Q30" s="40">
        <f>ROUND($B$5*$B$21*$B$8*$B$11*$B$14*$B$16*$B$20,0)</f>
        <v/>
      </c>
      <c r="R30" s="40">
        <f>ROUND($B$5*$B$21*$B$8*$B$11*$B$14*$B$17*$B$19,0)</f>
        <v/>
      </c>
      <c r="S30" s="40">
        <f>ROUND($B$5*$B$21*$B$8*$B$11*$B$14*$B$17*$B$20,0)</f>
        <v/>
      </c>
      <c r="T30" s="40">
        <f>ROUND($B$5*$B$21*$B$8*$B$11*$B$14*$B$18*$B$19,0)</f>
        <v/>
      </c>
      <c r="U30" s="40">
        <f>ROUND($B$5*$B$21*$B$8*$B$11*$B$14*$B$18*$B$20,0)</f>
        <v/>
      </c>
      <c r="V30" s="40">
        <f>ROUND($B$5*$B$21*$B$8*$B$11*$B$15*$B$16*$B$19,0)</f>
        <v/>
      </c>
      <c r="W30" s="40">
        <f>ROUND($B$5*$B$21*$B$8*$B$11*$B$15*$B$16*$B$20,0)</f>
        <v/>
      </c>
      <c r="X30" s="40">
        <f>ROUND($B$5*$B$21*$B$8*$B$11*$B$15*$B$17*$B$19,0)</f>
        <v/>
      </c>
      <c r="Y30" s="40">
        <f>ROUND($B$5*$B$21*$B$8*$B$11*$B$15*$B$17*$B$20,0)</f>
        <v/>
      </c>
      <c r="Z30" s="40">
        <f>ROUND($B$5*$B$21*$B$8*$B$11*$B$15*$B$18*$B$19,0)</f>
        <v/>
      </c>
      <c r="AA30" s="40">
        <f>ROUND($B$5*$B$21*$B$8*$B$11*$B$15*$B$18*$B$20,0)</f>
        <v/>
      </c>
      <c r="AB30" s="41">
        <f>ROUND($B$6*$B$21*$B$8*$B$11*$B$14*$B$16*$B$19,0)</f>
        <v/>
      </c>
      <c r="AC30" s="41">
        <f>ROUND($B$6*$B$21*$B$8*$B$11*$B$14*$B$16*$B$20,0)</f>
        <v/>
      </c>
      <c r="AD30" s="41">
        <f>ROUND($B$6*$B$21*$B$8*$B$11*$B$14*$B$17*$B$19,0)</f>
        <v/>
      </c>
      <c r="AE30" s="41">
        <f>ROUND($B$6*$B$21*$B$8*$B$11*$B$14*$B$17*$B$20,0)</f>
        <v/>
      </c>
      <c r="AF30" s="41">
        <f>ROUND($B$6*$B$21*$B$8*$B$11*$B$14*$B$18*$B$19,0)</f>
        <v/>
      </c>
      <c r="AG30" s="41">
        <f>ROUND($B$6*$B$21*$B$8*$B$11*$B$14*$B$18*$B$20,0)</f>
        <v/>
      </c>
      <c r="AH30" s="41">
        <f>ROUND($B$6*$B$21*$B$8*$B$11*$B$15*$B$16*$B$19,0)</f>
        <v/>
      </c>
      <c r="AI30" s="41">
        <f>ROUND($B$6*$B$21*$B$8*$B$11*$B$15*$B$16*$B$20,0)</f>
        <v/>
      </c>
      <c r="AJ30" s="41">
        <f>ROUND($B$6*$B$21*$B$8*$B$11*$B$15*$B$17*$B$19,0)</f>
        <v/>
      </c>
      <c r="AK30" s="41">
        <f>ROUND($B$6*$B$21*$B$8*$B$11*$B$15*$B$17*$B$20,0)</f>
        <v/>
      </c>
      <c r="AL30" s="41">
        <f>ROUND($B$6*$B$21*$B$8*$B$11*$B$15*$B$18*$B$19,0)</f>
        <v/>
      </c>
      <c r="AM30" s="41">
        <f>ROUND($B$6*$B$21*$B$8*$B$11*$B$15*$B$18*$B$20,0)</f>
        <v/>
      </c>
    </row>
    <row r="31" ht="20.1" customHeight="1" s="62">
      <c r="A31" s="90" t="n"/>
      <c r="B31" s="58" t="n"/>
      <c r="C31" s="87" t="inlineStr">
        <is>
          <t>Site à améliorer</t>
        </is>
      </c>
      <c r="D31" s="40">
        <f>ROUND($B$4*$B$21*$B$8*$B$12*$B$14*$B$16*$B$19,0)</f>
        <v/>
      </c>
      <c r="E31" s="40">
        <f>ROUND($B$4*$B$21*$B$8*$B$12*$B$14*$B$16*$B$20,0)</f>
        <v/>
      </c>
      <c r="F31" s="40">
        <f>ROUND($B$4*$B$21*$B$8*$B$12*$B$14*$B$17*$B$19,0)</f>
        <v/>
      </c>
      <c r="G31" s="40">
        <f>ROUND($B$4*$B$21*$B$8*$B$12*$B$14*$B$17*$B$20,0)</f>
        <v/>
      </c>
      <c r="H31" s="40">
        <f>ROUND($B$4*$B$21*$B$8*$B$12*$B$14*$B$18*$B$19,0)</f>
        <v/>
      </c>
      <c r="I31" s="40">
        <f>ROUND($B$4*$B$21*$B$8*$B$12*$B$14*$B$18*$B$20,0)</f>
        <v/>
      </c>
      <c r="J31" s="40">
        <f>ROUND($B$4*$B$21*$B$8*$B$12*$B$15*$B$16*$B$19,0)</f>
        <v/>
      </c>
      <c r="K31" s="40">
        <f>ROUND($B$4*$B$21*$B$8*$B$12*$B$15*$B$16*$B$20,0)</f>
        <v/>
      </c>
      <c r="L31" s="40">
        <f>ROUND($B$4*$B$21*$B$8*$B$12*$B$15*$B$17*$B$19,0)</f>
        <v/>
      </c>
      <c r="M31" s="40">
        <f>ROUND($B$4*$B$21*$B$8*$B$12*$B$15*$B$17*$B$20,0)</f>
        <v/>
      </c>
      <c r="N31" s="40">
        <f>ROUND($B$4*$B$21*$B$8*$B$12*$B$15*$B$18*$B$19,0)</f>
        <v/>
      </c>
      <c r="O31" s="40">
        <f>ROUND($B$4*$B$21*$B$8*$B$12*$B$15*$B$18*$B$20,0)</f>
        <v/>
      </c>
      <c r="P31" s="40">
        <f>ROUND($B$5*$B$21*$B$8*$B$12*$B$14*$B$16*$B$19,0)</f>
        <v/>
      </c>
      <c r="Q31" s="40">
        <f>ROUND($B$5*$B$21*$B$8*$B$12*$B$14*$B$16*$B$20,0)</f>
        <v/>
      </c>
      <c r="R31" s="40">
        <f>ROUND($B$5*$B$21*$B$8*$B$12*$B$14*$B$17*$B$19,0)</f>
        <v/>
      </c>
      <c r="S31" s="40">
        <f>ROUND($B$5*$B$21*$B$8*$B$12*$B$14*$B$17*$B$20,0)</f>
        <v/>
      </c>
      <c r="T31" s="40">
        <f>ROUND($B$5*$B$21*$B$8*$B$12*$B$14*$B$18*$B$19,0)</f>
        <v/>
      </c>
      <c r="U31" s="40">
        <f>ROUND($B$5*$B$21*$B$8*$B$12*$B$14*$B$18*$B$20,0)</f>
        <v/>
      </c>
      <c r="V31" s="40">
        <f>ROUND($B$5*$B$21*$B$8*$B$12*$B$15*$B$16*$B$19,0)</f>
        <v/>
      </c>
      <c r="W31" s="40">
        <f>ROUND($B$5*$B$21*$B$8*$B$12*$B$15*$B$16*$B$20,0)</f>
        <v/>
      </c>
      <c r="X31" s="40">
        <f>ROUND($B$5*$B$21*$B$8*$B$12*$B$15*$B$17*$B$19,0)</f>
        <v/>
      </c>
      <c r="Y31" s="40">
        <f>ROUND($B$5*$B$21*$B$8*$B$12*$B$15*$B$17*$B$20,0)</f>
        <v/>
      </c>
      <c r="Z31" s="40">
        <f>ROUND($B$5*$B$21*$B$8*$B$12*$B$15*$B$18*$B$19,0)</f>
        <v/>
      </c>
      <c r="AA31" s="40">
        <f>ROUND($B$5*$B$21*$B$8*$B$12*$B$15*$B$18*$B$20,0)</f>
        <v/>
      </c>
      <c r="AB31" s="41">
        <f>ROUND($B$6*$B$21*$B$8*$B$12*$B$14*$B$16*$B$19,0)</f>
        <v/>
      </c>
      <c r="AC31" s="41">
        <f>ROUND($B$6*$B$21*$B$8*$B$12*$B$14*$B$16*$B$20,0)</f>
        <v/>
      </c>
      <c r="AD31" s="41">
        <f>ROUND($B$6*$B$21*$B$8*$B$12*$B$14*$B$17*$B$19,0)</f>
        <v/>
      </c>
      <c r="AE31" s="41">
        <f>ROUND($B$6*$B$21*$B$8*$B$12*$B$14*$B$17*$B$20,0)</f>
        <v/>
      </c>
      <c r="AF31" s="41">
        <f>ROUND($B$6*$B$21*$B$8*$B$12*$B$14*$B$18*$B$19,0)</f>
        <v/>
      </c>
      <c r="AG31" s="41">
        <f>ROUND($B$6*$B$21*$B$8*$B$12*$B$14*$B$18*$B$20,0)</f>
        <v/>
      </c>
      <c r="AH31" s="41">
        <f>ROUND($B$6*$B$21*$B$8*$B$12*$B$15*$B$16*$B$19,0)</f>
        <v/>
      </c>
      <c r="AI31" s="41">
        <f>ROUND($B$6*$B$21*$B$8*$B$12*$B$15*$B$16*$B$20,0)</f>
        <v/>
      </c>
      <c r="AJ31" s="41">
        <f>ROUND($B$6*$B$21*$B$8*$B$12*$B$15*$B$17*$B$19,0)</f>
        <v/>
      </c>
      <c r="AK31" s="41">
        <f>ROUND($B$6*$B$21*$B$8*$B$12*$B$15*$B$17*$B$20,0)</f>
        <v/>
      </c>
      <c r="AL31" s="41">
        <f>ROUND($B$6*$B$21*$B$8*$B$12*$B$15*$B$18*$B$19,0)</f>
        <v/>
      </c>
      <c r="AM31" s="41">
        <f>ROUND($B$6*$B$21*$B$8*$B$12*$B$15*$B$18*$B$20,0)</f>
        <v/>
      </c>
    </row>
    <row r="32" ht="20.1" customHeight="1" s="62">
      <c r="A32" s="90" t="n"/>
      <c r="B32" s="59" t="n"/>
      <c r="C32" s="42" t="inlineStr">
        <is>
          <t>Site à refondre</t>
        </is>
      </c>
      <c r="D32" s="40">
        <f>ROUND($B$4*$B$21*$B$8*$B$13*$B$14*$B$16*$B$19,0)</f>
        <v/>
      </c>
      <c r="E32" s="40">
        <f>ROUND($B$4*$B$21*$B$8*$B$13*$B$14*$B$16*$B$20,0)</f>
        <v/>
      </c>
      <c r="F32" s="40">
        <f>ROUND($B$4*$B$21*$B$8*$B$13*$B$14*$B$17*$B$19,0)</f>
        <v/>
      </c>
      <c r="G32" s="40">
        <f>ROUND($B$4*$B$21*$B$8*$B$13*$B$14*$B$17*$B$20,0)</f>
        <v/>
      </c>
      <c r="H32" s="40">
        <f>ROUND($B$4*$B$21*$B$8*$B$13*$B$14*$B$18*$B$19,0)</f>
        <v/>
      </c>
      <c r="I32" s="40">
        <f>ROUND($B$4*$B$21*$B$8*$B$13*$B$14*$B$18*$B$20,0)</f>
        <v/>
      </c>
      <c r="J32" s="40">
        <f>ROUND($B$4*$B$21*$B$8*$B$13*$B$15*$B$16*$B$19,0)</f>
        <v/>
      </c>
      <c r="K32" s="40">
        <f>ROUND($B$4*$B$21*$B$8*$B$13*$B$15*$B$16*$B$20,0)</f>
        <v/>
      </c>
      <c r="L32" s="40">
        <f>ROUND($B$4*$B$21*$B$8*$B$13*$B$15*$B$17*$B$19,0)</f>
        <v/>
      </c>
      <c r="M32" s="40">
        <f>ROUND($B$4*$B$21*$B$8*$B$13*$B$15*$B$17*$B$20,0)</f>
        <v/>
      </c>
      <c r="N32" s="40">
        <f>ROUND($B$4*$B$21*$B$8*$B$13*$B$15*$B$18*$B$19,0)</f>
        <v/>
      </c>
      <c r="O32" s="40">
        <f>ROUND($B$4*$B$21*$B$8*$B$13*$B$15*$B$18*$B$20,0)</f>
        <v/>
      </c>
      <c r="P32" s="40">
        <f>ROUND($B$5*$B$21*$B$8*$B$13*$B$14*$B$16*$B$19,0)</f>
        <v/>
      </c>
      <c r="Q32" s="40">
        <f>ROUND($B$5*$B$21*$B$8*$B$13*$B$14*$B$16*$B$20,0)</f>
        <v/>
      </c>
      <c r="R32" s="40">
        <f>ROUND($B$5*$B$21*$B$8*$B$13*$B$14*$B$17*$B$19,0)</f>
        <v/>
      </c>
      <c r="S32" s="40">
        <f>ROUND($B$5*$B$21*$B$8*$B$13*$B$14*$B$17*$B$20,0)</f>
        <v/>
      </c>
      <c r="T32" s="40">
        <f>ROUND($B$5*$B$21*$B$8*$B$13*$B$14*$B$18*$B$19,0)</f>
        <v/>
      </c>
      <c r="U32" s="40">
        <f>ROUND($B$5*$B$21*$B$8*$B$13*$B$14*$B$18*$B$20,0)</f>
        <v/>
      </c>
      <c r="V32" s="40">
        <f>ROUND($B$5*$B$21*$B$8*$B$13*$B$15*$B$16*$B$19,0)</f>
        <v/>
      </c>
      <c r="W32" s="40">
        <f>ROUND($B$5*$B$21*$B$8*$B$13*$B$15*$B$16*$B$20,0)</f>
        <v/>
      </c>
      <c r="X32" s="40">
        <f>ROUND($B$5*$B$21*$B$8*$B$13*$B$15*$B$17*$B$19,0)</f>
        <v/>
      </c>
      <c r="Y32" s="40">
        <f>ROUND($B$5*$B$21*$B$8*$B$13*$B$15*$B$17*$B$20,0)</f>
        <v/>
      </c>
      <c r="Z32" s="40">
        <f>ROUND($B$5*$B$21*$B$8*$B$13*$B$15*$B$18*$B$19,0)</f>
        <v/>
      </c>
      <c r="AA32" s="40">
        <f>ROUND($B$5*$B$21*$B$8*$B$13*$B$15*$B$18*$B$20,0)</f>
        <v/>
      </c>
      <c r="AB32" s="41">
        <f>ROUND($B$6*$B$21*$B$8*$B$13*$B$14*$B$16*$B$19,0)</f>
        <v/>
      </c>
      <c r="AC32" s="41">
        <f>ROUND($B$6*$B$21*$B$8*$B$13*$B$14*$B$16*$B$20,0)</f>
        <v/>
      </c>
      <c r="AD32" s="41">
        <f>ROUND($B$6*$B$21*$B$8*$B$13*$B$14*$B$17*$B$19,0)</f>
        <v/>
      </c>
      <c r="AE32" s="41">
        <f>ROUND($B$6*$B$21*$B$8*$B$13*$B$14*$B$17*$B$20,0)</f>
        <v/>
      </c>
      <c r="AF32" s="41">
        <f>ROUND($B$6*$B$21*$B$8*$B$13*$B$14*$B$18*$B$19,0)</f>
        <v/>
      </c>
      <c r="AG32" s="41">
        <f>ROUND($B$6*$B$21*$B$8*$B$13*$B$14*$B$18*$B$20,0)</f>
        <v/>
      </c>
      <c r="AH32" s="41">
        <f>ROUND($B$6*$B$21*$B$8*$B$13*$B$15*$B$16*$B$19,0)</f>
        <v/>
      </c>
      <c r="AI32" s="41">
        <f>ROUND($B$6*$B$21*$B$8*$B$13*$B$15*$B$16*$B$20,0)</f>
        <v/>
      </c>
      <c r="AJ32" s="41">
        <f>ROUND($B$6*$B$21*$B$8*$B$13*$B$15*$B$17*$B$19,0)</f>
        <v/>
      </c>
      <c r="AK32" s="41">
        <f>ROUND($B$6*$B$21*$B$8*$B$13*$B$15*$B$17*$B$20,0)</f>
        <v/>
      </c>
      <c r="AL32" s="41">
        <f>ROUND($B$6*$B$21*$B$8*$B$13*$B$15*$B$18*$B$19,0)</f>
        <v/>
      </c>
      <c r="AM32" s="41">
        <f>ROUND($B$6*$B$21*$B$8*$B$13*$B$15*$B$18*$B$20,0)</f>
        <v/>
      </c>
    </row>
    <row r="33" ht="20.1" customHeight="1" s="62">
      <c r="A33" s="90" t="n"/>
      <c r="B33" s="87" t="inlineStr">
        <is>
          <t>Concurrence modérée</t>
        </is>
      </c>
      <c r="C33" s="39" t="inlineStr">
        <is>
          <t>Site bien structuré</t>
        </is>
      </c>
      <c r="D33" s="40">
        <f>ROUND($B$4*$B$21*$B$9*$B$11*$B$14*$B$16*$B$19,0)</f>
        <v/>
      </c>
      <c r="E33" s="40">
        <f>ROUND($B$4*$B$21*$B$9*$B$11*$B$14*$B$16*$B$20,0)</f>
        <v/>
      </c>
      <c r="F33" s="40">
        <f>ROUND($B$4*$B$21*$B$9*$B$11*$B$14*$B$17*$B$19,0)</f>
        <v/>
      </c>
      <c r="G33" s="40">
        <f>ROUND($B$4*$B$21*$B$9*$B$11*$B$14*$B$17*$B$20,0)</f>
        <v/>
      </c>
      <c r="H33" s="40">
        <f>ROUND($B$4*$B$21*$B$9*$B$11*$B$14*$B$18*$B$19,0)</f>
        <v/>
      </c>
      <c r="I33" s="40">
        <f>ROUND($B$4*$B$21*$B$9*$B$11*$B$14*$B$18*$B$20,0)</f>
        <v/>
      </c>
      <c r="J33" s="40">
        <f>ROUND($B$4*$B$21*$B$9*$B$11*$B$15*$B$16*$B$19,0)</f>
        <v/>
      </c>
      <c r="K33" s="40">
        <f>ROUND($B$4*$B$21*$B$9*$B$11*$B$15*$B$16*$B$20,0)</f>
        <v/>
      </c>
      <c r="L33" s="40">
        <f>ROUND($B$4*$B$21*$B$9*$B$11*$B$15*$B$17*$B$19,0)</f>
        <v/>
      </c>
      <c r="M33" s="40">
        <f>ROUND($B$4*$B$21*$B$9*$B$11*$B$15*$B$17*$B$20,0)</f>
        <v/>
      </c>
      <c r="N33" s="40">
        <f>ROUND($B$4*$B$21*$B$9*$B$11*$B$15*$B$18*$B$19,0)</f>
        <v/>
      </c>
      <c r="O33" s="40">
        <f>ROUND($B$4*$B$21*$B$9*$B$11*$B$15*$B$18*$B$20,0)</f>
        <v/>
      </c>
      <c r="P33" s="40">
        <f>ROUND($B$5*$B$21*$B$9*$B$11*$B$14*$B$16*$B$19,0)</f>
        <v/>
      </c>
      <c r="Q33" s="40">
        <f>ROUND($B$5*$B$21*$B$9*$B$11*$B$14*$B$16*$B$20,0)</f>
        <v/>
      </c>
      <c r="R33" s="40">
        <f>ROUND($B$5*$B$21*$B$9*$B$11*$B$14*$B$17*$B$19,0)</f>
        <v/>
      </c>
      <c r="S33" s="40">
        <f>ROUND($B$5*$B$21*$B$9*$B$11*$B$14*$B$17*$B$20,0)</f>
        <v/>
      </c>
      <c r="T33" s="40">
        <f>ROUND($B$5*$B$21*$B$9*$B$11*$B$14*$B$18*$B$19,0)</f>
        <v/>
      </c>
      <c r="U33" s="40">
        <f>ROUND($B$5*$B$21*$B$9*$B$11*$B$14*$B$18*$B$20,0)</f>
        <v/>
      </c>
      <c r="V33" s="40">
        <f>ROUND($B$5*$B$21*$B$9*$B$11*$B$15*$B$16*$B$19,0)</f>
        <v/>
      </c>
      <c r="W33" s="40">
        <f>ROUND($B$5*$B$21*$B$9*$B$11*$B$15*$B$16*$B$20,0)</f>
        <v/>
      </c>
      <c r="X33" s="40">
        <f>ROUND($B$5*$B$21*$B$9*$B$11*$B$15*$B$17*$B$19,0)</f>
        <v/>
      </c>
      <c r="Y33" s="40">
        <f>ROUND($B$5*$B$21*$B$9*$B$11*$B$15*$B$17*$B$20,0)</f>
        <v/>
      </c>
      <c r="Z33" s="40">
        <f>ROUND($B$5*$B$21*$B$9*$B$11*$B$15*$B$18*$B$19,0)</f>
        <v/>
      </c>
      <c r="AA33" s="40">
        <f>ROUND($B$5*$B$21*$B$9*$B$11*$B$15*$B$18*$B$20,0)</f>
        <v/>
      </c>
      <c r="AB33" s="41">
        <f>ROUND($B$6*$B$21*$B$9*$B$11*$B$14*$B$16*$B$19,0)</f>
        <v/>
      </c>
      <c r="AC33" s="41">
        <f>ROUND($B$6*$B$21*$B$9*$B$11*$B$14*$B$16*$B$20,0)</f>
        <v/>
      </c>
      <c r="AD33" s="41">
        <f>ROUND($B$6*$B$21*$B$9*$B$11*$B$14*$B$17*$B$19,0)</f>
        <v/>
      </c>
      <c r="AE33" s="41">
        <f>ROUND($B$6*$B$21*$B$9*$B$11*$B$14*$B$17*$B$20,0)</f>
        <v/>
      </c>
      <c r="AF33" s="41">
        <f>ROUND($B$6*$B$21*$B$9*$B$11*$B$14*$B$18*$B$19,0)</f>
        <v/>
      </c>
      <c r="AG33" s="41">
        <f>ROUND($B$6*$B$21*$B$9*$B$11*$B$14*$B$18*$B$20,0)</f>
        <v/>
      </c>
      <c r="AH33" s="41">
        <f>ROUND($B$6*$B$21*$B$9*$B$11*$B$15*$B$16*$B$19,0)</f>
        <v/>
      </c>
      <c r="AI33" s="41">
        <f>ROUND($B$6*$B$21*$B$9*$B$11*$B$15*$B$16*$B$20,0)</f>
        <v/>
      </c>
      <c r="AJ33" s="41">
        <f>ROUND($B$6*$B$21*$B$9*$B$11*$B$15*$B$17*$B$19,0)</f>
        <v/>
      </c>
      <c r="AK33" s="41">
        <f>ROUND($B$6*$B$21*$B$9*$B$11*$B$15*$B$17*$B$20,0)</f>
        <v/>
      </c>
      <c r="AL33" s="41">
        <f>ROUND($B$6*$B$21*$B$9*$B$11*$B$15*$B$18*$B$19,0)</f>
        <v/>
      </c>
      <c r="AM33" s="41">
        <f>ROUND($B$6*$B$21*$B$9*$B$11*$B$15*$B$18*$B$20,0)</f>
        <v/>
      </c>
    </row>
    <row r="34" ht="20.1" customHeight="1" s="62">
      <c r="A34" s="90" t="n"/>
      <c r="B34" s="58" t="n"/>
      <c r="C34" s="87" t="inlineStr">
        <is>
          <t>Site à améliorer</t>
        </is>
      </c>
      <c r="D34" s="40">
        <f>ROUND($B$4*$B$21*$B$9*$B$12*$B$14*$B$16*$B$19,0)</f>
        <v/>
      </c>
      <c r="E34" s="40">
        <f>ROUND($B$4*$B$21*$B$9*$B$12*$B$14*$B$16*$B$20,0)</f>
        <v/>
      </c>
      <c r="F34" s="40">
        <f>ROUND($B$4*$B$21*$B$9*$B$12*$B$14*$B$17*$B$19,0)</f>
        <v/>
      </c>
      <c r="G34" s="40">
        <f>ROUND($B$4*$B$21*$B$9*$B$12*$B$14*$B$17*$B$20,0)</f>
        <v/>
      </c>
      <c r="H34" s="40">
        <f>ROUND($B$4*$B$21*$B$9*$B$12*$B$14*$B$18*$B$19,0)</f>
        <v/>
      </c>
      <c r="I34" s="40">
        <f>ROUND($B$4*$B$21*$B$9*$B$12*$B$14*$B$18*$B$20,0)</f>
        <v/>
      </c>
      <c r="J34" s="40">
        <f>ROUND($B$4*$B$21*$B$9*$B$12*$B$15*$B$16*$B$19,0)</f>
        <v/>
      </c>
      <c r="K34" s="40">
        <f>ROUND($B$4*$B$21*$B$9*$B$12*$B$15*$B$16*$B$20,0)</f>
        <v/>
      </c>
      <c r="L34" s="40">
        <f>ROUND($B$4*$B$21*$B$9*$B$12*$B$15*$B$17*$B$19,0)</f>
        <v/>
      </c>
      <c r="M34" s="40">
        <f>ROUND($B$4*$B$21*$B$9*$B$12*$B$15*$B$17*$B$20,0)</f>
        <v/>
      </c>
      <c r="N34" s="40">
        <f>ROUND($B$4*$B$21*$B$9*$B$12*$B$15*$B$18*$B$19,0)</f>
        <v/>
      </c>
      <c r="O34" s="40">
        <f>ROUND($B$4*$B$21*$B$9*$B$12*$B$15*$B$18*$B$20,0)</f>
        <v/>
      </c>
      <c r="P34" s="40">
        <f>ROUND($B$5*$B$21*$B$9*$B$12*$B$14*$B$16*$B$19,0)</f>
        <v/>
      </c>
      <c r="Q34" s="40">
        <f>ROUND($B$5*$B$21*$B$9*$B$12*$B$14*$B$16*$B$20,0)</f>
        <v/>
      </c>
      <c r="R34" s="40">
        <f>ROUND($B$5*$B$21*$B$9*$B$12*$B$14*$B$17*$B$19,0)</f>
        <v/>
      </c>
      <c r="S34" s="40">
        <f>ROUND($B$5*$B$21*$B$9*$B$12*$B$14*$B$17*$B$20,0)</f>
        <v/>
      </c>
      <c r="T34" s="40">
        <f>ROUND($B$5*$B$21*$B$9*$B$12*$B$14*$B$18*$B$19,0)</f>
        <v/>
      </c>
      <c r="U34" s="40">
        <f>ROUND($B$5*$B$21*$B$9*$B$12*$B$14*$B$18*$B$20,0)</f>
        <v/>
      </c>
      <c r="V34" s="40">
        <f>ROUND($B$5*$B$21*$B$9*$B$12*$B$15*$B$16*$B$19,0)</f>
        <v/>
      </c>
      <c r="W34" s="40">
        <f>ROUND($B$5*$B$21*$B$9*$B$12*$B$15*$B$16*$B$20,0)</f>
        <v/>
      </c>
      <c r="X34" s="40">
        <f>ROUND($B$5*$B$21*$B$9*$B$12*$B$15*$B$17*$B$19,0)</f>
        <v/>
      </c>
      <c r="Y34" s="40">
        <f>ROUND($B$5*$B$21*$B$9*$B$12*$B$15*$B$17*$B$20,0)</f>
        <v/>
      </c>
      <c r="Z34" s="40">
        <f>ROUND($B$5*$B$21*$B$9*$B$12*$B$15*$B$18*$B$19,0)</f>
        <v/>
      </c>
      <c r="AA34" s="40">
        <f>ROUND($B$5*$B$21*$B$9*$B$12*$B$15*$B$18*$B$20,0)</f>
        <v/>
      </c>
      <c r="AB34" s="41">
        <f>ROUND($B$6*$B$21*$B$9*$B$12*$B$14*$B$16*$B$19,0)</f>
        <v/>
      </c>
      <c r="AC34" s="41">
        <f>ROUND($B$6*$B$21*$B$9*$B$12*$B$14*$B$16*$B$20,0)</f>
        <v/>
      </c>
      <c r="AD34" s="41">
        <f>ROUND($B$6*$B$21*$B$9*$B$12*$B$14*$B$17*$B$19,0)</f>
        <v/>
      </c>
      <c r="AE34" s="41">
        <f>ROUND($B$6*$B$21*$B$9*$B$12*$B$14*$B$17*$B$20,0)</f>
        <v/>
      </c>
      <c r="AF34" s="41">
        <f>ROUND($B$6*$B$21*$B$9*$B$12*$B$14*$B$18*$B$19,0)</f>
        <v/>
      </c>
      <c r="AG34" s="41">
        <f>ROUND($B$6*$B$21*$B$9*$B$12*$B$14*$B$18*$B$20,0)</f>
        <v/>
      </c>
      <c r="AH34" s="41">
        <f>ROUND($B$6*$B$21*$B$9*$B$12*$B$15*$B$16*$B$19,0)</f>
        <v/>
      </c>
      <c r="AI34" s="41">
        <f>ROUND($B$6*$B$21*$B$9*$B$12*$B$15*$B$16*$B$20,0)</f>
        <v/>
      </c>
      <c r="AJ34" s="41">
        <f>ROUND($B$6*$B$21*$B$9*$B$12*$B$15*$B$17*$B$19,0)</f>
        <v/>
      </c>
      <c r="AK34" s="41">
        <f>ROUND($B$6*$B$21*$B$9*$B$12*$B$15*$B$17*$B$20,0)</f>
        <v/>
      </c>
      <c r="AL34" s="41">
        <f>ROUND($B$6*$B$21*$B$9*$B$12*$B$15*$B$18*$B$19,0)</f>
        <v/>
      </c>
      <c r="AM34" s="41">
        <f>ROUND($B$6*$B$21*$B$9*$B$12*$B$15*$B$18*$B$20,0)</f>
        <v/>
      </c>
    </row>
    <row r="35" ht="20.1" customHeight="1" s="62">
      <c r="A35" s="90" t="n"/>
      <c r="B35" s="59" t="n"/>
      <c r="C35" s="42" t="inlineStr">
        <is>
          <t>Site à refondre</t>
        </is>
      </c>
      <c r="D35" s="40">
        <f>ROUND($B$4*$B$21*$B$9*$B$13*$B$14*$B$16*$B$19,0)</f>
        <v/>
      </c>
      <c r="E35" s="40">
        <f>ROUND($B$4*$B$21*$B$9*$B$13*$B$14*$B$16*$B$20,0)</f>
        <v/>
      </c>
      <c r="F35" s="40">
        <f>ROUND($B$4*$B$21*$B$9*$B$13*$B$14*$B$17*$B$19,0)</f>
        <v/>
      </c>
      <c r="G35" s="40">
        <f>ROUND($B$4*$B$21*$B$9*$B$13*$B$14*$B$17*$B$20,0)</f>
        <v/>
      </c>
      <c r="H35" s="40">
        <f>ROUND($B$4*$B$21*$B$9*$B$13*$B$14*$B$18*$B$19,0)</f>
        <v/>
      </c>
      <c r="I35" s="40">
        <f>ROUND($B$4*$B$21*$B$9*$B$13*$B$14*$B$18*$B$20,0)</f>
        <v/>
      </c>
      <c r="J35" s="40">
        <f>ROUND($B$4*$B$21*$B$9*$B$13*$B$15*$B$16*$B$19,0)</f>
        <v/>
      </c>
      <c r="K35" s="40">
        <f>ROUND($B$4*$B$21*$B$9*$B$13*$B$15*$B$16*$B$20,0)</f>
        <v/>
      </c>
      <c r="L35" s="40">
        <f>ROUND($B$4*$B$21*$B$9*$B$13*$B$15*$B$17*$B$19,0)</f>
        <v/>
      </c>
      <c r="M35" s="40">
        <f>ROUND($B$4*$B$21*$B$9*$B$13*$B$15*$B$17*$B$20,0)</f>
        <v/>
      </c>
      <c r="N35" s="40">
        <f>ROUND($B$4*$B$21*$B$9*$B$13*$B$15*$B$18*$B$19,0)</f>
        <v/>
      </c>
      <c r="O35" s="40">
        <f>ROUND($B$4*$B$21*$B$9*$B$13*$B$15*$B$18*$B$20,0)</f>
        <v/>
      </c>
      <c r="P35" s="40">
        <f>ROUND($B$5*$B$21*$B$9*$B$13*$B$14*$B$16*$B$19,0)</f>
        <v/>
      </c>
      <c r="Q35" s="40">
        <f>ROUND($B$5*$B$21*$B$9*$B$13*$B$14*$B$16*$B$20,0)</f>
        <v/>
      </c>
      <c r="R35" s="40">
        <f>ROUND($B$5*$B$21*$B$9*$B$13*$B$14*$B$17*$B$19,0)</f>
        <v/>
      </c>
      <c r="S35" s="40">
        <f>ROUND($B$5*$B$21*$B$9*$B$13*$B$14*$B$17*$B$20,0)</f>
        <v/>
      </c>
      <c r="T35" s="40">
        <f>ROUND($B$5*$B$21*$B$9*$B$13*$B$14*$B$18*$B$19,0)</f>
        <v/>
      </c>
      <c r="U35" s="40">
        <f>ROUND($B$5*$B$21*$B$9*$B$13*$B$14*$B$18*$B$20,0)</f>
        <v/>
      </c>
      <c r="V35" s="40">
        <f>ROUND($B$5*$B$21*$B$9*$B$13*$B$15*$B$16*$B$19,0)</f>
        <v/>
      </c>
      <c r="W35" s="40">
        <f>ROUND($B$5*$B$21*$B$9*$B$13*$B$15*$B$16*$B$20,0)</f>
        <v/>
      </c>
      <c r="X35" s="40">
        <f>ROUND($B$5*$B$21*$B$9*$B$13*$B$15*$B$17*$B$19,0)</f>
        <v/>
      </c>
      <c r="Y35" s="40">
        <f>ROUND($B$5*$B$21*$B$9*$B$13*$B$15*$B$17*$B$20,0)</f>
        <v/>
      </c>
      <c r="Z35" s="40">
        <f>ROUND($B$5*$B$21*$B$9*$B$13*$B$15*$B$18*$B$19,0)</f>
        <v/>
      </c>
      <c r="AA35" s="40">
        <f>ROUND($B$5*$B$21*$B$9*$B$13*$B$15*$B$18*$B$20,0)</f>
        <v/>
      </c>
      <c r="AB35" s="41">
        <f>ROUND($B$6*$B$21*$B$9*$B$13*$B$14*$B$16*$B$19,0)</f>
        <v/>
      </c>
      <c r="AC35" s="41">
        <f>ROUND($B$6*$B$21*$B$9*$B$13*$B$14*$B$16*$B$20,0)</f>
        <v/>
      </c>
      <c r="AD35" s="41">
        <f>ROUND($B$6*$B$21*$B$9*$B$13*$B$14*$B$17*$B$19,0)</f>
        <v/>
      </c>
      <c r="AE35" s="41">
        <f>ROUND($B$6*$B$21*$B$9*$B$13*$B$14*$B$17*$B$20,0)</f>
        <v/>
      </c>
      <c r="AF35" s="41">
        <f>ROUND($B$6*$B$21*$B$9*$B$13*$B$14*$B$18*$B$19,0)</f>
        <v/>
      </c>
      <c r="AG35" s="41">
        <f>ROUND($B$6*$B$21*$B$9*$B$13*$B$14*$B$18*$B$20,0)</f>
        <v/>
      </c>
      <c r="AH35" s="41">
        <f>ROUND($B$6*$B$21*$B$9*$B$13*$B$15*$B$16*$B$19,0)</f>
        <v/>
      </c>
      <c r="AI35" s="41">
        <f>ROUND($B$6*$B$21*$B$9*$B$13*$B$15*$B$16*$B$20,0)</f>
        <v/>
      </c>
      <c r="AJ35" s="41">
        <f>ROUND($B$6*$B$21*$B$9*$B$13*$B$15*$B$17*$B$19,0)</f>
        <v/>
      </c>
      <c r="AK35" s="41">
        <f>ROUND($B$6*$B$21*$B$9*$B$13*$B$15*$B$17*$B$20,0)</f>
        <v/>
      </c>
      <c r="AL35" s="41">
        <f>ROUND($B$6*$B$21*$B$9*$B$13*$B$15*$B$18*$B$19,0)</f>
        <v/>
      </c>
      <c r="AM35" s="41">
        <f>ROUND($B$6*$B$21*$B$9*$B$13*$B$15*$B$18*$B$20,0)</f>
        <v/>
      </c>
    </row>
    <row r="36" ht="20.1" customHeight="1" s="62">
      <c r="A36" s="90" t="n"/>
      <c r="B36" s="87" t="inlineStr">
        <is>
          <t>Concurrence élevée</t>
        </is>
      </c>
      <c r="C36" s="39" t="inlineStr">
        <is>
          <t>Site bien structuré</t>
        </is>
      </c>
      <c r="D36" s="40">
        <f>ROUND($B$4*$B$21*$B$10*$B$11*$B$14*$B$16*$B$19,0)</f>
        <v/>
      </c>
      <c r="E36" s="40">
        <f>ROUND($B$4*$B$21*$B$10*$B$11*$B$14*$B$16*$B$20,0)</f>
        <v/>
      </c>
      <c r="F36" s="40">
        <f>ROUND($B$4*$B$21*$B$10*$B$11*$B$14*$B$17*$B$19,0)</f>
        <v/>
      </c>
      <c r="G36" s="40">
        <f>ROUND($B$4*$B$21*$B$10*$B$11*$B$14*$B$17*$B$20,0)</f>
        <v/>
      </c>
      <c r="H36" s="40">
        <f>ROUND($B$4*$B$21*$B$10*$B$11*$B$14*$B$18*$B$19,0)</f>
        <v/>
      </c>
      <c r="I36" s="40">
        <f>ROUND($B$4*$B$21*$B$10*$B$11*$B$14*$B$18*$B$20,0)</f>
        <v/>
      </c>
      <c r="J36" s="40">
        <f>ROUND($B$4*$B$21*$B$10*$B$11*$B$15*$B$16*$B$19,0)</f>
        <v/>
      </c>
      <c r="K36" s="40">
        <f>ROUND($B$4*$B$21*$B$10*$B$11*$B$15*$B$16*$B$20,0)</f>
        <v/>
      </c>
      <c r="L36" s="40">
        <f>ROUND($B$4*$B$21*$B$10*$B$11*$B$15*$B$17*$B$19,0)</f>
        <v/>
      </c>
      <c r="M36" s="40">
        <f>ROUND($B$4*$B$21*$B$10*$B$11*$B$15*$B$17*$B$20,0)</f>
        <v/>
      </c>
      <c r="N36" s="40">
        <f>ROUND($B$4*$B$21*$B$10*$B$11*$B$15*$B$18*$B$19,0)</f>
        <v/>
      </c>
      <c r="O36" s="40">
        <f>ROUND($B$4*$B$21*$B$10*$B$11*$B$15*$B$18*$B$20,0)</f>
        <v/>
      </c>
      <c r="P36" s="40">
        <f>ROUND($B$5*$B$21*$B$10*$B$11*$B$14*$B$16*$B$19,0)</f>
        <v/>
      </c>
      <c r="Q36" s="40">
        <f>ROUND($B$5*$B$21*$B$10*$B$11*$B$14*$B$16*$B$20,0)</f>
        <v/>
      </c>
      <c r="R36" s="40">
        <f>ROUND($B$5*$B$21*$B$10*$B$11*$B$14*$B$17*$B$19,0)</f>
        <v/>
      </c>
      <c r="S36" s="40">
        <f>ROUND($B$5*$B$21*$B$10*$B$11*$B$14*$B$17*$B$20,0)</f>
        <v/>
      </c>
      <c r="T36" s="40">
        <f>ROUND($B$5*$B$21*$B$10*$B$11*$B$14*$B$18*$B$19,0)</f>
        <v/>
      </c>
      <c r="U36" s="40">
        <f>ROUND($B$5*$B$21*$B$10*$B$11*$B$14*$B$18*$B$20,0)</f>
        <v/>
      </c>
      <c r="V36" s="40">
        <f>ROUND($B$5*$B$21*$B$10*$B$11*$B$15*$B$16*$B$19,0)</f>
        <v/>
      </c>
      <c r="W36" s="40">
        <f>ROUND($B$5*$B$21*$B$10*$B$11*$B$15*$B$16*$B$20,0)</f>
        <v/>
      </c>
      <c r="X36" s="40">
        <f>ROUND($B$5*$B$21*$B$10*$B$11*$B$15*$B$17*$B$19,0)</f>
        <v/>
      </c>
      <c r="Y36" s="40">
        <f>ROUND($B$5*$B$21*$B$10*$B$11*$B$15*$B$17*$B$20,0)</f>
        <v/>
      </c>
      <c r="Z36" s="40">
        <f>ROUND($B$5*$B$21*$B$10*$B$11*$B$15*$B$18*$B$19,0)</f>
        <v/>
      </c>
      <c r="AA36" s="40">
        <f>ROUND($B$5*$B$21*$B$10*$B$11*$B$15*$B$18*$B$20,0)</f>
        <v/>
      </c>
      <c r="AB36" s="41">
        <f>ROUND($B$6*$B$21*$B$10*$B$11*$B$14*$B$16*$B$19,0)</f>
        <v/>
      </c>
      <c r="AC36" s="41">
        <f>ROUND($B$6*$B$21*$B$10*$B$11*$B$14*$B$16*$B$20,0)</f>
        <v/>
      </c>
      <c r="AD36" s="41">
        <f>ROUND($B$6*$B$21*$B$10*$B$11*$B$14*$B$17*$B$19,0)</f>
        <v/>
      </c>
      <c r="AE36" s="41">
        <f>ROUND($B$6*$B$21*$B$10*$B$11*$B$14*$B$17*$B$20,0)</f>
        <v/>
      </c>
      <c r="AF36" s="41">
        <f>ROUND($B$6*$B$21*$B$10*$B$11*$B$14*$B$18*$B$19,0)</f>
        <v/>
      </c>
      <c r="AG36" s="41">
        <f>ROUND($B$6*$B$21*$B$10*$B$11*$B$14*$B$18*$B$20,0)</f>
        <v/>
      </c>
      <c r="AH36" s="41">
        <f>ROUND($B$6*$B$21*$B$10*$B$11*$B$15*$B$16*$B$19,0)</f>
        <v/>
      </c>
      <c r="AI36" s="41">
        <f>ROUND($B$6*$B$21*$B$10*$B$11*$B$15*$B$16*$B$20,0)</f>
        <v/>
      </c>
      <c r="AJ36" s="41">
        <f>ROUND($B$6*$B$21*$B$10*$B$11*$B$15*$B$17*$B$19,0)</f>
        <v/>
      </c>
      <c r="AK36" s="41">
        <f>ROUND($B$6*$B$21*$B$10*$B$11*$B$15*$B$17*$B$20,0)</f>
        <v/>
      </c>
      <c r="AL36" s="41">
        <f>ROUND($B$6*$B$21*$B$10*$B$11*$B$15*$B$18*$B$19,0)</f>
        <v/>
      </c>
      <c r="AM36" s="41">
        <f>ROUND($B$6*$B$21*$B$10*$B$11*$B$15*$B$18*$B$20,0)</f>
        <v/>
      </c>
    </row>
    <row r="37" ht="20.1" customHeight="1" s="62">
      <c r="A37" s="90" t="n"/>
      <c r="B37" s="58" t="n"/>
      <c r="C37" s="87" t="inlineStr">
        <is>
          <t>Site à améliorer</t>
        </is>
      </c>
      <c r="D37" s="40">
        <f>ROUND($B$4*$B$21*$B$10*$B$12*$B$14*$B$16*$B$19,0)</f>
        <v/>
      </c>
      <c r="E37" s="40">
        <f>ROUND($B$4*$B$21*$B$10*$B$12*$B$14*$B$16*$B$20,0)</f>
        <v/>
      </c>
      <c r="F37" s="40">
        <f>ROUND($B$4*$B$21*$B$10*$B$12*$B$14*$B$17*$B$19,0)</f>
        <v/>
      </c>
      <c r="G37" s="40">
        <f>ROUND($B$4*$B$21*$B$10*$B$12*$B$14*$B$17*$B$20,0)</f>
        <v/>
      </c>
      <c r="H37" s="40">
        <f>ROUND($B$4*$B$21*$B$10*$B$12*$B$14*$B$18*$B$19,0)</f>
        <v/>
      </c>
      <c r="I37" s="40">
        <f>ROUND($B$4*$B$21*$B$10*$B$12*$B$14*$B$18*$B$20,0)</f>
        <v/>
      </c>
      <c r="J37" s="40">
        <f>ROUND($B$4*$B$21*$B$10*$B$12*$B$15*$B$16*$B$19,0)</f>
        <v/>
      </c>
      <c r="K37" s="40">
        <f>ROUND($B$4*$B$21*$B$10*$B$12*$B$15*$B$16*$B$20,0)</f>
        <v/>
      </c>
      <c r="L37" s="40">
        <f>ROUND($B$4*$B$21*$B$10*$B$12*$B$15*$B$17*$B$19,0)</f>
        <v/>
      </c>
      <c r="M37" s="40">
        <f>ROUND($B$4*$B$21*$B$10*$B$12*$B$15*$B$17*$B$20,0)</f>
        <v/>
      </c>
      <c r="N37" s="40">
        <f>ROUND($B$4*$B$21*$B$10*$B$12*$B$15*$B$18*$B$19,0)</f>
        <v/>
      </c>
      <c r="O37" s="40">
        <f>ROUND($B$4*$B$21*$B$10*$B$12*$B$15*$B$18*$B$20,0)</f>
        <v/>
      </c>
      <c r="P37" s="40">
        <f>ROUND($B$5*$B$21*$B$10*$B$12*$B$14*$B$16*$B$19,0)</f>
        <v/>
      </c>
      <c r="Q37" s="40">
        <f>ROUND($B$5*$B$21*$B$10*$B$12*$B$14*$B$16*$B$20,0)</f>
        <v/>
      </c>
      <c r="R37" s="40">
        <f>ROUND($B$5*$B$21*$B$10*$B$12*$B$14*$B$17*$B$19,0)</f>
        <v/>
      </c>
      <c r="S37" s="40">
        <f>ROUND($B$5*$B$21*$B$10*$B$12*$B$14*$B$17*$B$20,0)</f>
        <v/>
      </c>
      <c r="T37" s="40">
        <f>ROUND($B$5*$B$21*$B$10*$B$12*$B$14*$B$18*$B$19,0)</f>
        <v/>
      </c>
      <c r="U37" s="40">
        <f>ROUND($B$5*$B$21*$B$10*$B$12*$B$14*$B$18*$B$20,0)</f>
        <v/>
      </c>
      <c r="V37" s="40">
        <f>ROUND($B$5*$B$21*$B$10*$B$12*$B$15*$B$16*$B$19,0)</f>
        <v/>
      </c>
      <c r="W37" s="40">
        <f>ROUND($B$5*$B$21*$B$10*$B$12*$B$15*$B$16*$B$20,0)</f>
        <v/>
      </c>
      <c r="X37" s="40">
        <f>ROUND($B$5*$B$21*$B$10*$B$12*$B$15*$B$17*$B$19,0)</f>
        <v/>
      </c>
      <c r="Y37" s="40">
        <f>ROUND($B$5*$B$21*$B$10*$B$12*$B$15*$B$17*$B$20,0)</f>
        <v/>
      </c>
      <c r="Z37" s="40">
        <f>ROUND($B$5*$B$21*$B$10*$B$12*$B$15*$B$18*$B$19,0)</f>
        <v/>
      </c>
      <c r="AA37" s="40">
        <f>ROUND($B$5*$B$21*$B$10*$B$12*$B$15*$B$18*$B$20,0)</f>
        <v/>
      </c>
      <c r="AB37" s="41">
        <f>ROUND($B$6*$B$21*$B$10*$B$12*$B$14*$B$16*$B$19,0)</f>
        <v/>
      </c>
      <c r="AC37" s="41">
        <f>ROUND($B$6*$B$21*$B$10*$B$12*$B$14*$B$16*$B$20,0)</f>
        <v/>
      </c>
      <c r="AD37" s="41">
        <f>ROUND($B$6*$B$21*$B$10*$B$12*$B$14*$B$17*$B$19,0)</f>
        <v/>
      </c>
      <c r="AE37" s="41">
        <f>ROUND($B$6*$B$21*$B$10*$B$12*$B$14*$B$17*$B$20,0)</f>
        <v/>
      </c>
      <c r="AF37" s="41">
        <f>ROUND($B$6*$B$21*$B$10*$B$12*$B$14*$B$18*$B$19,0)</f>
        <v/>
      </c>
      <c r="AG37" s="41">
        <f>ROUND($B$6*$B$21*$B$10*$B$12*$B$14*$B$18*$B$20,0)</f>
        <v/>
      </c>
      <c r="AH37" s="41">
        <f>ROUND($B$6*$B$21*$B$10*$B$12*$B$15*$B$16*$B$19,0)</f>
        <v/>
      </c>
      <c r="AI37" s="41">
        <f>ROUND($B$6*$B$21*$B$10*$B$12*$B$15*$B$16*$B$20,0)</f>
        <v/>
      </c>
      <c r="AJ37" s="41">
        <f>ROUND($B$6*$B$21*$B$10*$B$12*$B$15*$B$17*$B$19,0)</f>
        <v/>
      </c>
      <c r="AK37" s="41">
        <f>ROUND($B$6*$B$21*$B$10*$B$12*$B$15*$B$17*$B$20,0)</f>
        <v/>
      </c>
      <c r="AL37" s="41">
        <f>ROUND($B$6*$B$21*$B$10*$B$12*$B$15*$B$18*$B$19,0)</f>
        <v/>
      </c>
      <c r="AM37" s="41">
        <f>ROUND($B$6*$B$21*$B$10*$B$12*$B$15*$B$18*$B$20,0)</f>
        <v/>
      </c>
    </row>
    <row r="38" ht="20.1" customHeight="1" s="62">
      <c r="A38" s="91" t="n"/>
      <c r="B38" s="59" t="n"/>
      <c r="C38" s="42" t="inlineStr">
        <is>
          <t>Site à refondre</t>
        </is>
      </c>
      <c r="D38" s="40">
        <f>ROUND($B$4*$B$21*$B$10*$B$13*$B$14*$B$16*$B$19,0)</f>
        <v/>
      </c>
      <c r="E38" s="40">
        <f>ROUND($B$4*$B$21*$B$10*$B$13*$B$14*$B$16*$B$20,0)</f>
        <v/>
      </c>
      <c r="F38" s="40">
        <f>ROUND($B$4*$B$21*$B$10*$B$13*$B$14*$B$17*$B$19,0)</f>
        <v/>
      </c>
      <c r="G38" s="40">
        <f>ROUND($B$4*$B$21*$B$10*$B$13*$B$14*$B$17*$B$20,0)</f>
        <v/>
      </c>
      <c r="H38" s="40">
        <f>ROUND($B$4*$B$21*$B$10*$B$13*$B$14*$B$18*$B$19,0)</f>
        <v/>
      </c>
      <c r="I38" s="40">
        <f>ROUND($B$4*$B$21*$B$10*$B$13*$B$14*$B$18*$B$20,0)</f>
        <v/>
      </c>
      <c r="J38" s="40">
        <f>ROUND($B$4*$B$21*$B$10*$B$13*$B$15*$B$16*$B$19,0)</f>
        <v/>
      </c>
      <c r="K38" s="40">
        <f>ROUND($B$4*$B$21*$B$10*$B$13*$B$15*$B$16*$B$20,0)</f>
        <v/>
      </c>
      <c r="L38" s="40">
        <f>ROUND($B$4*$B$21*$B$10*$B$13*$B$15*$B$17*$B$19,0)</f>
        <v/>
      </c>
      <c r="M38" s="40">
        <f>ROUND($B$4*$B$21*$B$10*$B$13*$B$15*$B$17*$B$20,0)</f>
        <v/>
      </c>
      <c r="N38" s="40">
        <f>ROUND($B$4*$B$21*$B$10*$B$13*$B$15*$B$18*$B$19,0)</f>
        <v/>
      </c>
      <c r="O38" s="40">
        <f>ROUND($B$4*$B$21*$B$10*$B$13*$B$15*$B$18*$B$20,0)</f>
        <v/>
      </c>
      <c r="P38" s="40">
        <f>ROUND($B$5*$B$21*$B$10*$B$13*$B$14*$B$16*$B$19,0)</f>
        <v/>
      </c>
      <c r="Q38" s="40">
        <f>ROUND($B$5*$B$21*$B$10*$B$13*$B$14*$B$16*$B$20,0)</f>
        <v/>
      </c>
      <c r="R38" s="40">
        <f>ROUND($B$5*$B$21*$B$10*$B$13*$B$14*$B$17*$B$19,0)</f>
        <v/>
      </c>
      <c r="S38" s="40">
        <f>ROUND($B$5*$B$21*$B$10*$B$13*$B$14*$B$17*$B$20,0)</f>
        <v/>
      </c>
      <c r="T38" s="40">
        <f>ROUND($B$5*$B$21*$B$10*$B$13*$B$14*$B$18*$B$19,0)</f>
        <v/>
      </c>
      <c r="U38" s="40">
        <f>ROUND($B$5*$B$21*$B$10*$B$13*$B$14*$B$18*$B$20,0)</f>
        <v/>
      </c>
      <c r="V38" s="40">
        <f>ROUND($B$5*$B$21*$B$10*$B$13*$B$15*$B$16*$B$19,0)</f>
        <v/>
      </c>
      <c r="W38" s="40">
        <f>ROUND($B$5*$B$21*$B$10*$B$13*$B$15*$B$16*$B$20,0)</f>
        <v/>
      </c>
      <c r="X38" s="40">
        <f>ROUND($B$5*$B$21*$B$10*$B$13*$B$15*$B$17*$B$19,0)</f>
        <v/>
      </c>
      <c r="Y38" s="40">
        <f>ROUND($B$5*$B$21*$B$10*$B$13*$B$15*$B$17*$B$20,0)</f>
        <v/>
      </c>
      <c r="Z38" s="40">
        <f>ROUND($B$5*$B$21*$B$10*$B$13*$B$15*$B$18*$B$19,0)</f>
        <v/>
      </c>
      <c r="AA38" s="40">
        <f>ROUND($B$5*$B$21*$B$10*$B$13*$B$15*$B$18*$B$20,0)</f>
        <v/>
      </c>
      <c r="AB38" s="41">
        <f>ROUND($B$6*$B$21*$B$10*$B$13*$B$14*$B$16*$B$19,0)</f>
        <v/>
      </c>
      <c r="AC38" s="41">
        <f>ROUND($B$6*$B$21*$B$10*$B$13*$B$14*$B$16*$B$20,0)</f>
        <v/>
      </c>
      <c r="AD38" s="41">
        <f>ROUND($B$6*$B$21*$B$10*$B$13*$B$14*$B$17*$B$19,0)</f>
        <v/>
      </c>
      <c r="AE38" s="41">
        <f>ROUND($B$6*$B$21*$B$10*$B$13*$B$14*$B$17*$B$20,0)</f>
        <v/>
      </c>
      <c r="AF38" s="41">
        <f>ROUND($B$6*$B$21*$B$10*$B$13*$B$14*$B$18*$B$19,0)</f>
        <v/>
      </c>
      <c r="AG38" s="41">
        <f>ROUND($B$6*$B$21*$B$10*$B$13*$B$14*$B$18*$B$20,0)</f>
        <v/>
      </c>
      <c r="AH38" s="41">
        <f>ROUND($B$6*$B$21*$B$10*$B$13*$B$15*$B$16*$B$19,0)</f>
        <v/>
      </c>
      <c r="AI38" s="41">
        <f>ROUND($B$6*$B$21*$B$10*$B$13*$B$15*$B$16*$B$20,0)</f>
        <v/>
      </c>
      <c r="AJ38" s="41">
        <f>ROUND($B$6*$B$21*$B$10*$B$13*$B$15*$B$17*$B$19,0)</f>
        <v/>
      </c>
      <c r="AK38" s="41">
        <f>ROUND($B$6*$B$21*$B$10*$B$13*$B$15*$B$17*$B$20,0)</f>
        <v/>
      </c>
      <c r="AL38" s="41">
        <f>ROUND($B$6*$B$21*$B$10*$B$13*$B$15*$B$18*$B$19,0)</f>
        <v/>
      </c>
      <c r="AM38" s="41">
        <f>ROUND($B$6*$B$21*$B$10*$B$13*$B$15*$B$18*$B$20,0)</f>
        <v/>
      </c>
    </row>
    <row r="39" ht="20.1" customHeight="1" s="62">
      <c r="A39" s="89" t="inlineStr">
        <is>
          <t>Moyen site (20-100 pages)</t>
        </is>
      </c>
      <c r="B39" s="87" t="inlineStr">
        <is>
          <t>Concurrence faible</t>
        </is>
      </c>
      <c r="C39" s="39" t="inlineStr">
        <is>
          <t>Site bien structuré</t>
        </is>
      </c>
      <c r="D39" s="40">
        <f>ROUND($B$4*$B$22*$B$8*$B$11*$B$14*$B$16*$B$19,0)</f>
        <v/>
      </c>
      <c r="E39" s="40">
        <f>ROUND($B$4*$B$22*$B$8*$B$11*$B$14*$B$16*$B$20,0)</f>
        <v/>
      </c>
      <c r="F39" s="40">
        <f>ROUND($B$4*$B$22*$B$8*$B$11*$B$14*$B$17*$B$19,0)</f>
        <v/>
      </c>
      <c r="G39" s="40">
        <f>ROUND($B$4*$B$22*$B$8*$B$11*$B$14*$B$17*$B$20,0)</f>
        <v/>
      </c>
      <c r="H39" s="40">
        <f>ROUND($B$4*$B$22*$B$8*$B$11*$B$14*$B$18*$B$19,0)</f>
        <v/>
      </c>
      <c r="I39" s="40">
        <f>ROUND($B$4*$B$22*$B$8*$B$11*$B$14*$B$18*$B$20,0)</f>
        <v/>
      </c>
      <c r="J39" s="40">
        <f>ROUND($B$4*$B$22*$B$8*$B$11*$B$15*$B$16*$B$19,0)</f>
        <v/>
      </c>
      <c r="K39" s="40">
        <f>ROUND($B$4*$B$22*$B$8*$B$11*$B$15*$B$16*$B$20,0)</f>
        <v/>
      </c>
      <c r="L39" s="40">
        <f>ROUND($B$4*$B$22*$B$8*$B$11*$B$15*$B$17*$B$19,0)</f>
        <v/>
      </c>
      <c r="M39" s="40">
        <f>ROUND($B$4*$B$22*$B$8*$B$11*$B$15*$B$17*$B$20,0)</f>
        <v/>
      </c>
      <c r="N39" s="40">
        <f>ROUND($B$4*$B$22*$B$8*$B$11*$B$15*$B$18*$B$19,0)</f>
        <v/>
      </c>
      <c r="O39" s="40">
        <f>ROUND($B$4*$B$22*$B$8*$B$11*$B$15*$B$18*$B$20,0)</f>
        <v/>
      </c>
      <c r="P39" s="40">
        <f>ROUND($B$5*$B$22*$B$8*$B$11*$B$14*$B$16*$B$19,0)</f>
        <v/>
      </c>
      <c r="Q39" s="40">
        <f>ROUND($B$5*$B$22*$B$8*$B$11*$B$14*$B$16*$B$20,0)</f>
        <v/>
      </c>
      <c r="R39" s="40">
        <f>ROUND($B$5*$B$22*$B$8*$B$11*$B$14*$B$17*$B$19,0)</f>
        <v/>
      </c>
      <c r="S39" s="40">
        <f>ROUND($B$5*$B$22*$B$8*$B$11*$B$14*$B$17*$B$20,0)</f>
        <v/>
      </c>
      <c r="T39" s="40">
        <f>ROUND($B$5*$B$22*$B$8*$B$11*$B$14*$B$18*$B$19,0)</f>
        <v/>
      </c>
      <c r="U39" s="40">
        <f>ROUND($B$5*$B$22*$B$8*$B$11*$B$14*$B$18*$B$20,0)</f>
        <v/>
      </c>
      <c r="V39" s="40">
        <f>ROUND($B$5*$B$22*$B$8*$B$11*$B$15*$B$16*$B$19,0)</f>
        <v/>
      </c>
      <c r="W39" s="40">
        <f>ROUND($B$5*$B$22*$B$8*$B$11*$B$15*$B$16*$B$20,0)</f>
        <v/>
      </c>
      <c r="X39" s="40">
        <f>ROUND($B$5*$B$22*$B$8*$B$11*$B$15*$B$17*$B$19,0)</f>
        <v/>
      </c>
      <c r="Y39" s="40">
        <f>ROUND($B$5*$B$22*$B$8*$B$11*$B$15*$B$17*$B$20,0)</f>
        <v/>
      </c>
      <c r="Z39" s="40">
        <f>ROUND($B$5*$B$22*$B$8*$B$11*$B$15*$B$18*$B$19,0)</f>
        <v/>
      </c>
      <c r="AA39" s="40">
        <f>ROUND($B$5*$B$22*$B$8*$B$11*$B$15*$B$18*$B$20,0)</f>
        <v/>
      </c>
      <c r="AB39" s="41">
        <f>ROUND($B$6*$B$22*$B$8*$B$11*$B$14*$B$16*$B$19,0)</f>
        <v/>
      </c>
      <c r="AC39" s="41">
        <f>ROUND($B$6*$B$22*$B$8*$B$11*$B$14*$B$16*$B$20,0)</f>
        <v/>
      </c>
      <c r="AD39" s="41">
        <f>ROUND($B$6*$B$22*$B$8*$B$11*$B$14*$B$17*$B$19,0)</f>
        <v/>
      </c>
      <c r="AE39" s="41">
        <f>ROUND($B$6*$B$22*$B$8*$B$11*$B$14*$B$17*$B$20,0)</f>
        <v/>
      </c>
      <c r="AF39" s="41">
        <f>ROUND($B$6*$B$22*$B$8*$B$11*$B$14*$B$18*$B$19,0)</f>
        <v/>
      </c>
      <c r="AG39" s="41">
        <f>ROUND($B$6*$B$22*$B$8*$B$11*$B$14*$B$18*$B$20,0)</f>
        <v/>
      </c>
      <c r="AH39" s="41">
        <f>ROUND($B$6*$B$22*$B$8*$B$11*$B$15*$B$16*$B$19,0)</f>
        <v/>
      </c>
      <c r="AI39" s="41">
        <f>ROUND($B$6*$B$22*$B$8*$B$11*$B$15*$B$16*$B$20,0)</f>
        <v/>
      </c>
      <c r="AJ39" s="41">
        <f>ROUND($B$6*$B$22*$B$8*$B$11*$B$15*$B$17*$B$19,0)</f>
        <v/>
      </c>
      <c r="AK39" s="41">
        <f>ROUND($B$6*$B$22*$B$8*$B$11*$B$15*$B$17*$B$20,0)</f>
        <v/>
      </c>
      <c r="AL39" s="41">
        <f>ROUND($B$6*$B$22*$B$8*$B$11*$B$15*$B$18*$B$19,0)</f>
        <v/>
      </c>
      <c r="AM39" s="41">
        <f>ROUND($B$6*$B$22*$B$8*$B$11*$B$15*$B$18*$B$20,0)</f>
        <v/>
      </c>
    </row>
    <row r="40" ht="20.1" customHeight="1" s="62">
      <c r="A40" s="90" t="n"/>
      <c r="B40" s="58" t="n"/>
      <c r="C40" s="87" t="inlineStr">
        <is>
          <t>Site à améliorer</t>
        </is>
      </c>
      <c r="D40" s="40">
        <f>ROUND($B$4*$B$22*$B$8*$B$12*$B$14*$B$16*$B$19,0)</f>
        <v/>
      </c>
      <c r="E40" s="40">
        <f>ROUND($B$4*$B$22*$B$8*$B$12*$B$14*$B$16*$B$20,0)</f>
        <v/>
      </c>
      <c r="F40" s="40">
        <f>ROUND($B$4*$B$22*$B$8*$B$12*$B$14*$B$17*$B$19,0)</f>
        <v/>
      </c>
      <c r="G40" s="40">
        <f>ROUND($B$4*$B$22*$B$8*$B$12*$B$14*$B$17*$B$20,0)</f>
        <v/>
      </c>
      <c r="H40" s="40">
        <f>ROUND($B$4*$B$22*$B$8*$B$12*$B$14*$B$18*$B$19,0)</f>
        <v/>
      </c>
      <c r="I40" s="40">
        <f>ROUND($B$4*$B$22*$B$8*$B$12*$B$14*$B$18*$B$20,0)</f>
        <v/>
      </c>
      <c r="J40" s="40">
        <f>ROUND($B$4*$B$22*$B$8*$B$12*$B$15*$B$16*$B$19,0)</f>
        <v/>
      </c>
      <c r="K40" s="40">
        <f>ROUND($B$4*$B$22*$B$8*$B$12*$B$15*$B$16*$B$20,0)</f>
        <v/>
      </c>
      <c r="L40" s="40">
        <f>ROUND($B$4*$B$22*$B$8*$B$12*$B$15*$B$17*$B$19,0)</f>
        <v/>
      </c>
      <c r="M40" s="40">
        <f>ROUND($B$4*$B$22*$B$8*$B$12*$B$15*$B$17*$B$20,0)</f>
        <v/>
      </c>
      <c r="N40" s="40">
        <f>ROUND($B$4*$B$22*$B$8*$B$12*$B$15*$B$18*$B$19,0)</f>
        <v/>
      </c>
      <c r="O40" s="40">
        <f>ROUND($B$4*$B$22*$B$8*$B$12*$B$15*$B$18*$B$20,0)</f>
        <v/>
      </c>
      <c r="P40" s="40">
        <f>ROUND($B$5*$B$22*$B$8*$B$12*$B$14*$B$16*$B$19,0)</f>
        <v/>
      </c>
      <c r="Q40" s="40">
        <f>ROUND($B$5*$B$22*$B$8*$B$12*$B$14*$B$16*$B$20,0)</f>
        <v/>
      </c>
      <c r="R40" s="40">
        <f>ROUND($B$5*$B$22*$B$8*$B$12*$B$14*$B$17*$B$19,0)</f>
        <v/>
      </c>
      <c r="S40" s="40">
        <f>ROUND($B$5*$B$22*$B$8*$B$12*$B$14*$B$17*$B$20,0)</f>
        <v/>
      </c>
      <c r="T40" s="40">
        <f>ROUND($B$5*$B$22*$B$8*$B$12*$B$14*$B$18*$B$19,0)</f>
        <v/>
      </c>
      <c r="U40" s="40">
        <f>ROUND($B$5*$B$22*$B$8*$B$12*$B$14*$B$18*$B$20,0)</f>
        <v/>
      </c>
      <c r="V40" s="40">
        <f>ROUND($B$5*$B$22*$B$8*$B$12*$B$15*$B$16*$B$19,0)</f>
        <v/>
      </c>
      <c r="W40" s="40">
        <f>ROUND($B$5*$B$22*$B$8*$B$12*$B$15*$B$16*$B$20,0)</f>
        <v/>
      </c>
      <c r="X40" s="40">
        <f>ROUND($B$5*$B$22*$B$8*$B$12*$B$15*$B$17*$B$19,0)</f>
        <v/>
      </c>
      <c r="Y40" s="40">
        <f>ROUND($B$5*$B$22*$B$8*$B$12*$B$15*$B$17*$B$20,0)</f>
        <v/>
      </c>
      <c r="Z40" s="40">
        <f>ROUND($B$5*$B$22*$B$8*$B$12*$B$15*$B$18*$B$19,0)</f>
        <v/>
      </c>
      <c r="AA40" s="40">
        <f>ROUND($B$5*$B$22*$B$8*$B$12*$B$15*$B$18*$B$20,0)</f>
        <v/>
      </c>
      <c r="AB40" s="41">
        <f>ROUND($B$6*$B$22*$B$8*$B$12*$B$14*$B$16*$B$19,0)</f>
        <v/>
      </c>
      <c r="AC40" s="41">
        <f>ROUND($B$6*$B$22*$B$8*$B$12*$B$14*$B$16*$B$20,0)</f>
        <v/>
      </c>
      <c r="AD40" s="41">
        <f>ROUND($B$6*$B$22*$B$8*$B$12*$B$14*$B$17*$B$19,0)</f>
        <v/>
      </c>
      <c r="AE40" s="41">
        <f>ROUND($B$6*$B$22*$B$8*$B$12*$B$14*$B$17*$B$20,0)</f>
        <v/>
      </c>
      <c r="AF40" s="41">
        <f>ROUND($B$6*$B$22*$B$8*$B$12*$B$14*$B$18*$B$19,0)</f>
        <v/>
      </c>
      <c r="AG40" s="41">
        <f>ROUND($B$6*$B$22*$B$8*$B$12*$B$14*$B$18*$B$20,0)</f>
        <v/>
      </c>
      <c r="AH40" s="41">
        <f>ROUND($B$6*$B$22*$B$8*$B$12*$B$15*$B$16*$B$19,0)</f>
        <v/>
      </c>
      <c r="AI40" s="41">
        <f>ROUND($B$6*$B$22*$B$8*$B$12*$B$15*$B$16*$B$20,0)</f>
        <v/>
      </c>
      <c r="AJ40" s="41">
        <f>ROUND($B$6*$B$22*$B$8*$B$12*$B$15*$B$17*$B$19,0)</f>
        <v/>
      </c>
      <c r="AK40" s="41">
        <f>ROUND($B$6*$B$22*$B$8*$B$12*$B$15*$B$17*$B$20,0)</f>
        <v/>
      </c>
      <c r="AL40" s="41">
        <f>ROUND($B$6*$B$22*$B$8*$B$12*$B$15*$B$18*$B$19,0)</f>
        <v/>
      </c>
      <c r="AM40" s="41">
        <f>ROUND($B$6*$B$22*$B$8*$B$12*$B$15*$B$18*$B$20,0)</f>
        <v/>
      </c>
    </row>
    <row r="41" ht="20.1" customHeight="1" s="62">
      <c r="A41" s="90" t="n"/>
      <c r="B41" s="59" t="n"/>
      <c r="C41" s="42" t="inlineStr">
        <is>
          <t>Site à refondre</t>
        </is>
      </c>
      <c r="D41" s="40">
        <f>ROUND($B$4*$B$22*$B$8*$B$13*$B$14*$B$16*$B$19,0)</f>
        <v/>
      </c>
      <c r="E41" s="40">
        <f>ROUND($B$4*$B$22*$B$8*$B$13*$B$14*$B$16*$B$20,0)</f>
        <v/>
      </c>
      <c r="F41" s="40">
        <f>ROUND($B$4*$B$22*$B$8*$B$13*$B$14*$B$17*$B$19,0)</f>
        <v/>
      </c>
      <c r="G41" s="40">
        <f>ROUND($B$4*$B$22*$B$8*$B$13*$B$14*$B$17*$B$20,0)</f>
        <v/>
      </c>
      <c r="H41" s="40">
        <f>ROUND($B$4*$B$22*$B$8*$B$13*$B$14*$B$18*$B$19,0)</f>
        <v/>
      </c>
      <c r="I41" s="40">
        <f>ROUND($B$4*$B$22*$B$8*$B$13*$B$14*$B$18*$B$20,0)</f>
        <v/>
      </c>
      <c r="J41" s="40">
        <f>ROUND($B$4*$B$22*$B$8*$B$13*$B$15*$B$16*$B$19,0)</f>
        <v/>
      </c>
      <c r="K41" s="40">
        <f>ROUND($B$4*$B$22*$B$8*$B$13*$B$15*$B$16*$B$20,0)</f>
        <v/>
      </c>
      <c r="L41" s="40">
        <f>ROUND($B$4*$B$22*$B$8*$B$13*$B$15*$B$17*$B$19,0)</f>
        <v/>
      </c>
      <c r="M41" s="40">
        <f>ROUND($B$4*$B$22*$B$8*$B$13*$B$15*$B$17*$B$20,0)</f>
        <v/>
      </c>
      <c r="N41" s="40">
        <f>ROUND($B$4*$B$22*$B$8*$B$13*$B$15*$B$18*$B$19,0)</f>
        <v/>
      </c>
      <c r="O41" s="40">
        <f>ROUND($B$4*$B$22*$B$8*$B$13*$B$15*$B$18*$B$20,0)</f>
        <v/>
      </c>
      <c r="P41" s="40">
        <f>ROUND($B$5*$B$22*$B$8*$B$13*$B$14*$B$16*$B$19,0)</f>
        <v/>
      </c>
      <c r="Q41" s="40">
        <f>ROUND($B$5*$B$22*$B$8*$B$13*$B$14*$B$16*$B$20,0)</f>
        <v/>
      </c>
      <c r="R41" s="40">
        <f>ROUND($B$5*$B$22*$B$8*$B$13*$B$14*$B$17*$B$19,0)</f>
        <v/>
      </c>
      <c r="S41" s="40">
        <f>ROUND($B$5*$B$22*$B$8*$B$13*$B$14*$B$17*$B$20,0)</f>
        <v/>
      </c>
      <c r="T41" s="40">
        <f>ROUND($B$5*$B$22*$B$8*$B$13*$B$14*$B$18*$B$19,0)</f>
        <v/>
      </c>
      <c r="U41" s="40">
        <f>ROUND($B$5*$B$22*$B$8*$B$13*$B$14*$B$18*$B$20,0)</f>
        <v/>
      </c>
      <c r="V41" s="40">
        <f>ROUND($B$5*$B$22*$B$8*$B$13*$B$15*$B$16*$B$19,0)</f>
        <v/>
      </c>
      <c r="W41" s="40">
        <f>ROUND($B$5*$B$22*$B$8*$B$13*$B$15*$B$16*$B$20,0)</f>
        <v/>
      </c>
      <c r="X41" s="40">
        <f>ROUND($B$5*$B$22*$B$8*$B$13*$B$15*$B$17*$B$19,0)</f>
        <v/>
      </c>
      <c r="Y41" s="40">
        <f>ROUND($B$5*$B$22*$B$8*$B$13*$B$15*$B$17*$B$20,0)</f>
        <v/>
      </c>
      <c r="Z41" s="40">
        <f>ROUND($B$5*$B$22*$B$8*$B$13*$B$15*$B$18*$B$19,0)</f>
        <v/>
      </c>
      <c r="AA41" s="40">
        <f>ROUND($B$5*$B$22*$B$8*$B$13*$B$15*$B$18*$B$20,0)</f>
        <v/>
      </c>
      <c r="AB41" s="41">
        <f>ROUND($B$6*$B$22*$B$8*$B$13*$B$14*$B$16*$B$19,0)</f>
        <v/>
      </c>
      <c r="AC41" s="41">
        <f>ROUND($B$6*$B$22*$B$8*$B$13*$B$14*$B$16*$B$20,0)</f>
        <v/>
      </c>
      <c r="AD41" s="41">
        <f>ROUND($B$6*$B$22*$B$8*$B$13*$B$14*$B$17*$B$19,0)</f>
        <v/>
      </c>
      <c r="AE41" s="41">
        <f>ROUND($B$6*$B$22*$B$8*$B$13*$B$14*$B$17*$B$20,0)</f>
        <v/>
      </c>
      <c r="AF41" s="41">
        <f>ROUND($B$6*$B$22*$B$8*$B$13*$B$14*$B$18*$B$19,0)</f>
        <v/>
      </c>
      <c r="AG41" s="41">
        <f>ROUND($B$6*$B$22*$B$8*$B$13*$B$14*$B$18*$B$20,0)</f>
        <v/>
      </c>
      <c r="AH41" s="41">
        <f>ROUND($B$6*$B$22*$B$8*$B$13*$B$15*$B$16*$B$19,0)</f>
        <v/>
      </c>
      <c r="AI41" s="41">
        <f>ROUND($B$6*$B$22*$B$8*$B$13*$B$15*$B$16*$B$20,0)</f>
        <v/>
      </c>
      <c r="AJ41" s="41">
        <f>ROUND($B$6*$B$22*$B$8*$B$13*$B$15*$B$17*$B$19,0)</f>
        <v/>
      </c>
      <c r="AK41" s="41">
        <f>ROUND($B$6*$B$22*$B$8*$B$13*$B$15*$B$17*$B$20,0)</f>
        <v/>
      </c>
      <c r="AL41" s="41">
        <f>ROUND($B$6*$B$22*$B$8*$B$13*$B$15*$B$18*$B$19,0)</f>
        <v/>
      </c>
      <c r="AM41" s="41">
        <f>ROUND($B$6*$B$22*$B$8*$B$13*$B$15*$B$18*$B$20,0)</f>
        <v/>
      </c>
    </row>
    <row r="42" ht="20.1" customHeight="1" s="62">
      <c r="A42" s="90" t="n"/>
      <c r="B42" s="87" t="inlineStr">
        <is>
          <t>Concurrence modérée</t>
        </is>
      </c>
      <c r="C42" s="39" t="inlineStr">
        <is>
          <t>Site bien structuré</t>
        </is>
      </c>
      <c r="D42" s="40">
        <f>ROUND($B$4*$B$22*$B$9*$B$11*$B$14*$B$16*$B$19,0)</f>
        <v/>
      </c>
      <c r="E42" s="40">
        <f>ROUND($B$4*$B$22*$B$9*$B$11*$B$14*$B$16*$B$20,0)</f>
        <v/>
      </c>
      <c r="F42" s="40">
        <f>ROUND($B$4*$B$22*$B$9*$B$11*$B$14*$B$17*$B$19,0)</f>
        <v/>
      </c>
      <c r="G42" s="40">
        <f>ROUND($B$4*$B$22*$B$9*$B$11*$B$14*$B$17*$B$20,0)</f>
        <v/>
      </c>
      <c r="H42" s="40">
        <f>ROUND($B$4*$B$22*$B$9*$B$11*$B$14*$B$18*$B$19,0)</f>
        <v/>
      </c>
      <c r="I42" s="40">
        <f>ROUND($B$4*$B$22*$B$9*$B$11*$B$14*$B$18*$B$20,0)</f>
        <v/>
      </c>
      <c r="J42" s="40">
        <f>ROUND($B$4*$B$22*$B$9*$B$11*$B$15*$B$16*$B$19,0)</f>
        <v/>
      </c>
      <c r="K42" s="40">
        <f>ROUND($B$4*$B$22*$B$9*$B$11*$B$15*$B$16*$B$20,0)</f>
        <v/>
      </c>
      <c r="L42" s="40">
        <f>ROUND($B$4*$B$22*$B$9*$B$11*$B$15*$B$17*$B$19,0)</f>
        <v/>
      </c>
      <c r="M42" s="40">
        <f>ROUND($B$4*$B$22*$B$9*$B$11*$B$15*$B$17*$B$20,0)</f>
        <v/>
      </c>
      <c r="N42" s="40">
        <f>ROUND($B$4*$B$22*$B$9*$B$11*$B$15*$B$18*$B$19,0)</f>
        <v/>
      </c>
      <c r="O42" s="40">
        <f>ROUND($B$4*$B$22*$B$9*$B$11*$B$15*$B$18*$B$20,0)</f>
        <v/>
      </c>
      <c r="P42" s="40">
        <f>ROUND($B$5*$B$22*$B$9*$B$11*$B$14*$B$16*$B$19,0)</f>
        <v/>
      </c>
      <c r="Q42" s="40">
        <f>ROUND($B$5*$B$22*$B$9*$B$11*$B$14*$B$16*$B$20,0)</f>
        <v/>
      </c>
      <c r="R42" s="40">
        <f>ROUND($B$5*$B$22*$B$9*$B$11*$B$14*$B$17*$B$19,0)</f>
        <v/>
      </c>
      <c r="S42" s="40">
        <f>ROUND($B$5*$B$22*$B$9*$B$11*$B$14*$B$17*$B$20,0)</f>
        <v/>
      </c>
      <c r="T42" s="40">
        <f>ROUND($B$5*$B$22*$B$9*$B$11*$B$14*$B$18*$B$19,0)</f>
        <v/>
      </c>
      <c r="U42" s="40">
        <f>ROUND($B$5*$B$22*$B$9*$B$11*$B$14*$B$18*$B$20,0)</f>
        <v/>
      </c>
      <c r="V42" s="40">
        <f>ROUND($B$5*$B$22*$B$9*$B$11*$B$15*$B$16*$B$19,0)</f>
        <v/>
      </c>
      <c r="W42" s="40">
        <f>ROUND($B$5*$B$22*$B$9*$B$11*$B$15*$B$16*$B$20,0)</f>
        <v/>
      </c>
      <c r="X42" s="40">
        <f>ROUND($B$5*$B$22*$B$9*$B$11*$B$15*$B$17*$B$19,0)</f>
        <v/>
      </c>
      <c r="Y42" s="40">
        <f>ROUND($B$5*$B$22*$B$9*$B$11*$B$15*$B$17*$B$20,0)</f>
        <v/>
      </c>
      <c r="Z42" s="40">
        <f>ROUND($B$5*$B$22*$B$9*$B$11*$B$15*$B$18*$B$19,0)</f>
        <v/>
      </c>
      <c r="AA42" s="40">
        <f>ROUND($B$5*$B$22*$B$9*$B$11*$B$15*$B$18*$B$20,0)</f>
        <v/>
      </c>
      <c r="AB42" s="41">
        <f>ROUND($B$6*$B$22*$B$9*$B$11*$B$14*$B$16*$B$19,0)</f>
        <v/>
      </c>
      <c r="AC42" s="41">
        <f>ROUND($B$6*$B$22*$B$9*$B$11*$B$14*$B$16*$B$20,0)</f>
        <v/>
      </c>
      <c r="AD42" s="41">
        <f>ROUND($B$6*$B$22*$B$9*$B$11*$B$14*$B$17*$B$19,0)</f>
        <v/>
      </c>
      <c r="AE42" s="41">
        <f>ROUND($B$6*$B$22*$B$9*$B$11*$B$14*$B$17*$B$20,0)</f>
        <v/>
      </c>
      <c r="AF42" s="41">
        <f>ROUND($B$6*$B$22*$B$9*$B$11*$B$14*$B$18*$B$19,0)</f>
        <v/>
      </c>
      <c r="AG42" s="41">
        <f>ROUND($B$6*$B$22*$B$9*$B$11*$B$14*$B$18*$B$20,0)</f>
        <v/>
      </c>
      <c r="AH42" s="41">
        <f>ROUND($B$6*$B$22*$B$9*$B$11*$B$15*$B$16*$B$19,0)</f>
        <v/>
      </c>
      <c r="AI42" s="41">
        <f>ROUND($B$6*$B$22*$B$9*$B$11*$B$15*$B$16*$B$20,0)</f>
        <v/>
      </c>
      <c r="AJ42" s="41">
        <f>ROUND($B$6*$B$22*$B$9*$B$11*$B$15*$B$17*$B$19,0)</f>
        <v/>
      </c>
      <c r="AK42" s="41">
        <f>ROUND($B$6*$B$22*$B$9*$B$11*$B$15*$B$17*$B$20,0)</f>
        <v/>
      </c>
      <c r="AL42" s="41">
        <f>ROUND($B$6*$B$22*$B$9*$B$11*$B$15*$B$18*$B$19,0)</f>
        <v/>
      </c>
      <c r="AM42" s="41">
        <f>ROUND($B$6*$B$22*$B$9*$B$11*$B$15*$B$18*$B$20,0)</f>
        <v/>
      </c>
    </row>
    <row r="43" ht="20.1" customHeight="1" s="62">
      <c r="A43" s="90" t="n"/>
      <c r="B43" s="58" t="n"/>
      <c r="C43" s="87" t="inlineStr">
        <is>
          <t>Site à améliorer</t>
        </is>
      </c>
      <c r="D43" s="40">
        <f>ROUND($B$4*$B$22*$B$9*$B$12*$B$14*$B$16*$B$19,0)</f>
        <v/>
      </c>
      <c r="E43" s="40">
        <f>ROUND($B$4*$B$22*$B$9*$B$12*$B$14*$B$16*$B$20,0)</f>
        <v/>
      </c>
      <c r="F43" s="40">
        <f>ROUND($B$4*$B$22*$B$9*$B$12*$B$14*$B$17*$B$19,0)</f>
        <v/>
      </c>
      <c r="G43" s="40">
        <f>ROUND($B$4*$B$22*$B$9*$B$12*$B$14*$B$17*$B$20,0)</f>
        <v/>
      </c>
      <c r="H43" s="40">
        <f>ROUND($B$4*$B$22*$B$9*$B$12*$B$14*$B$18*$B$19,0)</f>
        <v/>
      </c>
      <c r="I43" s="40">
        <f>ROUND($B$4*$B$22*$B$9*$B$12*$B$14*$B$18*$B$20,0)</f>
        <v/>
      </c>
      <c r="J43" s="40">
        <f>ROUND($B$4*$B$22*$B$9*$B$12*$B$15*$B$16*$B$19,0)</f>
        <v/>
      </c>
      <c r="K43" s="40">
        <f>ROUND($B$4*$B$22*$B$9*$B$12*$B$15*$B$16*$B$20,0)</f>
        <v/>
      </c>
      <c r="L43" s="40">
        <f>ROUND($B$4*$B$22*$B$9*$B$12*$B$15*$B$17*$B$19,0)</f>
        <v/>
      </c>
      <c r="M43" s="40">
        <f>ROUND($B$4*$B$22*$B$9*$B$12*$B$15*$B$17*$B$20,0)</f>
        <v/>
      </c>
      <c r="N43" s="40">
        <f>ROUND($B$4*$B$22*$B$9*$B$12*$B$15*$B$18*$B$19,0)</f>
        <v/>
      </c>
      <c r="O43" s="40">
        <f>ROUND($B$4*$B$22*$B$9*$B$12*$B$15*$B$18*$B$20,0)</f>
        <v/>
      </c>
      <c r="P43" s="40">
        <f>ROUND($B$5*$B$22*$B$9*$B$12*$B$14*$B$16*$B$19,0)</f>
        <v/>
      </c>
      <c r="Q43" s="40">
        <f>ROUND($B$5*$B$22*$B$9*$B$12*$B$14*$B$16*$B$20,0)</f>
        <v/>
      </c>
      <c r="R43" s="40">
        <f>ROUND($B$5*$B$22*$B$9*$B$12*$B$14*$B$17*$B$19,0)</f>
        <v/>
      </c>
      <c r="S43" s="40">
        <f>ROUND($B$5*$B$22*$B$9*$B$12*$B$14*$B$17*$B$20,0)</f>
        <v/>
      </c>
      <c r="T43" s="40">
        <f>ROUND($B$5*$B$22*$B$9*$B$12*$B$14*$B$18*$B$19,0)</f>
        <v/>
      </c>
      <c r="U43" s="40">
        <f>ROUND($B$5*$B$22*$B$9*$B$12*$B$14*$B$18*$B$20,0)</f>
        <v/>
      </c>
      <c r="V43" s="40">
        <f>ROUND($B$5*$B$22*$B$9*$B$12*$B$15*$B$16*$B$19,0)</f>
        <v/>
      </c>
      <c r="W43" s="40">
        <f>ROUND($B$5*$B$22*$B$9*$B$12*$B$15*$B$16*$B$20,0)</f>
        <v/>
      </c>
      <c r="X43" s="40">
        <f>ROUND($B$5*$B$22*$B$9*$B$12*$B$15*$B$17*$B$19,0)</f>
        <v/>
      </c>
      <c r="Y43" s="40">
        <f>ROUND($B$5*$B$22*$B$9*$B$12*$B$15*$B$17*$B$20,0)</f>
        <v/>
      </c>
      <c r="Z43" s="40">
        <f>ROUND($B$5*$B$22*$B$9*$B$12*$B$15*$B$18*$B$19,0)</f>
        <v/>
      </c>
      <c r="AA43" s="40">
        <f>ROUND($B$5*$B$22*$B$9*$B$12*$B$15*$B$18*$B$20,0)</f>
        <v/>
      </c>
      <c r="AB43" s="41">
        <f>ROUND($B$6*$B$22*$B$9*$B$12*$B$14*$B$16*$B$19,0)</f>
        <v/>
      </c>
      <c r="AC43" s="41">
        <f>ROUND($B$6*$B$22*$B$9*$B$12*$B$14*$B$16*$B$20,0)</f>
        <v/>
      </c>
      <c r="AD43" s="41">
        <f>ROUND($B$6*$B$22*$B$9*$B$12*$B$14*$B$17*$B$19,0)</f>
        <v/>
      </c>
      <c r="AE43" s="41">
        <f>ROUND($B$6*$B$22*$B$9*$B$12*$B$14*$B$17*$B$20,0)</f>
        <v/>
      </c>
      <c r="AF43" s="41">
        <f>ROUND($B$6*$B$22*$B$9*$B$12*$B$14*$B$18*$B$19,0)</f>
        <v/>
      </c>
      <c r="AG43" s="41">
        <f>ROUND($B$6*$B$22*$B$9*$B$12*$B$14*$B$18*$B$20,0)</f>
        <v/>
      </c>
      <c r="AH43" s="41">
        <f>ROUND($B$6*$B$22*$B$9*$B$12*$B$15*$B$16*$B$19,0)</f>
        <v/>
      </c>
      <c r="AI43" s="41">
        <f>ROUND($B$6*$B$22*$B$9*$B$12*$B$15*$B$16*$B$20,0)</f>
        <v/>
      </c>
      <c r="AJ43" s="41">
        <f>ROUND($B$6*$B$22*$B$9*$B$12*$B$15*$B$17*$B$19,0)</f>
        <v/>
      </c>
      <c r="AK43" s="41">
        <f>ROUND($B$6*$B$22*$B$9*$B$12*$B$15*$B$17*$B$20,0)</f>
        <v/>
      </c>
      <c r="AL43" s="41">
        <f>ROUND($B$6*$B$22*$B$9*$B$12*$B$15*$B$18*$B$19,0)</f>
        <v/>
      </c>
      <c r="AM43" s="41">
        <f>ROUND($B$6*$B$22*$B$9*$B$12*$B$15*$B$18*$B$20,0)</f>
        <v/>
      </c>
    </row>
    <row r="44" ht="20.1" customHeight="1" s="62">
      <c r="A44" s="90" t="n"/>
      <c r="B44" s="59" t="n"/>
      <c r="C44" s="42" t="inlineStr">
        <is>
          <t>Site à refondre</t>
        </is>
      </c>
      <c r="D44" s="40">
        <f>ROUND($B$4*$B$22*$B$9*$B$13*$B$14*$B$16*$B$19,0)</f>
        <v/>
      </c>
      <c r="E44" s="40">
        <f>ROUND($B$4*$B$22*$B$9*$B$13*$B$14*$B$16*$B$20,0)</f>
        <v/>
      </c>
      <c r="F44" s="40">
        <f>ROUND($B$4*$B$22*$B$9*$B$13*$B$14*$B$17*$B$19,0)</f>
        <v/>
      </c>
      <c r="G44" s="40">
        <f>ROUND($B$4*$B$22*$B$9*$B$13*$B$14*$B$17*$B$20,0)</f>
        <v/>
      </c>
      <c r="H44" s="40">
        <f>ROUND($B$4*$B$22*$B$9*$B$13*$B$14*$B$18*$B$19,0)</f>
        <v/>
      </c>
      <c r="I44" s="40">
        <f>ROUND($B$4*$B$22*$B$9*$B$13*$B$14*$B$18*$B$20,0)</f>
        <v/>
      </c>
      <c r="J44" s="40">
        <f>ROUND($B$4*$B$22*$B$9*$B$13*$B$15*$B$16*$B$19,0)</f>
        <v/>
      </c>
      <c r="K44" s="40">
        <f>ROUND($B$4*$B$22*$B$9*$B$13*$B$15*$B$16*$B$20,0)</f>
        <v/>
      </c>
      <c r="L44" s="40">
        <f>ROUND($B$4*$B$22*$B$9*$B$13*$B$15*$B$17*$B$19,0)</f>
        <v/>
      </c>
      <c r="M44" s="40">
        <f>ROUND($B$4*$B$22*$B$9*$B$13*$B$15*$B$17*$B$20,0)</f>
        <v/>
      </c>
      <c r="N44" s="40">
        <f>ROUND($B$4*$B$22*$B$9*$B$13*$B$15*$B$18*$B$19,0)</f>
        <v/>
      </c>
      <c r="O44" s="40">
        <f>ROUND($B$4*$B$22*$B$9*$B$13*$B$15*$B$18*$B$20,0)</f>
        <v/>
      </c>
      <c r="P44" s="40">
        <f>ROUND($B$5*$B$22*$B$9*$B$13*$B$14*$B$16*$B$19,0)</f>
        <v/>
      </c>
      <c r="Q44" s="40">
        <f>ROUND($B$5*$B$22*$B$9*$B$13*$B$14*$B$16*$B$20,0)</f>
        <v/>
      </c>
      <c r="R44" s="40">
        <f>ROUND($B$5*$B$22*$B$9*$B$13*$B$14*$B$17*$B$19,0)</f>
        <v/>
      </c>
      <c r="S44" s="40">
        <f>ROUND($B$5*$B$22*$B$9*$B$13*$B$14*$B$17*$B$20,0)</f>
        <v/>
      </c>
      <c r="T44" s="40">
        <f>ROUND($B$5*$B$22*$B$9*$B$13*$B$14*$B$18*$B$19,0)</f>
        <v/>
      </c>
      <c r="U44" s="40">
        <f>ROUND($B$5*$B$22*$B$9*$B$13*$B$14*$B$18*$B$20,0)</f>
        <v/>
      </c>
      <c r="V44" s="40">
        <f>ROUND($B$5*$B$22*$B$9*$B$13*$B$15*$B$16*$B$19,0)</f>
        <v/>
      </c>
      <c r="W44" s="40">
        <f>ROUND($B$5*$B$22*$B$9*$B$13*$B$15*$B$16*$B$20,0)</f>
        <v/>
      </c>
      <c r="X44" s="40">
        <f>ROUND($B$5*$B$22*$B$9*$B$13*$B$15*$B$17*$B$19,0)</f>
        <v/>
      </c>
      <c r="Y44" s="40">
        <f>ROUND($B$5*$B$22*$B$9*$B$13*$B$15*$B$17*$B$20,0)</f>
        <v/>
      </c>
      <c r="Z44" s="40">
        <f>ROUND($B$5*$B$22*$B$9*$B$13*$B$15*$B$18*$B$19,0)</f>
        <v/>
      </c>
      <c r="AA44" s="40">
        <f>ROUND($B$5*$B$22*$B$9*$B$13*$B$15*$B$18*$B$20,0)</f>
        <v/>
      </c>
      <c r="AB44" s="41">
        <f>ROUND($B$6*$B$22*$B$9*$B$13*$B$14*$B$16*$B$19,0)</f>
        <v/>
      </c>
      <c r="AC44" s="41">
        <f>ROUND($B$6*$B$22*$B$9*$B$13*$B$14*$B$16*$B$20,0)</f>
        <v/>
      </c>
      <c r="AD44" s="41">
        <f>ROUND($B$6*$B$22*$B$9*$B$13*$B$14*$B$17*$B$19,0)</f>
        <v/>
      </c>
      <c r="AE44" s="41">
        <f>ROUND($B$6*$B$22*$B$9*$B$13*$B$14*$B$17*$B$20,0)</f>
        <v/>
      </c>
      <c r="AF44" s="41">
        <f>ROUND($B$6*$B$22*$B$9*$B$13*$B$14*$B$18*$B$19,0)</f>
        <v/>
      </c>
      <c r="AG44" s="41">
        <f>ROUND($B$6*$B$22*$B$9*$B$13*$B$14*$B$18*$B$20,0)</f>
        <v/>
      </c>
      <c r="AH44" s="41">
        <f>ROUND($B$6*$B$22*$B$9*$B$13*$B$15*$B$16*$B$19,0)</f>
        <v/>
      </c>
      <c r="AI44" s="41">
        <f>ROUND($B$6*$B$22*$B$9*$B$13*$B$15*$B$16*$B$20,0)</f>
        <v/>
      </c>
      <c r="AJ44" s="41">
        <f>ROUND($B$6*$B$22*$B$9*$B$13*$B$15*$B$17*$B$19,0)</f>
        <v/>
      </c>
      <c r="AK44" s="41">
        <f>ROUND($B$6*$B$22*$B$9*$B$13*$B$15*$B$17*$B$20,0)</f>
        <v/>
      </c>
      <c r="AL44" s="41">
        <f>ROUND($B$6*$B$22*$B$9*$B$13*$B$15*$B$18*$B$19,0)</f>
        <v/>
      </c>
      <c r="AM44" s="41">
        <f>ROUND($B$6*$B$22*$B$9*$B$13*$B$15*$B$18*$B$20,0)</f>
        <v/>
      </c>
    </row>
    <row r="45" ht="20.1" customHeight="1" s="62">
      <c r="A45" s="90" t="n"/>
      <c r="B45" s="87" t="inlineStr">
        <is>
          <t>Concurrence élevée</t>
        </is>
      </c>
      <c r="C45" s="39" t="inlineStr">
        <is>
          <t>Site bien structuré</t>
        </is>
      </c>
      <c r="D45" s="40">
        <f>ROUND($B$4*$B$22*$B$10*$B$11*$B$14*$B$16*$B$19,0)</f>
        <v/>
      </c>
      <c r="E45" s="40">
        <f>ROUND($B$4*$B$22*$B$10*$B$11*$B$14*$B$16*$B$20,0)</f>
        <v/>
      </c>
      <c r="F45" s="40">
        <f>ROUND($B$4*$B$22*$B$10*$B$11*$B$14*$B$17*$B$19,0)</f>
        <v/>
      </c>
      <c r="G45" s="40">
        <f>ROUND($B$4*$B$22*$B$10*$B$11*$B$14*$B$17*$B$20,0)</f>
        <v/>
      </c>
      <c r="H45" s="40">
        <f>ROUND($B$4*$B$22*$B$10*$B$11*$B$14*$B$18*$B$19,0)</f>
        <v/>
      </c>
      <c r="I45" s="40">
        <f>ROUND($B$4*$B$22*$B$10*$B$11*$B$14*$B$18*$B$20,0)</f>
        <v/>
      </c>
      <c r="J45" s="40">
        <f>ROUND($B$4*$B$22*$B$10*$B$11*$B$15*$B$16*$B$19,0)</f>
        <v/>
      </c>
      <c r="K45" s="40">
        <f>ROUND($B$4*$B$22*$B$10*$B$11*$B$15*$B$16*$B$20,0)</f>
        <v/>
      </c>
      <c r="L45" s="40">
        <f>ROUND($B$4*$B$22*$B$10*$B$11*$B$15*$B$17*$B$19,0)</f>
        <v/>
      </c>
      <c r="M45" s="40">
        <f>ROUND($B$4*$B$22*$B$10*$B$11*$B$15*$B$17*$B$20,0)</f>
        <v/>
      </c>
      <c r="N45" s="40">
        <f>ROUND($B$4*$B$22*$B$10*$B$11*$B$15*$B$18*$B$19,0)</f>
        <v/>
      </c>
      <c r="O45" s="40">
        <f>ROUND($B$4*$B$22*$B$10*$B$11*$B$15*$B$18*$B$20,0)</f>
        <v/>
      </c>
      <c r="P45" s="40">
        <f>ROUND($B$5*$B$22*$B$10*$B$11*$B$14*$B$16*$B$19,0)</f>
        <v/>
      </c>
      <c r="Q45" s="40">
        <f>ROUND($B$5*$B$22*$B$10*$B$11*$B$14*$B$16*$B$20,0)</f>
        <v/>
      </c>
      <c r="R45" s="40">
        <f>ROUND($B$5*$B$22*$B$10*$B$11*$B$14*$B$17*$B$19,0)</f>
        <v/>
      </c>
      <c r="S45" s="40">
        <f>ROUND($B$5*$B$22*$B$10*$B$11*$B$14*$B$17*$B$20,0)</f>
        <v/>
      </c>
      <c r="T45" s="40">
        <f>ROUND($B$5*$B$22*$B$10*$B$11*$B$14*$B$18*$B$19,0)</f>
        <v/>
      </c>
      <c r="U45" s="40">
        <f>ROUND($B$5*$B$22*$B$10*$B$11*$B$14*$B$18*$B$20,0)</f>
        <v/>
      </c>
      <c r="V45" s="40">
        <f>ROUND($B$5*$B$22*$B$10*$B$11*$B$15*$B$16*$B$19,0)</f>
        <v/>
      </c>
      <c r="W45" s="40">
        <f>ROUND($B$5*$B$22*$B$10*$B$11*$B$15*$B$16*$B$20,0)</f>
        <v/>
      </c>
      <c r="X45" s="40">
        <f>ROUND($B$5*$B$22*$B$10*$B$11*$B$15*$B$17*$B$19,0)</f>
        <v/>
      </c>
      <c r="Y45" s="40">
        <f>ROUND($B$5*$B$22*$B$10*$B$11*$B$15*$B$17*$B$20,0)</f>
        <v/>
      </c>
      <c r="Z45" s="40">
        <f>ROUND($B$5*$B$22*$B$10*$B$11*$B$15*$B$18*$B$19,0)</f>
        <v/>
      </c>
      <c r="AA45" s="40">
        <f>ROUND($B$5*$B$22*$B$10*$B$11*$B$15*$B$18*$B$20,0)</f>
        <v/>
      </c>
      <c r="AB45" s="41">
        <f>ROUND($B$6*$B$22*$B$10*$B$11*$B$14*$B$16*$B$19,0)</f>
        <v/>
      </c>
      <c r="AC45" s="41">
        <f>ROUND($B$6*$B$22*$B$10*$B$11*$B$14*$B$16*$B$20,0)</f>
        <v/>
      </c>
      <c r="AD45" s="41">
        <f>ROUND($B$6*$B$22*$B$10*$B$11*$B$14*$B$17*$B$19,0)</f>
        <v/>
      </c>
      <c r="AE45" s="41">
        <f>ROUND($B$6*$B$22*$B$10*$B$11*$B$14*$B$17*$B$20,0)</f>
        <v/>
      </c>
      <c r="AF45" s="41">
        <f>ROUND($B$6*$B$22*$B$10*$B$11*$B$14*$B$18*$B$19,0)</f>
        <v/>
      </c>
      <c r="AG45" s="41">
        <f>ROUND($B$6*$B$22*$B$10*$B$11*$B$14*$B$18*$B$20,0)</f>
        <v/>
      </c>
      <c r="AH45" s="41">
        <f>ROUND($B$6*$B$22*$B$10*$B$11*$B$15*$B$16*$B$19,0)</f>
        <v/>
      </c>
      <c r="AI45" s="41">
        <f>ROUND($B$6*$B$22*$B$10*$B$11*$B$15*$B$16*$B$20,0)</f>
        <v/>
      </c>
      <c r="AJ45" s="41">
        <f>ROUND($B$6*$B$22*$B$10*$B$11*$B$15*$B$17*$B$19,0)</f>
        <v/>
      </c>
      <c r="AK45" s="41">
        <f>ROUND($B$6*$B$22*$B$10*$B$11*$B$15*$B$17*$B$20,0)</f>
        <v/>
      </c>
      <c r="AL45" s="41">
        <f>ROUND($B$6*$B$22*$B$10*$B$11*$B$15*$B$18*$B$19,0)</f>
        <v/>
      </c>
      <c r="AM45" s="41">
        <f>ROUND($B$6*$B$22*$B$10*$B$11*$B$15*$B$18*$B$20,0)</f>
        <v/>
      </c>
    </row>
    <row r="46" ht="20.1" customHeight="1" s="62">
      <c r="A46" s="90" t="n"/>
      <c r="B46" s="58" t="n"/>
      <c r="C46" s="87" t="inlineStr">
        <is>
          <t>Site à améliorer</t>
        </is>
      </c>
      <c r="D46" s="40">
        <f>ROUND($B$4*$B$22*$B$10*$B$12*$B$14*$B$16*$B$19,0)</f>
        <v/>
      </c>
      <c r="E46" s="40">
        <f>ROUND($B$4*$B$22*$B$10*$B$12*$B$14*$B$16*$B$20,0)</f>
        <v/>
      </c>
      <c r="F46" s="40">
        <f>ROUND($B$4*$B$22*$B$10*$B$12*$B$14*$B$17*$B$19,0)</f>
        <v/>
      </c>
      <c r="G46" s="40">
        <f>ROUND($B$4*$B$22*$B$10*$B$12*$B$14*$B$17*$B$20,0)</f>
        <v/>
      </c>
      <c r="H46" s="40">
        <f>ROUND($B$4*$B$22*$B$10*$B$12*$B$14*$B$18*$B$19,0)</f>
        <v/>
      </c>
      <c r="I46" s="40">
        <f>ROUND($B$4*$B$22*$B$10*$B$12*$B$14*$B$18*$B$20,0)</f>
        <v/>
      </c>
      <c r="J46" s="40">
        <f>ROUND($B$4*$B$22*$B$10*$B$12*$B$15*$B$16*$B$19,0)</f>
        <v/>
      </c>
      <c r="K46" s="40">
        <f>ROUND($B$4*$B$22*$B$10*$B$12*$B$15*$B$16*$B$20,0)</f>
        <v/>
      </c>
      <c r="L46" s="40">
        <f>ROUND($B$4*$B$22*$B$10*$B$12*$B$15*$B$17*$B$19,0)</f>
        <v/>
      </c>
      <c r="M46" s="40">
        <f>ROUND($B$4*$B$22*$B$10*$B$12*$B$15*$B$17*$B$20,0)</f>
        <v/>
      </c>
      <c r="N46" s="40">
        <f>ROUND($B$4*$B$22*$B$10*$B$12*$B$15*$B$18*$B$19,0)</f>
        <v/>
      </c>
      <c r="O46" s="40">
        <f>ROUND($B$4*$B$22*$B$10*$B$12*$B$15*$B$18*$B$20,0)</f>
        <v/>
      </c>
      <c r="P46" s="40">
        <f>ROUND($B$5*$B$22*$B$10*$B$12*$B$14*$B$16*$B$19,0)</f>
        <v/>
      </c>
      <c r="Q46" s="40">
        <f>ROUND($B$5*$B$22*$B$10*$B$12*$B$14*$B$16*$B$20,0)</f>
        <v/>
      </c>
      <c r="R46" s="40">
        <f>ROUND($B$5*$B$22*$B$10*$B$12*$B$14*$B$17*$B$19,0)</f>
        <v/>
      </c>
      <c r="S46" s="40">
        <f>ROUND($B$5*$B$22*$B$10*$B$12*$B$14*$B$17*$B$20,0)</f>
        <v/>
      </c>
      <c r="T46" s="40">
        <f>ROUND($B$5*$B$22*$B$10*$B$12*$B$14*$B$18*$B$19,0)</f>
        <v/>
      </c>
      <c r="U46" s="40">
        <f>ROUND($B$5*$B$22*$B$10*$B$12*$B$14*$B$18*$B$20,0)</f>
        <v/>
      </c>
      <c r="V46" s="40">
        <f>ROUND($B$5*$B$22*$B$10*$B$12*$B$15*$B$16*$B$19,0)</f>
        <v/>
      </c>
      <c r="W46" s="40">
        <f>ROUND($B$5*$B$22*$B$10*$B$12*$B$15*$B$16*$B$20,0)</f>
        <v/>
      </c>
      <c r="X46" s="40">
        <f>ROUND($B$5*$B$22*$B$10*$B$12*$B$15*$B$17*$B$19,0)</f>
        <v/>
      </c>
      <c r="Y46" s="40">
        <f>ROUND($B$5*$B$22*$B$10*$B$12*$B$15*$B$17*$B$20,0)</f>
        <v/>
      </c>
      <c r="Z46" s="40">
        <f>ROUND($B$5*$B$22*$B$10*$B$12*$B$15*$B$18*$B$19,0)</f>
        <v/>
      </c>
      <c r="AA46" s="40">
        <f>ROUND($B$5*$B$22*$B$10*$B$12*$B$15*$B$18*$B$20,0)</f>
        <v/>
      </c>
      <c r="AB46" s="41">
        <f>ROUND($B$6*$B$22*$B$10*$B$12*$B$14*$B$16*$B$19,0)</f>
        <v/>
      </c>
      <c r="AC46" s="41">
        <f>ROUND($B$6*$B$22*$B$10*$B$12*$B$14*$B$16*$B$20,0)</f>
        <v/>
      </c>
      <c r="AD46" s="41">
        <f>ROUND($B$6*$B$22*$B$10*$B$12*$B$14*$B$17*$B$19,0)</f>
        <v/>
      </c>
      <c r="AE46" s="41">
        <f>ROUND($B$6*$B$22*$B$10*$B$12*$B$14*$B$17*$B$20,0)</f>
        <v/>
      </c>
      <c r="AF46" s="41">
        <f>ROUND($B$6*$B$22*$B$10*$B$12*$B$14*$B$18*$B$19,0)</f>
        <v/>
      </c>
      <c r="AG46" s="41">
        <f>ROUND($B$6*$B$22*$B$10*$B$12*$B$14*$B$18*$B$20,0)</f>
        <v/>
      </c>
      <c r="AH46" s="41">
        <f>ROUND($B$6*$B$22*$B$10*$B$12*$B$15*$B$16*$B$19,0)</f>
        <v/>
      </c>
      <c r="AI46" s="41">
        <f>ROUND($B$6*$B$22*$B$10*$B$12*$B$15*$B$16*$B$20,0)</f>
        <v/>
      </c>
      <c r="AJ46" s="41">
        <f>ROUND($B$6*$B$22*$B$10*$B$12*$B$15*$B$17*$B$19,0)</f>
        <v/>
      </c>
      <c r="AK46" s="41">
        <f>ROUND($B$6*$B$22*$B$10*$B$12*$B$15*$B$17*$B$20,0)</f>
        <v/>
      </c>
      <c r="AL46" s="41">
        <f>ROUND($B$6*$B$22*$B$10*$B$12*$B$15*$B$18*$B$19,0)</f>
        <v/>
      </c>
      <c r="AM46" s="41">
        <f>ROUND($B$6*$B$22*$B$10*$B$12*$B$15*$B$18*$B$20,0)</f>
        <v/>
      </c>
    </row>
    <row r="47" ht="20.1" customHeight="1" s="62">
      <c r="A47" s="91" t="n"/>
      <c r="B47" s="59" t="n"/>
      <c r="C47" s="42" t="inlineStr">
        <is>
          <t>Site à refondre</t>
        </is>
      </c>
      <c r="D47" s="40">
        <f>ROUND($B$4*$B$22*$B$10*$B$13*$B$14*$B$16*$B$19,0)</f>
        <v/>
      </c>
      <c r="E47" s="40">
        <f>ROUND($B$4*$B$22*$B$10*$B$13*$B$14*$B$16*$B$20,0)</f>
        <v/>
      </c>
      <c r="F47" s="40">
        <f>ROUND($B$4*$B$22*$B$10*$B$13*$B$14*$B$17*$B$19,0)</f>
        <v/>
      </c>
      <c r="G47" s="40">
        <f>ROUND($B$4*$B$22*$B$10*$B$13*$B$14*$B$17*$B$20,0)</f>
        <v/>
      </c>
      <c r="H47" s="40">
        <f>ROUND($B$4*$B$22*$B$10*$B$13*$B$14*$B$18*$B$19,0)</f>
        <v/>
      </c>
      <c r="I47" s="40">
        <f>ROUND($B$4*$B$22*$B$10*$B$13*$B$14*$B$18*$B$20,0)</f>
        <v/>
      </c>
      <c r="J47" s="40">
        <f>ROUND($B$4*$B$22*$B$10*$B$13*$B$15*$B$16*$B$19,0)</f>
        <v/>
      </c>
      <c r="K47" s="40">
        <f>ROUND($B$4*$B$22*$B$10*$B$13*$B$15*$B$16*$B$20,0)</f>
        <v/>
      </c>
      <c r="L47" s="40">
        <f>ROUND($B$4*$B$22*$B$10*$B$13*$B$15*$B$17*$B$19,0)</f>
        <v/>
      </c>
      <c r="M47" s="40">
        <f>ROUND($B$4*$B$22*$B$10*$B$13*$B$15*$B$17*$B$20,0)</f>
        <v/>
      </c>
      <c r="N47" s="40">
        <f>ROUND($B$4*$B$22*$B$10*$B$13*$B$15*$B$18*$B$19,0)</f>
        <v/>
      </c>
      <c r="O47" s="40">
        <f>ROUND($B$4*$B$22*$B$10*$B$13*$B$15*$B$18*$B$20,0)</f>
        <v/>
      </c>
      <c r="P47" s="40">
        <f>ROUND($B$5*$B$22*$B$10*$B$13*$B$14*$B$16*$B$19,0)</f>
        <v/>
      </c>
      <c r="Q47" s="40">
        <f>ROUND($B$5*$B$22*$B$10*$B$13*$B$14*$B$16*$B$20,0)</f>
        <v/>
      </c>
      <c r="R47" s="40">
        <f>ROUND($B$5*$B$22*$B$10*$B$13*$B$14*$B$17*$B$19,0)</f>
        <v/>
      </c>
      <c r="S47" s="40">
        <f>ROUND($B$5*$B$22*$B$10*$B$13*$B$14*$B$17*$B$20,0)</f>
        <v/>
      </c>
      <c r="T47" s="40">
        <f>ROUND($B$5*$B$22*$B$10*$B$13*$B$14*$B$18*$B$19,0)</f>
        <v/>
      </c>
      <c r="U47" s="40">
        <f>ROUND($B$5*$B$22*$B$10*$B$13*$B$14*$B$18*$B$20,0)</f>
        <v/>
      </c>
      <c r="V47" s="40">
        <f>ROUND($B$5*$B$22*$B$10*$B$13*$B$15*$B$16*$B$19,0)</f>
        <v/>
      </c>
      <c r="W47" s="40">
        <f>ROUND($B$5*$B$22*$B$10*$B$13*$B$15*$B$16*$B$20,0)</f>
        <v/>
      </c>
      <c r="X47" s="40">
        <f>ROUND($B$5*$B$22*$B$10*$B$13*$B$15*$B$17*$B$19,0)</f>
        <v/>
      </c>
      <c r="Y47" s="40">
        <f>ROUND($B$5*$B$22*$B$10*$B$13*$B$15*$B$17*$B$20,0)</f>
        <v/>
      </c>
      <c r="Z47" s="40">
        <f>ROUND($B$5*$B$22*$B$10*$B$13*$B$15*$B$18*$B$19,0)</f>
        <v/>
      </c>
      <c r="AA47" s="40">
        <f>ROUND($B$5*$B$22*$B$10*$B$13*$B$15*$B$18*$B$20,0)</f>
        <v/>
      </c>
      <c r="AB47" s="41">
        <f>ROUND($B$6*$B$22*$B$10*$B$13*$B$14*$B$16*$B$19,0)</f>
        <v/>
      </c>
      <c r="AC47" s="41">
        <f>ROUND($B$6*$B$22*$B$10*$B$13*$B$14*$B$16*$B$20,0)</f>
        <v/>
      </c>
      <c r="AD47" s="41">
        <f>ROUND($B$6*$B$22*$B$10*$B$13*$B$14*$B$17*$B$19,0)</f>
        <v/>
      </c>
      <c r="AE47" s="41">
        <f>ROUND($B$6*$B$22*$B$10*$B$13*$B$14*$B$17*$B$20,0)</f>
        <v/>
      </c>
      <c r="AF47" s="41">
        <f>ROUND($B$6*$B$22*$B$10*$B$13*$B$14*$B$18*$B$19,0)</f>
        <v/>
      </c>
      <c r="AG47" s="41">
        <f>ROUND($B$6*$B$22*$B$10*$B$13*$B$14*$B$18*$B$20,0)</f>
        <v/>
      </c>
      <c r="AH47" s="41">
        <f>ROUND($B$6*$B$22*$B$10*$B$13*$B$15*$B$16*$B$19,0)</f>
        <v/>
      </c>
      <c r="AI47" s="41">
        <f>ROUND($B$6*$B$22*$B$10*$B$13*$B$15*$B$16*$B$20,0)</f>
        <v/>
      </c>
      <c r="AJ47" s="41">
        <f>ROUND($B$6*$B$22*$B$10*$B$13*$B$15*$B$17*$B$19,0)</f>
        <v/>
      </c>
      <c r="AK47" s="41">
        <f>ROUND($B$6*$B$22*$B$10*$B$13*$B$15*$B$17*$B$20,0)</f>
        <v/>
      </c>
      <c r="AL47" s="41">
        <f>ROUND($B$6*$B$22*$B$10*$B$13*$B$15*$B$18*$B$19,0)</f>
        <v/>
      </c>
      <c r="AM47" s="41">
        <f>ROUND($B$6*$B$22*$B$10*$B$13*$B$15*$B$18*$B$20,0)</f>
        <v/>
      </c>
    </row>
    <row r="48" ht="20.1" customHeight="1" s="62">
      <c r="A48" s="89" t="inlineStr">
        <is>
          <t>Grand site (100+ pages)</t>
        </is>
      </c>
      <c r="B48" s="87" t="inlineStr">
        <is>
          <t>Concurrence faible</t>
        </is>
      </c>
      <c r="C48" s="39" t="inlineStr">
        <is>
          <t>Site bien structuré</t>
        </is>
      </c>
      <c r="D48" s="40">
        <f>ROUND($B$4*$B$23*$B$8*$B$11*$B$14*$B$16*$B$19,0)</f>
        <v/>
      </c>
      <c r="E48" s="40">
        <f>ROUND($B$4*$B$23*$B$8*$B$11*$B$14*$B$16*$B$20,0)</f>
        <v/>
      </c>
      <c r="F48" s="40">
        <f>ROUND($B$4*$B$23*$B$8*$B$11*$B$14*$B$17*$B$19,0)</f>
        <v/>
      </c>
      <c r="G48" s="40">
        <f>ROUND($B$4*$B$23*$B$8*$B$11*$B$14*$B$17*$B$20,0)</f>
        <v/>
      </c>
      <c r="H48" s="40">
        <f>ROUND($B$4*$B$23*$B$8*$B$11*$B$14*$B$18*$B$19,0)</f>
        <v/>
      </c>
      <c r="I48" s="40">
        <f>ROUND($B$4*$B$23*$B$8*$B$11*$B$14*$B$18*$B$20,0)</f>
        <v/>
      </c>
      <c r="J48" s="40">
        <f>ROUND($B$4*$B$23*$B$8*$B$11*$B$15*$B$16*$B$19,0)</f>
        <v/>
      </c>
      <c r="K48" s="40">
        <f>ROUND($B$4*$B$23*$B$8*$B$11*$B$15*$B$16*$B$20,0)</f>
        <v/>
      </c>
      <c r="L48" s="40">
        <f>ROUND($B$4*$B$23*$B$8*$B$11*$B$15*$B$17*$B$19,0)</f>
        <v/>
      </c>
      <c r="M48" s="40">
        <f>ROUND($B$4*$B$23*$B$8*$B$11*$B$15*$B$17*$B$20,0)</f>
        <v/>
      </c>
      <c r="N48" s="40">
        <f>ROUND($B$4*$B$23*$B$8*$B$11*$B$15*$B$18*$B$19,0)</f>
        <v/>
      </c>
      <c r="O48" s="40">
        <f>ROUND($B$4*$B$23*$B$8*$B$11*$B$15*$B$18*$B$20,0)</f>
        <v/>
      </c>
      <c r="P48" s="40">
        <f>ROUND($B$5*$B$23*$B$8*$B$11*$B$14*$B$16*$B$19,0)</f>
        <v/>
      </c>
      <c r="Q48" s="40">
        <f>ROUND($B$5*$B$23*$B$8*$B$11*$B$14*$B$16*$B$20,0)</f>
        <v/>
      </c>
      <c r="R48" s="40">
        <f>ROUND($B$5*$B$23*$B$8*$B$11*$B$14*$B$17*$B$19,0)</f>
        <v/>
      </c>
      <c r="S48" s="40">
        <f>ROUND($B$5*$B$23*$B$8*$B$11*$B$14*$B$17*$B$20,0)</f>
        <v/>
      </c>
      <c r="T48" s="40">
        <f>ROUND($B$5*$B$23*$B$8*$B$11*$B$14*$B$18*$B$19,0)</f>
        <v/>
      </c>
      <c r="U48" s="40">
        <f>ROUND($B$5*$B$23*$B$8*$B$11*$B$14*$B$18*$B$20,0)</f>
        <v/>
      </c>
      <c r="V48" s="40">
        <f>ROUND($B$5*$B$23*$B$8*$B$11*$B$15*$B$16*$B$19,0)</f>
        <v/>
      </c>
      <c r="W48" s="40">
        <f>ROUND($B$5*$B$23*$B$8*$B$11*$B$15*$B$16*$B$20,0)</f>
        <v/>
      </c>
      <c r="X48" s="40">
        <f>ROUND($B$5*$B$23*$B$8*$B$11*$B$15*$B$17*$B$19,0)</f>
        <v/>
      </c>
      <c r="Y48" s="40">
        <f>ROUND($B$5*$B$23*$B$8*$B$11*$B$15*$B$17*$B$20,0)</f>
        <v/>
      </c>
      <c r="Z48" s="40">
        <f>ROUND($B$5*$B$23*$B$8*$B$11*$B$15*$B$18*$B$19,0)</f>
        <v/>
      </c>
      <c r="AA48" s="40">
        <f>ROUND($B$5*$B$23*$B$8*$B$11*$B$15*$B$18*$B$20,0)</f>
        <v/>
      </c>
      <c r="AB48" s="41">
        <f>ROUND($B$6*$B$23*$B$8*$B$11*$B$14*$B$16*$B$19,0)</f>
        <v/>
      </c>
      <c r="AC48" s="41">
        <f>ROUND($B$6*$B$23*$B$8*$B$11*$B$14*$B$16*$B$20,0)</f>
        <v/>
      </c>
      <c r="AD48" s="41">
        <f>ROUND($B$6*$B$23*$B$8*$B$11*$B$14*$B$17*$B$19,0)</f>
        <v/>
      </c>
      <c r="AE48" s="41">
        <f>ROUND($B$6*$B$23*$B$8*$B$11*$B$14*$B$17*$B$20,0)</f>
        <v/>
      </c>
      <c r="AF48" s="41">
        <f>ROUND($B$6*$B$23*$B$8*$B$11*$B$14*$B$18*$B$19,0)</f>
        <v/>
      </c>
      <c r="AG48" s="41">
        <f>ROUND($B$6*$B$23*$B$8*$B$11*$B$14*$B$18*$B$20,0)</f>
        <v/>
      </c>
      <c r="AH48" s="41">
        <f>ROUND($B$6*$B$23*$B$8*$B$11*$B$15*$B$16*$B$19,0)</f>
        <v/>
      </c>
      <c r="AI48" s="41">
        <f>ROUND($B$6*$B$23*$B$8*$B$11*$B$15*$B$16*$B$20,0)</f>
        <v/>
      </c>
      <c r="AJ48" s="41">
        <f>ROUND($B$6*$B$23*$B$8*$B$11*$B$15*$B$17*$B$19,0)</f>
        <v/>
      </c>
      <c r="AK48" s="41">
        <f>ROUND($B$6*$B$23*$B$8*$B$11*$B$15*$B$17*$B$20,0)</f>
        <v/>
      </c>
      <c r="AL48" s="41">
        <f>ROUND($B$6*$B$23*$B$8*$B$11*$B$15*$B$18*$B$19,0)</f>
        <v/>
      </c>
      <c r="AM48" s="41">
        <f>ROUND($B$6*$B$23*$B$8*$B$11*$B$15*$B$18*$B$20,0)</f>
        <v/>
      </c>
    </row>
    <row r="49" ht="20.1" customHeight="1" s="62">
      <c r="A49" s="90" t="n"/>
      <c r="B49" s="58" t="n"/>
      <c r="C49" s="87" t="inlineStr">
        <is>
          <t>Site à améliorer</t>
        </is>
      </c>
      <c r="D49" s="40">
        <f>ROUND($B$4*$B$23*$B$8*$B$12*$B$14*$B$16*$B$19,0)</f>
        <v/>
      </c>
      <c r="E49" s="40">
        <f>ROUND($B$4*$B$23*$B$8*$B$12*$B$14*$B$16*$B$20,0)</f>
        <v/>
      </c>
      <c r="F49" s="40">
        <f>ROUND($B$4*$B$23*$B$8*$B$12*$B$14*$B$17*$B$19,0)</f>
        <v/>
      </c>
      <c r="G49" s="40">
        <f>ROUND($B$4*$B$23*$B$8*$B$12*$B$14*$B$17*$B$20,0)</f>
        <v/>
      </c>
      <c r="H49" s="40">
        <f>ROUND($B$4*$B$23*$B$8*$B$12*$B$14*$B$18*$B$19,0)</f>
        <v/>
      </c>
      <c r="I49" s="40">
        <f>ROUND($B$4*$B$23*$B$8*$B$12*$B$14*$B$18*$B$20,0)</f>
        <v/>
      </c>
      <c r="J49" s="40">
        <f>ROUND($B$4*$B$23*$B$8*$B$12*$B$15*$B$16*$B$19,0)</f>
        <v/>
      </c>
      <c r="K49" s="40">
        <f>ROUND($B$4*$B$23*$B$8*$B$12*$B$15*$B$16*$B$20,0)</f>
        <v/>
      </c>
      <c r="L49" s="40">
        <f>ROUND($B$4*$B$23*$B$8*$B$12*$B$15*$B$17*$B$19,0)</f>
        <v/>
      </c>
      <c r="M49" s="40">
        <f>ROUND($B$4*$B$23*$B$8*$B$12*$B$15*$B$17*$B$20,0)</f>
        <v/>
      </c>
      <c r="N49" s="40">
        <f>ROUND($B$4*$B$23*$B$8*$B$12*$B$15*$B$18*$B$19,0)</f>
        <v/>
      </c>
      <c r="O49" s="40">
        <f>ROUND($B$4*$B$23*$B$8*$B$12*$B$15*$B$18*$B$20,0)</f>
        <v/>
      </c>
      <c r="P49" s="40">
        <f>ROUND($B$5*$B$23*$B$8*$B$12*$B$14*$B$16*$B$19,0)</f>
        <v/>
      </c>
      <c r="Q49" s="40">
        <f>ROUND($B$5*$B$23*$B$8*$B$12*$B$14*$B$16*$B$20,0)</f>
        <v/>
      </c>
      <c r="R49" s="40">
        <f>ROUND($B$5*$B$23*$B$8*$B$12*$B$14*$B$17*$B$19,0)</f>
        <v/>
      </c>
      <c r="S49" s="40">
        <f>ROUND($B$5*$B$23*$B$8*$B$12*$B$14*$B$17*$B$20,0)</f>
        <v/>
      </c>
      <c r="T49" s="40">
        <f>ROUND($B$5*$B$23*$B$8*$B$12*$B$14*$B$18*$B$19,0)</f>
        <v/>
      </c>
      <c r="U49" s="40">
        <f>ROUND($B$5*$B$23*$B$8*$B$12*$B$14*$B$18*$B$20,0)</f>
        <v/>
      </c>
      <c r="V49" s="40">
        <f>ROUND($B$5*$B$23*$B$8*$B$12*$B$15*$B$16*$B$19,0)</f>
        <v/>
      </c>
      <c r="W49" s="40">
        <f>ROUND($B$5*$B$23*$B$8*$B$12*$B$15*$B$16*$B$20,0)</f>
        <v/>
      </c>
      <c r="X49" s="40">
        <f>ROUND($B$5*$B$23*$B$8*$B$12*$B$15*$B$17*$B$19,0)</f>
        <v/>
      </c>
      <c r="Y49" s="40">
        <f>ROUND($B$5*$B$23*$B$8*$B$12*$B$15*$B$17*$B$20,0)</f>
        <v/>
      </c>
      <c r="Z49" s="40">
        <f>ROUND($B$5*$B$23*$B$8*$B$12*$B$15*$B$18*$B$19,0)</f>
        <v/>
      </c>
      <c r="AA49" s="40">
        <f>ROUND($B$5*$B$23*$B$8*$B$12*$B$15*$B$18*$B$20,0)</f>
        <v/>
      </c>
      <c r="AB49" s="41">
        <f>ROUND($B$6*$B$23*$B$8*$B$12*$B$14*$B$16*$B$19,0)</f>
        <v/>
      </c>
      <c r="AC49" s="41">
        <f>ROUND($B$6*$B$23*$B$8*$B$12*$B$14*$B$16*$B$20,0)</f>
        <v/>
      </c>
      <c r="AD49" s="41">
        <f>ROUND($B$6*$B$23*$B$8*$B$12*$B$14*$B$17*$B$19,0)</f>
        <v/>
      </c>
      <c r="AE49" s="41">
        <f>ROUND($B$6*$B$23*$B$8*$B$12*$B$14*$B$17*$B$20,0)</f>
        <v/>
      </c>
      <c r="AF49" s="41">
        <f>ROUND($B$6*$B$23*$B$8*$B$12*$B$14*$B$18*$B$19,0)</f>
        <v/>
      </c>
      <c r="AG49" s="41">
        <f>ROUND($B$6*$B$23*$B$8*$B$12*$B$14*$B$18*$B$20,0)</f>
        <v/>
      </c>
      <c r="AH49" s="41">
        <f>ROUND($B$6*$B$23*$B$8*$B$12*$B$15*$B$16*$B$19,0)</f>
        <v/>
      </c>
      <c r="AI49" s="41">
        <f>ROUND($B$6*$B$23*$B$8*$B$12*$B$15*$B$16*$B$20,0)</f>
        <v/>
      </c>
      <c r="AJ49" s="41">
        <f>ROUND($B$6*$B$23*$B$8*$B$12*$B$15*$B$17*$B$19,0)</f>
        <v/>
      </c>
      <c r="AK49" s="41">
        <f>ROUND($B$6*$B$23*$B$8*$B$12*$B$15*$B$17*$B$20,0)</f>
        <v/>
      </c>
      <c r="AL49" s="41">
        <f>ROUND($B$6*$B$23*$B$8*$B$12*$B$15*$B$18*$B$19,0)</f>
        <v/>
      </c>
      <c r="AM49" s="41">
        <f>ROUND($B$6*$B$23*$B$8*$B$12*$B$15*$B$18*$B$20,0)</f>
        <v/>
      </c>
    </row>
    <row r="50" ht="20.1" customHeight="1" s="62">
      <c r="A50" s="90" t="n"/>
      <c r="B50" s="59" t="n"/>
      <c r="C50" s="42" t="inlineStr">
        <is>
          <t>Site à refondre</t>
        </is>
      </c>
      <c r="D50" s="40">
        <f>ROUND($B$4*$B$23*$B$8*$B$13*$B$14*$B$16*$B$19,0)</f>
        <v/>
      </c>
      <c r="E50" s="40">
        <f>ROUND($B$4*$B$23*$B$8*$B$13*$B$14*$B$16*$B$20,0)</f>
        <v/>
      </c>
      <c r="F50" s="40">
        <f>ROUND($B$4*$B$23*$B$8*$B$13*$B$14*$B$17*$B$19,0)</f>
        <v/>
      </c>
      <c r="G50" s="40">
        <f>ROUND($B$4*$B$23*$B$8*$B$13*$B$14*$B$17*$B$20,0)</f>
        <v/>
      </c>
      <c r="H50" s="40">
        <f>ROUND($B$4*$B$23*$B$8*$B$13*$B$14*$B$18*$B$19,0)</f>
        <v/>
      </c>
      <c r="I50" s="40">
        <f>ROUND($B$4*$B$23*$B$8*$B$13*$B$14*$B$18*$B$20,0)</f>
        <v/>
      </c>
      <c r="J50" s="40">
        <f>ROUND($B$4*$B$23*$B$8*$B$13*$B$15*$B$16*$B$19,0)</f>
        <v/>
      </c>
      <c r="K50" s="40">
        <f>ROUND($B$4*$B$23*$B$8*$B$13*$B$15*$B$16*$B$20,0)</f>
        <v/>
      </c>
      <c r="L50" s="40">
        <f>ROUND($B$4*$B$23*$B$8*$B$13*$B$15*$B$17*$B$19,0)</f>
        <v/>
      </c>
      <c r="M50" s="40">
        <f>ROUND($B$4*$B$23*$B$8*$B$13*$B$15*$B$17*$B$20,0)</f>
        <v/>
      </c>
      <c r="N50" s="40">
        <f>ROUND($B$4*$B$23*$B$8*$B$13*$B$15*$B$18*$B$19,0)</f>
        <v/>
      </c>
      <c r="O50" s="40">
        <f>ROUND($B$4*$B$23*$B$8*$B$13*$B$15*$B$18*$B$20,0)</f>
        <v/>
      </c>
      <c r="P50" s="40">
        <f>ROUND($B$5*$B$23*$B$8*$B$13*$B$14*$B$16*$B$19,0)</f>
        <v/>
      </c>
      <c r="Q50" s="40">
        <f>ROUND($B$5*$B$23*$B$8*$B$13*$B$14*$B$16*$B$20,0)</f>
        <v/>
      </c>
      <c r="R50" s="40">
        <f>ROUND($B$5*$B$23*$B$8*$B$13*$B$14*$B$17*$B$19,0)</f>
        <v/>
      </c>
      <c r="S50" s="40">
        <f>ROUND($B$5*$B$23*$B$8*$B$13*$B$14*$B$17*$B$20,0)</f>
        <v/>
      </c>
      <c r="T50" s="40">
        <f>ROUND($B$5*$B$23*$B$8*$B$13*$B$14*$B$18*$B$19,0)</f>
        <v/>
      </c>
      <c r="U50" s="40">
        <f>ROUND($B$5*$B$23*$B$8*$B$13*$B$14*$B$18*$B$20,0)</f>
        <v/>
      </c>
      <c r="V50" s="40">
        <f>ROUND($B$5*$B$23*$B$8*$B$13*$B$15*$B$16*$B$19,0)</f>
        <v/>
      </c>
      <c r="W50" s="40">
        <f>ROUND($B$5*$B$23*$B$8*$B$13*$B$15*$B$16*$B$20,0)</f>
        <v/>
      </c>
      <c r="X50" s="40">
        <f>ROUND($B$5*$B$23*$B$8*$B$13*$B$15*$B$17*$B$19,0)</f>
        <v/>
      </c>
      <c r="Y50" s="40">
        <f>ROUND($B$5*$B$23*$B$8*$B$13*$B$15*$B$17*$B$20,0)</f>
        <v/>
      </c>
      <c r="Z50" s="40">
        <f>ROUND($B$5*$B$23*$B$8*$B$13*$B$15*$B$18*$B$19,0)</f>
        <v/>
      </c>
      <c r="AA50" s="40">
        <f>ROUND($B$5*$B$23*$B$8*$B$13*$B$15*$B$18*$B$20,0)</f>
        <v/>
      </c>
      <c r="AB50" s="41">
        <f>ROUND($B$6*$B$23*$B$8*$B$13*$B$14*$B$16*$B$19,0)</f>
        <v/>
      </c>
      <c r="AC50" s="41">
        <f>ROUND($B$6*$B$23*$B$8*$B$13*$B$14*$B$16*$B$20,0)</f>
        <v/>
      </c>
      <c r="AD50" s="41">
        <f>ROUND($B$6*$B$23*$B$8*$B$13*$B$14*$B$17*$B$19,0)</f>
        <v/>
      </c>
      <c r="AE50" s="41">
        <f>ROUND($B$6*$B$23*$B$8*$B$13*$B$14*$B$17*$B$20,0)</f>
        <v/>
      </c>
      <c r="AF50" s="41">
        <f>ROUND($B$6*$B$23*$B$8*$B$13*$B$14*$B$18*$B$19,0)</f>
        <v/>
      </c>
      <c r="AG50" s="41">
        <f>ROUND($B$6*$B$23*$B$8*$B$13*$B$14*$B$18*$B$20,0)</f>
        <v/>
      </c>
      <c r="AH50" s="41">
        <f>ROUND($B$6*$B$23*$B$8*$B$13*$B$15*$B$16*$B$19,0)</f>
        <v/>
      </c>
      <c r="AI50" s="41">
        <f>ROUND($B$6*$B$23*$B$8*$B$13*$B$15*$B$16*$B$20,0)</f>
        <v/>
      </c>
      <c r="AJ50" s="41">
        <f>ROUND($B$6*$B$23*$B$8*$B$13*$B$15*$B$17*$B$19,0)</f>
        <v/>
      </c>
      <c r="AK50" s="41">
        <f>ROUND($B$6*$B$23*$B$8*$B$13*$B$15*$B$17*$B$20,0)</f>
        <v/>
      </c>
      <c r="AL50" s="41">
        <f>ROUND($B$6*$B$23*$B$8*$B$13*$B$15*$B$18*$B$19,0)</f>
        <v/>
      </c>
      <c r="AM50" s="41">
        <f>ROUND($B$6*$B$23*$B$8*$B$13*$B$15*$B$18*$B$20,0)</f>
        <v/>
      </c>
    </row>
    <row r="51" ht="20.1" customHeight="1" s="62">
      <c r="A51" s="90" t="n"/>
      <c r="B51" s="87" t="inlineStr">
        <is>
          <t>Concurrence modérée</t>
        </is>
      </c>
      <c r="C51" s="39" t="inlineStr">
        <is>
          <t>Site bien structuré</t>
        </is>
      </c>
      <c r="D51" s="40">
        <f>ROUND($B$4*$B$23*$B$9*$B$11*$B$14*$B$16*$B$19,0)</f>
        <v/>
      </c>
      <c r="E51" s="40">
        <f>ROUND($B$4*$B$23*$B$9*$B$11*$B$14*$B$16*$B$20,0)</f>
        <v/>
      </c>
      <c r="F51" s="40">
        <f>ROUND($B$4*$B$23*$B$9*$B$11*$B$14*$B$17*$B$19,0)</f>
        <v/>
      </c>
      <c r="G51" s="40">
        <f>ROUND($B$4*$B$23*$B$9*$B$11*$B$14*$B$17*$B$20,0)</f>
        <v/>
      </c>
      <c r="H51" s="40">
        <f>ROUND($B$4*$B$23*$B$9*$B$11*$B$14*$B$18*$B$19,0)</f>
        <v/>
      </c>
      <c r="I51" s="40">
        <f>ROUND($B$4*$B$23*$B$9*$B$11*$B$14*$B$18*$B$20,0)</f>
        <v/>
      </c>
      <c r="J51" s="40">
        <f>ROUND($B$4*$B$23*$B$9*$B$11*$B$15*$B$16*$B$19,0)</f>
        <v/>
      </c>
      <c r="K51" s="40">
        <f>ROUND($B$4*$B$23*$B$9*$B$11*$B$15*$B$16*$B$20,0)</f>
        <v/>
      </c>
      <c r="L51" s="40">
        <f>ROUND($B$4*$B$23*$B$9*$B$11*$B$15*$B$17*$B$19,0)</f>
        <v/>
      </c>
      <c r="M51" s="40">
        <f>ROUND($B$4*$B$23*$B$9*$B$11*$B$15*$B$17*$B$20,0)</f>
        <v/>
      </c>
      <c r="N51" s="40">
        <f>ROUND($B$4*$B$23*$B$9*$B$11*$B$15*$B$18*$B$19,0)</f>
        <v/>
      </c>
      <c r="O51" s="40">
        <f>ROUND($B$4*$B$23*$B$9*$B$11*$B$15*$B$18*$B$20,0)</f>
        <v/>
      </c>
      <c r="P51" s="40">
        <f>ROUND($B$5*$B$23*$B$9*$B$11*$B$14*$B$16*$B$19,0)</f>
        <v/>
      </c>
      <c r="Q51" s="40">
        <f>ROUND($B$5*$B$23*$B$9*$B$11*$B$14*$B$16*$B$20,0)</f>
        <v/>
      </c>
      <c r="R51" s="40">
        <f>ROUND($B$5*$B$23*$B$9*$B$11*$B$14*$B$17*$B$19,0)</f>
        <v/>
      </c>
      <c r="S51" s="40">
        <f>ROUND($B$5*$B$23*$B$9*$B$11*$B$14*$B$17*$B$20,0)</f>
        <v/>
      </c>
      <c r="T51" s="40">
        <f>ROUND($B$5*$B$23*$B$9*$B$11*$B$14*$B$18*$B$19,0)</f>
        <v/>
      </c>
      <c r="U51" s="40">
        <f>ROUND($B$5*$B$23*$B$9*$B$11*$B$14*$B$18*$B$20,0)</f>
        <v/>
      </c>
      <c r="V51" s="40">
        <f>ROUND($B$5*$B$23*$B$9*$B$11*$B$15*$B$16*$B$19,0)</f>
        <v/>
      </c>
      <c r="W51" s="40">
        <f>ROUND($B$5*$B$23*$B$9*$B$11*$B$15*$B$16*$B$20,0)</f>
        <v/>
      </c>
      <c r="X51" s="40">
        <f>ROUND($B$5*$B$23*$B$9*$B$11*$B$15*$B$17*$B$19,0)</f>
        <v/>
      </c>
      <c r="Y51" s="40">
        <f>ROUND($B$5*$B$23*$B$9*$B$11*$B$15*$B$17*$B$20,0)</f>
        <v/>
      </c>
      <c r="Z51" s="40">
        <f>ROUND($B$5*$B$23*$B$9*$B$11*$B$15*$B$18*$B$19,0)</f>
        <v/>
      </c>
      <c r="AA51" s="40">
        <f>ROUND($B$5*$B$23*$B$9*$B$11*$B$15*$B$18*$B$20,0)</f>
        <v/>
      </c>
      <c r="AB51" s="41">
        <f>ROUND($B$6*$B$23*$B$9*$B$11*$B$14*$B$16*$B$19,0)</f>
        <v/>
      </c>
      <c r="AC51" s="41">
        <f>ROUND($B$6*$B$23*$B$9*$B$11*$B$14*$B$16*$B$20,0)</f>
        <v/>
      </c>
      <c r="AD51" s="41">
        <f>ROUND($B$6*$B$23*$B$9*$B$11*$B$14*$B$17*$B$19,0)</f>
        <v/>
      </c>
      <c r="AE51" s="41">
        <f>ROUND($B$6*$B$23*$B$9*$B$11*$B$14*$B$17*$B$20,0)</f>
        <v/>
      </c>
      <c r="AF51" s="41">
        <f>ROUND($B$6*$B$23*$B$9*$B$11*$B$14*$B$18*$B$19,0)</f>
        <v/>
      </c>
      <c r="AG51" s="41">
        <f>ROUND($B$6*$B$23*$B$9*$B$11*$B$14*$B$18*$B$20,0)</f>
        <v/>
      </c>
      <c r="AH51" s="41">
        <f>ROUND($B$6*$B$23*$B$9*$B$11*$B$15*$B$16*$B$19,0)</f>
        <v/>
      </c>
      <c r="AI51" s="41">
        <f>ROUND($B$6*$B$23*$B$9*$B$11*$B$15*$B$16*$B$20,0)</f>
        <v/>
      </c>
      <c r="AJ51" s="41">
        <f>ROUND($B$6*$B$23*$B$9*$B$11*$B$15*$B$17*$B$19,0)</f>
        <v/>
      </c>
      <c r="AK51" s="41">
        <f>ROUND($B$6*$B$23*$B$9*$B$11*$B$15*$B$17*$B$20,0)</f>
        <v/>
      </c>
      <c r="AL51" s="41">
        <f>ROUND($B$6*$B$23*$B$9*$B$11*$B$15*$B$18*$B$19,0)</f>
        <v/>
      </c>
      <c r="AM51" s="41">
        <f>ROUND($B$6*$B$23*$B$9*$B$11*$B$15*$B$18*$B$20,0)</f>
        <v/>
      </c>
    </row>
    <row r="52" ht="20.1" customHeight="1" s="62">
      <c r="A52" s="90" t="n"/>
      <c r="B52" s="58" t="n"/>
      <c r="C52" s="87" t="inlineStr">
        <is>
          <t>Site à améliorer</t>
        </is>
      </c>
      <c r="D52" s="40">
        <f>ROUND($B$4*$B$23*$B$9*$B$12*$B$14*$B$16*$B$19,0)</f>
        <v/>
      </c>
      <c r="E52" s="40">
        <f>ROUND($B$4*$B$23*$B$9*$B$12*$B$14*$B$16*$B$20,0)</f>
        <v/>
      </c>
      <c r="F52" s="40">
        <f>ROUND($B$4*$B$23*$B$9*$B$12*$B$14*$B$17*$B$19,0)</f>
        <v/>
      </c>
      <c r="G52" s="40">
        <f>ROUND($B$4*$B$23*$B$9*$B$12*$B$14*$B$17*$B$20,0)</f>
        <v/>
      </c>
      <c r="H52" s="40">
        <f>ROUND($B$4*$B$23*$B$9*$B$12*$B$14*$B$18*$B$19,0)</f>
        <v/>
      </c>
      <c r="I52" s="40">
        <f>ROUND($B$4*$B$23*$B$9*$B$12*$B$14*$B$18*$B$20,0)</f>
        <v/>
      </c>
      <c r="J52" s="40">
        <f>ROUND($B$4*$B$23*$B$9*$B$12*$B$15*$B$16*$B$19,0)</f>
        <v/>
      </c>
      <c r="K52" s="40">
        <f>ROUND($B$4*$B$23*$B$9*$B$12*$B$15*$B$16*$B$20,0)</f>
        <v/>
      </c>
      <c r="L52" s="40">
        <f>ROUND($B$4*$B$23*$B$9*$B$12*$B$15*$B$17*$B$19,0)</f>
        <v/>
      </c>
      <c r="M52" s="40">
        <f>ROUND($B$4*$B$23*$B$9*$B$12*$B$15*$B$17*$B$20,0)</f>
        <v/>
      </c>
      <c r="N52" s="40">
        <f>ROUND($B$4*$B$23*$B$9*$B$12*$B$15*$B$18*$B$19,0)</f>
        <v/>
      </c>
      <c r="O52" s="40">
        <f>ROUND($B$4*$B$23*$B$9*$B$12*$B$15*$B$18*$B$20,0)</f>
        <v/>
      </c>
      <c r="P52" s="40">
        <f>ROUND($B$5*$B$23*$B$9*$B$12*$B$14*$B$16*$B$19,0)</f>
        <v/>
      </c>
      <c r="Q52" s="40">
        <f>ROUND($B$5*$B$23*$B$9*$B$12*$B$14*$B$16*$B$20,0)</f>
        <v/>
      </c>
      <c r="R52" s="40">
        <f>ROUND($B$5*$B$23*$B$9*$B$12*$B$14*$B$17*$B$19,0)</f>
        <v/>
      </c>
      <c r="S52" s="40">
        <f>ROUND($B$5*$B$23*$B$9*$B$12*$B$14*$B$17*$B$20,0)</f>
        <v/>
      </c>
      <c r="T52" s="40">
        <f>ROUND($B$5*$B$23*$B$9*$B$12*$B$14*$B$18*$B$19,0)</f>
        <v/>
      </c>
      <c r="U52" s="40">
        <f>ROUND($B$5*$B$23*$B$9*$B$12*$B$14*$B$18*$B$20,0)</f>
        <v/>
      </c>
      <c r="V52" s="40">
        <f>ROUND($B$5*$B$23*$B$9*$B$12*$B$15*$B$16*$B$19,0)</f>
        <v/>
      </c>
      <c r="W52" s="40">
        <f>ROUND($B$5*$B$23*$B$9*$B$12*$B$15*$B$16*$B$20,0)</f>
        <v/>
      </c>
      <c r="X52" s="40">
        <f>ROUND($B$5*$B$23*$B$9*$B$12*$B$15*$B$17*$B$19,0)</f>
        <v/>
      </c>
      <c r="Y52" s="40">
        <f>ROUND($B$5*$B$23*$B$9*$B$12*$B$15*$B$17*$B$20,0)</f>
        <v/>
      </c>
      <c r="Z52" s="40">
        <f>ROUND($B$5*$B$23*$B$9*$B$12*$B$15*$B$18*$B$19,0)</f>
        <v/>
      </c>
      <c r="AA52" s="40">
        <f>ROUND($B$5*$B$23*$B$9*$B$12*$B$15*$B$18*$B$20,0)</f>
        <v/>
      </c>
      <c r="AB52" s="41">
        <f>ROUND($B$6*$B$23*$B$9*$B$12*$B$14*$B$16*$B$19,0)</f>
        <v/>
      </c>
      <c r="AC52" s="41">
        <f>ROUND($B$6*$B$23*$B$9*$B$12*$B$14*$B$16*$B$20,0)</f>
        <v/>
      </c>
      <c r="AD52" s="41">
        <f>ROUND($B$6*$B$23*$B$9*$B$12*$B$14*$B$17*$B$19,0)</f>
        <v/>
      </c>
      <c r="AE52" s="41">
        <f>ROUND($B$6*$B$23*$B$9*$B$12*$B$14*$B$17*$B$20,0)</f>
        <v/>
      </c>
      <c r="AF52" s="41">
        <f>ROUND($B$6*$B$23*$B$9*$B$12*$B$14*$B$18*$B$19,0)</f>
        <v/>
      </c>
      <c r="AG52" s="41">
        <f>ROUND($B$6*$B$23*$B$9*$B$12*$B$14*$B$18*$B$20,0)</f>
        <v/>
      </c>
      <c r="AH52" s="41">
        <f>ROUND($B$6*$B$23*$B$9*$B$12*$B$15*$B$16*$B$19,0)</f>
        <v/>
      </c>
      <c r="AI52" s="41">
        <f>ROUND($B$6*$B$23*$B$9*$B$12*$B$15*$B$16*$B$20,0)</f>
        <v/>
      </c>
      <c r="AJ52" s="41">
        <f>ROUND($B$6*$B$23*$B$9*$B$12*$B$15*$B$17*$B$19,0)</f>
        <v/>
      </c>
      <c r="AK52" s="41">
        <f>ROUND($B$6*$B$23*$B$9*$B$12*$B$15*$B$17*$B$20,0)</f>
        <v/>
      </c>
      <c r="AL52" s="41">
        <f>ROUND($B$6*$B$23*$B$9*$B$12*$B$15*$B$18*$B$19,0)</f>
        <v/>
      </c>
      <c r="AM52" s="41">
        <f>ROUND($B$6*$B$23*$B$9*$B$12*$B$15*$B$18*$B$20,0)</f>
        <v/>
      </c>
    </row>
    <row r="53" ht="20.1" customHeight="1" s="62">
      <c r="A53" s="90" t="n"/>
      <c r="B53" s="59" t="n"/>
      <c r="C53" s="42" t="inlineStr">
        <is>
          <t>Site à refondre</t>
        </is>
      </c>
      <c r="D53" s="40">
        <f>ROUND($B$4*$B$23*$B$9*$B$13*$B$14*$B$16*$B$19,0)</f>
        <v/>
      </c>
      <c r="E53" s="40">
        <f>ROUND($B$4*$B$23*$B$9*$B$13*$B$14*$B$16*$B$20,0)</f>
        <v/>
      </c>
      <c r="F53" s="40">
        <f>ROUND($B$4*$B$23*$B$9*$B$13*$B$14*$B$17*$B$19,0)</f>
        <v/>
      </c>
      <c r="G53" s="40">
        <f>ROUND($B$4*$B$23*$B$9*$B$13*$B$14*$B$17*$B$20,0)</f>
        <v/>
      </c>
      <c r="H53" s="40">
        <f>ROUND($B$4*$B$23*$B$9*$B$13*$B$14*$B$18*$B$19,0)</f>
        <v/>
      </c>
      <c r="I53" s="40">
        <f>ROUND($B$4*$B$23*$B$9*$B$13*$B$14*$B$18*$B$20,0)</f>
        <v/>
      </c>
      <c r="J53" s="40">
        <f>ROUND($B$4*$B$23*$B$9*$B$13*$B$15*$B$16*$B$19,0)</f>
        <v/>
      </c>
      <c r="K53" s="40">
        <f>ROUND($B$4*$B$23*$B$9*$B$13*$B$15*$B$16*$B$20,0)</f>
        <v/>
      </c>
      <c r="L53" s="40">
        <f>ROUND($B$4*$B$23*$B$9*$B$13*$B$15*$B$17*$B$19,0)</f>
        <v/>
      </c>
      <c r="M53" s="40">
        <f>ROUND($B$4*$B$23*$B$9*$B$13*$B$15*$B$17*$B$20,0)</f>
        <v/>
      </c>
      <c r="N53" s="40">
        <f>ROUND($B$4*$B$23*$B$9*$B$13*$B$15*$B$18*$B$19,0)</f>
        <v/>
      </c>
      <c r="O53" s="40">
        <f>ROUND($B$4*$B$23*$B$9*$B$13*$B$15*$B$18*$B$20,0)</f>
        <v/>
      </c>
      <c r="P53" s="40">
        <f>ROUND($B$5*$B$23*$B$9*$B$13*$B$14*$B$16*$B$19,0)</f>
        <v/>
      </c>
      <c r="Q53" s="40">
        <f>ROUND($B$5*$B$23*$B$9*$B$13*$B$14*$B$16*$B$20,0)</f>
        <v/>
      </c>
      <c r="R53" s="40">
        <f>ROUND($B$5*$B$23*$B$9*$B$13*$B$14*$B$17*$B$19,0)</f>
        <v/>
      </c>
      <c r="S53" s="40">
        <f>ROUND($B$5*$B$23*$B$9*$B$13*$B$14*$B$17*$B$20,0)</f>
        <v/>
      </c>
      <c r="T53" s="40">
        <f>ROUND($B$5*$B$23*$B$9*$B$13*$B$14*$B$18*$B$19,0)</f>
        <v/>
      </c>
      <c r="U53" s="40">
        <f>ROUND($B$5*$B$23*$B$9*$B$13*$B$14*$B$18*$B$20,0)</f>
        <v/>
      </c>
      <c r="V53" s="40">
        <f>ROUND($B$5*$B$23*$B$9*$B$13*$B$15*$B$16*$B$19,0)</f>
        <v/>
      </c>
      <c r="W53" s="40">
        <f>ROUND($B$5*$B$23*$B$9*$B$13*$B$15*$B$16*$B$20,0)</f>
        <v/>
      </c>
      <c r="X53" s="40">
        <f>ROUND($B$5*$B$23*$B$9*$B$13*$B$15*$B$17*$B$19,0)</f>
        <v/>
      </c>
      <c r="Y53" s="40">
        <f>ROUND($B$5*$B$23*$B$9*$B$13*$B$15*$B$17*$B$20,0)</f>
        <v/>
      </c>
      <c r="Z53" s="40">
        <f>ROUND($B$5*$B$23*$B$9*$B$13*$B$15*$B$18*$B$19,0)</f>
        <v/>
      </c>
      <c r="AA53" s="40">
        <f>ROUND($B$5*$B$23*$B$9*$B$13*$B$15*$B$18*$B$20,0)</f>
        <v/>
      </c>
      <c r="AB53" s="41">
        <f>ROUND($B$6*$B$23*$B$9*$B$13*$B$14*$B$16*$B$19,0)</f>
        <v/>
      </c>
      <c r="AC53" s="41">
        <f>ROUND($B$6*$B$23*$B$9*$B$13*$B$14*$B$16*$B$20,0)</f>
        <v/>
      </c>
      <c r="AD53" s="41">
        <f>ROUND($B$6*$B$23*$B$9*$B$13*$B$14*$B$17*$B$19,0)</f>
        <v/>
      </c>
      <c r="AE53" s="41">
        <f>ROUND($B$6*$B$23*$B$9*$B$13*$B$14*$B$17*$B$20,0)</f>
        <v/>
      </c>
      <c r="AF53" s="41">
        <f>ROUND($B$6*$B$23*$B$9*$B$13*$B$14*$B$18*$B$19,0)</f>
        <v/>
      </c>
      <c r="AG53" s="41">
        <f>ROUND($B$6*$B$23*$B$9*$B$13*$B$14*$B$18*$B$20,0)</f>
        <v/>
      </c>
      <c r="AH53" s="41">
        <f>ROUND($B$6*$B$23*$B$9*$B$13*$B$15*$B$16*$B$19,0)</f>
        <v/>
      </c>
      <c r="AI53" s="41">
        <f>ROUND($B$6*$B$23*$B$9*$B$13*$B$15*$B$16*$B$20,0)</f>
        <v/>
      </c>
      <c r="AJ53" s="41">
        <f>ROUND($B$6*$B$23*$B$9*$B$13*$B$15*$B$17*$B$19,0)</f>
        <v/>
      </c>
      <c r="AK53" s="41">
        <f>ROUND($B$6*$B$23*$B$9*$B$13*$B$15*$B$17*$B$20,0)</f>
        <v/>
      </c>
      <c r="AL53" s="41">
        <f>ROUND($B$6*$B$23*$B$9*$B$13*$B$15*$B$18*$B$19,0)</f>
        <v/>
      </c>
      <c r="AM53" s="41">
        <f>ROUND($B$6*$B$23*$B$9*$B$13*$B$15*$B$18*$B$20,0)</f>
        <v/>
      </c>
    </row>
    <row r="54" ht="20.1" customHeight="1" s="62">
      <c r="A54" s="90" t="n"/>
      <c r="B54" s="87" t="inlineStr">
        <is>
          <t>Concurrence élevée</t>
        </is>
      </c>
      <c r="C54" s="39" t="inlineStr">
        <is>
          <t>Site bien structuré</t>
        </is>
      </c>
      <c r="D54" s="40">
        <f>ROUND($B$4*$B$23*$B$10*$B$11*$B$14*$B$16*$B$19,0)</f>
        <v/>
      </c>
      <c r="E54" s="40">
        <f>ROUND($B$4*$B$23*$B$10*$B$11*$B$14*$B$16*$B$20,0)</f>
        <v/>
      </c>
      <c r="F54" s="40">
        <f>ROUND($B$4*$B$23*$B$10*$B$11*$B$14*$B$17*$B$19,0)</f>
        <v/>
      </c>
      <c r="G54" s="40">
        <f>ROUND($B$4*$B$23*$B$10*$B$11*$B$14*$B$17*$B$20,0)</f>
        <v/>
      </c>
      <c r="H54" s="40">
        <f>ROUND($B$4*$B$23*$B$10*$B$11*$B$14*$B$18*$B$19,0)</f>
        <v/>
      </c>
      <c r="I54" s="40">
        <f>ROUND($B$4*$B$23*$B$10*$B$11*$B$14*$B$18*$B$20,0)</f>
        <v/>
      </c>
      <c r="J54" s="40">
        <f>ROUND($B$4*$B$23*$B$10*$B$11*$B$15*$B$16*$B$19,0)</f>
        <v/>
      </c>
      <c r="K54" s="40">
        <f>ROUND($B$4*$B$23*$B$10*$B$11*$B$15*$B$16*$B$20,0)</f>
        <v/>
      </c>
      <c r="L54" s="40">
        <f>ROUND($B$4*$B$23*$B$10*$B$11*$B$15*$B$17*$B$19,0)</f>
        <v/>
      </c>
      <c r="M54" s="40">
        <f>ROUND($B$4*$B$23*$B$10*$B$11*$B$15*$B$17*$B$20,0)</f>
        <v/>
      </c>
      <c r="N54" s="40">
        <f>ROUND($B$4*$B$23*$B$10*$B$11*$B$15*$B$18*$B$19,0)</f>
        <v/>
      </c>
      <c r="O54" s="40">
        <f>ROUND($B$4*$B$23*$B$10*$B$11*$B$15*$B$18*$B$20,0)</f>
        <v/>
      </c>
      <c r="P54" s="40">
        <f>ROUND($B$5*$B$23*$B$10*$B$11*$B$14*$B$16*$B$19,0)</f>
        <v/>
      </c>
      <c r="Q54" s="40">
        <f>ROUND($B$5*$B$23*$B$10*$B$11*$B$14*$B$16*$B$20,0)</f>
        <v/>
      </c>
      <c r="R54" s="40">
        <f>ROUND($B$5*$B$23*$B$10*$B$11*$B$14*$B$17*$B$19,0)</f>
        <v/>
      </c>
      <c r="S54" s="40">
        <f>ROUND($B$5*$B$23*$B$10*$B$11*$B$14*$B$17*$B$20,0)</f>
        <v/>
      </c>
      <c r="T54" s="40">
        <f>ROUND($B$5*$B$23*$B$10*$B$11*$B$14*$B$18*$B$19,0)</f>
        <v/>
      </c>
      <c r="U54" s="40">
        <f>ROUND($B$5*$B$23*$B$10*$B$11*$B$14*$B$18*$B$20,0)</f>
        <v/>
      </c>
      <c r="V54" s="40">
        <f>ROUND($B$5*$B$23*$B$10*$B$11*$B$15*$B$16*$B$19,0)</f>
        <v/>
      </c>
      <c r="W54" s="40">
        <f>ROUND($B$5*$B$23*$B$10*$B$11*$B$15*$B$16*$B$20,0)</f>
        <v/>
      </c>
      <c r="X54" s="40">
        <f>ROUND($B$5*$B$23*$B$10*$B$11*$B$15*$B$17*$B$19,0)</f>
        <v/>
      </c>
      <c r="Y54" s="40">
        <f>ROUND($B$5*$B$23*$B$10*$B$11*$B$15*$B$17*$B$20,0)</f>
        <v/>
      </c>
      <c r="Z54" s="40">
        <f>ROUND($B$5*$B$23*$B$10*$B$11*$B$15*$B$18*$B$19,0)</f>
        <v/>
      </c>
      <c r="AA54" s="40">
        <f>ROUND($B$5*$B$23*$B$10*$B$11*$B$15*$B$18*$B$20,0)</f>
        <v/>
      </c>
      <c r="AB54" s="41">
        <f>ROUND($B$6*$B$23*$B$10*$B$11*$B$14*$B$16*$B$19,0)</f>
        <v/>
      </c>
      <c r="AC54" s="41">
        <f>ROUND($B$6*$B$23*$B$10*$B$11*$B$14*$B$16*$B$20,0)</f>
        <v/>
      </c>
      <c r="AD54" s="41">
        <f>ROUND($B$6*$B$23*$B$10*$B$11*$B$14*$B$17*$B$19,0)</f>
        <v/>
      </c>
      <c r="AE54" s="41">
        <f>ROUND($B$6*$B$23*$B$10*$B$11*$B$14*$B$17*$B$20,0)</f>
        <v/>
      </c>
      <c r="AF54" s="41">
        <f>ROUND($B$6*$B$23*$B$10*$B$11*$B$14*$B$18*$B$19,0)</f>
        <v/>
      </c>
      <c r="AG54" s="41">
        <f>ROUND($B$6*$B$23*$B$10*$B$11*$B$14*$B$18*$B$20,0)</f>
        <v/>
      </c>
      <c r="AH54" s="41">
        <f>ROUND($B$6*$B$23*$B$10*$B$11*$B$15*$B$16*$B$19,0)</f>
        <v/>
      </c>
      <c r="AI54" s="41">
        <f>ROUND($B$6*$B$23*$B$10*$B$11*$B$15*$B$16*$B$20,0)</f>
        <v/>
      </c>
      <c r="AJ54" s="41">
        <f>ROUND($B$6*$B$23*$B$10*$B$11*$B$15*$B$17*$B$19,0)</f>
        <v/>
      </c>
      <c r="AK54" s="41">
        <f>ROUND($B$6*$B$23*$B$10*$B$11*$B$15*$B$17*$B$20,0)</f>
        <v/>
      </c>
      <c r="AL54" s="41">
        <f>ROUND($B$6*$B$23*$B$10*$B$11*$B$15*$B$18*$B$19,0)</f>
        <v/>
      </c>
      <c r="AM54" s="41">
        <f>ROUND($B$6*$B$23*$B$10*$B$11*$B$15*$B$18*$B$20,0)</f>
        <v/>
      </c>
    </row>
    <row r="55" ht="20.1" customHeight="1" s="62">
      <c r="A55" s="90" t="n"/>
      <c r="B55" s="58" t="n"/>
      <c r="C55" s="87" t="inlineStr">
        <is>
          <t>Site à améliorer</t>
        </is>
      </c>
      <c r="D55" s="40">
        <f>ROUND($B$4*$B$23*$B$10*$B$12*$B$14*$B$16*$B$19,0)</f>
        <v/>
      </c>
      <c r="E55" s="40">
        <f>ROUND($B$4*$B$23*$B$10*$B$12*$B$14*$B$16*$B$20,0)</f>
        <v/>
      </c>
      <c r="F55" s="40">
        <f>ROUND($B$4*$B$23*$B$10*$B$12*$B$14*$B$17*$B$19,0)</f>
        <v/>
      </c>
      <c r="G55" s="40">
        <f>ROUND($B$4*$B$23*$B$10*$B$12*$B$14*$B$17*$B$20,0)</f>
        <v/>
      </c>
      <c r="H55" s="40">
        <f>ROUND($B$4*$B$23*$B$10*$B$12*$B$14*$B$18*$B$19,0)</f>
        <v/>
      </c>
      <c r="I55" s="40">
        <f>ROUND($B$4*$B$23*$B$10*$B$12*$B$14*$B$18*$B$20,0)</f>
        <v/>
      </c>
      <c r="J55" s="40">
        <f>ROUND($B$4*$B$23*$B$10*$B$12*$B$15*$B$16*$B$19,0)</f>
        <v/>
      </c>
      <c r="K55" s="40">
        <f>ROUND($B$4*$B$23*$B$10*$B$12*$B$15*$B$16*$B$20,0)</f>
        <v/>
      </c>
      <c r="L55" s="40">
        <f>ROUND($B$4*$B$23*$B$10*$B$12*$B$15*$B$17*$B$19,0)</f>
        <v/>
      </c>
      <c r="M55" s="40">
        <f>ROUND($B$4*$B$23*$B$10*$B$12*$B$15*$B$17*$B$20,0)</f>
        <v/>
      </c>
      <c r="N55" s="40">
        <f>ROUND($B$4*$B$23*$B$10*$B$12*$B$15*$B$18*$B$19,0)</f>
        <v/>
      </c>
      <c r="O55" s="40">
        <f>ROUND($B$4*$B$23*$B$10*$B$12*$B$15*$B$18*$B$20,0)</f>
        <v/>
      </c>
      <c r="P55" s="40">
        <f>ROUND($B$5*$B$23*$B$10*$B$12*$B$14*$B$16*$B$19,0)</f>
        <v/>
      </c>
      <c r="Q55" s="40">
        <f>ROUND($B$5*$B$23*$B$10*$B$12*$B$14*$B$16*$B$20,0)</f>
        <v/>
      </c>
      <c r="R55" s="40">
        <f>ROUND($B$5*$B$23*$B$10*$B$12*$B$14*$B$17*$B$19,0)</f>
        <v/>
      </c>
      <c r="S55" s="40">
        <f>ROUND($B$5*$B$23*$B$10*$B$12*$B$14*$B$17*$B$20,0)</f>
        <v/>
      </c>
      <c r="T55" s="40">
        <f>ROUND($B$5*$B$23*$B$10*$B$12*$B$14*$B$18*$B$19,0)</f>
        <v/>
      </c>
      <c r="U55" s="40">
        <f>ROUND($B$5*$B$23*$B$10*$B$12*$B$14*$B$18*$B$20,0)</f>
        <v/>
      </c>
      <c r="V55" s="40">
        <f>ROUND($B$5*$B$23*$B$10*$B$12*$B$15*$B$16*$B$19,0)</f>
        <v/>
      </c>
      <c r="W55" s="40">
        <f>ROUND($B$5*$B$23*$B$10*$B$12*$B$15*$B$16*$B$20,0)</f>
        <v/>
      </c>
      <c r="X55" s="40">
        <f>ROUND($B$5*$B$23*$B$10*$B$12*$B$15*$B$17*$B$19,0)</f>
        <v/>
      </c>
      <c r="Y55" s="40">
        <f>ROUND($B$5*$B$23*$B$10*$B$12*$B$15*$B$17*$B$20,0)</f>
        <v/>
      </c>
      <c r="Z55" s="40">
        <f>ROUND($B$5*$B$23*$B$10*$B$12*$B$15*$B$18*$B$19,0)</f>
        <v/>
      </c>
      <c r="AA55" s="40">
        <f>ROUND($B$5*$B$23*$B$10*$B$12*$B$15*$B$18*$B$20,0)</f>
        <v/>
      </c>
      <c r="AB55" s="41">
        <f>ROUND($B$6*$B$23*$B$10*$B$12*$B$14*$B$16*$B$19,0)</f>
        <v/>
      </c>
      <c r="AC55" s="41">
        <f>ROUND($B$6*$B$23*$B$10*$B$12*$B$14*$B$16*$B$20,0)</f>
        <v/>
      </c>
      <c r="AD55" s="41">
        <f>ROUND($B$6*$B$23*$B$10*$B$12*$B$14*$B$17*$B$19,0)</f>
        <v/>
      </c>
      <c r="AE55" s="41">
        <f>ROUND($B$6*$B$23*$B$10*$B$12*$B$14*$B$17*$B$20,0)</f>
        <v/>
      </c>
      <c r="AF55" s="41">
        <f>ROUND($B$6*$B$23*$B$10*$B$12*$B$14*$B$18*$B$19,0)</f>
        <v/>
      </c>
      <c r="AG55" s="41">
        <f>ROUND($B$6*$B$23*$B$10*$B$12*$B$14*$B$18*$B$20,0)</f>
        <v/>
      </c>
      <c r="AH55" s="41">
        <f>ROUND($B$6*$B$23*$B$10*$B$12*$B$15*$B$16*$B$19,0)</f>
        <v/>
      </c>
      <c r="AI55" s="41">
        <f>ROUND($B$6*$B$23*$B$10*$B$12*$B$15*$B$16*$B$20,0)</f>
        <v/>
      </c>
      <c r="AJ55" s="41">
        <f>ROUND($B$6*$B$23*$B$10*$B$12*$B$15*$B$17*$B$19,0)</f>
        <v/>
      </c>
      <c r="AK55" s="41">
        <f>ROUND($B$6*$B$23*$B$10*$B$12*$B$15*$B$17*$B$20,0)</f>
        <v/>
      </c>
      <c r="AL55" s="41">
        <f>ROUND($B$6*$B$23*$B$10*$B$12*$B$15*$B$18*$B$19,0)</f>
        <v/>
      </c>
      <c r="AM55" s="41">
        <f>ROUND($B$6*$B$23*$B$10*$B$12*$B$15*$B$18*$B$20,0)</f>
        <v/>
      </c>
    </row>
    <row r="56" ht="20.1" customHeight="1" s="62">
      <c r="A56" s="91" t="n"/>
      <c r="B56" s="59" t="n"/>
      <c r="C56" s="42" t="inlineStr">
        <is>
          <t>Site à refondre</t>
        </is>
      </c>
      <c r="D56" s="40">
        <f>ROUND($B$4*$B$23*$B$10*$B$13*$B$14*$B$16*$B$19,0)</f>
        <v/>
      </c>
      <c r="E56" s="40">
        <f>ROUND($B$4*$B$23*$B$10*$B$13*$B$14*$B$16*$B$20,0)</f>
        <v/>
      </c>
      <c r="F56" s="40">
        <f>ROUND($B$4*$B$23*$B$10*$B$13*$B$14*$B$17*$B$19,0)</f>
        <v/>
      </c>
      <c r="G56" s="40">
        <f>ROUND($B$4*$B$23*$B$10*$B$13*$B$14*$B$17*$B$20,0)</f>
        <v/>
      </c>
      <c r="H56" s="40">
        <f>ROUND($B$4*$B$23*$B$10*$B$13*$B$14*$B$18*$B$19,0)</f>
        <v/>
      </c>
      <c r="I56" s="40">
        <f>ROUND($B$4*$B$23*$B$10*$B$13*$B$14*$B$18*$B$20,0)</f>
        <v/>
      </c>
      <c r="J56" s="40">
        <f>ROUND($B$4*$B$23*$B$10*$B$13*$B$15*$B$16*$B$19,0)</f>
        <v/>
      </c>
      <c r="K56" s="40">
        <f>ROUND($B$4*$B$23*$B$10*$B$13*$B$15*$B$16*$B$20,0)</f>
        <v/>
      </c>
      <c r="L56" s="40">
        <f>ROUND($B$4*$B$23*$B$10*$B$13*$B$15*$B$17*$B$19,0)</f>
        <v/>
      </c>
      <c r="M56" s="40">
        <f>ROUND($B$4*$B$23*$B$10*$B$13*$B$15*$B$17*$B$20,0)</f>
        <v/>
      </c>
      <c r="N56" s="40">
        <f>ROUND($B$4*$B$23*$B$10*$B$13*$B$15*$B$18*$B$19,0)</f>
        <v/>
      </c>
      <c r="O56" s="40">
        <f>ROUND($B$4*$B$23*$B$10*$B$13*$B$15*$B$18*$B$20,0)</f>
        <v/>
      </c>
      <c r="P56" s="40">
        <f>ROUND($B$5*$B$23*$B$10*$B$13*$B$14*$B$16*$B$19,0)</f>
        <v/>
      </c>
      <c r="Q56" s="40">
        <f>ROUND($B$5*$B$23*$B$10*$B$13*$B$14*$B$16*$B$20,0)</f>
        <v/>
      </c>
      <c r="R56" s="40">
        <f>ROUND($B$5*$B$23*$B$10*$B$13*$B$14*$B$17*$B$19,0)</f>
        <v/>
      </c>
      <c r="S56" s="40">
        <f>ROUND($B$5*$B$23*$B$10*$B$13*$B$14*$B$17*$B$20,0)</f>
        <v/>
      </c>
      <c r="T56" s="40">
        <f>ROUND($B$5*$B$23*$B$10*$B$13*$B$14*$B$18*$B$19,0)</f>
        <v/>
      </c>
      <c r="U56" s="40">
        <f>ROUND($B$5*$B$23*$B$10*$B$13*$B$14*$B$18*$B$20,0)</f>
        <v/>
      </c>
      <c r="V56" s="40">
        <f>ROUND($B$5*$B$23*$B$10*$B$13*$B$15*$B$16*$B$19,0)</f>
        <v/>
      </c>
      <c r="W56" s="40">
        <f>ROUND($B$5*$B$23*$B$10*$B$13*$B$15*$B$16*$B$20,0)</f>
        <v/>
      </c>
      <c r="X56" s="40">
        <f>ROUND($B$5*$B$23*$B$10*$B$13*$B$15*$B$17*$B$19,0)</f>
        <v/>
      </c>
      <c r="Y56" s="40">
        <f>ROUND($B$5*$B$23*$B$10*$B$13*$B$15*$B$17*$B$20,0)</f>
        <v/>
      </c>
      <c r="Z56" s="40">
        <f>ROUND($B$5*$B$23*$B$10*$B$13*$B$15*$B$18*$B$19,0)</f>
        <v/>
      </c>
      <c r="AA56" s="40">
        <f>ROUND($B$5*$B$23*$B$10*$B$13*$B$15*$B$18*$B$20,0)</f>
        <v/>
      </c>
      <c r="AB56" s="41">
        <f>ROUND($B$6*$B$23*$B$10*$B$13*$B$14*$B$16*$B$19,0)</f>
        <v/>
      </c>
      <c r="AC56" s="41">
        <f>ROUND($B$6*$B$23*$B$10*$B$13*$B$14*$B$16*$B$20,0)</f>
        <v/>
      </c>
      <c r="AD56" s="41">
        <f>ROUND($B$6*$B$23*$B$10*$B$13*$B$14*$B$17*$B$19,0)</f>
        <v/>
      </c>
      <c r="AE56" s="41">
        <f>ROUND($B$6*$B$23*$B$10*$B$13*$B$14*$B$17*$B$20,0)</f>
        <v/>
      </c>
      <c r="AF56" s="41">
        <f>ROUND($B$6*$B$23*$B$10*$B$13*$B$14*$B$18*$B$19,0)</f>
        <v/>
      </c>
      <c r="AG56" s="41">
        <f>ROUND($B$6*$B$23*$B$10*$B$13*$B$14*$B$18*$B$20,0)</f>
        <v/>
      </c>
      <c r="AH56" s="41">
        <f>ROUND($B$6*$B$23*$B$10*$B$13*$B$15*$B$16*$B$19,0)</f>
        <v/>
      </c>
      <c r="AI56" s="41">
        <f>ROUND($B$6*$B$23*$B$10*$B$13*$B$15*$B$16*$B$20,0)</f>
        <v/>
      </c>
      <c r="AJ56" s="41">
        <f>ROUND($B$6*$B$23*$B$10*$B$13*$B$15*$B$17*$B$19,0)</f>
        <v/>
      </c>
      <c r="AK56" s="41">
        <f>ROUND($B$6*$B$23*$B$10*$B$13*$B$15*$B$17*$B$20,0)</f>
        <v/>
      </c>
      <c r="AL56" s="41">
        <f>ROUND($B$6*$B$23*$B$10*$B$13*$B$15*$B$18*$B$19,0)</f>
        <v/>
      </c>
      <c r="AM56" s="41">
        <f>ROUND($B$6*$B$23*$B$10*$B$13*$B$15*$B$18*$B$20,0)</f>
        <v/>
      </c>
    </row>
  </sheetData>
  <mergeCells count="47">
    <mergeCell ref="A1:AM1"/>
    <mergeCell ref="D27:I27"/>
    <mergeCell ref="J27:O27"/>
    <mergeCell ref="P27:U27"/>
    <mergeCell ref="B30:B32"/>
    <mergeCell ref="C26:C29"/>
    <mergeCell ref="B33:B35"/>
    <mergeCell ref="R28:S28"/>
    <mergeCell ref="A7:AM7"/>
    <mergeCell ref="AB27:AG27"/>
    <mergeCell ref="J28:K28"/>
    <mergeCell ref="L28:M28"/>
    <mergeCell ref="B36:B38"/>
    <mergeCell ref="B54:B56"/>
    <mergeCell ref="B45:B47"/>
    <mergeCell ref="V27:AA27"/>
    <mergeCell ref="B51:B53"/>
    <mergeCell ref="V28:W28"/>
    <mergeCell ref="X28:Y28"/>
    <mergeCell ref="AD28:AE28"/>
    <mergeCell ref="A3:AM3"/>
    <mergeCell ref="AH27:AM27"/>
    <mergeCell ref="AJ28:AK28"/>
    <mergeCell ref="A2:AM2"/>
    <mergeCell ref="AL28:AM28"/>
    <mergeCell ref="A26:A29"/>
    <mergeCell ref="AH28:AI28"/>
    <mergeCell ref="N28:O28"/>
    <mergeCell ref="A39:A47"/>
    <mergeCell ref="D28:E28"/>
    <mergeCell ref="F28:G28"/>
    <mergeCell ref="P28:Q28"/>
    <mergeCell ref="H28:I28"/>
    <mergeCell ref="D26:O26"/>
    <mergeCell ref="B42:B44"/>
    <mergeCell ref="A48:A56"/>
    <mergeCell ref="P26:AA26"/>
    <mergeCell ref="A30:A38"/>
    <mergeCell ref="B39:B41"/>
    <mergeCell ref="B48:B50"/>
    <mergeCell ref="Z28:AA28"/>
    <mergeCell ref="B26:B29"/>
    <mergeCell ref="AB28:AC28"/>
    <mergeCell ref="T28:U28"/>
    <mergeCell ref="AF28:AG28"/>
    <mergeCell ref="A24:AM24"/>
    <mergeCell ref="AB26:AM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1C3557"/>
    <outlinePr summaryBelow="1" summaryRight="1"/>
    <pageSetUpPr/>
  </sheetPr>
  <dimension ref="A1:AM66"/>
  <sheetViews>
    <sheetView tabSelected="1" workbookViewId="0">
      <pane xSplit="3" topLeftCell="D1" activePane="topRight" state="frozen"/>
      <selection pane="topRight" activeCell="A25" sqref="A25:AM25"/>
    </sheetView>
  </sheetViews>
  <sheetFormatPr baseColWidth="10" defaultColWidth="9.140625" defaultRowHeight="15"/>
  <cols>
    <col width="20" customWidth="1" style="62" min="1" max="3"/>
    <col width="13" customWidth="1" style="62" min="4" max="39"/>
  </cols>
  <sheetData>
    <row r="1" ht="33.95" customHeight="1" s="62">
      <c r="A1" s="97" t="inlineStr">
        <is>
          <t>GRILLE TARIFAIRE — Maintenance corrective</t>
        </is>
      </c>
    </row>
    <row r="2" ht="26.1" customHeight="1" s="62">
      <c r="A2" s="107" t="inlineStr">
        <is>
          <t>⚙  ZONE DE PARAMÉTRAGE — Remplissez uniquement les cases jaunes. Le tableau se calcule automatiquement.</t>
        </is>
      </c>
    </row>
    <row r="3" ht="21.95" customHeight="1" s="62">
      <c r="A3" s="106" t="inlineStr">
        <is>
          <t>TARIFS DE BASE (€)  —  Par niveau de correction</t>
        </is>
      </c>
    </row>
    <row r="4" ht="21.95" customHeight="1" s="62">
      <c r="A4" s="43" t="inlineStr">
        <is>
          <t>Tarif de base — Correction simple</t>
        </is>
      </c>
      <c r="B4" s="44" t="n">
        <v>325</v>
      </c>
      <c r="C4" s="45" t="inlineStr">
        <is>
          <t>Fourchette indicative : 150 – 500 €</t>
        </is>
      </c>
    </row>
    <row r="5" ht="21.95" customHeight="1" s="62">
      <c r="A5" s="43" t="inlineStr">
        <is>
          <t>Tarif de base — Correction intermédiaire</t>
        </is>
      </c>
      <c r="B5" s="44" t="n">
        <v>1000</v>
      </c>
      <c r="C5" s="45" t="inlineStr">
        <is>
          <t>Fourchette indicative : 500 – 1 500 €</t>
        </is>
      </c>
    </row>
    <row r="6" ht="21.95" customHeight="1" s="62">
      <c r="A6" s="43" t="inlineStr">
        <is>
          <t>Tarif de base — Correction complexe</t>
        </is>
      </c>
      <c r="B6" s="44" t="n">
        <v>4000</v>
      </c>
      <c r="C6" s="45" t="inlineStr">
        <is>
          <t>Fourchette indicative : 1 500 – 5 000 €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complexité — Simple</t>
        </is>
      </c>
      <c r="B8" s="46" t="n">
        <v>0.9</v>
      </c>
      <c r="C8" s="47" t="inlineStr">
        <is>
          <t>Correction rapide</t>
        </is>
      </c>
    </row>
    <row r="9" ht="20.1" customHeight="1" s="62">
      <c r="A9" s="19" t="inlineStr">
        <is>
          <t>Coeff. complexité — Intermédiaire</t>
        </is>
      </c>
      <c r="B9" s="46" t="n">
        <v>1</v>
      </c>
      <c r="C9" s="47" t="inlineStr">
        <is>
          <t>Référence</t>
        </is>
      </c>
    </row>
    <row r="10" ht="20.1" customHeight="1" s="62">
      <c r="A10" s="19" t="inlineStr">
        <is>
          <t>Coeff. complexité — Complexe</t>
        </is>
      </c>
      <c r="B10" s="46" t="n">
        <v>1.6</v>
      </c>
      <c r="C10" s="47" t="inlineStr">
        <is>
          <t>Diagnostic approfondi requis</t>
        </is>
      </c>
    </row>
    <row r="11" ht="20.1" customHeight="1" s="62">
      <c r="A11" s="19" t="inlineStr">
        <is>
          <t>Coeff. outil — Site web</t>
        </is>
      </c>
      <c r="B11" s="46" t="n">
        <v>1</v>
      </c>
      <c r="C11" s="47" t="inlineStr">
        <is>
          <t>Référence</t>
        </is>
      </c>
    </row>
    <row r="12" ht="20.1" customHeight="1" s="62">
      <c r="A12" s="19" t="inlineStr">
        <is>
          <t>Coeff. outil — Logiciel</t>
        </is>
      </c>
      <c r="B12" s="46" t="n">
        <v>1.2</v>
      </c>
      <c r="C12" s="47" t="inlineStr">
        <is>
          <t>Environnement applicatif</t>
        </is>
      </c>
    </row>
    <row r="13" ht="20.1" customHeight="1" s="62">
      <c r="A13" s="19" t="inlineStr">
        <is>
          <t>Coeff. outil — Application métier</t>
        </is>
      </c>
      <c r="B13" s="46" t="n">
        <v>1.35</v>
      </c>
      <c r="C13" s="47" t="inlineStr">
        <is>
          <t>Logique métier spécifique</t>
        </is>
      </c>
    </row>
    <row r="14" ht="20.1" customHeight="1" s="62">
      <c r="A14" s="19" t="inlineStr">
        <is>
          <t>Coeff. outil — Serveur</t>
        </is>
      </c>
      <c r="B14" s="46" t="n">
        <v>1.5</v>
      </c>
      <c r="C14" s="47" t="inlineStr">
        <is>
          <t>Infrastructure critique</t>
        </is>
      </c>
    </row>
    <row r="15" ht="20.1" customHeight="1" s="62">
      <c r="A15" s="19" t="inlineStr">
        <is>
          <t>Coeff. criticité — Faible</t>
        </is>
      </c>
      <c r="B15" s="46" t="n">
        <v>0.9</v>
      </c>
      <c r="C15" s="47" t="inlineStr">
        <is>
          <t>Impact limité</t>
        </is>
      </c>
    </row>
    <row r="16" ht="20.1" customHeight="1" s="62">
      <c r="A16" s="19" t="inlineStr">
        <is>
          <t>Coeff. criticité — Modérée</t>
        </is>
      </c>
      <c r="B16" s="46" t="n">
        <v>1</v>
      </c>
      <c r="C16" s="47" t="inlineStr">
        <is>
          <t>Référence</t>
        </is>
      </c>
    </row>
    <row r="17" ht="20.1" customHeight="1" s="62">
      <c r="A17" s="19" t="inlineStr">
        <is>
          <t>Coeff. criticité — Élevée</t>
        </is>
      </c>
      <c r="B17" s="46" t="n">
        <v>1.4</v>
      </c>
      <c r="C17" s="47" t="inlineStr">
        <is>
          <t>Activité bloquée</t>
        </is>
      </c>
    </row>
    <row r="18" ht="20.1" customHeight="1" s="62">
      <c r="A18" s="19" t="inlineStr">
        <is>
          <t>Coeff. urgence — Standard</t>
        </is>
      </c>
      <c r="B18" s="46" t="n">
        <v>1</v>
      </c>
      <c r="C18" s="47" t="inlineStr">
        <is>
          <t>Référence</t>
        </is>
      </c>
    </row>
    <row r="19" ht="20.1" customHeight="1" s="62">
      <c r="A19" s="19" t="inlineStr">
        <is>
          <t>Coeff. urgence — Urgente (&lt; 24h)</t>
        </is>
      </c>
      <c r="B19" s="46" t="n">
        <v>1.6</v>
      </c>
      <c r="C19" s="47" t="inlineStr">
        <is>
          <t>Intervention prioritaire</t>
        </is>
      </c>
    </row>
    <row r="20" ht="20.1" customHeight="1" s="62">
      <c r="A20" s="19" t="inlineStr">
        <is>
          <t>Coeff. env. — Standard</t>
        </is>
      </c>
      <c r="B20" s="46" t="n">
        <v>1</v>
      </c>
      <c r="C20" s="47" t="inlineStr">
        <is>
          <t>Référence</t>
        </is>
      </c>
    </row>
    <row r="21" ht="20.1" customHeight="1" s="62">
      <c r="A21" s="19" t="inlineStr">
        <is>
          <t>Coeff. env. — Sécurisé</t>
        </is>
      </c>
      <c r="B21" s="46" t="n">
        <v>1.25</v>
      </c>
      <c r="C21" s="47" t="inlineStr">
        <is>
          <t>Accès restreints, protocoles</t>
        </is>
      </c>
    </row>
    <row r="22" ht="20.1" customHeight="1" s="62">
      <c r="A22" s="19" t="inlineStr">
        <is>
          <t>Coeff. env. — Réglementé</t>
        </is>
      </c>
      <c r="B22" s="46" t="n">
        <v>1.45</v>
      </c>
      <c r="C22" s="47" t="inlineStr">
        <is>
          <t>Santé, finance, données sensibles</t>
        </is>
      </c>
    </row>
    <row r="23" ht="20.1" customHeight="1" s="62">
      <c r="A23" s="19" t="inlineStr">
        <is>
          <t>Coeff. mode — Distanciel</t>
        </is>
      </c>
      <c r="B23" s="46" t="n">
        <v>1</v>
      </c>
      <c r="C23" s="47" t="inlineStr">
        <is>
          <t>Référence</t>
        </is>
      </c>
    </row>
    <row r="24" ht="20.1" customHeight="1" s="62">
      <c r="A24" s="19" t="inlineStr">
        <is>
          <t>Coeff. mode — Présentiel</t>
        </is>
      </c>
      <c r="B24" s="46" t="n">
        <v>1.3</v>
      </c>
      <c r="C24" s="47" t="inlineStr">
        <is>
          <t>Déplacement sur site</t>
        </is>
      </c>
    </row>
    <row r="25" ht="24" customHeight="1" s="62">
      <c r="A25" s="102" t="inlineStr">
        <is>
          <t>▼  GRILLE TARIFAIRE CALCULÉE AUTOMATIQUEMENT  — Les cellules bleues sont en lecture seule (formules).</t>
        </is>
      </c>
    </row>
    <row r="26" ht="6" customHeight="1" s="62"/>
    <row r="27" ht="38.1" customHeight="1" s="62">
      <c r="A27" s="100" t="inlineStr">
        <is>
          <t>Complexité technique</t>
        </is>
      </c>
      <c r="B27" s="99" t="inlineStr">
        <is>
          <t>Outil concerné</t>
        </is>
      </c>
      <c r="C27" s="98" t="inlineStr">
        <is>
          <t>Niveau de criticité</t>
        </is>
      </c>
      <c r="D27" s="100" t="inlineStr">
        <is>
          <t>Correction simple</t>
        </is>
      </c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6" t="n"/>
      <c r="P27" s="100" t="inlineStr">
        <is>
          <t>Correction intermédiaire</t>
        </is>
      </c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6" t="n"/>
      <c r="AB27" s="100" t="inlineStr">
        <is>
          <t>Correction complexe</t>
        </is>
      </c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6" t="n"/>
    </row>
    <row r="28" ht="38.1" customHeight="1" s="62">
      <c r="A28" s="64" t="n"/>
      <c r="B28" s="64" t="n"/>
      <c r="C28" s="64" t="n"/>
      <c r="D28" s="99" t="inlineStr">
        <is>
          <t>Standard</t>
        </is>
      </c>
      <c r="E28" s="55" t="n"/>
      <c r="F28" s="55" t="n"/>
      <c r="G28" s="55" t="n"/>
      <c r="H28" s="55" t="n"/>
      <c r="I28" s="56" t="n"/>
      <c r="J28" s="99" t="inlineStr">
        <is>
          <t>Urgente (&lt; 24h)</t>
        </is>
      </c>
      <c r="K28" s="55" t="n"/>
      <c r="L28" s="55" t="n"/>
      <c r="M28" s="55" t="n"/>
      <c r="N28" s="55" t="n"/>
      <c r="O28" s="56" t="n"/>
      <c r="P28" s="99" t="inlineStr">
        <is>
          <t>Standard</t>
        </is>
      </c>
      <c r="Q28" s="55" t="n"/>
      <c r="R28" s="55" t="n"/>
      <c r="S28" s="55" t="n"/>
      <c r="T28" s="55" t="n"/>
      <c r="U28" s="56" t="n"/>
      <c r="V28" s="99" t="inlineStr">
        <is>
          <t>Urgente (&lt; 24h)</t>
        </is>
      </c>
      <c r="W28" s="55" t="n"/>
      <c r="X28" s="55" t="n"/>
      <c r="Y28" s="55" t="n"/>
      <c r="Z28" s="55" t="n"/>
      <c r="AA28" s="56" t="n"/>
      <c r="AB28" s="99" t="inlineStr">
        <is>
          <t>Standard</t>
        </is>
      </c>
      <c r="AC28" s="55" t="n"/>
      <c r="AD28" s="55" t="n"/>
      <c r="AE28" s="55" t="n"/>
      <c r="AF28" s="55" t="n"/>
      <c r="AG28" s="56" t="n"/>
      <c r="AH28" s="99" t="inlineStr">
        <is>
          <t>Urgente (&lt; 24h)</t>
        </is>
      </c>
      <c r="AI28" s="55" t="n"/>
      <c r="AJ28" s="55" t="n"/>
      <c r="AK28" s="55" t="n"/>
      <c r="AL28" s="55" t="n"/>
      <c r="AM28" s="56" t="n"/>
    </row>
    <row r="29" ht="38.1" customHeight="1" s="62">
      <c r="A29" s="64" t="n"/>
      <c r="B29" s="64" t="n"/>
      <c r="C29" s="64" t="n"/>
      <c r="D29" s="98" t="inlineStr">
        <is>
          <t>Environnement standard</t>
        </is>
      </c>
      <c r="E29" s="56" t="n"/>
      <c r="F29" s="98" t="inlineStr">
        <is>
          <t>Environnement sécurisé</t>
        </is>
      </c>
      <c r="G29" s="56" t="n"/>
      <c r="H29" s="98" t="inlineStr">
        <is>
          <t>Environnement réglementé</t>
        </is>
      </c>
      <c r="I29" s="56" t="n"/>
      <c r="J29" s="98" t="inlineStr">
        <is>
          <t>Environnement standard</t>
        </is>
      </c>
      <c r="K29" s="56" t="n"/>
      <c r="L29" s="98" t="inlineStr">
        <is>
          <t>Environnement sécurisé</t>
        </is>
      </c>
      <c r="M29" s="56" t="n"/>
      <c r="N29" s="98" t="inlineStr">
        <is>
          <t>Environnement réglementé</t>
        </is>
      </c>
      <c r="O29" s="56" t="n"/>
      <c r="P29" s="98" t="inlineStr">
        <is>
          <t>Environnement standard</t>
        </is>
      </c>
      <c r="Q29" s="56" t="n"/>
      <c r="R29" s="98" t="inlineStr">
        <is>
          <t>Environnement sécurisé</t>
        </is>
      </c>
      <c r="S29" s="56" t="n"/>
      <c r="T29" s="98" t="inlineStr">
        <is>
          <t>Environnement réglementé</t>
        </is>
      </c>
      <c r="U29" s="56" t="n"/>
      <c r="V29" s="98" t="inlineStr">
        <is>
          <t>Environnement standard</t>
        </is>
      </c>
      <c r="W29" s="56" t="n"/>
      <c r="X29" s="98" t="inlineStr">
        <is>
          <t>Environnement sécurisé</t>
        </is>
      </c>
      <c r="Y29" s="56" t="n"/>
      <c r="Z29" s="98" t="inlineStr">
        <is>
          <t>Environnement réglementé</t>
        </is>
      </c>
      <c r="AA29" s="56" t="n"/>
      <c r="AB29" s="98" t="inlineStr">
        <is>
          <t>Environnement standard</t>
        </is>
      </c>
      <c r="AC29" s="56" t="n"/>
      <c r="AD29" s="98" t="inlineStr">
        <is>
          <t>Environnement sécurisé</t>
        </is>
      </c>
      <c r="AE29" s="56" t="n"/>
      <c r="AF29" s="98" t="inlineStr">
        <is>
          <t>Environnement réglementé</t>
        </is>
      </c>
      <c r="AG29" s="56" t="n"/>
      <c r="AH29" s="98" t="inlineStr">
        <is>
          <t>Environnement standard</t>
        </is>
      </c>
      <c r="AI29" s="56" t="n"/>
      <c r="AJ29" s="98" t="inlineStr">
        <is>
          <t>Environnement sécurisé</t>
        </is>
      </c>
      <c r="AK29" s="56" t="n"/>
      <c r="AL29" s="98" t="inlineStr">
        <is>
          <t>Environnement réglementé</t>
        </is>
      </c>
      <c r="AM29" s="56" t="n"/>
    </row>
    <row r="30" ht="38.1" customHeight="1" s="62">
      <c r="A30" s="65" t="n"/>
      <c r="B30" s="65" t="n"/>
      <c r="C30" s="65" t="n"/>
      <c r="D30" s="22" t="inlineStr">
        <is>
          <t>Distanciel</t>
        </is>
      </c>
      <c r="E30" s="22" t="inlineStr">
        <is>
          <t>Présentiel</t>
        </is>
      </c>
      <c r="F30" s="22" t="inlineStr">
        <is>
          <t>Distanciel</t>
        </is>
      </c>
      <c r="G30" s="22" t="inlineStr">
        <is>
          <t>Présentiel</t>
        </is>
      </c>
      <c r="H30" s="22" t="inlineStr">
        <is>
          <t>Distanciel</t>
        </is>
      </c>
      <c r="I30" s="22" t="inlineStr">
        <is>
          <t>Présentiel</t>
        </is>
      </c>
      <c r="J30" s="22" t="inlineStr">
        <is>
          <t>Distanciel</t>
        </is>
      </c>
      <c r="K30" s="22" t="inlineStr">
        <is>
          <t>Présentiel</t>
        </is>
      </c>
      <c r="L30" s="22" t="inlineStr">
        <is>
          <t>Distanciel</t>
        </is>
      </c>
      <c r="M30" s="22" t="inlineStr">
        <is>
          <t>Présentiel</t>
        </is>
      </c>
      <c r="N30" s="22" t="inlineStr">
        <is>
          <t>Distanciel</t>
        </is>
      </c>
      <c r="O30" s="22" t="inlineStr">
        <is>
          <t>Présentiel</t>
        </is>
      </c>
      <c r="P30" s="22" t="inlineStr">
        <is>
          <t>Distanciel</t>
        </is>
      </c>
      <c r="Q30" s="22" t="inlineStr">
        <is>
          <t>Présentiel</t>
        </is>
      </c>
      <c r="R30" s="22" t="inlineStr">
        <is>
          <t>Distanciel</t>
        </is>
      </c>
      <c r="S30" s="22" t="inlineStr">
        <is>
          <t>Présentiel</t>
        </is>
      </c>
      <c r="T30" s="22" t="inlineStr">
        <is>
          <t>Distanciel</t>
        </is>
      </c>
      <c r="U30" s="22" t="inlineStr">
        <is>
          <t>Présentiel</t>
        </is>
      </c>
      <c r="V30" s="22" t="inlineStr">
        <is>
          <t>Distanciel</t>
        </is>
      </c>
      <c r="W30" s="22" t="inlineStr">
        <is>
          <t>Présentiel</t>
        </is>
      </c>
      <c r="X30" s="22" t="inlineStr">
        <is>
          <t>Distanciel</t>
        </is>
      </c>
      <c r="Y30" s="22" t="inlineStr">
        <is>
          <t>Présentiel</t>
        </is>
      </c>
      <c r="Z30" s="22" t="inlineStr">
        <is>
          <t>Distanciel</t>
        </is>
      </c>
      <c r="AA30" s="22" t="inlineStr">
        <is>
          <t>Présentiel</t>
        </is>
      </c>
      <c r="AB30" s="22" t="inlineStr">
        <is>
          <t>Distanciel</t>
        </is>
      </c>
      <c r="AC30" s="22" t="inlineStr">
        <is>
          <t>Présentiel</t>
        </is>
      </c>
      <c r="AD30" s="22" t="inlineStr">
        <is>
          <t>Distanciel</t>
        </is>
      </c>
      <c r="AE30" s="22" t="inlineStr">
        <is>
          <t>Présentiel</t>
        </is>
      </c>
      <c r="AF30" s="22" t="inlineStr">
        <is>
          <t>Distanciel</t>
        </is>
      </c>
      <c r="AG30" s="22" t="inlineStr">
        <is>
          <t>Présentiel</t>
        </is>
      </c>
      <c r="AH30" s="22" t="inlineStr">
        <is>
          <t>Distanciel</t>
        </is>
      </c>
      <c r="AI30" s="22" t="inlineStr">
        <is>
          <t>Présentiel</t>
        </is>
      </c>
      <c r="AJ30" s="22" t="inlineStr">
        <is>
          <t>Distanciel</t>
        </is>
      </c>
      <c r="AK30" s="22" t="inlineStr">
        <is>
          <t>Présentiel</t>
        </is>
      </c>
      <c r="AL30" s="22" t="inlineStr">
        <is>
          <t>Distanciel</t>
        </is>
      </c>
      <c r="AM30" s="22" t="inlineStr">
        <is>
          <t>Présentiel</t>
        </is>
      </c>
    </row>
    <row r="31" ht="20.1" customHeight="1" s="62">
      <c r="A31" s="103" t="inlineStr">
        <is>
          <t>Simple</t>
        </is>
      </c>
      <c r="B31" s="101" t="inlineStr">
        <is>
          <t>Site web</t>
        </is>
      </c>
      <c r="C31" s="49" t="inlineStr">
        <is>
          <t>Criticité faible</t>
        </is>
      </c>
      <c r="D31" s="50">
        <f>ROUND($B$4*$B$8*$B$11*$B$15*$B$18*$B$20*$B$23,0)</f>
        <v/>
      </c>
      <c r="E31" s="50">
        <f>ROUND($B$4*$B$8*$B$11*$B$15*$B$18*$B$20*$B$24,0)</f>
        <v/>
      </c>
      <c r="F31" s="50">
        <f>ROUND($B$4*$B$8*$B$11*$B$15*$B$18*$B$21*$B$23,0)</f>
        <v/>
      </c>
      <c r="G31" s="50">
        <f>ROUND($B$4*$B$8*$B$11*$B$15*$B$18*$B$21*$B$24,0)</f>
        <v/>
      </c>
      <c r="H31" s="50">
        <f>ROUND($B$4*$B$8*$B$11*$B$15*$B$18*$B$22*$B$23,0)</f>
        <v/>
      </c>
      <c r="I31" s="50">
        <f>ROUND($B$4*$B$8*$B$11*$B$15*$B$18*$B$22*$B$24,0)</f>
        <v/>
      </c>
      <c r="J31" s="50">
        <f>ROUND($B$4*$B$8*$B$11*$B$15*$B$19*$B$20*$B$23,0)</f>
        <v/>
      </c>
      <c r="K31" s="50">
        <f>ROUND($B$4*$B$8*$B$11*$B$15*$B$19*$B$20*$B$24,0)</f>
        <v/>
      </c>
      <c r="L31" s="50">
        <f>ROUND($B$4*$B$8*$B$11*$B$15*$B$19*$B$21*$B$23,0)</f>
        <v/>
      </c>
      <c r="M31" s="50">
        <f>ROUND($B$4*$B$8*$B$11*$B$15*$B$19*$B$21*$B$24,0)</f>
        <v/>
      </c>
      <c r="N31" s="50">
        <f>ROUND($B$4*$B$8*$B$11*$B$15*$B$19*$B$22*$B$23,0)</f>
        <v/>
      </c>
      <c r="O31" s="50">
        <f>ROUND($B$4*$B$8*$B$11*$B$15*$B$19*$B$22*$B$24,0)</f>
        <v/>
      </c>
      <c r="P31" s="50">
        <f>ROUND($B$5*$B$8*$B$11*$B$15*$B$18*$B$20*$B$23,0)</f>
        <v/>
      </c>
      <c r="Q31" s="50">
        <f>ROUND($B$5*$B$8*$B$11*$B$15*$B$18*$B$20*$B$24,0)</f>
        <v/>
      </c>
      <c r="R31" s="50">
        <f>ROUND($B$5*$B$8*$B$11*$B$15*$B$18*$B$21*$B$23,0)</f>
        <v/>
      </c>
      <c r="S31" s="50">
        <f>ROUND($B$5*$B$8*$B$11*$B$15*$B$18*$B$21*$B$24,0)</f>
        <v/>
      </c>
      <c r="T31" s="50">
        <f>ROUND($B$5*$B$8*$B$11*$B$15*$B$18*$B$22*$B$23,0)</f>
        <v/>
      </c>
      <c r="U31" s="50">
        <f>ROUND($B$5*$B$8*$B$11*$B$15*$B$18*$B$22*$B$24,0)</f>
        <v/>
      </c>
      <c r="V31" s="50">
        <f>ROUND($B$5*$B$8*$B$11*$B$15*$B$19*$B$20*$B$23,0)</f>
        <v/>
      </c>
      <c r="W31" s="50">
        <f>ROUND($B$5*$B$8*$B$11*$B$15*$B$19*$B$20*$B$24,0)</f>
        <v/>
      </c>
      <c r="X31" s="50">
        <f>ROUND($B$5*$B$8*$B$11*$B$15*$B$19*$B$21*$B$23,0)</f>
        <v/>
      </c>
      <c r="Y31" s="50">
        <f>ROUND($B$5*$B$8*$B$11*$B$15*$B$19*$B$21*$B$24,0)</f>
        <v/>
      </c>
      <c r="Z31" s="50">
        <f>ROUND($B$5*$B$8*$B$11*$B$15*$B$19*$B$22*$B$23,0)</f>
        <v/>
      </c>
      <c r="AA31" s="50">
        <f>ROUND($B$5*$B$8*$B$11*$B$15*$B$19*$B$22*$B$24,0)</f>
        <v/>
      </c>
      <c r="AB31" s="50">
        <f>ROUND($B$6*$B$8*$B$11*$B$15*$B$18*$B$20*$B$23,0)</f>
        <v/>
      </c>
      <c r="AC31" s="50">
        <f>ROUND($B$6*$B$8*$B$11*$B$15*$B$18*$B$20*$B$24,0)</f>
        <v/>
      </c>
      <c r="AD31" s="50">
        <f>ROUND($B$6*$B$8*$B$11*$B$15*$B$18*$B$21*$B$23,0)</f>
        <v/>
      </c>
      <c r="AE31" s="50">
        <f>ROUND($B$6*$B$8*$B$11*$B$15*$B$18*$B$21*$B$24,0)</f>
        <v/>
      </c>
      <c r="AF31" s="50">
        <f>ROUND($B$6*$B$8*$B$11*$B$15*$B$18*$B$22*$B$23,0)</f>
        <v/>
      </c>
      <c r="AG31" s="50">
        <f>ROUND($B$6*$B$8*$B$11*$B$15*$B$18*$B$22*$B$24,0)</f>
        <v/>
      </c>
      <c r="AH31" s="50">
        <f>ROUND($B$6*$B$8*$B$11*$B$15*$B$19*$B$20*$B$23,0)</f>
        <v/>
      </c>
      <c r="AI31" s="50">
        <f>ROUND($B$6*$B$8*$B$11*$B$15*$B$19*$B$20*$B$24,0)</f>
        <v/>
      </c>
      <c r="AJ31" s="50">
        <f>ROUND($B$6*$B$8*$B$11*$B$15*$B$19*$B$21*$B$23,0)</f>
        <v/>
      </c>
      <c r="AK31" s="50">
        <f>ROUND($B$6*$B$8*$B$11*$B$15*$B$19*$B$21*$B$24,0)</f>
        <v/>
      </c>
      <c r="AL31" s="50">
        <f>ROUND($B$6*$B$8*$B$11*$B$15*$B$19*$B$22*$B$23,0)</f>
        <v/>
      </c>
      <c r="AM31" s="50">
        <f>ROUND($B$6*$B$8*$B$11*$B$15*$B$19*$B$22*$B$24,0)</f>
        <v/>
      </c>
    </row>
    <row r="32" ht="20.1" customHeight="1" s="62">
      <c r="A32" s="104" t="n"/>
      <c r="B32" s="58" t="n"/>
      <c r="C32" s="101" t="inlineStr">
        <is>
          <t>Criticité modérée</t>
        </is>
      </c>
      <c r="D32" s="50">
        <f>ROUND($B$4*$B$8*$B$11*$B$16*$B$18*$B$20*$B$23,0)</f>
        <v/>
      </c>
      <c r="E32" s="50">
        <f>ROUND($B$4*$B$8*$B$11*$B$16*$B$18*$B$20*$B$24,0)</f>
        <v/>
      </c>
      <c r="F32" s="50">
        <f>ROUND($B$4*$B$8*$B$11*$B$16*$B$18*$B$21*$B$23,0)</f>
        <v/>
      </c>
      <c r="G32" s="50">
        <f>ROUND($B$4*$B$8*$B$11*$B$16*$B$18*$B$21*$B$24,0)</f>
        <v/>
      </c>
      <c r="H32" s="50">
        <f>ROUND($B$4*$B$8*$B$11*$B$16*$B$18*$B$22*$B$23,0)</f>
        <v/>
      </c>
      <c r="I32" s="50">
        <f>ROUND($B$4*$B$8*$B$11*$B$16*$B$18*$B$22*$B$24,0)</f>
        <v/>
      </c>
      <c r="J32" s="50">
        <f>ROUND($B$4*$B$8*$B$11*$B$16*$B$19*$B$20*$B$23,0)</f>
        <v/>
      </c>
      <c r="K32" s="50">
        <f>ROUND($B$4*$B$8*$B$11*$B$16*$B$19*$B$20*$B$24,0)</f>
        <v/>
      </c>
      <c r="L32" s="50">
        <f>ROUND($B$4*$B$8*$B$11*$B$16*$B$19*$B$21*$B$23,0)</f>
        <v/>
      </c>
      <c r="M32" s="50">
        <f>ROUND($B$4*$B$8*$B$11*$B$16*$B$19*$B$21*$B$24,0)</f>
        <v/>
      </c>
      <c r="N32" s="50">
        <f>ROUND($B$4*$B$8*$B$11*$B$16*$B$19*$B$22*$B$23,0)</f>
        <v/>
      </c>
      <c r="O32" s="50">
        <f>ROUND($B$4*$B$8*$B$11*$B$16*$B$19*$B$22*$B$24,0)</f>
        <v/>
      </c>
      <c r="P32" s="50">
        <f>ROUND($B$5*$B$8*$B$11*$B$16*$B$18*$B$20*$B$23,0)</f>
        <v/>
      </c>
      <c r="Q32" s="50">
        <f>ROUND($B$5*$B$8*$B$11*$B$16*$B$18*$B$20*$B$24,0)</f>
        <v/>
      </c>
      <c r="R32" s="50">
        <f>ROUND($B$5*$B$8*$B$11*$B$16*$B$18*$B$21*$B$23,0)</f>
        <v/>
      </c>
      <c r="S32" s="50">
        <f>ROUND($B$5*$B$8*$B$11*$B$16*$B$18*$B$21*$B$24,0)</f>
        <v/>
      </c>
      <c r="T32" s="50">
        <f>ROUND($B$5*$B$8*$B$11*$B$16*$B$18*$B$22*$B$23,0)</f>
        <v/>
      </c>
      <c r="U32" s="50">
        <f>ROUND($B$5*$B$8*$B$11*$B$16*$B$18*$B$22*$B$24,0)</f>
        <v/>
      </c>
      <c r="V32" s="50">
        <f>ROUND($B$5*$B$8*$B$11*$B$16*$B$19*$B$20*$B$23,0)</f>
        <v/>
      </c>
      <c r="W32" s="50">
        <f>ROUND($B$5*$B$8*$B$11*$B$16*$B$19*$B$20*$B$24,0)</f>
        <v/>
      </c>
      <c r="X32" s="50">
        <f>ROUND($B$5*$B$8*$B$11*$B$16*$B$19*$B$21*$B$23,0)</f>
        <v/>
      </c>
      <c r="Y32" s="50">
        <f>ROUND($B$5*$B$8*$B$11*$B$16*$B$19*$B$21*$B$24,0)</f>
        <v/>
      </c>
      <c r="Z32" s="50">
        <f>ROUND($B$5*$B$8*$B$11*$B$16*$B$19*$B$22*$B$23,0)</f>
        <v/>
      </c>
      <c r="AA32" s="50">
        <f>ROUND($B$5*$B$8*$B$11*$B$16*$B$19*$B$22*$B$24,0)</f>
        <v/>
      </c>
      <c r="AB32" s="50">
        <f>ROUND($B$6*$B$8*$B$11*$B$16*$B$18*$B$20*$B$23,0)</f>
        <v/>
      </c>
      <c r="AC32" s="50">
        <f>ROUND($B$6*$B$8*$B$11*$B$16*$B$18*$B$20*$B$24,0)</f>
        <v/>
      </c>
      <c r="AD32" s="50">
        <f>ROUND($B$6*$B$8*$B$11*$B$16*$B$18*$B$21*$B$23,0)</f>
        <v/>
      </c>
      <c r="AE32" s="50">
        <f>ROUND($B$6*$B$8*$B$11*$B$16*$B$18*$B$21*$B$24,0)</f>
        <v/>
      </c>
      <c r="AF32" s="50">
        <f>ROUND($B$6*$B$8*$B$11*$B$16*$B$18*$B$22*$B$23,0)</f>
        <v/>
      </c>
      <c r="AG32" s="50">
        <f>ROUND($B$6*$B$8*$B$11*$B$16*$B$18*$B$22*$B$24,0)</f>
        <v/>
      </c>
      <c r="AH32" s="50">
        <f>ROUND($B$6*$B$8*$B$11*$B$16*$B$19*$B$20*$B$23,0)</f>
        <v/>
      </c>
      <c r="AI32" s="50">
        <f>ROUND($B$6*$B$8*$B$11*$B$16*$B$19*$B$20*$B$24,0)</f>
        <v/>
      </c>
      <c r="AJ32" s="50">
        <f>ROUND($B$6*$B$8*$B$11*$B$16*$B$19*$B$21*$B$23,0)</f>
        <v/>
      </c>
      <c r="AK32" s="50">
        <f>ROUND($B$6*$B$8*$B$11*$B$16*$B$19*$B$21*$B$24,0)</f>
        <v/>
      </c>
      <c r="AL32" s="50">
        <f>ROUND($B$6*$B$8*$B$11*$B$16*$B$19*$B$22*$B$23,0)</f>
        <v/>
      </c>
      <c r="AM32" s="50">
        <f>ROUND($B$6*$B$8*$B$11*$B$16*$B$19*$B$22*$B$24,0)</f>
        <v/>
      </c>
    </row>
    <row r="33" ht="20.1" customHeight="1" s="62">
      <c r="A33" s="104" t="n"/>
      <c r="B33" s="59" t="n"/>
      <c r="C33" s="51" t="inlineStr">
        <is>
          <t>Criticité élevée</t>
        </is>
      </c>
      <c r="D33" s="50">
        <f>ROUND($B$4*$B$8*$B$11*$B$17*$B$18*$B$20*$B$23,0)</f>
        <v/>
      </c>
      <c r="E33" s="50">
        <f>ROUND($B$4*$B$8*$B$11*$B$17*$B$18*$B$20*$B$24,0)</f>
        <v/>
      </c>
      <c r="F33" s="50">
        <f>ROUND($B$4*$B$8*$B$11*$B$17*$B$18*$B$21*$B$23,0)</f>
        <v/>
      </c>
      <c r="G33" s="50">
        <f>ROUND($B$4*$B$8*$B$11*$B$17*$B$18*$B$21*$B$24,0)</f>
        <v/>
      </c>
      <c r="H33" s="50">
        <f>ROUND($B$4*$B$8*$B$11*$B$17*$B$18*$B$22*$B$23,0)</f>
        <v/>
      </c>
      <c r="I33" s="50">
        <f>ROUND($B$4*$B$8*$B$11*$B$17*$B$18*$B$22*$B$24,0)</f>
        <v/>
      </c>
      <c r="J33" s="50">
        <f>ROUND($B$4*$B$8*$B$11*$B$17*$B$19*$B$20*$B$23,0)</f>
        <v/>
      </c>
      <c r="K33" s="50">
        <f>ROUND($B$4*$B$8*$B$11*$B$17*$B$19*$B$20*$B$24,0)</f>
        <v/>
      </c>
      <c r="L33" s="50">
        <f>ROUND($B$4*$B$8*$B$11*$B$17*$B$19*$B$21*$B$23,0)</f>
        <v/>
      </c>
      <c r="M33" s="50">
        <f>ROUND($B$4*$B$8*$B$11*$B$17*$B$19*$B$21*$B$24,0)</f>
        <v/>
      </c>
      <c r="N33" s="50">
        <f>ROUND($B$4*$B$8*$B$11*$B$17*$B$19*$B$22*$B$23,0)</f>
        <v/>
      </c>
      <c r="O33" s="50">
        <f>ROUND($B$4*$B$8*$B$11*$B$17*$B$19*$B$22*$B$24,0)</f>
        <v/>
      </c>
      <c r="P33" s="50">
        <f>ROUND($B$5*$B$8*$B$11*$B$17*$B$18*$B$20*$B$23,0)</f>
        <v/>
      </c>
      <c r="Q33" s="50">
        <f>ROUND($B$5*$B$8*$B$11*$B$17*$B$18*$B$20*$B$24,0)</f>
        <v/>
      </c>
      <c r="R33" s="50">
        <f>ROUND($B$5*$B$8*$B$11*$B$17*$B$18*$B$21*$B$23,0)</f>
        <v/>
      </c>
      <c r="S33" s="50">
        <f>ROUND($B$5*$B$8*$B$11*$B$17*$B$18*$B$21*$B$24,0)</f>
        <v/>
      </c>
      <c r="T33" s="50">
        <f>ROUND($B$5*$B$8*$B$11*$B$17*$B$18*$B$22*$B$23,0)</f>
        <v/>
      </c>
      <c r="U33" s="50">
        <f>ROUND($B$5*$B$8*$B$11*$B$17*$B$18*$B$22*$B$24,0)</f>
        <v/>
      </c>
      <c r="V33" s="50">
        <f>ROUND($B$5*$B$8*$B$11*$B$17*$B$19*$B$20*$B$23,0)</f>
        <v/>
      </c>
      <c r="W33" s="50">
        <f>ROUND($B$5*$B$8*$B$11*$B$17*$B$19*$B$20*$B$24,0)</f>
        <v/>
      </c>
      <c r="X33" s="50">
        <f>ROUND($B$5*$B$8*$B$11*$B$17*$B$19*$B$21*$B$23,0)</f>
        <v/>
      </c>
      <c r="Y33" s="50">
        <f>ROUND($B$5*$B$8*$B$11*$B$17*$B$19*$B$21*$B$24,0)</f>
        <v/>
      </c>
      <c r="Z33" s="50">
        <f>ROUND($B$5*$B$8*$B$11*$B$17*$B$19*$B$22*$B$23,0)</f>
        <v/>
      </c>
      <c r="AA33" s="50">
        <f>ROUND($B$5*$B$8*$B$11*$B$17*$B$19*$B$22*$B$24,0)</f>
        <v/>
      </c>
      <c r="AB33" s="50">
        <f>ROUND($B$6*$B$8*$B$11*$B$17*$B$18*$B$20*$B$23,0)</f>
        <v/>
      </c>
      <c r="AC33" s="50">
        <f>ROUND($B$6*$B$8*$B$11*$B$17*$B$18*$B$20*$B$24,0)</f>
        <v/>
      </c>
      <c r="AD33" s="50">
        <f>ROUND($B$6*$B$8*$B$11*$B$17*$B$18*$B$21*$B$23,0)</f>
        <v/>
      </c>
      <c r="AE33" s="50">
        <f>ROUND($B$6*$B$8*$B$11*$B$17*$B$18*$B$21*$B$24,0)</f>
        <v/>
      </c>
      <c r="AF33" s="50">
        <f>ROUND($B$6*$B$8*$B$11*$B$17*$B$18*$B$22*$B$23,0)</f>
        <v/>
      </c>
      <c r="AG33" s="50">
        <f>ROUND($B$6*$B$8*$B$11*$B$17*$B$18*$B$22*$B$24,0)</f>
        <v/>
      </c>
      <c r="AH33" s="50">
        <f>ROUND($B$6*$B$8*$B$11*$B$17*$B$19*$B$20*$B$23,0)</f>
        <v/>
      </c>
      <c r="AI33" s="50">
        <f>ROUND($B$6*$B$8*$B$11*$B$17*$B$19*$B$20*$B$24,0)</f>
        <v/>
      </c>
      <c r="AJ33" s="50">
        <f>ROUND($B$6*$B$8*$B$11*$B$17*$B$19*$B$21*$B$23,0)</f>
        <v/>
      </c>
      <c r="AK33" s="50">
        <f>ROUND($B$6*$B$8*$B$11*$B$17*$B$19*$B$21*$B$24,0)</f>
        <v/>
      </c>
      <c r="AL33" s="50">
        <f>ROUND($B$6*$B$8*$B$11*$B$17*$B$19*$B$22*$B$23,0)</f>
        <v/>
      </c>
      <c r="AM33" s="50">
        <f>ROUND($B$6*$B$8*$B$11*$B$17*$B$19*$B$22*$B$24,0)</f>
        <v/>
      </c>
    </row>
    <row r="34" ht="20.1" customHeight="1" s="62">
      <c r="A34" s="104" t="n"/>
      <c r="B34" s="101" t="inlineStr">
        <is>
          <t>Logiciel</t>
        </is>
      </c>
      <c r="C34" s="49" t="inlineStr">
        <is>
          <t>Criticité faible</t>
        </is>
      </c>
      <c r="D34" s="50">
        <f>ROUND($B$4*$B$8*$B$12*$B$15*$B$18*$B$20*$B$23,0)</f>
        <v/>
      </c>
      <c r="E34" s="50">
        <f>ROUND($B$4*$B$8*$B$12*$B$15*$B$18*$B$20*$B$24,0)</f>
        <v/>
      </c>
      <c r="F34" s="50">
        <f>ROUND($B$4*$B$8*$B$12*$B$15*$B$18*$B$21*$B$23,0)</f>
        <v/>
      </c>
      <c r="G34" s="50">
        <f>ROUND($B$4*$B$8*$B$12*$B$15*$B$18*$B$21*$B$24,0)</f>
        <v/>
      </c>
      <c r="H34" s="50">
        <f>ROUND($B$4*$B$8*$B$12*$B$15*$B$18*$B$22*$B$23,0)</f>
        <v/>
      </c>
      <c r="I34" s="50">
        <f>ROUND($B$4*$B$8*$B$12*$B$15*$B$18*$B$22*$B$24,0)</f>
        <v/>
      </c>
      <c r="J34" s="50">
        <f>ROUND($B$4*$B$8*$B$12*$B$15*$B$19*$B$20*$B$23,0)</f>
        <v/>
      </c>
      <c r="K34" s="50">
        <f>ROUND($B$4*$B$8*$B$12*$B$15*$B$19*$B$20*$B$24,0)</f>
        <v/>
      </c>
      <c r="L34" s="50">
        <f>ROUND($B$4*$B$8*$B$12*$B$15*$B$19*$B$21*$B$23,0)</f>
        <v/>
      </c>
      <c r="M34" s="50">
        <f>ROUND($B$4*$B$8*$B$12*$B$15*$B$19*$B$21*$B$24,0)</f>
        <v/>
      </c>
      <c r="N34" s="50">
        <f>ROUND($B$4*$B$8*$B$12*$B$15*$B$19*$B$22*$B$23,0)</f>
        <v/>
      </c>
      <c r="O34" s="50">
        <f>ROUND($B$4*$B$8*$B$12*$B$15*$B$19*$B$22*$B$24,0)</f>
        <v/>
      </c>
      <c r="P34" s="50">
        <f>ROUND($B$5*$B$8*$B$12*$B$15*$B$18*$B$20*$B$23,0)</f>
        <v/>
      </c>
      <c r="Q34" s="50">
        <f>ROUND($B$5*$B$8*$B$12*$B$15*$B$18*$B$20*$B$24,0)</f>
        <v/>
      </c>
      <c r="R34" s="50">
        <f>ROUND($B$5*$B$8*$B$12*$B$15*$B$18*$B$21*$B$23,0)</f>
        <v/>
      </c>
      <c r="S34" s="50">
        <f>ROUND($B$5*$B$8*$B$12*$B$15*$B$18*$B$21*$B$24,0)</f>
        <v/>
      </c>
      <c r="T34" s="50">
        <f>ROUND($B$5*$B$8*$B$12*$B$15*$B$18*$B$22*$B$23,0)</f>
        <v/>
      </c>
      <c r="U34" s="50">
        <f>ROUND($B$5*$B$8*$B$12*$B$15*$B$18*$B$22*$B$24,0)</f>
        <v/>
      </c>
      <c r="V34" s="50">
        <f>ROUND($B$5*$B$8*$B$12*$B$15*$B$19*$B$20*$B$23,0)</f>
        <v/>
      </c>
      <c r="W34" s="50">
        <f>ROUND($B$5*$B$8*$B$12*$B$15*$B$19*$B$20*$B$24,0)</f>
        <v/>
      </c>
      <c r="X34" s="50">
        <f>ROUND($B$5*$B$8*$B$12*$B$15*$B$19*$B$21*$B$23,0)</f>
        <v/>
      </c>
      <c r="Y34" s="50">
        <f>ROUND($B$5*$B$8*$B$12*$B$15*$B$19*$B$21*$B$24,0)</f>
        <v/>
      </c>
      <c r="Z34" s="50">
        <f>ROUND($B$5*$B$8*$B$12*$B$15*$B$19*$B$22*$B$23,0)</f>
        <v/>
      </c>
      <c r="AA34" s="50">
        <f>ROUND($B$5*$B$8*$B$12*$B$15*$B$19*$B$22*$B$24,0)</f>
        <v/>
      </c>
      <c r="AB34" s="50">
        <f>ROUND($B$6*$B$8*$B$12*$B$15*$B$18*$B$20*$B$23,0)</f>
        <v/>
      </c>
      <c r="AC34" s="50">
        <f>ROUND($B$6*$B$8*$B$12*$B$15*$B$18*$B$20*$B$24,0)</f>
        <v/>
      </c>
      <c r="AD34" s="50">
        <f>ROUND($B$6*$B$8*$B$12*$B$15*$B$18*$B$21*$B$23,0)</f>
        <v/>
      </c>
      <c r="AE34" s="50">
        <f>ROUND($B$6*$B$8*$B$12*$B$15*$B$18*$B$21*$B$24,0)</f>
        <v/>
      </c>
      <c r="AF34" s="50">
        <f>ROUND($B$6*$B$8*$B$12*$B$15*$B$18*$B$22*$B$23,0)</f>
        <v/>
      </c>
      <c r="AG34" s="50">
        <f>ROUND($B$6*$B$8*$B$12*$B$15*$B$18*$B$22*$B$24,0)</f>
        <v/>
      </c>
      <c r="AH34" s="50">
        <f>ROUND($B$6*$B$8*$B$12*$B$15*$B$19*$B$20*$B$23,0)</f>
        <v/>
      </c>
      <c r="AI34" s="50">
        <f>ROUND($B$6*$B$8*$B$12*$B$15*$B$19*$B$20*$B$24,0)</f>
        <v/>
      </c>
      <c r="AJ34" s="50">
        <f>ROUND($B$6*$B$8*$B$12*$B$15*$B$19*$B$21*$B$23,0)</f>
        <v/>
      </c>
      <c r="AK34" s="50">
        <f>ROUND($B$6*$B$8*$B$12*$B$15*$B$19*$B$21*$B$24,0)</f>
        <v/>
      </c>
      <c r="AL34" s="50">
        <f>ROUND($B$6*$B$8*$B$12*$B$15*$B$19*$B$22*$B$23,0)</f>
        <v/>
      </c>
      <c r="AM34" s="50">
        <f>ROUND($B$6*$B$8*$B$12*$B$15*$B$19*$B$22*$B$24,0)</f>
        <v/>
      </c>
    </row>
    <row r="35" ht="20.1" customHeight="1" s="62">
      <c r="A35" s="104" t="n"/>
      <c r="B35" s="58" t="n"/>
      <c r="C35" s="101" t="inlineStr">
        <is>
          <t>Criticité modérée</t>
        </is>
      </c>
      <c r="D35" s="50">
        <f>ROUND($B$4*$B$8*$B$12*$B$16*$B$18*$B$20*$B$23,0)</f>
        <v/>
      </c>
      <c r="E35" s="50">
        <f>ROUND($B$4*$B$8*$B$12*$B$16*$B$18*$B$20*$B$24,0)</f>
        <v/>
      </c>
      <c r="F35" s="50">
        <f>ROUND($B$4*$B$8*$B$12*$B$16*$B$18*$B$21*$B$23,0)</f>
        <v/>
      </c>
      <c r="G35" s="50">
        <f>ROUND($B$4*$B$8*$B$12*$B$16*$B$18*$B$21*$B$24,0)</f>
        <v/>
      </c>
      <c r="H35" s="50">
        <f>ROUND($B$4*$B$8*$B$12*$B$16*$B$18*$B$22*$B$23,0)</f>
        <v/>
      </c>
      <c r="I35" s="50">
        <f>ROUND($B$4*$B$8*$B$12*$B$16*$B$18*$B$22*$B$24,0)</f>
        <v/>
      </c>
      <c r="J35" s="50">
        <f>ROUND($B$4*$B$8*$B$12*$B$16*$B$19*$B$20*$B$23,0)</f>
        <v/>
      </c>
      <c r="K35" s="50">
        <f>ROUND($B$4*$B$8*$B$12*$B$16*$B$19*$B$20*$B$24,0)</f>
        <v/>
      </c>
      <c r="L35" s="50">
        <f>ROUND($B$4*$B$8*$B$12*$B$16*$B$19*$B$21*$B$23,0)</f>
        <v/>
      </c>
      <c r="M35" s="50">
        <f>ROUND($B$4*$B$8*$B$12*$B$16*$B$19*$B$21*$B$24,0)</f>
        <v/>
      </c>
      <c r="N35" s="50">
        <f>ROUND($B$4*$B$8*$B$12*$B$16*$B$19*$B$22*$B$23,0)</f>
        <v/>
      </c>
      <c r="O35" s="50">
        <f>ROUND($B$4*$B$8*$B$12*$B$16*$B$19*$B$22*$B$24,0)</f>
        <v/>
      </c>
      <c r="P35" s="50">
        <f>ROUND($B$5*$B$8*$B$12*$B$16*$B$18*$B$20*$B$23,0)</f>
        <v/>
      </c>
      <c r="Q35" s="50">
        <f>ROUND($B$5*$B$8*$B$12*$B$16*$B$18*$B$20*$B$24,0)</f>
        <v/>
      </c>
      <c r="R35" s="50">
        <f>ROUND($B$5*$B$8*$B$12*$B$16*$B$18*$B$21*$B$23,0)</f>
        <v/>
      </c>
      <c r="S35" s="50">
        <f>ROUND($B$5*$B$8*$B$12*$B$16*$B$18*$B$21*$B$24,0)</f>
        <v/>
      </c>
      <c r="T35" s="50">
        <f>ROUND($B$5*$B$8*$B$12*$B$16*$B$18*$B$22*$B$23,0)</f>
        <v/>
      </c>
      <c r="U35" s="50">
        <f>ROUND($B$5*$B$8*$B$12*$B$16*$B$18*$B$22*$B$24,0)</f>
        <v/>
      </c>
      <c r="V35" s="50">
        <f>ROUND($B$5*$B$8*$B$12*$B$16*$B$19*$B$20*$B$23,0)</f>
        <v/>
      </c>
      <c r="W35" s="50">
        <f>ROUND($B$5*$B$8*$B$12*$B$16*$B$19*$B$20*$B$24,0)</f>
        <v/>
      </c>
      <c r="X35" s="50">
        <f>ROUND($B$5*$B$8*$B$12*$B$16*$B$19*$B$21*$B$23,0)</f>
        <v/>
      </c>
      <c r="Y35" s="50">
        <f>ROUND($B$5*$B$8*$B$12*$B$16*$B$19*$B$21*$B$24,0)</f>
        <v/>
      </c>
      <c r="Z35" s="50">
        <f>ROUND($B$5*$B$8*$B$12*$B$16*$B$19*$B$22*$B$23,0)</f>
        <v/>
      </c>
      <c r="AA35" s="50">
        <f>ROUND($B$5*$B$8*$B$12*$B$16*$B$19*$B$22*$B$24,0)</f>
        <v/>
      </c>
      <c r="AB35" s="50">
        <f>ROUND($B$6*$B$8*$B$12*$B$16*$B$18*$B$20*$B$23,0)</f>
        <v/>
      </c>
      <c r="AC35" s="50">
        <f>ROUND($B$6*$B$8*$B$12*$B$16*$B$18*$B$20*$B$24,0)</f>
        <v/>
      </c>
      <c r="AD35" s="50">
        <f>ROUND($B$6*$B$8*$B$12*$B$16*$B$18*$B$21*$B$23,0)</f>
        <v/>
      </c>
      <c r="AE35" s="50">
        <f>ROUND($B$6*$B$8*$B$12*$B$16*$B$18*$B$21*$B$24,0)</f>
        <v/>
      </c>
      <c r="AF35" s="50">
        <f>ROUND($B$6*$B$8*$B$12*$B$16*$B$18*$B$22*$B$23,0)</f>
        <v/>
      </c>
      <c r="AG35" s="50">
        <f>ROUND($B$6*$B$8*$B$12*$B$16*$B$18*$B$22*$B$24,0)</f>
        <v/>
      </c>
      <c r="AH35" s="50">
        <f>ROUND($B$6*$B$8*$B$12*$B$16*$B$19*$B$20*$B$23,0)</f>
        <v/>
      </c>
      <c r="AI35" s="50">
        <f>ROUND($B$6*$B$8*$B$12*$B$16*$B$19*$B$20*$B$24,0)</f>
        <v/>
      </c>
      <c r="AJ35" s="50">
        <f>ROUND($B$6*$B$8*$B$12*$B$16*$B$19*$B$21*$B$23,0)</f>
        <v/>
      </c>
      <c r="AK35" s="50">
        <f>ROUND($B$6*$B$8*$B$12*$B$16*$B$19*$B$21*$B$24,0)</f>
        <v/>
      </c>
      <c r="AL35" s="50">
        <f>ROUND($B$6*$B$8*$B$12*$B$16*$B$19*$B$22*$B$23,0)</f>
        <v/>
      </c>
      <c r="AM35" s="50">
        <f>ROUND($B$6*$B$8*$B$12*$B$16*$B$19*$B$22*$B$24,0)</f>
        <v/>
      </c>
    </row>
    <row r="36" ht="20.1" customHeight="1" s="62">
      <c r="A36" s="104" t="n"/>
      <c r="B36" s="59" t="n"/>
      <c r="C36" s="51" t="inlineStr">
        <is>
          <t>Criticité élevée</t>
        </is>
      </c>
      <c r="D36" s="50">
        <f>ROUND($B$4*$B$8*$B$12*$B$17*$B$18*$B$20*$B$23,0)</f>
        <v/>
      </c>
      <c r="E36" s="50">
        <f>ROUND($B$4*$B$8*$B$12*$B$17*$B$18*$B$20*$B$24,0)</f>
        <v/>
      </c>
      <c r="F36" s="50">
        <f>ROUND($B$4*$B$8*$B$12*$B$17*$B$18*$B$21*$B$23,0)</f>
        <v/>
      </c>
      <c r="G36" s="50">
        <f>ROUND($B$4*$B$8*$B$12*$B$17*$B$18*$B$21*$B$24,0)</f>
        <v/>
      </c>
      <c r="H36" s="50">
        <f>ROUND($B$4*$B$8*$B$12*$B$17*$B$18*$B$22*$B$23,0)</f>
        <v/>
      </c>
      <c r="I36" s="50">
        <f>ROUND($B$4*$B$8*$B$12*$B$17*$B$18*$B$22*$B$24,0)</f>
        <v/>
      </c>
      <c r="J36" s="50">
        <f>ROUND($B$4*$B$8*$B$12*$B$17*$B$19*$B$20*$B$23,0)</f>
        <v/>
      </c>
      <c r="K36" s="50">
        <f>ROUND($B$4*$B$8*$B$12*$B$17*$B$19*$B$20*$B$24,0)</f>
        <v/>
      </c>
      <c r="L36" s="50">
        <f>ROUND($B$4*$B$8*$B$12*$B$17*$B$19*$B$21*$B$23,0)</f>
        <v/>
      </c>
      <c r="M36" s="50">
        <f>ROUND($B$4*$B$8*$B$12*$B$17*$B$19*$B$21*$B$24,0)</f>
        <v/>
      </c>
      <c r="N36" s="50">
        <f>ROUND($B$4*$B$8*$B$12*$B$17*$B$19*$B$22*$B$23,0)</f>
        <v/>
      </c>
      <c r="O36" s="50">
        <f>ROUND($B$4*$B$8*$B$12*$B$17*$B$19*$B$22*$B$24,0)</f>
        <v/>
      </c>
      <c r="P36" s="50">
        <f>ROUND($B$5*$B$8*$B$12*$B$17*$B$18*$B$20*$B$23,0)</f>
        <v/>
      </c>
      <c r="Q36" s="50">
        <f>ROUND($B$5*$B$8*$B$12*$B$17*$B$18*$B$20*$B$24,0)</f>
        <v/>
      </c>
      <c r="R36" s="50">
        <f>ROUND($B$5*$B$8*$B$12*$B$17*$B$18*$B$21*$B$23,0)</f>
        <v/>
      </c>
      <c r="S36" s="50">
        <f>ROUND($B$5*$B$8*$B$12*$B$17*$B$18*$B$21*$B$24,0)</f>
        <v/>
      </c>
      <c r="T36" s="50">
        <f>ROUND($B$5*$B$8*$B$12*$B$17*$B$18*$B$22*$B$23,0)</f>
        <v/>
      </c>
      <c r="U36" s="50">
        <f>ROUND($B$5*$B$8*$B$12*$B$17*$B$18*$B$22*$B$24,0)</f>
        <v/>
      </c>
      <c r="V36" s="50">
        <f>ROUND($B$5*$B$8*$B$12*$B$17*$B$19*$B$20*$B$23,0)</f>
        <v/>
      </c>
      <c r="W36" s="50">
        <f>ROUND($B$5*$B$8*$B$12*$B$17*$B$19*$B$20*$B$24,0)</f>
        <v/>
      </c>
      <c r="X36" s="50">
        <f>ROUND($B$5*$B$8*$B$12*$B$17*$B$19*$B$21*$B$23,0)</f>
        <v/>
      </c>
      <c r="Y36" s="50">
        <f>ROUND($B$5*$B$8*$B$12*$B$17*$B$19*$B$21*$B$24,0)</f>
        <v/>
      </c>
      <c r="Z36" s="50">
        <f>ROUND($B$5*$B$8*$B$12*$B$17*$B$19*$B$22*$B$23,0)</f>
        <v/>
      </c>
      <c r="AA36" s="50">
        <f>ROUND($B$5*$B$8*$B$12*$B$17*$B$19*$B$22*$B$24,0)</f>
        <v/>
      </c>
      <c r="AB36" s="50">
        <f>ROUND($B$6*$B$8*$B$12*$B$17*$B$18*$B$20*$B$23,0)</f>
        <v/>
      </c>
      <c r="AC36" s="50">
        <f>ROUND($B$6*$B$8*$B$12*$B$17*$B$18*$B$20*$B$24,0)</f>
        <v/>
      </c>
      <c r="AD36" s="50">
        <f>ROUND($B$6*$B$8*$B$12*$B$17*$B$18*$B$21*$B$23,0)</f>
        <v/>
      </c>
      <c r="AE36" s="50">
        <f>ROUND($B$6*$B$8*$B$12*$B$17*$B$18*$B$21*$B$24,0)</f>
        <v/>
      </c>
      <c r="AF36" s="50">
        <f>ROUND($B$6*$B$8*$B$12*$B$17*$B$18*$B$22*$B$23,0)</f>
        <v/>
      </c>
      <c r="AG36" s="50">
        <f>ROUND($B$6*$B$8*$B$12*$B$17*$B$18*$B$22*$B$24,0)</f>
        <v/>
      </c>
      <c r="AH36" s="50">
        <f>ROUND($B$6*$B$8*$B$12*$B$17*$B$19*$B$20*$B$23,0)</f>
        <v/>
      </c>
      <c r="AI36" s="50">
        <f>ROUND($B$6*$B$8*$B$12*$B$17*$B$19*$B$20*$B$24,0)</f>
        <v/>
      </c>
      <c r="AJ36" s="50">
        <f>ROUND($B$6*$B$8*$B$12*$B$17*$B$19*$B$21*$B$23,0)</f>
        <v/>
      </c>
      <c r="AK36" s="50">
        <f>ROUND($B$6*$B$8*$B$12*$B$17*$B$19*$B$21*$B$24,0)</f>
        <v/>
      </c>
      <c r="AL36" s="50">
        <f>ROUND($B$6*$B$8*$B$12*$B$17*$B$19*$B$22*$B$23,0)</f>
        <v/>
      </c>
      <c r="AM36" s="50">
        <f>ROUND($B$6*$B$8*$B$12*$B$17*$B$19*$B$22*$B$24,0)</f>
        <v/>
      </c>
    </row>
    <row r="37" ht="20.1" customHeight="1" s="62">
      <c r="A37" s="104" t="n"/>
      <c r="B37" s="101" t="inlineStr">
        <is>
          <t>Application métier</t>
        </is>
      </c>
      <c r="C37" s="49" t="inlineStr">
        <is>
          <t>Criticité faible</t>
        </is>
      </c>
      <c r="D37" s="50">
        <f>ROUND($B$4*$B$8*$B$13*$B$15*$B$18*$B$20*$B$23,0)</f>
        <v/>
      </c>
      <c r="E37" s="50">
        <f>ROUND($B$4*$B$8*$B$13*$B$15*$B$18*$B$20*$B$24,0)</f>
        <v/>
      </c>
      <c r="F37" s="50">
        <f>ROUND($B$4*$B$8*$B$13*$B$15*$B$18*$B$21*$B$23,0)</f>
        <v/>
      </c>
      <c r="G37" s="50">
        <f>ROUND($B$4*$B$8*$B$13*$B$15*$B$18*$B$21*$B$24,0)</f>
        <v/>
      </c>
      <c r="H37" s="50">
        <f>ROUND($B$4*$B$8*$B$13*$B$15*$B$18*$B$22*$B$23,0)</f>
        <v/>
      </c>
      <c r="I37" s="50">
        <f>ROUND($B$4*$B$8*$B$13*$B$15*$B$18*$B$22*$B$24,0)</f>
        <v/>
      </c>
      <c r="J37" s="50">
        <f>ROUND($B$4*$B$8*$B$13*$B$15*$B$19*$B$20*$B$23,0)</f>
        <v/>
      </c>
      <c r="K37" s="50">
        <f>ROUND($B$4*$B$8*$B$13*$B$15*$B$19*$B$20*$B$24,0)</f>
        <v/>
      </c>
      <c r="L37" s="50">
        <f>ROUND($B$4*$B$8*$B$13*$B$15*$B$19*$B$21*$B$23,0)</f>
        <v/>
      </c>
      <c r="M37" s="50">
        <f>ROUND($B$4*$B$8*$B$13*$B$15*$B$19*$B$21*$B$24,0)</f>
        <v/>
      </c>
      <c r="N37" s="50">
        <f>ROUND($B$4*$B$8*$B$13*$B$15*$B$19*$B$22*$B$23,0)</f>
        <v/>
      </c>
      <c r="O37" s="50">
        <f>ROUND($B$4*$B$8*$B$13*$B$15*$B$19*$B$22*$B$24,0)</f>
        <v/>
      </c>
      <c r="P37" s="50">
        <f>ROUND($B$5*$B$8*$B$13*$B$15*$B$18*$B$20*$B$23,0)</f>
        <v/>
      </c>
      <c r="Q37" s="50">
        <f>ROUND($B$5*$B$8*$B$13*$B$15*$B$18*$B$20*$B$24,0)</f>
        <v/>
      </c>
      <c r="R37" s="50">
        <f>ROUND($B$5*$B$8*$B$13*$B$15*$B$18*$B$21*$B$23,0)</f>
        <v/>
      </c>
      <c r="S37" s="50">
        <f>ROUND($B$5*$B$8*$B$13*$B$15*$B$18*$B$21*$B$24,0)</f>
        <v/>
      </c>
      <c r="T37" s="50">
        <f>ROUND($B$5*$B$8*$B$13*$B$15*$B$18*$B$22*$B$23,0)</f>
        <v/>
      </c>
      <c r="U37" s="50">
        <f>ROUND($B$5*$B$8*$B$13*$B$15*$B$18*$B$22*$B$24,0)</f>
        <v/>
      </c>
      <c r="V37" s="50">
        <f>ROUND($B$5*$B$8*$B$13*$B$15*$B$19*$B$20*$B$23,0)</f>
        <v/>
      </c>
      <c r="W37" s="50">
        <f>ROUND($B$5*$B$8*$B$13*$B$15*$B$19*$B$20*$B$24,0)</f>
        <v/>
      </c>
      <c r="X37" s="50">
        <f>ROUND($B$5*$B$8*$B$13*$B$15*$B$19*$B$21*$B$23,0)</f>
        <v/>
      </c>
      <c r="Y37" s="50">
        <f>ROUND($B$5*$B$8*$B$13*$B$15*$B$19*$B$21*$B$24,0)</f>
        <v/>
      </c>
      <c r="Z37" s="50">
        <f>ROUND($B$5*$B$8*$B$13*$B$15*$B$19*$B$22*$B$23,0)</f>
        <v/>
      </c>
      <c r="AA37" s="50">
        <f>ROUND($B$5*$B$8*$B$13*$B$15*$B$19*$B$22*$B$24,0)</f>
        <v/>
      </c>
      <c r="AB37" s="50">
        <f>ROUND($B$6*$B$8*$B$13*$B$15*$B$18*$B$20*$B$23,0)</f>
        <v/>
      </c>
      <c r="AC37" s="50">
        <f>ROUND($B$6*$B$8*$B$13*$B$15*$B$18*$B$20*$B$24,0)</f>
        <v/>
      </c>
      <c r="AD37" s="50">
        <f>ROUND($B$6*$B$8*$B$13*$B$15*$B$18*$B$21*$B$23,0)</f>
        <v/>
      </c>
      <c r="AE37" s="50">
        <f>ROUND($B$6*$B$8*$B$13*$B$15*$B$18*$B$21*$B$24,0)</f>
        <v/>
      </c>
      <c r="AF37" s="50">
        <f>ROUND($B$6*$B$8*$B$13*$B$15*$B$18*$B$22*$B$23,0)</f>
        <v/>
      </c>
      <c r="AG37" s="50">
        <f>ROUND($B$6*$B$8*$B$13*$B$15*$B$18*$B$22*$B$24,0)</f>
        <v/>
      </c>
      <c r="AH37" s="50">
        <f>ROUND($B$6*$B$8*$B$13*$B$15*$B$19*$B$20*$B$23,0)</f>
        <v/>
      </c>
      <c r="AI37" s="50">
        <f>ROUND($B$6*$B$8*$B$13*$B$15*$B$19*$B$20*$B$24,0)</f>
        <v/>
      </c>
      <c r="AJ37" s="50">
        <f>ROUND($B$6*$B$8*$B$13*$B$15*$B$19*$B$21*$B$23,0)</f>
        <v/>
      </c>
      <c r="AK37" s="50">
        <f>ROUND($B$6*$B$8*$B$13*$B$15*$B$19*$B$21*$B$24,0)</f>
        <v/>
      </c>
      <c r="AL37" s="50">
        <f>ROUND($B$6*$B$8*$B$13*$B$15*$B$19*$B$22*$B$23,0)</f>
        <v/>
      </c>
      <c r="AM37" s="50">
        <f>ROUND($B$6*$B$8*$B$13*$B$15*$B$19*$B$22*$B$24,0)</f>
        <v/>
      </c>
    </row>
    <row r="38" ht="20.1" customHeight="1" s="62">
      <c r="A38" s="104" t="n"/>
      <c r="B38" s="58" t="n"/>
      <c r="C38" s="101" t="inlineStr">
        <is>
          <t>Criticité modérée</t>
        </is>
      </c>
      <c r="D38" s="50">
        <f>ROUND($B$4*$B$8*$B$13*$B$16*$B$18*$B$20*$B$23,0)</f>
        <v/>
      </c>
      <c r="E38" s="50">
        <f>ROUND($B$4*$B$8*$B$13*$B$16*$B$18*$B$20*$B$24,0)</f>
        <v/>
      </c>
      <c r="F38" s="50">
        <f>ROUND($B$4*$B$8*$B$13*$B$16*$B$18*$B$21*$B$23,0)</f>
        <v/>
      </c>
      <c r="G38" s="50">
        <f>ROUND($B$4*$B$8*$B$13*$B$16*$B$18*$B$21*$B$24,0)</f>
        <v/>
      </c>
      <c r="H38" s="50">
        <f>ROUND($B$4*$B$8*$B$13*$B$16*$B$18*$B$22*$B$23,0)</f>
        <v/>
      </c>
      <c r="I38" s="50">
        <f>ROUND($B$4*$B$8*$B$13*$B$16*$B$18*$B$22*$B$24,0)</f>
        <v/>
      </c>
      <c r="J38" s="50">
        <f>ROUND($B$4*$B$8*$B$13*$B$16*$B$19*$B$20*$B$23,0)</f>
        <v/>
      </c>
      <c r="K38" s="50">
        <f>ROUND($B$4*$B$8*$B$13*$B$16*$B$19*$B$20*$B$24,0)</f>
        <v/>
      </c>
      <c r="L38" s="50">
        <f>ROUND($B$4*$B$8*$B$13*$B$16*$B$19*$B$21*$B$23,0)</f>
        <v/>
      </c>
      <c r="M38" s="50">
        <f>ROUND($B$4*$B$8*$B$13*$B$16*$B$19*$B$21*$B$24,0)</f>
        <v/>
      </c>
      <c r="N38" s="50">
        <f>ROUND($B$4*$B$8*$B$13*$B$16*$B$19*$B$22*$B$23,0)</f>
        <v/>
      </c>
      <c r="O38" s="50">
        <f>ROUND($B$4*$B$8*$B$13*$B$16*$B$19*$B$22*$B$24,0)</f>
        <v/>
      </c>
      <c r="P38" s="50">
        <f>ROUND($B$5*$B$8*$B$13*$B$16*$B$18*$B$20*$B$23,0)</f>
        <v/>
      </c>
      <c r="Q38" s="50">
        <f>ROUND($B$5*$B$8*$B$13*$B$16*$B$18*$B$20*$B$24,0)</f>
        <v/>
      </c>
      <c r="R38" s="50">
        <f>ROUND($B$5*$B$8*$B$13*$B$16*$B$18*$B$21*$B$23,0)</f>
        <v/>
      </c>
      <c r="S38" s="50">
        <f>ROUND($B$5*$B$8*$B$13*$B$16*$B$18*$B$21*$B$24,0)</f>
        <v/>
      </c>
      <c r="T38" s="50">
        <f>ROUND($B$5*$B$8*$B$13*$B$16*$B$18*$B$22*$B$23,0)</f>
        <v/>
      </c>
      <c r="U38" s="50">
        <f>ROUND($B$5*$B$8*$B$13*$B$16*$B$18*$B$22*$B$24,0)</f>
        <v/>
      </c>
      <c r="V38" s="50">
        <f>ROUND($B$5*$B$8*$B$13*$B$16*$B$19*$B$20*$B$23,0)</f>
        <v/>
      </c>
      <c r="W38" s="50">
        <f>ROUND($B$5*$B$8*$B$13*$B$16*$B$19*$B$20*$B$24,0)</f>
        <v/>
      </c>
      <c r="X38" s="50">
        <f>ROUND($B$5*$B$8*$B$13*$B$16*$B$19*$B$21*$B$23,0)</f>
        <v/>
      </c>
      <c r="Y38" s="50">
        <f>ROUND($B$5*$B$8*$B$13*$B$16*$B$19*$B$21*$B$24,0)</f>
        <v/>
      </c>
      <c r="Z38" s="50">
        <f>ROUND($B$5*$B$8*$B$13*$B$16*$B$19*$B$22*$B$23,0)</f>
        <v/>
      </c>
      <c r="AA38" s="50">
        <f>ROUND($B$5*$B$8*$B$13*$B$16*$B$19*$B$22*$B$24,0)</f>
        <v/>
      </c>
      <c r="AB38" s="50">
        <f>ROUND($B$6*$B$8*$B$13*$B$16*$B$18*$B$20*$B$23,0)</f>
        <v/>
      </c>
      <c r="AC38" s="50">
        <f>ROUND($B$6*$B$8*$B$13*$B$16*$B$18*$B$20*$B$24,0)</f>
        <v/>
      </c>
      <c r="AD38" s="50">
        <f>ROUND($B$6*$B$8*$B$13*$B$16*$B$18*$B$21*$B$23,0)</f>
        <v/>
      </c>
      <c r="AE38" s="50">
        <f>ROUND($B$6*$B$8*$B$13*$B$16*$B$18*$B$21*$B$24,0)</f>
        <v/>
      </c>
      <c r="AF38" s="50">
        <f>ROUND($B$6*$B$8*$B$13*$B$16*$B$18*$B$22*$B$23,0)</f>
        <v/>
      </c>
      <c r="AG38" s="50">
        <f>ROUND($B$6*$B$8*$B$13*$B$16*$B$18*$B$22*$B$24,0)</f>
        <v/>
      </c>
      <c r="AH38" s="50">
        <f>ROUND($B$6*$B$8*$B$13*$B$16*$B$19*$B$20*$B$23,0)</f>
        <v/>
      </c>
      <c r="AI38" s="50">
        <f>ROUND($B$6*$B$8*$B$13*$B$16*$B$19*$B$20*$B$24,0)</f>
        <v/>
      </c>
      <c r="AJ38" s="50">
        <f>ROUND($B$6*$B$8*$B$13*$B$16*$B$19*$B$21*$B$23,0)</f>
        <v/>
      </c>
      <c r="AK38" s="50">
        <f>ROUND($B$6*$B$8*$B$13*$B$16*$B$19*$B$21*$B$24,0)</f>
        <v/>
      </c>
      <c r="AL38" s="50">
        <f>ROUND($B$6*$B$8*$B$13*$B$16*$B$19*$B$22*$B$23,0)</f>
        <v/>
      </c>
      <c r="AM38" s="50">
        <f>ROUND($B$6*$B$8*$B$13*$B$16*$B$19*$B$22*$B$24,0)</f>
        <v/>
      </c>
    </row>
    <row r="39" ht="20.1" customHeight="1" s="62">
      <c r="A39" s="104" t="n"/>
      <c r="B39" s="59" t="n"/>
      <c r="C39" s="51" t="inlineStr">
        <is>
          <t>Criticité élevée</t>
        </is>
      </c>
      <c r="D39" s="50">
        <f>ROUND($B$4*$B$8*$B$13*$B$17*$B$18*$B$20*$B$23,0)</f>
        <v/>
      </c>
      <c r="E39" s="50">
        <f>ROUND($B$4*$B$8*$B$13*$B$17*$B$18*$B$20*$B$24,0)</f>
        <v/>
      </c>
      <c r="F39" s="50">
        <f>ROUND($B$4*$B$8*$B$13*$B$17*$B$18*$B$21*$B$23,0)</f>
        <v/>
      </c>
      <c r="G39" s="50">
        <f>ROUND($B$4*$B$8*$B$13*$B$17*$B$18*$B$21*$B$24,0)</f>
        <v/>
      </c>
      <c r="H39" s="50">
        <f>ROUND($B$4*$B$8*$B$13*$B$17*$B$18*$B$22*$B$23,0)</f>
        <v/>
      </c>
      <c r="I39" s="50">
        <f>ROUND($B$4*$B$8*$B$13*$B$17*$B$18*$B$22*$B$24,0)</f>
        <v/>
      </c>
      <c r="J39" s="50">
        <f>ROUND($B$4*$B$8*$B$13*$B$17*$B$19*$B$20*$B$23,0)</f>
        <v/>
      </c>
      <c r="K39" s="50">
        <f>ROUND($B$4*$B$8*$B$13*$B$17*$B$19*$B$20*$B$24,0)</f>
        <v/>
      </c>
      <c r="L39" s="50">
        <f>ROUND($B$4*$B$8*$B$13*$B$17*$B$19*$B$21*$B$23,0)</f>
        <v/>
      </c>
      <c r="M39" s="50">
        <f>ROUND($B$4*$B$8*$B$13*$B$17*$B$19*$B$21*$B$24,0)</f>
        <v/>
      </c>
      <c r="N39" s="50">
        <f>ROUND($B$4*$B$8*$B$13*$B$17*$B$19*$B$22*$B$23,0)</f>
        <v/>
      </c>
      <c r="O39" s="50">
        <f>ROUND($B$4*$B$8*$B$13*$B$17*$B$19*$B$22*$B$24,0)</f>
        <v/>
      </c>
      <c r="P39" s="50">
        <f>ROUND($B$5*$B$8*$B$13*$B$17*$B$18*$B$20*$B$23,0)</f>
        <v/>
      </c>
      <c r="Q39" s="50">
        <f>ROUND($B$5*$B$8*$B$13*$B$17*$B$18*$B$20*$B$24,0)</f>
        <v/>
      </c>
      <c r="R39" s="50">
        <f>ROUND($B$5*$B$8*$B$13*$B$17*$B$18*$B$21*$B$23,0)</f>
        <v/>
      </c>
      <c r="S39" s="50">
        <f>ROUND($B$5*$B$8*$B$13*$B$17*$B$18*$B$21*$B$24,0)</f>
        <v/>
      </c>
      <c r="T39" s="50">
        <f>ROUND($B$5*$B$8*$B$13*$B$17*$B$18*$B$22*$B$23,0)</f>
        <v/>
      </c>
      <c r="U39" s="50">
        <f>ROUND($B$5*$B$8*$B$13*$B$17*$B$18*$B$22*$B$24,0)</f>
        <v/>
      </c>
      <c r="V39" s="50">
        <f>ROUND($B$5*$B$8*$B$13*$B$17*$B$19*$B$20*$B$23,0)</f>
        <v/>
      </c>
      <c r="W39" s="50">
        <f>ROUND($B$5*$B$8*$B$13*$B$17*$B$19*$B$20*$B$24,0)</f>
        <v/>
      </c>
      <c r="X39" s="50">
        <f>ROUND($B$5*$B$8*$B$13*$B$17*$B$19*$B$21*$B$23,0)</f>
        <v/>
      </c>
      <c r="Y39" s="50">
        <f>ROUND($B$5*$B$8*$B$13*$B$17*$B$19*$B$21*$B$24,0)</f>
        <v/>
      </c>
      <c r="Z39" s="50">
        <f>ROUND($B$5*$B$8*$B$13*$B$17*$B$19*$B$22*$B$23,0)</f>
        <v/>
      </c>
      <c r="AA39" s="50">
        <f>ROUND($B$5*$B$8*$B$13*$B$17*$B$19*$B$22*$B$24,0)</f>
        <v/>
      </c>
      <c r="AB39" s="50">
        <f>ROUND($B$6*$B$8*$B$13*$B$17*$B$18*$B$20*$B$23,0)</f>
        <v/>
      </c>
      <c r="AC39" s="50">
        <f>ROUND($B$6*$B$8*$B$13*$B$17*$B$18*$B$20*$B$24,0)</f>
        <v/>
      </c>
      <c r="AD39" s="50">
        <f>ROUND($B$6*$B$8*$B$13*$B$17*$B$18*$B$21*$B$23,0)</f>
        <v/>
      </c>
      <c r="AE39" s="50">
        <f>ROUND($B$6*$B$8*$B$13*$B$17*$B$18*$B$21*$B$24,0)</f>
        <v/>
      </c>
      <c r="AF39" s="50">
        <f>ROUND($B$6*$B$8*$B$13*$B$17*$B$18*$B$22*$B$23,0)</f>
        <v/>
      </c>
      <c r="AG39" s="50">
        <f>ROUND($B$6*$B$8*$B$13*$B$17*$B$18*$B$22*$B$24,0)</f>
        <v/>
      </c>
      <c r="AH39" s="50">
        <f>ROUND($B$6*$B$8*$B$13*$B$17*$B$19*$B$20*$B$23,0)</f>
        <v/>
      </c>
      <c r="AI39" s="50">
        <f>ROUND($B$6*$B$8*$B$13*$B$17*$B$19*$B$20*$B$24,0)</f>
        <v/>
      </c>
      <c r="AJ39" s="50">
        <f>ROUND($B$6*$B$8*$B$13*$B$17*$B$19*$B$21*$B$23,0)</f>
        <v/>
      </c>
      <c r="AK39" s="50">
        <f>ROUND($B$6*$B$8*$B$13*$B$17*$B$19*$B$21*$B$24,0)</f>
        <v/>
      </c>
      <c r="AL39" s="50">
        <f>ROUND($B$6*$B$8*$B$13*$B$17*$B$19*$B$22*$B$23,0)</f>
        <v/>
      </c>
      <c r="AM39" s="50">
        <f>ROUND($B$6*$B$8*$B$13*$B$17*$B$19*$B$22*$B$24,0)</f>
        <v/>
      </c>
    </row>
    <row r="40" ht="20.1" customHeight="1" s="62">
      <c r="A40" s="104" t="n"/>
      <c r="B40" s="101" t="inlineStr">
        <is>
          <t>Serveur</t>
        </is>
      </c>
      <c r="C40" s="49" t="inlineStr">
        <is>
          <t>Criticité faible</t>
        </is>
      </c>
      <c r="D40" s="50">
        <f>ROUND($B$4*$B$8*$B$14*$B$15*$B$18*$B$20*$B$23,0)</f>
        <v/>
      </c>
      <c r="E40" s="50">
        <f>ROUND($B$4*$B$8*$B$14*$B$15*$B$18*$B$20*$B$24,0)</f>
        <v/>
      </c>
      <c r="F40" s="50">
        <f>ROUND($B$4*$B$8*$B$14*$B$15*$B$18*$B$21*$B$23,0)</f>
        <v/>
      </c>
      <c r="G40" s="50">
        <f>ROUND($B$4*$B$8*$B$14*$B$15*$B$18*$B$21*$B$24,0)</f>
        <v/>
      </c>
      <c r="H40" s="50">
        <f>ROUND($B$4*$B$8*$B$14*$B$15*$B$18*$B$22*$B$23,0)</f>
        <v/>
      </c>
      <c r="I40" s="50">
        <f>ROUND($B$4*$B$8*$B$14*$B$15*$B$18*$B$22*$B$24,0)</f>
        <v/>
      </c>
      <c r="J40" s="50">
        <f>ROUND($B$4*$B$8*$B$14*$B$15*$B$19*$B$20*$B$23,0)</f>
        <v/>
      </c>
      <c r="K40" s="50">
        <f>ROUND($B$4*$B$8*$B$14*$B$15*$B$19*$B$20*$B$24,0)</f>
        <v/>
      </c>
      <c r="L40" s="50">
        <f>ROUND($B$4*$B$8*$B$14*$B$15*$B$19*$B$21*$B$23,0)</f>
        <v/>
      </c>
      <c r="M40" s="50">
        <f>ROUND($B$4*$B$8*$B$14*$B$15*$B$19*$B$21*$B$24,0)</f>
        <v/>
      </c>
      <c r="N40" s="50">
        <f>ROUND($B$4*$B$8*$B$14*$B$15*$B$19*$B$22*$B$23,0)</f>
        <v/>
      </c>
      <c r="O40" s="50">
        <f>ROUND($B$4*$B$8*$B$14*$B$15*$B$19*$B$22*$B$24,0)</f>
        <v/>
      </c>
      <c r="P40" s="50">
        <f>ROUND($B$5*$B$8*$B$14*$B$15*$B$18*$B$20*$B$23,0)</f>
        <v/>
      </c>
      <c r="Q40" s="50">
        <f>ROUND($B$5*$B$8*$B$14*$B$15*$B$18*$B$20*$B$24,0)</f>
        <v/>
      </c>
      <c r="R40" s="50">
        <f>ROUND($B$5*$B$8*$B$14*$B$15*$B$18*$B$21*$B$23,0)</f>
        <v/>
      </c>
      <c r="S40" s="50">
        <f>ROUND($B$5*$B$8*$B$14*$B$15*$B$18*$B$21*$B$24,0)</f>
        <v/>
      </c>
      <c r="T40" s="50">
        <f>ROUND($B$5*$B$8*$B$14*$B$15*$B$18*$B$22*$B$23,0)</f>
        <v/>
      </c>
      <c r="U40" s="50">
        <f>ROUND($B$5*$B$8*$B$14*$B$15*$B$18*$B$22*$B$24,0)</f>
        <v/>
      </c>
      <c r="V40" s="50">
        <f>ROUND($B$5*$B$8*$B$14*$B$15*$B$19*$B$20*$B$23,0)</f>
        <v/>
      </c>
      <c r="W40" s="50">
        <f>ROUND($B$5*$B$8*$B$14*$B$15*$B$19*$B$20*$B$24,0)</f>
        <v/>
      </c>
      <c r="X40" s="50">
        <f>ROUND($B$5*$B$8*$B$14*$B$15*$B$19*$B$21*$B$23,0)</f>
        <v/>
      </c>
      <c r="Y40" s="50">
        <f>ROUND($B$5*$B$8*$B$14*$B$15*$B$19*$B$21*$B$24,0)</f>
        <v/>
      </c>
      <c r="Z40" s="50">
        <f>ROUND($B$5*$B$8*$B$14*$B$15*$B$19*$B$22*$B$23,0)</f>
        <v/>
      </c>
      <c r="AA40" s="50">
        <f>ROUND($B$5*$B$8*$B$14*$B$15*$B$19*$B$22*$B$24,0)</f>
        <v/>
      </c>
      <c r="AB40" s="50">
        <f>ROUND($B$6*$B$8*$B$14*$B$15*$B$18*$B$20*$B$23,0)</f>
        <v/>
      </c>
      <c r="AC40" s="50">
        <f>ROUND($B$6*$B$8*$B$14*$B$15*$B$18*$B$20*$B$24,0)</f>
        <v/>
      </c>
      <c r="AD40" s="50">
        <f>ROUND($B$6*$B$8*$B$14*$B$15*$B$18*$B$21*$B$23,0)</f>
        <v/>
      </c>
      <c r="AE40" s="50">
        <f>ROUND($B$6*$B$8*$B$14*$B$15*$B$18*$B$21*$B$24,0)</f>
        <v/>
      </c>
      <c r="AF40" s="50">
        <f>ROUND($B$6*$B$8*$B$14*$B$15*$B$18*$B$22*$B$23,0)</f>
        <v/>
      </c>
      <c r="AG40" s="50">
        <f>ROUND($B$6*$B$8*$B$14*$B$15*$B$18*$B$22*$B$24,0)</f>
        <v/>
      </c>
      <c r="AH40" s="50">
        <f>ROUND($B$6*$B$8*$B$14*$B$15*$B$19*$B$20*$B$23,0)</f>
        <v/>
      </c>
      <c r="AI40" s="50">
        <f>ROUND($B$6*$B$8*$B$14*$B$15*$B$19*$B$20*$B$24,0)</f>
        <v/>
      </c>
      <c r="AJ40" s="50">
        <f>ROUND($B$6*$B$8*$B$14*$B$15*$B$19*$B$21*$B$23,0)</f>
        <v/>
      </c>
      <c r="AK40" s="50">
        <f>ROUND($B$6*$B$8*$B$14*$B$15*$B$19*$B$21*$B$24,0)</f>
        <v/>
      </c>
      <c r="AL40" s="50">
        <f>ROUND($B$6*$B$8*$B$14*$B$15*$B$19*$B$22*$B$23,0)</f>
        <v/>
      </c>
      <c r="AM40" s="50">
        <f>ROUND($B$6*$B$8*$B$14*$B$15*$B$19*$B$22*$B$24,0)</f>
        <v/>
      </c>
    </row>
    <row r="41" ht="20.1" customHeight="1" s="62">
      <c r="A41" s="104" t="n"/>
      <c r="B41" s="58" t="n"/>
      <c r="C41" s="101" t="inlineStr">
        <is>
          <t>Criticité modérée</t>
        </is>
      </c>
      <c r="D41" s="50">
        <f>ROUND($B$4*$B$8*$B$14*$B$16*$B$18*$B$20*$B$23,0)</f>
        <v/>
      </c>
      <c r="E41" s="50">
        <f>ROUND($B$4*$B$8*$B$14*$B$16*$B$18*$B$20*$B$24,0)</f>
        <v/>
      </c>
      <c r="F41" s="50">
        <f>ROUND($B$4*$B$8*$B$14*$B$16*$B$18*$B$21*$B$23,0)</f>
        <v/>
      </c>
      <c r="G41" s="50">
        <f>ROUND($B$4*$B$8*$B$14*$B$16*$B$18*$B$21*$B$24,0)</f>
        <v/>
      </c>
      <c r="H41" s="50">
        <f>ROUND($B$4*$B$8*$B$14*$B$16*$B$18*$B$22*$B$23,0)</f>
        <v/>
      </c>
      <c r="I41" s="50">
        <f>ROUND($B$4*$B$8*$B$14*$B$16*$B$18*$B$22*$B$24,0)</f>
        <v/>
      </c>
      <c r="J41" s="50">
        <f>ROUND($B$4*$B$8*$B$14*$B$16*$B$19*$B$20*$B$23,0)</f>
        <v/>
      </c>
      <c r="K41" s="50">
        <f>ROUND($B$4*$B$8*$B$14*$B$16*$B$19*$B$20*$B$24,0)</f>
        <v/>
      </c>
      <c r="L41" s="50">
        <f>ROUND($B$4*$B$8*$B$14*$B$16*$B$19*$B$21*$B$23,0)</f>
        <v/>
      </c>
      <c r="M41" s="50">
        <f>ROUND($B$4*$B$8*$B$14*$B$16*$B$19*$B$21*$B$24,0)</f>
        <v/>
      </c>
      <c r="N41" s="50">
        <f>ROUND($B$4*$B$8*$B$14*$B$16*$B$19*$B$22*$B$23,0)</f>
        <v/>
      </c>
      <c r="O41" s="50">
        <f>ROUND($B$4*$B$8*$B$14*$B$16*$B$19*$B$22*$B$24,0)</f>
        <v/>
      </c>
      <c r="P41" s="50">
        <f>ROUND($B$5*$B$8*$B$14*$B$16*$B$18*$B$20*$B$23,0)</f>
        <v/>
      </c>
      <c r="Q41" s="50">
        <f>ROUND($B$5*$B$8*$B$14*$B$16*$B$18*$B$20*$B$24,0)</f>
        <v/>
      </c>
      <c r="R41" s="50">
        <f>ROUND($B$5*$B$8*$B$14*$B$16*$B$18*$B$21*$B$23,0)</f>
        <v/>
      </c>
      <c r="S41" s="50">
        <f>ROUND($B$5*$B$8*$B$14*$B$16*$B$18*$B$21*$B$24,0)</f>
        <v/>
      </c>
      <c r="T41" s="50">
        <f>ROUND($B$5*$B$8*$B$14*$B$16*$B$18*$B$22*$B$23,0)</f>
        <v/>
      </c>
      <c r="U41" s="50">
        <f>ROUND($B$5*$B$8*$B$14*$B$16*$B$18*$B$22*$B$24,0)</f>
        <v/>
      </c>
      <c r="V41" s="50">
        <f>ROUND($B$5*$B$8*$B$14*$B$16*$B$19*$B$20*$B$23,0)</f>
        <v/>
      </c>
      <c r="W41" s="50">
        <f>ROUND($B$5*$B$8*$B$14*$B$16*$B$19*$B$20*$B$24,0)</f>
        <v/>
      </c>
      <c r="X41" s="50">
        <f>ROUND($B$5*$B$8*$B$14*$B$16*$B$19*$B$21*$B$23,0)</f>
        <v/>
      </c>
      <c r="Y41" s="50">
        <f>ROUND($B$5*$B$8*$B$14*$B$16*$B$19*$B$21*$B$24,0)</f>
        <v/>
      </c>
      <c r="Z41" s="50">
        <f>ROUND($B$5*$B$8*$B$14*$B$16*$B$19*$B$22*$B$23,0)</f>
        <v/>
      </c>
      <c r="AA41" s="50">
        <f>ROUND($B$5*$B$8*$B$14*$B$16*$B$19*$B$22*$B$24,0)</f>
        <v/>
      </c>
      <c r="AB41" s="50">
        <f>ROUND($B$6*$B$8*$B$14*$B$16*$B$18*$B$20*$B$23,0)</f>
        <v/>
      </c>
      <c r="AC41" s="50">
        <f>ROUND($B$6*$B$8*$B$14*$B$16*$B$18*$B$20*$B$24,0)</f>
        <v/>
      </c>
      <c r="AD41" s="50">
        <f>ROUND($B$6*$B$8*$B$14*$B$16*$B$18*$B$21*$B$23,0)</f>
        <v/>
      </c>
      <c r="AE41" s="50">
        <f>ROUND($B$6*$B$8*$B$14*$B$16*$B$18*$B$21*$B$24,0)</f>
        <v/>
      </c>
      <c r="AF41" s="50">
        <f>ROUND($B$6*$B$8*$B$14*$B$16*$B$18*$B$22*$B$23,0)</f>
        <v/>
      </c>
      <c r="AG41" s="50">
        <f>ROUND($B$6*$B$8*$B$14*$B$16*$B$18*$B$22*$B$24,0)</f>
        <v/>
      </c>
      <c r="AH41" s="50">
        <f>ROUND($B$6*$B$8*$B$14*$B$16*$B$19*$B$20*$B$23,0)</f>
        <v/>
      </c>
      <c r="AI41" s="50">
        <f>ROUND($B$6*$B$8*$B$14*$B$16*$B$19*$B$20*$B$24,0)</f>
        <v/>
      </c>
      <c r="AJ41" s="50">
        <f>ROUND($B$6*$B$8*$B$14*$B$16*$B$19*$B$21*$B$23,0)</f>
        <v/>
      </c>
      <c r="AK41" s="50">
        <f>ROUND($B$6*$B$8*$B$14*$B$16*$B$19*$B$21*$B$24,0)</f>
        <v/>
      </c>
      <c r="AL41" s="50">
        <f>ROUND($B$6*$B$8*$B$14*$B$16*$B$19*$B$22*$B$23,0)</f>
        <v/>
      </c>
      <c r="AM41" s="50">
        <f>ROUND($B$6*$B$8*$B$14*$B$16*$B$19*$B$22*$B$24,0)</f>
        <v/>
      </c>
    </row>
    <row r="42" ht="20.1" customHeight="1" s="62">
      <c r="A42" s="105" t="n"/>
      <c r="B42" s="59" t="n"/>
      <c r="C42" s="51" t="inlineStr">
        <is>
          <t>Criticité élevée</t>
        </is>
      </c>
      <c r="D42" s="50">
        <f>ROUND($B$4*$B$8*$B$14*$B$17*$B$18*$B$20*$B$23,0)</f>
        <v/>
      </c>
      <c r="E42" s="50">
        <f>ROUND($B$4*$B$8*$B$14*$B$17*$B$18*$B$20*$B$24,0)</f>
        <v/>
      </c>
      <c r="F42" s="50">
        <f>ROUND($B$4*$B$8*$B$14*$B$17*$B$18*$B$21*$B$23,0)</f>
        <v/>
      </c>
      <c r="G42" s="50">
        <f>ROUND($B$4*$B$8*$B$14*$B$17*$B$18*$B$21*$B$24,0)</f>
        <v/>
      </c>
      <c r="H42" s="50">
        <f>ROUND($B$4*$B$8*$B$14*$B$17*$B$18*$B$22*$B$23,0)</f>
        <v/>
      </c>
      <c r="I42" s="50">
        <f>ROUND($B$4*$B$8*$B$14*$B$17*$B$18*$B$22*$B$24,0)</f>
        <v/>
      </c>
      <c r="J42" s="50">
        <f>ROUND($B$4*$B$8*$B$14*$B$17*$B$19*$B$20*$B$23,0)</f>
        <v/>
      </c>
      <c r="K42" s="50">
        <f>ROUND($B$4*$B$8*$B$14*$B$17*$B$19*$B$20*$B$24,0)</f>
        <v/>
      </c>
      <c r="L42" s="50">
        <f>ROUND($B$4*$B$8*$B$14*$B$17*$B$19*$B$21*$B$23,0)</f>
        <v/>
      </c>
      <c r="M42" s="50">
        <f>ROUND($B$4*$B$8*$B$14*$B$17*$B$19*$B$21*$B$24,0)</f>
        <v/>
      </c>
      <c r="N42" s="50">
        <f>ROUND($B$4*$B$8*$B$14*$B$17*$B$19*$B$22*$B$23,0)</f>
        <v/>
      </c>
      <c r="O42" s="50">
        <f>ROUND($B$4*$B$8*$B$14*$B$17*$B$19*$B$22*$B$24,0)</f>
        <v/>
      </c>
      <c r="P42" s="50">
        <f>ROUND($B$5*$B$8*$B$14*$B$17*$B$18*$B$20*$B$23,0)</f>
        <v/>
      </c>
      <c r="Q42" s="50">
        <f>ROUND($B$5*$B$8*$B$14*$B$17*$B$18*$B$20*$B$24,0)</f>
        <v/>
      </c>
      <c r="R42" s="50">
        <f>ROUND($B$5*$B$8*$B$14*$B$17*$B$18*$B$21*$B$23,0)</f>
        <v/>
      </c>
      <c r="S42" s="50">
        <f>ROUND($B$5*$B$8*$B$14*$B$17*$B$18*$B$21*$B$24,0)</f>
        <v/>
      </c>
      <c r="T42" s="50">
        <f>ROUND($B$5*$B$8*$B$14*$B$17*$B$18*$B$22*$B$23,0)</f>
        <v/>
      </c>
      <c r="U42" s="50">
        <f>ROUND($B$5*$B$8*$B$14*$B$17*$B$18*$B$22*$B$24,0)</f>
        <v/>
      </c>
      <c r="V42" s="50">
        <f>ROUND($B$5*$B$8*$B$14*$B$17*$B$19*$B$20*$B$23,0)</f>
        <v/>
      </c>
      <c r="W42" s="50">
        <f>ROUND($B$5*$B$8*$B$14*$B$17*$B$19*$B$20*$B$24,0)</f>
        <v/>
      </c>
      <c r="X42" s="50">
        <f>ROUND($B$5*$B$8*$B$14*$B$17*$B$19*$B$21*$B$23,0)</f>
        <v/>
      </c>
      <c r="Y42" s="50">
        <f>ROUND($B$5*$B$8*$B$14*$B$17*$B$19*$B$21*$B$24,0)</f>
        <v/>
      </c>
      <c r="Z42" s="50">
        <f>ROUND($B$5*$B$8*$B$14*$B$17*$B$19*$B$22*$B$23,0)</f>
        <v/>
      </c>
      <c r="AA42" s="50">
        <f>ROUND($B$5*$B$8*$B$14*$B$17*$B$19*$B$22*$B$24,0)</f>
        <v/>
      </c>
      <c r="AB42" s="50">
        <f>ROUND($B$6*$B$8*$B$14*$B$17*$B$18*$B$20*$B$23,0)</f>
        <v/>
      </c>
      <c r="AC42" s="50">
        <f>ROUND($B$6*$B$8*$B$14*$B$17*$B$18*$B$20*$B$24,0)</f>
        <v/>
      </c>
      <c r="AD42" s="50">
        <f>ROUND($B$6*$B$8*$B$14*$B$17*$B$18*$B$21*$B$23,0)</f>
        <v/>
      </c>
      <c r="AE42" s="50">
        <f>ROUND($B$6*$B$8*$B$14*$B$17*$B$18*$B$21*$B$24,0)</f>
        <v/>
      </c>
      <c r="AF42" s="50">
        <f>ROUND($B$6*$B$8*$B$14*$B$17*$B$18*$B$22*$B$23,0)</f>
        <v/>
      </c>
      <c r="AG42" s="50">
        <f>ROUND($B$6*$B$8*$B$14*$B$17*$B$18*$B$22*$B$24,0)</f>
        <v/>
      </c>
      <c r="AH42" s="50">
        <f>ROUND($B$6*$B$8*$B$14*$B$17*$B$19*$B$20*$B$23,0)</f>
        <v/>
      </c>
      <c r="AI42" s="50">
        <f>ROUND($B$6*$B$8*$B$14*$B$17*$B$19*$B$20*$B$24,0)</f>
        <v/>
      </c>
      <c r="AJ42" s="50">
        <f>ROUND($B$6*$B$8*$B$14*$B$17*$B$19*$B$21*$B$23,0)</f>
        <v/>
      </c>
      <c r="AK42" s="50">
        <f>ROUND($B$6*$B$8*$B$14*$B$17*$B$19*$B$21*$B$24,0)</f>
        <v/>
      </c>
      <c r="AL42" s="50">
        <f>ROUND($B$6*$B$8*$B$14*$B$17*$B$19*$B$22*$B$23,0)</f>
        <v/>
      </c>
      <c r="AM42" s="50">
        <f>ROUND($B$6*$B$8*$B$14*$B$17*$B$19*$B$22*$B$24,0)</f>
        <v/>
      </c>
    </row>
    <row r="43" ht="20.1" customHeight="1" s="62">
      <c r="A43" s="103" t="inlineStr">
        <is>
          <t>Intermédiaire</t>
        </is>
      </c>
      <c r="B43" s="101" t="inlineStr">
        <is>
          <t>Site web</t>
        </is>
      </c>
      <c r="C43" s="49" t="inlineStr">
        <is>
          <t>Criticité faible</t>
        </is>
      </c>
      <c r="D43" s="50">
        <f>ROUND($B$4*$B$9*$B$11*$B$15*$B$18*$B$20*$B$23,0)</f>
        <v/>
      </c>
      <c r="E43" s="50">
        <f>ROUND($B$4*$B$9*$B$11*$B$15*$B$18*$B$20*$B$24,0)</f>
        <v/>
      </c>
      <c r="F43" s="50">
        <f>ROUND($B$4*$B$9*$B$11*$B$15*$B$18*$B$21*$B$23,0)</f>
        <v/>
      </c>
      <c r="G43" s="50">
        <f>ROUND($B$4*$B$9*$B$11*$B$15*$B$18*$B$21*$B$24,0)</f>
        <v/>
      </c>
      <c r="H43" s="50">
        <f>ROUND($B$4*$B$9*$B$11*$B$15*$B$18*$B$22*$B$23,0)</f>
        <v/>
      </c>
      <c r="I43" s="50">
        <f>ROUND($B$4*$B$9*$B$11*$B$15*$B$18*$B$22*$B$24,0)</f>
        <v/>
      </c>
      <c r="J43" s="50">
        <f>ROUND($B$4*$B$9*$B$11*$B$15*$B$19*$B$20*$B$23,0)</f>
        <v/>
      </c>
      <c r="K43" s="50">
        <f>ROUND($B$4*$B$9*$B$11*$B$15*$B$19*$B$20*$B$24,0)</f>
        <v/>
      </c>
      <c r="L43" s="50">
        <f>ROUND($B$4*$B$9*$B$11*$B$15*$B$19*$B$21*$B$23,0)</f>
        <v/>
      </c>
      <c r="M43" s="50">
        <f>ROUND($B$4*$B$9*$B$11*$B$15*$B$19*$B$21*$B$24,0)</f>
        <v/>
      </c>
      <c r="N43" s="50">
        <f>ROUND($B$4*$B$9*$B$11*$B$15*$B$19*$B$22*$B$23,0)</f>
        <v/>
      </c>
      <c r="O43" s="50">
        <f>ROUND($B$4*$B$9*$B$11*$B$15*$B$19*$B$22*$B$24,0)</f>
        <v/>
      </c>
      <c r="P43" s="50">
        <f>ROUND($B$5*$B$9*$B$11*$B$15*$B$18*$B$20*$B$23,0)</f>
        <v/>
      </c>
      <c r="Q43" s="50">
        <f>ROUND($B$5*$B$9*$B$11*$B$15*$B$18*$B$20*$B$24,0)</f>
        <v/>
      </c>
      <c r="R43" s="50">
        <f>ROUND($B$5*$B$9*$B$11*$B$15*$B$18*$B$21*$B$23,0)</f>
        <v/>
      </c>
      <c r="S43" s="50">
        <f>ROUND($B$5*$B$9*$B$11*$B$15*$B$18*$B$21*$B$24,0)</f>
        <v/>
      </c>
      <c r="T43" s="50">
        <f>ROUND($B$5*$B$9*$B$11*$B$15*$B$18*$B$22*$B$23,0)</f>
        <v/>
      </c>
      <c r="U43" s="50">
        <f>ROUND($B$5*$B$9*$B$11*$B$15*$B$18*$B$22*$B$24,0)</f>
        <v/>
      </c>
      <c r="V43" s="50">
        <f>ROUND($B$5*$B$9*$B$11*$B$15*$B$19*$B$20*$B$23,0)</f>
        <v/>
      </c>
      <c r="W43" s="50">
        <f>ROUND($B$5*$B$9*$B$11*$B$15*$B$19*$B$20*$B$24,0)</f>
        <v/>
      </c>
      <c r="X43" s="50">
        <f>ROUND($B$5*$B$9*$B$11*$B$15*$B$19*$B$21*$B$23,0)</f>
        <v/>
      </c>
      <c r="Y43" s="50">
        <f>ROUND($B$5*$B$9*$B$11*$B$15*$B$19*$B$21*$B$24,0)</f>
        <v/>
      </c>
      <c r="Z43" s="50">
        <f>ROUND($B$5*$B$9*$B$11*$B$15*$B$19*$B$22*$B$23,0)</f>
        <v/>
      </c>
      <c r="AA43" s="50">
        <f>ROUND($B$5*$B$9*$B$11*$B$15*$B$19*$B$22*$B$24,0)</f>
        <v/>
      </c>
      <c r="AB43" s="50">
        <f>ROUND($B$6*$B$9*$B$11*$B$15*$B$18*$B$20*$B$23,0)</f>
        <v/>
      </c>
      <c r="AC43" s="50">
        <f>ROUND($B$6*$B$9*$B$11*$B$15*$B$18*$B$20*$B$24,0)</f>
        <v/>
      </c>
      <c r="AD43" s="50">
        <f>ROUND($B$6*$B$9*$B$11*$B$15*$B$18*$B$21*$B$23,0)</f>
        <v/>
      </c>
      <c r="AE43" s="50">
        <f>ROUND($B$6*$B$9*$B$11*$B$15*$B$18*$B$21*$B$24,0)</f>
        <v/>
      </c>
      <c r="AF43" s="50">
        <f>ROUND($B$6*$B$9*$B$11*$B$15*$B$18*$B$22*$B$23,0)</f>
        <v/>
      </c>
      <c r="AG43" s="50">
        <f>ROUND($B$6*$B$9*$B$11*$B$15*$B$18*$B$22*$B$24,0)</f>
        <v/>
      </c>
      <c r="AH43" s="50">
        <f>ROUND($B$6*$B$9*$B$11*$B$15*$B$19*$B$20*$B$23,0)</f>
        <v/>
      </c>
      <c r="AI43" s="50">
        <f>ROUND($B$6*$B$9*$B$11*$B$15*$B$19*$B$20*$B$24,0)</f>
        <v/>
      </c>
      <c r="AJ43" s="50">
        <f>ROUND($B$6*$B$9*$B$11*$B$15*$B$19*$B$21*$B$23,0)</f>
        <v/>
      </c>
      <c r="AK43" s="50">
        <f>ROUND($B$6*$B$9*$B$11*$B$15*$B$19*$B$21*$B$24,0)</f>
        <v/>
      </c>
      <c r="AL43" s="50">
        <f>ROUND($B$6*$B$9*$B$11*$B$15*$B$19*$B$22*$B$23,0)</f>
        <v/>
      </c>
      <c r="AM43" s="50">
        <f>ROUND($B$6*$B$9*$B$11*$B$15*$B$19*$B$22*$B$24,0)</f>
        <v/>
      </c>
    </row>
    <row r="44" ht="20.1" customHeight="1" s="62">
      <c r="A44" s="104" t="n"/>
      <c r="B44" s="58" t="n"/>
      <c r="C44" s="101" t="inlineStr">
        <is>
          <t>Criticité modérée</t>
        </is>
      </c>
      <c r="D44" s="50">
        <f>ROUND($B$4*$B$9*$B$11*$B$16*$B$18*$B$20*$B$23,0)</f>
        <v/>
      </c>
      <c r="E44" s="50">
        <f>ROUND($B$4*$B$9*$B$11*$B$16*$B$18*$B$20*$B$24,0)</f>
        <v/>
      </c>
      <c r="F44" s="50">
        <f>ROUND($B$4*$B$9*$B$11*$B$16*$B$18*$B$21*$B$23,0)</f>
        <v/>
      </c>
      <c r="G44" s="50">
        <f>ROUND($B$4*$B$9*$B$11*$B$16*$B$18*$B$21*$B$24,0)</f>
        <v/>
      </c>
      <c r="H44" s="50">
        <f>ROUND($B$4*$B$9*$B$11*$B$16*$B$18*$B$22*$B$23,0)</f>
        <v/>
      </c>
      <c r="I44" s="50">
        <f>ROUND($B$4*$B$9*$B$11*$B$16*$B$18*$B$22*$B$24,0)</f>
        <v/>
      </c>
      <c r="J44" s="50">
        <f>ROUND($B$4*$B$9*$B$11*$B$16*$B$19*$B$20*$B$23,0)</f>
        <v/>
      </c>
      <c r="K44" s="50">
        <f>ROUND($B$4*$B$9*$B$11*$B$16*$B$19*$B$20*$B$24,0)</f>
        <v/>
      </c>
      <c r="L44" s="50">
        <f>ROUND($B$4*$B$9*$B$11*$B$16*$B$19*$B$21*$B$23,0)</f>
        <v/>
      </c>
      <c r="M44" s="50">
        <f>ROUND($B$4*$B$9*$B$11*$B$16*$B$19*$B$21*$B$24,0)</f>
        <v/>
      </c>
      <c r="N44" s="50">
        <f>ROUND($B$4*$B$9*$B$11*$B$16*$B$19*$B$22*$B$23,0)</f>
        <v/>
      </c>
      <c r="O44" s="50">
        <f>ROUND($B$4*$B$9*$B$11*$B$16*$B$19*$B$22*$B$24,0)</f>
        <v/>
      </c>
      <c r="P44" s="50">
        <f>ROUND($B$5*$B$9*$B$11*$B$16*$B$18*$B$20*$B$23,0)</f>
        <v/>
      </c>
      <c r="Q44" s="50">
        <f>ROUND($B$5*$B$9*$B$11*$B$16*$B$18*$B$20*$B$24,0)</f>
        <v/>
      </c>
      <c r="R44" s="50">
        <f>ROUND($B$5*$B$9*$B$11*$B$16*$B$18*$B$21*$B$23,0)</f>
        <v/>
      </c>
      <c r="S44" s="50">
        <f>ROUND($B$5*$B$9*$B$11*$B$16*$B$18*$B$21*$B$24,0)</f>
        <v/>
      </c>
      <c r="T44" s="50">
        <f>ROUND($B$5*$B$9*$B$11*$B$16*$B$18*$B$22*$B$23,0)</f>
        <v/>
      </c>
      <c r="U44" s="50">
        <f>ROUND($B$5*$B$9*$B$11*$B$16*$B$18*$B$22*$B$24,0)</f>
        <v/>
      </c>
      <c r="V44" s="50">
        <f>ROUND($B$5*$B$9*$B$11*$B$16*$B$19*$B$20*$B$23,0)</f>
        <v/>
      </c>
      <c r="W44" s="50">
        <f>ROUND($B$5*$B$9*$B$11*$B$16*$B$19*$B$20*$B$24,0)</f>
        <v/>
      </c>
      <c r="X44" s="50">
        <f>ROUND($B$5*$B$9*$B$11*$B$16*$B$19*$B$21*$B$23,0)</f>
        <v/>
      </c>
      <c r="Y44" s="50">
        <f>ROUND($B$5*$B$9*$B$11*$B$16*$B$19*$B$21*$B$24,0)</f>
        <v/>
      </c>
      <c r="Z44" s="50">
        <f>ROUND($B$5*$B$9*$B$11*$B$16*$B$19*$B$22*$B$23,0)</f>
        <v/>
      </c>
      <c r="AA44" s="50">
        <f>ROUND($B$5*$B$9*$B$11*$B$16*$B$19*$B$22*$B$24,0)</f>
        <v/>
      </c>
      <c r="AB44" s="50">
        <f>ROUND($B$6*$B$9*$B$11*$B$16*$B$18*$B$20*$B$23,0)</f>
        <v/>
      </c>
      <c r="AC44" s="50">
        <f>ROUND($B$6*$B$9*$B$11*$B$16*$B$18*$B$20*$B$24,0)</f>
        <v/>
      </c>
      <c r="AD44" s="50">
        <f>ROUND($B$6*$B$9*$B$11*$B$16*$B$18*$B$21*$B$23,0)</f>
        <v/>
      </c>
      <c r="AE44" s="50">
        <f>ROUND($B$6*$B$9*$B$11*$B$16*$B$18*$B$21*$B$24,0)</f>
        <v/>
      </c>
      <c r="AF44" s="50">
        <f>ROUND($B$6*$B$9*$B$11*$B$16*$B$18*$B$22*$B$23,0)</f>
        <v/>
      </c>
      <c r="AG44" s="50">
        <f>ROUND($B$6*$B$9*$B$11*$B$16*$B$18*$B$22*$B$24,0)</f>
        <v/>
      </c>
      <c r="AH44" s="50">
        <f>ROUND($B$6*$B$9*$B$11*$B$16*$B$19*$B$20*$B$23,0)</f>
        <v/>
      </c>
      <c r="AI44" s="50">
        <f>ROUND($B$6*$B$9*$B$11*$B$16*$B$19*$B$20*$B$24,0)</f>
        <v/>
      </c>
      <c r="AJ44" s="50">
        <f>ROUND($B$6*$B$9*$B$11*$B$16*$B$19*$B$21*$B$23,0)</f>
        <v/>
      </c>
      <c r="AK44" s="50">
        <f>ROUND($B$6*$B$9*$B$11*$B$16*$B$19*$B$21*$B$24,0)</f>
        <v/>
      </c>
      <c r="AL44" s="50">
        <f>ROUND($B$6*$B$9*$B$11*$B$16*$B$19*$B$22*$B$23,0)</f>
        <v/>
      </c>
      <c r="AM44" s="50">
        <f>ROUND($B$6*$B$9*$B$11*$B$16*$B$19*$B$22*$B$24,0)</f>
        <v/>
      </c>
    </row>
    <row r="45" ht="20.1" customHeight="1" s="62">
      <c r="A45" s="104" t="n"/>
      <c r="B45" s="59" t="n"/>
      <c r="C45" s="51" t="inlineStr">
        <is>
          <t>Criticité élevée</t>
        </is>
      </c>
      <c r="D45" s="50">
        <f>ROUND($B$4*$B$9*$B$11*$B$17*$B$18*$B$20*$B$23,0)</f>
        <v/>
      </c>
      <c r="E45" s="50">
        <f>ROUND($B$4*$B$9*$B$11*$B$17*$B$18*$B$20*$B$24,0)</f>
        <v/>
      </c>
      <c r="F45" s="50">
        <f>ROUND($B$4*$B$9*$B$11*$B$17*$B$18*$B$21*$B$23,0)</f>
        <v/>
      </c>
      <c r="G45" s="50">
        <f>ROUND($B$4*$B$9*$B$11*$B$17*$B$18*$B$21*$B$24,0)</f>
        <v/>
      </c>
      <c r="H45" s="50">
        <f>ROUND($B$4*$B$9*$B$11*$B$17*$B$18*$B$22*$B$23,0)</f>
        <v/>
      </c>
      <c r="I45" s="50">
        <f>ROUND($B$4*$B$9*$B$11*$B$17*$B$18*$B$22*$B$24,0)</f>
        <v/>
      </c>
      <c r="J45" s="50">
        <f>ROUND($B$4*$B$9*$B$11*$B$17*$B$19*$B$20*$B$23,0)</f>
        <v/>
      </c>
      <c r="K45" s="50">
        <f>ROUND($B$4*$B$9*$B$11*$B$17*$B$19*$B$20*$B$24,0)</f>
        <v/>
      </c>
      <c r="L45" s="50">
        <f>ROUND($B$4*$B$9*$B$11*$B$17*$B$19*$B$21*$B$23,0)</f>
        <v/>
      </c>
      <c r="M45" s="50">
        <f>ROUND($B$4*$B$9*$B$11*$B$17*$B$19*$B$21*$B$24,0)</f>
        <v/>
      </c>
      <c r="N45" s="50">
        <f>ROUND($B$4*$B$9*$B$11*$B$17*$B$19*$B$22*$B$23,0)</f>
        <v/>
      </c>
      <c r="O45" s="50">
        <f>ROUND($B$4*$B$9*$B$11*$B$17*$B$19*$B$22*$B$24,0)</f>
        <v/>
      </c>
      <c r="P45" s="50">
        <f>ROUND($B$5*$B$9*$B$11*$B$17*$B$18*$B$20*$B$23,0)</f>
        <v/>
      </c>
      <c r="Q45" s="50">
        <f>ROUND($B$5*$B$9*$B$11*$B$17*$B$18*$B$20*$B$24,0)</f>
        <v/>
      </c>
      <c r="R45" s="50">
        <f>ROUND($B$5*$B$9*$B$11*$B$17*$B$18*$B$21*$B$23,0)</f>
        <v/>
      </c>
      <c r="S45" s="50">
        <f>ROUND($B$5*$B$9*$B$11*$B$17*$B$18*$B$21*$B$24,0)</f>
        <v/>
      </c>
      <c r="T45" s="50">
        <f>ROUND($B$5*$B$9*$B$11*$B$17*$B$18*$B$22*$B$23,0)</f>
        <v/>
      </c>
      <c r="U45" s="50">
        <f>ROUND($B$5*$B$9*$B$11*$B$17*$B$18*$B$22*$B$24,0)</f>
        <v/>
      </c>
      <c r="V45" s="50">
        <f>ROUND($B$5*$B$9*$B$11*$B$17*$B$19*$B$20*$B$23,0)</f>
        <v/>
      </c>
      <c r="W45" s="50">
        <f>ROUND($B$5*$B$9*$B$11*$B$17*$B$19*$B$20*$B$24,0)</f>
        <v/>
      </c>
      <c r="X45" s="50">
        <f>ROUND($B$5*$B$9*$B$11*$B$17*$B$19*$B$21*$B$23,0)</f>
        <v/>
      </c>
      <c r="Y45" s="50">
        <f>ROUND($B$5*$B$9*$B$11*$B$17*$B$19*$B$21*$B$24,0)</f>
        <v/>
      </c>
      <c r="Z45" s="50">
        <f>ROUND($B$5*$B$9*$B$11*$B$17*$B$19*$B$22*$B$23,0)</f>
        <v/>
      </c>
      <c r="AA45" s="50">
        <f>ROUND($B$5*$B$9*$B$11*$B$17*$B$19*$B$22*$B$24,0)</f>
        <v/>
      </c>
      <c r="AB45" s="50">
        <f>ROUND($B$6*$B$9*$B$11*$B$17*$B$18*$B$20*$B$23,0)</f>
        <v/>
      </c>
      <c r="AC45" s="50">
        <f>ROUND($B$6*$B$9*$B$11*$B$17*$B$18*$B$20*$B$24,0)</f>
        <v/>
      </c>
      <c r="AD45" s="50">
        <f>ROUND($B$6*$B$9*$B$11*$B$17*$B$18*$B$21*$B$23,0)</f>
        <v/>
      </c>
      <c r="AE45" s="50">
        <f>ROUND($B$6*$B$9*$B$11*$B$17*$B$18*$B$21*$B$24,0)</f>
        <v/>
      </c>
      <c r="AF45" s="50">
        <f>ROUND($B$6*$B$9*$B$11*$B$17*$B$18*$B$22*$B$23,0)</f>
        <v/>
      </c>
      <c r="AG45" s="50">
        <f>ROUND($B$6*$B$9*$B$11*$B$17*$B$18*$B$22*$B$24,0)</f>
        <v/>
      </c>
      <c r="AH45" s="50">
        <f>ROUND($B$6*$B$9*$B$11*$B$17*$B$19*$B$20*$B$23,0)</f>
        <v/>
      </c>
      <c r="AI45" s="50">
        <f>ROUND($B$6*$B$9*$B$11*$B$17*$B$19*$B$20*$B$24,0)</f>
        <v/>
      </c>
      <c r="AJ45" s="50">
        <f>ROUND($B$6*$B$9*$B$11*$B$17*$B$19*$B$21*$B$23,0)</f>
        <v/>
      </c>
      <c r="AK45" s="50">
        <f>ROUND($B$6*$B$9*$B$11*$B$17*$B$19*$B$21*$B$24,0)</f>
        <v/>
      </c>
      <c r="AL45" s="50">
        <f>ROUND($B$6*$B$9*$B$11*$B$17*$B$19*$B$22*$B$23,0)</f>
        <v/>
      </c>
      <c r="AM45" s="50">
        <f>ROUND($B$6*$B$9*$B$11*$B$17*$B$19*$B$22*$B$24,0)</f>
        <v/>
      </c>
    </row>
    <row r="46" ht="20.1" customHeight="1" s="62">
      <c r="A46" s="104" t="n"/>
      <c r="B46" s="101" t="inlineStr">
        <is>
          <t>Logiciel</t>
        </is>
      </c>
      <c r="C46" s="49" t="inlineStr">
        <is>
          <t>Criticité faible</t>
        </is>
      </c>
      <c r="D46" s="50">
        <f>ROUND($B$4*$B$9*$B$12*$B$15*$B$18*$B$20*$B$23,0)</f>
        <v/>
      </c>
      <c r="E46" s="50">
        <f>ROUND($B$4*$B$9*$B$12*$B$15*$B$18*$B$20*$B$24,0)</f>
        <v/>
      </c>
      <c r="F46" s="50">
        <f>ROUND($B$4*$B$9*$B$12*$B$15*$B$18*$B$21*$B$23,0)</f>
        <v/>
      </c>
      <c r="G46" s="50">
        <f>ROUND($B$4*$B$9*$B$12*$B$15*$B$18*$B$21*$B$24,0)</f>
        <v/>
      </c>
      <c r="H46" s="50">
        <f>ROUND($B$4*$B$9*$B$12*$B$15*$B$18*$B$22*$B$23,0)</f>
        <v/>
      </c>
      <c r="I46" s="50">
        <f>ROUND($B$4*$B$9*$B$12*$B$15*$B$18*$B$22*$B$24,0)</f>
        <v/>
      </c>
      <c r="J46" s="50">
        <f>ROUND($B$4*$B$9*$B$12*$B$15*$B$19*$B$20*$B$23,0)</f>
        <v/>
      </c>
      <c r="K46" s="50">
        <f>ROUND($B$4*$B$9*$B$12*$B$15*$B$19*$B$20*$B$24,0)</f>
        <v/>
      </c>
      <c r="L46" s="50">
        <f>ROUND($B$4*$B$9*$B$12*$B$15*$B$19*$B$21*$B$23,0)</f>
        <v/>
      </c>
      <c r="M46" s="50">
        <f>ROUND($B$4*$B$9*$B$12*$B$15*$B$19*$B$21*$B$24,0)</f>
        <v/>
      </c>
      <c r="N46" s="50">
        <f>ROUND($B$4*$B$9*$B$12*$B$15*$B$19*$B$22*$B$23,0)</f>
        <v/>
      </c>
      <c r="O46" s="50">
        <f>ROUND($B$4*$B$9*$B$12*$B$15*$B$19*$B$22*$B$24,0)</f>
        <v/>
      </c>
      <c r="P46" s="50">
        <f>ROUND($B$5*$B$9*$B$12*$B$15*$B$18*$B$20*$B$23,0)</f>
        <v/>
      </c>
      <c r="Q46" s="50">
        <f>ROUND($B$5*$B$9*$B$12*$B$15*$B$18*$B$20*$B$24,0)</f>
        <v/>
      </c>
      <c r="R46" s="50">
        <f>ROUND($B$5*$B$9*$B$12*$B$15*$B$18*$B$21*$B$23,0)</f>
        <v/>
      </c>
      <c r="S46" s="50">
        <f>ROUND($B$5*$B$9*$B$12*$B$15*$B$18*$B$21*$B$24,0)</f>
        <v/>
      </c>
      <c r="T46" s="50">
        <f>ROUND($B$5*$B$9*$B$12*$B$15*$B$18*$B$22*$B$23,0)</f>
        <v/>
      </c>
      <c r="U46" s="50">
        <f>ROUND($B$5*$B$9*$B$12*$B$15*$B$18*$B$22*$B$24,0)</f>
        <v/>
      </c>
      <c r="V46" s="50">
        <f>ROUND($B$5*$B$9*$B$12*$B$15*$B$19*$B$20*$B$23,0)</f>
        <v/>
      </c>
      <c r="W46" s="50">
        <f>ROUND($B$5*$B$9*$B$12*$B$15*$B$19*$B$20*$B$24,0)</f>
        <v/>
      </c>
      <c r="X46" s="50">
        <f>ROUND($B$5*$B$9*$B$12*$B$15*$B$19*$B$21*$B$23,0)</f>
        <v/>
      </c>
      <c r="Y46" s="50">
        <f>ROUND($B$5*$B$9*$B$12*$B$15*$B$19*$B$21*$B$24,0)</f>
        <v/>
      </c>
      <c r="Z46" s="50">
        <f>ROUND($B$5*$B$9*$B$12*$B$15*$B$19*$B$22*$B$23,0)</f>
        <v/>
      </c>
      <c r="AA46" s="50">
        <f>ROUND($B$5*$B$9*$B$12*$B$15*$B$19*$B$22*$B$24,0)</f>
        <v/>
      </c>
      <c r="AB46" s="50">
        <f>ROUND($B$6*$B$9*$B$12*$B$15*$B$18*$B$20*$B$23,0)</f>
        <v/>
      </c>
      <c r="AC46" s="50">
        <f>ROUND($B$6*$B$9*$B$12*$B$15*$B$18*$B$20*$B$24,0)</f>
        <v/>
      </c>
      <c r="AD46" s="50">
        <f>ROUND($B$6*$B$9*$B$12*$B$15*$B$18*$B$21*$B$23,0)</f>
        <v/>
      </c>
      <c r="AE46" s="50">
        <f>ROUND($B$6*$B$9*$B$12*$B$15*$B$18*$B$21*$B$24,0)</f>
        <v/>
      </c>
      <c r="AF46" s="50">
        <f>ROUND($B$6*$B$9*$B$12*$B$15*$B$18*$B$22*$B$23,0)</f>
        <v/>
      </c>
      <c r="AG46" s="50">
        <f>ROUND($B$6*$B$9*$B$12*$B$15*$B$18*$B$22*$B$24,0)</f>
        <v/>
      </c>
      <c r="AH46" s="50">
        <f>ROUND($B$6*$B$9*$B$12*$B$15*$B$19*$B$20*$B$23,0)</f>
        <v/>
      </c>
      <c r="AI46" s="50">
        <f>ROUND($B$6*$B$9*$B$12*$B$15*$B$19*$B$20*$B$24,0)</f>
        <v/>
      </c>
      <c r="AJ46" s="50">
        <f>ROUND($B$6*$B$9*$B$12*$B$15*$B$19*$B$21*$B$23,0)</f>
        <v/>
      </c>
      <c r="AK46" s="50">
        <f>ROUND($B$6*$B$9*$B$12*$B$15*$B$19*$B$21*$B$24,0)</f>
        <v/>
      </c>
      <c r="AL46" s="50">
        <f>ROUND($B$6*$B$9*$B$12*$B$15*$B$19*$B$22*$B$23,0)</f>
        <v/>
      </c>
      <c r="AM46" s="50">
        <f>ROUND($B$6*$B$9*$B$12*$B$15*$B$19*$B$22*$B$24,0)</f>
        <v/>
      </c>
    </row>
    <row r="47" ht="20.1" customHeight="1" s="62">
      <c r="A47" s="104" t="n"/>
      <c r="B47" s="58" t="n"/>
      <c r="C47" s="101" t="inlineStr">
        <is>
          <t>Criticité modérée</t>
        </is>
      </c>
      <c r="D47" s="50">
        <f>ROUND($B$4*$B$9*$B$12*$B$16*$B$18*$B$20*$B$23,0)</f>
        <v/>
      </c>
      <c r="E47" s="50">
        <f>ROUND($B$4*$B$9*$B$12*$B$16*$B$18*$B$20*$B$24,0)</f>
        <v/>
      </c>
      <c r="F47" s="50">
        <f>ROUND($B$4*$B$9*$B$12*$B$16*$B$18*$B$21*$B$23,0)</f>
        <v/>
      </c>
      <c r="G47" s="50">
        <f>ROUND($B$4*$B$9*$B$12*$B$16*$B$18*$B$21*$B$24,0)</f>
        <v/>
      </c>
      <c r="H47" s="50">
        <f>ROUND($B$4*$B$9*$B$12*$B$16*$B$18*$B$22*$B$23,0)</f>
        <v/>
      </c>
      <c r="I47" s="50">
        <f>ROUND($B$4*$B$9*$B$12*$B$16*$B$18*$B$22*$B$24,0)</f>
        <v/>
      </c>
      <c r="J47" s="50">
        <f>ROUND($B$4*$B$9*$B$12*$B$16*$B$19*$B$20*$B$23,0)</f>
        <v/>
      </c>
      <c r="K47" s="50">
        <f>ROUND($B$4*$B$9*$B$12*$B$16*$B$19*$B$20*$B$24,0)</f>
        <v/>
      </c>
      <c r="L47" s="50">
        <f>ROUND($B$4*$B$9*$B$12*$B$16*$B$19*$B$21*$B$23,0)</f>
        <v/>
      </c>
      <c r="M47" s="50">
        <f>ROUND($B$4*$B$9*$B$12*$B$16*$B$19*$B$21*$B$24,0)</f>
        <v/>
      </c>
      <c r="N47" s="50">
        <f>ROUND($B$4*$B$9*$B$12*$B$16*$B$19*$B$22*$B$23,0)</f>
        <v/>
      </c>
      <c r="O47" s="50">
        <f>ROUND($B$4*$B$9*$B$12*$B$16*$B$19*$B$22*$B$24,0)</f>
        <v/>
      </c>
      <c r="P47" s="50">
        <f>ROUND($B$5*$B$9*$B$12*$B$16*$B$18*$B$20*$B$23,0)</f>
        <v/>
      </c>
      <c r="Q47" s="50">
        <f>ROUND($B$5*$B$9*$B$12*$B$16*$B$18*$B$20*$B$24,0)</f>
        <v/>
      </c>
      <c r="R47" s="50">
        <f>ROUND($B$5*$B$9*$B$12*$B$16*$B$18*$B$21*$B$23,0)</f>
        <v/>
      </c>
      <c r="S47" s="50">
        <f>ROUND($B$5*$B$9*$B$12*$B$16*$B$18*$B$21*$B$24,0)</f>
        <v/>
      </c>
      <c r="T47" s="50">
        <f>ROUND($B$5*$B$9*$B$12*$B$16*$B$18*$B$22*$B$23,0)</f>
        <v/>
      </c>
      <c r="U47" s="50">
        <f>ROUND($B$5*$B$9*$B$12*$B$16*$B$18*$B$22*$B$24,0)</f>
        <v/>
      </c>
      <c r="V47" s="50">
        <f>ROUND($B$5*$B$9*$B$12*$B$16*$B$19*$B$20*$B$23,0)</f>
        <v/>
      </c>
      <c r="W47" s="50">
        <f>ROUND($B$5*$B$9*$B$12*$B$16*$B$19*$B$20*$B$24,0)</f>
        <v/>
      </c>
      <c r="X47" s="50">
        <f>ROUND($B$5*$B$9*$B$12*$B$16*$B$19*$B$21*$B$23,0)</f>
        <v/>
      </c>
      <c r="Y47" s="50">
        <f>ROUND($B$5*$B$9*$B$12*$B$16*$B$19*$B$21*$B$24,0)</f>
        <v/>
      </c>
      <c r="Z47" s="50">
        <f>ROUND($B$5*$B$9*$B$12*$B$16*$B$19*$B$22*$B$23,0)</f>
        <v/>
      </c>
      <c r="AA47" s="50">
        <f>ROUND($B$5*$B$9*$B$12*$B$16*$B$19*$B$22*$B$24,0)</f>
        <v/>
      </c>
      <c r="AB47" s="50">
        <f>ROUND($B$6*$B$9*$B$12*$B$16*$B$18*$B$20*$B$23,0)</f>
        <v/>
      </c>
      <c r="AC47" s="50">
        <f>ROUND($B$6*$B$9*$B$12*$B$16*$B$18*$B$20*$B$24,0)</f>
        <v/>
      </c>
      <c r="AD47" s="50">
        <f>ROUND($B$6*$B$9*$B$12*$B$16*$B$18*$B$21*$B$23,0)</f>
        <v/>
      </c>
      <c r="AE47" s="50">
        <f>ROUND($B$6*$B$9*$B$12*$B$16*$B$18*$B$21*$B$24,0)</f>
        <v/>
      </c>
      <c r="AF47" s="50">
        <f>ROUND($B$6*$B$9*$B$12*$B$16*$B$18*$B$22*$B$23,0)</f>
        <v/>
      </c>
      <c r="AG47" s="50">
        <f>ROUND($B$6*$B$9*$B$12*$B$16*$B$18*$B$22*$B$24,0)</f>
        <v/>
      </c>
      <c r="AH47" s="50">
        <f>ROUND($B$6*$B$9*$B$12*$B$16*$B$19*$B$20*$B$23,0)</f>
        <v/>
      </c>
      <c r="AI47" s="50">
        <f>ROUND($B$6*$B$9*$B$12*$B$16*$B$19*$B$20*$B$24,0)</f>
        <v/>
      </c>
      <c r="AJ47" s="50">
        <f>ROUND($B$6*$B$9*$B$12*$B$16*$B$19*$B$21*$B$23,0)</f>
        <v/>
      </c>
      <c r="AK47" s="50">
        <f>ROUND($B$6*$B$9*$B$12*$B$16*$B$19*$B$21*$B$24,0)</f>
        <v/>
      </c>
      <c r="AL47" s="50">
        <f>ROUND($B$6*$B$9*$B$12*$B$16*$B$19*$B$22*$B$23,0)</f>
        <v/>
      </c>
      <c r="AM47" s="50">
        <f>ROUND($B$6*$B$9*$B$12*$B$16*$B$19*$B$22*$B$24,0)</f>
        <v/>
      </c>
    </row>
    <row r="48" ht="20.1" customHeight="1" s="62">
      <c r="A48" s="104" t="n"/>
      <c r="B48" s="59" t="n"/>
      <c r="C48" s="51" t="inlineStr">
        <is>
          <t>Criticité élevée</t>
        </is>
      </c>
      <c r="D48" s="50">
        <f>ROUND($B$4*$B$9*$B$12*$B$17*$B$18*$B$20*$B$23,0)</f>
        <v/>
      </c>
      <c r="E48" s="50">
        <f>ROUND($B$4*$B$9*$B$12*$B$17*$B$18*$B$20*$B$24,0)</f>
        <v/>
      </c>
      <c r="F48" s="50">
        <f>ROUND($B$4*$B$9*$B$12*$B$17*$B$18*$B$21*$B$23,0)</f>
        <v/>
      </c>
      <c r="G48" s="50">
        <f>ROUND($B$4*$B$9*$B$12*$B$17*$B$18*$B$21*$B$24,0)</f>
        <v/>
      </c>
      <c r="H48" s="50">
        <f>ROUND($B$4*$B$9*$B$12*$B$17*$B$18*$B$22*$B$23,0)</f>
        <v/>
      </c>
      <c r="I48" s="50">
        <f>ROUND($B$4*$B$9*$B$12*$B$17*$B$18*$B$22*$B$24,0)</f>
        <v/>
      </c>
      <c r="J48" s="50">
        <f>ROUND($B$4*$B$9*$B$12*$B$17*$B$19*$B$20*$B$23,0)</f>
        <v/>
      </c>
      <c r="K48" s="50">
        <f>ROUND($B$4*$B$9*$B$12*$B$17*$B$19*$B$20*$B$24,0)</f>
        <v/>
      </c>
      <c r="L48" s="50">
        <f>ROUND($B$4*$B$9*$B$12*$B$17*$B$19*$B$21*$B$23,0)</f>
        <v/>
      </c>
      <c r="M48" s="50">
        <f>ROUND($B$4*$B$9*$B$12*$B$17*$B$19*$B$21*$B$24,0)</f>
        <v/>
      </c>
      <c r="N48" s="50">
        <f>ROUND($B$4*$B$9*$B$12*$B$17*$B$19*$B$22*$B$23,0)</f>
        <v/>
      </c>
      <c r="O48" s="50">
        <f>ROUND($B$4*$B$9*$B$12*$B$17*$B$19*$B$22*$B$24,0)</f>
        <v/>
      </c>
      <c r="P48" s="50">
        <f>ROUND($B$5*$B$9*$B$12*$B$17*$B$18*$B$20*$B$23,0)</f>
        <v/>
      </c>
      <c r="Q48" s="50">
        <f>ROUND($B$5*$B$9*$B$12*$B$17*$B$18*$B$20*$B$24,0)</f>
        <v/>
      </c>
      <c r="R48" s="50">
        <f>ROUND($B$5*$B$9*$B$12*$B$17*$B$18*$B$21*$B$23,0)</f>
        <v/>
      </c>
      <c r="S48" s="50">
        <f>ROUND($B$5*$B$9*$B$12*$B$17*$B$18*$B$21*$B$24,0)</f>
        <v/>
      </c>
      <c r="T48" s="50">
        <f>ROUND($B$5*$B$9*$B$12*$B$17*$B$18*$B$22*$B$23,0)</f>
        <v/>
      </c>
      <c r="U48" s="50">
        <f>ROUND($B$5*$B$9*$B$12*$B$17*$B$18*$B$22*$B$24,0)</f>
        <v/>
      </c>
      <c r="V48" s="50">
        <f>ROUND($B$5*$B$9*$B$12*$B$17*$B$19*$B$20*$B$23,0)</f>
        <v/>
      </c>
      <c r="W48" s="50">
        <f>ROUND($B$5*$B$9*$B$12*$B$17*$B$19*$B$20*$B$24,0)</f>
        <v/>
      </c>
      <c r="X48" s="50">
        <f>ROUND($B$5*$B$9*$B$12*$B$17*$B$19*$B$21*$B$23,0)</f>
        <v/>
      </c>
      <c r="Y48" s="50">
        <f>ROUND($B$5*$B$9*$B$12*$B$17*$B$19*$B$21*$B$24,0)</f>
        <v/>
      </c>
      <c r="Z48" s="50">
        <f>ROUND($B$5*$B$9*$B$12*$B$17*$B$19*$B$22*$B$23,0)</f>
        <v/>
      </c>
      <c r="AA48" s="50">
        <f>ROUND($B$5*$B$9*$B$12*$B$17*$B$19*$B$22*$B$24,0)</f>
        <v/>
      </c>
      <c r="AB48" s="50">
        <f>ROUND($B$6*$B$9*$B$12*$B$17*$B$18*$B$20*$B$23,0)</f>
        <v/>
      </c>
      <c r="AC48" s="50">
        <f>ROUND($B$6*$B$9*$B$12*$B$17*$B$18*$B$20*$B$24,0)</f>
        <v/>
      </c>
      <c r="AD48" s="50">
        <f>ROUND($B$6*$B$9*$B$12*$B$17*$B$18*$B$21*$B$23,0)</f>
        <v/>
      </c>
      <c r="AE48" s="50">
        <f>ROUND($B$6*$B$9*$B$12*$B$17*$B$18*$B$21*$B$24,0)</f>
        <v/>
      </c>
      <c r="AF48" s="50">
        <f>ROUND($B$6*$B$9*$B$12*$B$17*$B$18*$B$22*$B$23,0)</f>
        <v/>
      </c>
      <c r="AG48" s="50">
        <f>ROUND($B$6*$B$9*$B$12*$B$17*$B$18*$B$22*$B$24,0)</f>
        <v/>
      </c>
      <c r="AH48" s="50">
        <f>ROUND($B$6*$B$9*$B$12*$B$17*$B$19*$B$20*$B$23,0)</f>
        <v/>
      </c>
      <c r="AI48" s="50">
        <f>ROUND($B$6*$B$9*$B$12*$B$17*$B$19*$B$20*$B$24,0)</f>
        <v/>
      </c>
      <c r="AJ48" s="50">
        <f>ROUND($B$6*$B$9*$B$12*$B$17*$B$19*$B$21*$B$23,0)</f>
        <v/>
      </c>
      <c r="AK48" s="50">
        <f>ROUND($B$6*$B$9*$B$12*$B$17*$B$19*$B$21*$B$24,0)</f>
        <v/>
      </c>
      <c r="AL48" s="50">
        <f>ROUND($B$6*$B$9*$B$12*$B$17*$B$19*$B$22*$B$23,0)</f>
        <v/>
      </c>
      <c r="AM48" s="50">
        <f>ROUND($B$6*$B$9*$B$12*$B$17*$B$19*$B$22*$B$24,0)</f>
        <v/>
      </c>
    </row>
    <row r="49" ht="20.1" customHeight="1" s="62">
      <c r="A49" s="104" t="n"/>
      <c r="B49" s="101" t="inlineStr">
        <is>
          <t>Application métier</t>
        </is>
      </c>
      <c r="C49" s="49" t="inlineStr">
        <is>
          <t>Criticité faible</t>
        </is>
      </c>
      <c r="D49" s="50">
        <f>ROUND($B$4*$B$9*$B$13*$B$15*$B$18*$B$20*$B$23,0)</f>
        <v/>
      </c>
      <c r="E49" s="50">
        <f>ROUND($B$4*$B$9*$B$13*$B$15*$B$18*$B$20*$B$24,0)</f>
        <v/>
      </c>
      <c r="F49" s="50">
        <f>ROUND($B$4*$B$9*$B$13*$B$15*$B$18*$B$21*$B$23,0)</f>
        <v/>
      </c>
      <c r="G49" s="50">
        <f>ROUND($B$4*$B$9*$B$13*$B$15*$B$18*$B$21*$B$24,0)</f>
        <v/>
      </c>
      <c r="H49" s="50">
        <f>ROUND($B$4*$B$9*$B$13*$B$15*$B$18*$B$22*$B$23,0)</f>
        <v/>
      </c>
      <c r="I49" s="50">
        <f>ROUND($B$4*$B$9*$B$13*$B$15*$B$18*$B$22*$B$24,0)</f>
        <v/>
      </c>
      <c r="J49" s="50">
        <f>ROUND($B$4*$B$9*$B$13*$B$15*$B$19*$B$20*$B$23,0)</f>
        <v/>
      </c>
      <c r="K49" s="50">
        <f>ROUND($B$4*$B$9*$B$13*$B$15*$B$19*$B$20*$B$24,0)</f>
        <v/>
      </c>
      <c r="L49" s="50">
        <f>ROUND($B$4*$B$9*$B$13*$B$15*$B$19*$B$21*$B$23,0)</f>
        <v/>
      </c>
      <c r="M49" s="50">
        <f>ROUND($B$4*$B$9*$B$13*$B$15*$B$19*$B$21*$B$24,0)</f>
        <v/>
      </c>
      <c r="N49" s="50">
        <f>ROUND($B$4*$B$9*$B$13*$B$15*$B$19*$B$22*$B$23,0)</f>
        <v/>
      </c>
      <c r="O49" s="50">
        <f>ROUND($B$4*$B$9*$B$13*$B$15*$B$19*$B$22*$B$24,0)</f>
        <v/>
      </c>
      <c r="P49" s="50">
        <f>ROUND($B$5*$B$9*$B$13*$B$15*$B$18*$B$20*$B$23,0)</f>
        <v/>
      </c>
      <c r="Q49" s="50">
        <f>ROUND($B$5*$B$9*$B$13*$B$15*$B$18*$B$20*$B$24,0)</f>
        <v/>
      </c>
      <c r="R49" s="50">
        <f>ROUND($B$5*$B$9*$B$13*$B$15*$B$18*$B$21*$B$23,0)</f>
        <v/>
      </c>
      <c r="S49" s="50">
        <f>ROUND($B$5*$B$9*$B$13*$B$15*$B$18*$B$21*$B$24,0)</f>
        <v/>
      </c>
      <c r="T49" s="50">
        <f>ROUND($B$5*$B$9*$B$13*$B$15*$B$18*$B$22*$B$23,0)</f>
        <v/>
      </c>
      <c r="U49" s="50">
        <f>ROUND($B$5*$B$9*$B$13*$B$15*$B$18*$B$22*$B$24,0)</f>
        <v/>
      </c>
      <c r="V49" s="50">
        <f>ROUND($B$5*$B$9*$B$13*$B$15*$B$19*$B$20*$B$23,0)</f>
        <v/>
      </c>
      <c r="W49" s="50">
        <f>ROUND($B$5*$B$9*$B$13*$B$15*$B$19*$B$20*$B$24,0)</f>
        <v/>
      </c>
      <c r="X49" s="50">
        <f>ROUND($B$5*$B$9*$B$13*$B$15*$B$19*$B$21*$B$23,0)</f>
        <v/>
      </c>
      <c r="Y49" s="50">
        <f>ROUND($B$5*$B$9*$B$13*$B$15*$B$19*$B$21*$B$24,0)</f>
        <v/>
      </c>
      <c r="Z49" s="50">
        <f>ROUND($B$5*$B$9*$B$13*$B$15*$B$19*$B$22*$B$23,0)</f>
        <v/>
      </c>
      <c r="AA49" s="50">
        <f>ROUND($B$5*$B$9*$B$13*$B$15*$B$19*$B$22*$B$24,0)</f>
        <v/>
      </c>
      <c r="AB49" s="50">
        <f>ROUND($B$6*$B$9*$B$13*$B$15*$B$18*$B$20*$B$23,0)</f>
        <v/>
      </c>
      <c r="AC49" s="50">
        <f>ROUND($B$6*$B$9*$B$13*$B$15*$B$18*$B$20*$B$24,0)</f>
        <v/>
      </c>
      <c r="AD49" s="50">
        <f>ROUND($B$6*$B$9*$B$13*$B$15*$B$18*$B$21*$B$23,0)</f>
        <v/>
      </c>
      <c r="AE49" s="50">
        <f>ROUND($B$6*$B$9*$B$13*$B$15*$B$18*$B$21*$B$24,0)</f>
        <v/>
      </c>
      <c r="AF49" s="50">
        <f>ROUND($B$6*$B$9*$B$13*$B$15*$B$18*$B$22*$B$23,0)</f>
        <v/>
      </c>
      <c r="AG49" s="50">
        <f>ROUND($B$6*$B$9*$B$13*$B$15*$B$18*$B$22*$B$24,0)</f>
        <v/>
      </c>
      <c r="AH49" s="50">
        <f>ROUND($B$6*$B$9*$B$13*$B$15*$B$19*$B$20*$B$23,0)</f>
        <v/>
      </c>
      <c r="AI49" s="50">
        <f>ROUND($B$6*$B$9*$B$13*$B$15*$B$19*$B$20*$B$24,0)</f>
        <v/>
      </c>
      <c r="AJ49" s="50">
        <f>ROUND($B$6*$B$9*$B$13*$B$15*$B$19*$B$21*$B$23,0)</f>
        <v/>
      </c>
      <c r="AK49" s="50">
        <f>ROUND($B$6*$B$9*$B$13*$B$15*$B$19*$B$21*$B$24,0)</f>
        <v/>
      </c>
      <c r="AL49" s="50">
        <f>ROUND($B$6*$B$9*$B$13*$B$15*$B$19*$B$22*$B$23,0)</f>
        <v/>
      </c>
      <c r="AM49" s="50">
        <f>ROUND($B$6*$B$9*$B$13*$B$15*$B$19*$B$22*$B$24,0)</f>
        <v/>
      </c>
    </row>
    <row r="50" ht="20.1" customHeight="1" s="62">
      <c r="A50" s="104" t="n"/>
      <c r="B50" s="58" t="n"/>
      <c r="C50" s="101" t="inlineStr">
        <is>
          <t>Criticité modérée</t>
        </is>
      </c>
      <c r="D50" s="50">
        <f>ROUND($B$4*$B$9*$B$13*$B$16*$B$18*$B$20*$B$23,0)</f>
        <v/>
      </c>
      <c r="E50" s="50">
        <f>ROUND($B$4*$B$9*$B$13*$B$16*$B$18*$B$20*$B$24,0)</f>
        <v/>
      </c>
      <c r="F50" s="50">
        <f>ROUND($B$4*$B$9*$B$13*$B$16*$B$18*$B$21*$B$23,0)</f>
        <v/>
      </c>
      <c r="G50" s="50">
        <f>ROUND($B$4*$B$9*$B$13*$B$16*$B$18*$B$21*$B$24,0)</f>
        <v/>
      </c>
      <c r="H50" s="50">
        <f>ROUND($B$4*$B$9*$B$13*$B$16*$B$18*$B$22*$B$23,0)</f>
        <v/>
      </c>
      <c r="I50" s="50">
        <f>ROUND($B$4*$B$9*$B$13*$B$16*$B$18*$B$22*$B$24,0)</f>
        <v/>
      </c>
      <c r="J50" s="50">
        <f>ROUND($B$4*$B$9*$B$13*$B$16*$B$19*$B$20*$B$23,0)</f>
        <v/>
      </c>
      <c r="K50" s="50">
        <f>ROUND($B$4*$B$9*$B$13*$B$16*$B$19*$B$20*$B$24,0)</f>
        <v/>
      </c>
      <c r="L50" s="50">
        <f>ROUND($B$4*$B$9*$B$13*$B$16*$B$19*$B$21*$B$23,0)</f>
        <v/>
      </c>
      <c r="M50" s="50">
        <f>ROUND($B$4*$B$9*$B$13*$B$16*$B$19*$B$21*$B$24,0)</f>
        <v/>
      </c>
      <c r="N50" s="50">
        <f>ROUND($B$4*$B$9*$B$13*$B$16*$B$19*$B$22*$B$23,0)</f>
        <v/>
      </c>
      <c r="O50" s="50">
        <f>ROUND($B$4*$B$9*$B$13*$B$16*$B$19*$B$22*$B$24,0)</f>
        <v/>
      </c>
      <c r="P50" s="50">
        <f>ROUND($B$5*$B$9*$B$13*$B$16*$B$18*$B$20*$B$23,0)</f>
        <v/>
      </c>
      <c r="Q50" s="50">
        <f>ROUND($B$5*$B$9*$B$13*$B$16*$B$18*$B$20*$B$24,0)</f>
        <v/>
      </c>
      <c r="R50" s="50">
        <f>ROUND($B$5*$B$9*$B$13*$B$16*$B$18*$B$21*$B$23,0)</f>
        <v/>
      </c>
      <c r="S50" s="50">
        <f>ROUND($B$5*$B$9*$B$13*$B$16*$B$18*$B$21*$B$24,0)</f>
        <v/>
      </c>
      <c r="T50" s="50">
        <f>ROUND($B$5*$B$9*$B$13*$B$16*$B$18*$B$22*$B$23,0)</f>
        <v/>
      </c>
      <c r="U50" s="50">
        <f>ROUND($B$5*$B$9*$B$13*$B$16*$B$18*$B$22*$B$24,0)</f>
        <v/>
      </c>
      <c r="V50" s="50">
        <f>ROUND($B$5*$B$9*$B$13*$B$16*$B$19*$B$20*$B$23,0)</f>
        <v/>
      </c>
      <c r="W50" s="50">
        <f>ROUND($B$5*$B$9*$B$13*$B$16*$B$19*$B$20*$B$24,0)</f>
        <v/>
      </c>
      <c r="X50" s="50">
        <f>ROUND($B$5*$B$9*$B$13*$B$16*$B$19*$B$21*$B$23,0)</f>
        <v/>
      </c>
      <c r="Y50" s="50">
        <f>ROUND($B$5*$B$9*$B$13*$B$16*$B$19*$B$21*$B$24,0)</f>
        <v/>
      </c>
      <c r="Z50" s="50">
        <f>ROUND($B$5*$B$9*$B$13*$B$16*$B$19*$B$22*$B$23,0)</f>
        <v/>
      </c>
      <c r="AA50" s="50">
        <f>ROUND($B$5*$B$9*$B$13*$B$16*$B$19*$B$22*$B$24,0)</f>
        <v/>
      </c>
      <c r="AB50" s="50">
        <f>ROUND($B$6*$B$9*$B$13*$B$16*$B$18*$B$20*$B$23,0)</f>
        <v/>
      </c>
      <c r="AC50" s="50">
        <f>ROUND($B$6*$B$9*$B$13*$B$16*$B$18*$B$20*$B$24,0)</f>
        <v/>
      </c>
      <c r="AD50" s="50">
        <f>ROUND($B$6*$B$9*$B$13*$B$16*$B$18*$B$21*$B$23,0)</f>
        <v/>
      </c>
      <c r="AE50" s="50">
        <f>ROUND($B$6*$B$9*$B$13*$B$16*$B$18*$B$21*$B$24,0)</f>
        <v/>
      </c>
      <c r="AF50" s="50">
        <f>ROUND($B$6*$B$9*$B$13*$B$16*$B$18*$B$22*$B$23,0)</f>
        <v/>
      </c>
      <c r="AG50" s="50">
        <f>ROUND($B$6*$B$9*$B$13*$B$16*$B$18*$B$22*$B$24,0)</f>
        <v/>
      </c>
      <c r="AH50" s="50">
        <f>ROUND($B$6*$B$9*$B$13*$B$16*$B$19*$B$20*$B$23,0)</f>
        <v/>
      </c>
      <c r="AI50" s="50">
        <f>ROUND($B$6*$B$9*$B$13*$B$16*$B$19*$B$20*$B$24,0)</f>
        <v/>
      </c>
      <c r="AJ50" s="50">
        <f>ROUND($B$6*$B$9*$B$13*$B$16*$B$19*$B$21*$B$23,0)</f>
        <v/>
      </c>
      <c r="AK50" s="50">
        <f>ROUND($B$6*$B$9*$B$13*$B$16*$B$19*$B$21*$B$24,0)</f>
        <v/>
      </c>
      <c r="AL50" s="50">
        <f>ROUND($B$6*$B$9*$B$13*$B$16*$B$19*$B$22*$B$23,0)</f>
        <v/>
      </c>
      <c r="AM50" s="50">
        <f>ROUND($B$6*$B$9*$B$13*$B$16*$B$19*$B$22*$B$24,0)</f>
        <v/>
      </c>
    </row>
    <row r="51" ht="20.1" customHeight="1" s="62">
      <c r="A51" s="104" t="n"/>
      <c r="B51" s="59" t="n"/>
      <c r="C51" s="51" t="inlineStr">
        <is>
          <t>Criticité élevée</t>
        </is>
      </c>
      <c r="D51" s="50">
        <f>ROUND($B$4*$B$9*$B$13*$B$17*$B$18*$B$20*$B$23,0)</f>
        <v/>
      </c>
      <c r="E51" s="50">
        <f>ROUND($B$4*$B$9*$B$13*$B$17*$B$18*$B$20*$B$24,0)</f>
        <v/>
      </c>
      <c r="F51" s="50">
        <f>ROUND($B$4*$B$9*$B$13*$B$17*$B$18*$B$21*$B$23,0)</f>
        <v/>
      </c>
      <c r="G51" s="50">
        <f>ROUND($B$4*$B$9*$B$13*$B$17*$B$18*$B$21*$B$24,0)</f>
        <v/>
      </c>
      <c r="H51" s="50">
        <f>ROUND($B$4*$B$9*$B$13*$B$17*$B$18*$B$22*$B$23,0)</f>
        <v/>
      </c>
      <c r="I51" s="50">
        <f>ROUND($B$4*$B$9*$B$13*$B$17*$B$18*$B$22*$B$24,0)</f>
        <v/>
      </c>
      <c r="J51" s="50">
        <f>ROUND($B$4*$B$9*$B$13*$B$17*$B$19*$B$20*$B$23,0)</f>
        <v/>
      </c>
      <c r="K51" s="50">
        <f>ROUND($B$4*$B$9*$B$13*$B$17*$B$19*$B$20*$B$24,0)</f>
        <v/>
      </c>
      <c r="L51" s="50">
        <f>ROUND($B$4*$B$9*$B$13*$B$17*$B$19*$B$21*$B$23,0)</f>
        <v/>
      </c>
      <c r="M51" s="50">
        <f>ROUND($B$4*$B$9*$B$13*$B$17*$B$19*$B$21*$B$24,0)</f>
        <v/>
      </c>
      <c r="N51" s="50">
        <f>ROUND($B$4*$B$9*$B$13*$B$17*$B$19*$B$22*$B$23,0)</f>
        <v/>
      </c>
      <c r="O51" s="50">
        <f>ROUND($B$4*$B$9*$B$13*$B$17*$B$19*$B$22*$B$24,0)</f>
        <v/>
      </c>
      <c r="P51" s="50">
        <f>ROUND($B$5*$B$9*$B$13*$B$17*$B$18*$B$20*$B$23,0)</f>
        <v/>
      </c>
      <c r="Q51" s="50">
        <f>ROUND($B$5*$B$9*$B$13*$B$17*$B$18*$B$20*$B$24,0)</f>
        <v/>
      </c>
      <c r="R51" s="50">
        <f>ROUND($B$5*$B$9*$B$13*$B$17*$B$18*$B$21*$B$23,0)</f>
        <v/>
      </c>
      <c r="S51" s="50">
        <f>ROUND($B$5*$B$9*$B$13*$B$17*$B$18*$B$21*$B$24,0)</f>
        <v/>
      </c>
      <c r="T51" s="50">
        <f>ROUND($B$5*$B$9*$B$13*$B$17*$B$18*$B$22*$B$23,0)</f>
        <v/>
      </c>
      <c r="U51" s="50">
        <f>ROUND($B$5*$B$9*$B$13*$B$17*$B$18*$B$22*$B$24,0)</f>
        <v/>
      </c>
      <c r="V51" s="50">
        <f>ROUND($B$5*$B$9*$B$13*$B$17*$B$19*$B$20*$B$23,0)</f>
        <v/>
      </c>
      <c r="W51" s="50">
        <f>ROUND($B$5*$B$9*$B$13*$B$17*$B$19*$B$20*$B$24,0)</f>
        <v/>
      </c>
      <c r="X51" s="50">
        <f>ROUND($B$5*$B$9*$B$13*$B$17*$B$19*$B$21*$B$23,0)</f>
        <v/>
      </c>
      <c r="Y51" s="50">
        <f>ROUND($B$5*$B$9*$B$13*$B$17*$B$19*$B$21*$B$24,0)</f>
        <v/>
      </c>
      <c r="Z51" s="50">
        <f>ROUND($B$5*$B$9*$B$13*$B$17*$B$19*$B$22*$B$23,0)</f>
        <v/>
      </c>
      <c r="AA51" s="50">
        <f>ROUND($B$5*$B$9*$B$13*$B$17*$B$19*$B$22*$B$24,0)</f>
        <v/>
      </c>
      <c r="AB51" s="50">
        <f>ROUND($B$6*$B$9*$B$13*$B$17*$B$18*$B$20*$B$23,0)</f>
        <v/>
      </c>
      <c r="AC51" s="50">
        <f>ROUND($B$6*$B$9*$B$13*$B$17*$B$18*$B$20*$B$24,0)</f>
        <v/>
      </c>
      <c r="AD51" s="50">
        <f>ROUND($B$6*$B$9*$B$13*$B$17*$B$18*$B$21*$B$23,0)</f>
        <v/>
      </c>
      <c r="AE51" s="50">
        <f>ROUND($B$6*$B$9*$B$13*$B$17*$B$18*$B$21*$B$24,0)</f>
        <v/>
      </c>
      <c r="AF51" s="50">
        <f>ROUND($B$6*$B$9*$B$13*$B$17*$B$18*$B$22*$B$23,0)</f>
        <v/>
      </c>
      <c r="AG51" s="50">
        <f>ROUND($B$6*$B$9*$B$13*$B$17*$B$18*$B$22*$B$24,0)</f>
        <v/>
      </c>
      <c r="AH51" s="50">
        <f>ROUND($B$6*$B$9*$B$13*$B$17*$B$19*$B$20*$B$23,0)</f>
        <v/>
      </c>
      <c r="AI51" s="50">
        <f>ROUND($B$6*$B$9*$B$13*$B$17*$B$19*$B$20*$B$24,0)</f>
        <v/>
      </c>
      <c r="AJ51" s="50">
        <f>ROUND($B$6*$B$9*$B$13*$B$17*$B$19*$B$21*$B$23,0)</f>
        <v/>
      </c>
      <c r="AK51" s="50">
        <f>ROUND($B$6*$B$9*$B$13*$B$17*$B$19*$B$21*$B$24,0)</f>
        <v/>
      </c>
      <c r="AL51" s="50">
        <f>ROUND($B$6*$B$9*$B$13*$B$17*$B$19*$B$22*$B$23,0)</f>
        <v/>
      </c>
      <c r="AM51" s="50">
        <f>ROUND($B$6*$B$9*$B$13*$B$17*$B$19*$B$22*$B$24,0)</f>
        <v/>
      </c>
    </row>
    <row r="52" ht="20.1" customHeight="1" s="62">
      <c r="A52" s="104" t="n"/>
      <c r="B52" s="101" t="inlineStr">
        <is>
          <t>Serveur</t>
        </is>
      </c>
      <c r="C52" s="49" t="inlineStr">
        <is>
          <t>Criticité faible</t>
        </is>
      </c>
      <c r="D52" s="50">
        <f>ROUND($B$4*$B$9*$B$14*$B$15*$B$18*$B$20*$B$23,0)</f>
        <v/>
      </c>
      <c r="E52" s="50">
        <f>ROUND($B$4*$B$9*$B$14*$B$15*$B$18*$B$20*$B$24,0)</f>
        <v/>
      </c>
      <c r="F52" s="50">
        <f>ROUND($B$4*$B$9*$B$14*$B$15*$B$18*$B$21*$B$23,0)</f>
        <v/>
      </c>
      <c r="G52" s="50">
        <f>ROUND($B$4*$B$9*$B$14*$B$15*$B$18*$B$21*$B$24,0)</f>
        <v/>
      </c>
      <c r="H52" s="50">
        <f>ROUND($B$4*$B$9*$B$14*$B$15*$B$18*$B$22*$B$23,0)</f>
        <v/>
      </c>
      <c r="I52" s="50">
        <f>ROUND($B$4*$B$9*$B$14*$B$15*$B$18*$B$22*$B$24,0)</f>
        <v/>
      </c>
      <c r="J52" s="50">
        <f>ROUND($B$4*$B$9*$B$14*$B$15*$B$19*$B$20*$B$23,0)</f>
        <v/>
      </c>
      <c r="K52" s="50">
        <f>ROUND($B$4*$B$9*$B$14*$B$15*$B$19*$B$20*$B$24,0)</f>
        <v/>
      </c>
      <c r="L52" s="50">
        <f>ROUND($B$4*$B$9*$B$14*$B$15*$B$19*$B$21*$B$23,0)</f>
        <v/>
      </c>
      <c r="M52" s="50">
        <f>ROUND($B$4*$B$9*$B$14*$B$15*$B$19*$B$21*$B$24,0)</f>
        <v/>
      </c>
      <c r="N52" s="50">
        <f>ROUND($B$4*$B$9*$B$14*$B$15*$B$19*$B$22*$B$23,0)</f>
        <v/>
      </c>
      <c r="O52" s="50">
        <f>ROUND($B$4*$B$9*$B$14*$B$15*$B$19*$B$22*$B$24,0)</f>
        <v/>
      </c>
      <c r="P52" s="50">
        <f>ROUND($B$5*$B$9*$B$14*$B$15*$B$18*$B$20*$B$23,0)</f>
        <v/>
      </c>
      <c r="Q52" s="50">
        <f>ROUND($B$5*$B$9*$B$14*$B$15*$B$18*$B$20*$B$24,0)</f>
        <v/>
      </c>
      <c r="R52" s="50">
        <f>ROUND($B$5*$B$9*$B$14*$B$15*$B$18*$B$21*$B$23,0)</f>
        <v/>
      </c>
      <c r="S52" s="50">
        <f>ROUND($B$5*$B$9*$B$14*$B$15*$B$18*$B$21*$B$24,0)</f>
        <v/>
      </c>
      <c r="T52" s="50">
        <f>ROUND($B$5*$B$9*$B$14*$B$15*$B$18*$B$22*$B$23,0)</f>
        <v/>
      </c>
      <c r="U52" s="50">
        <f>ROUND($B$5*$B$9*$B$14*$B$15*$B$18*$B$22*$B$24,0)</f>
        <v/>
      </c>
      <c r="V52" s="50">
        <f>ROUND($B$5*$B$9*$B$14*$B$15*$B$19*$B$20*$B$23,0)</f>
        <v/>
      </c>
      <c r="W52" s="50">
        <f>ROUND($B$5*$B$9*$B$14*$B$15*$B$19*$B$20*$B$24,0)</f>
        <v/>
      </c>
      <c r="X52" s="50">
        <f>ROUND($B$5*$B$9*$B$14*$B$15*$B$19*$B$21*$B$23,0)</f>
        <v/>
      </c>
      <c r="Y52" s="50">
        <f>ROUND($B$5*$B$9*$B$14*$B$15*$B$19*$B$21*$B$24,0)</f>
        <v/>
      </c>
      <c r="Z52" s="50">
        <f>ROUND($B$5*$B$9*$B$14*$B$15*$B$19*$B$22*$B$23,0)</f>
        <v/>
      </c>
      <c r="AA52" s="50">
        <f>ROUND($B$5*$B$9*$B$14*$B$15*$B$19*$B$22*$B$24,0)</f>
        <v/>
      </c>
      <c r="AB52" s="50">
        <f>ROUND($B$6*$B$9*$B$14*$B$15*$B$18*$B$20*$B$23,0)</f>
        <v/>
      </c>
      <c r="AC52" s="50">
        <f>ROUND($B$6*$B$9*$B$14*$B$15*$B$18*$B$20*$B$24,0)</f>
        <v/>
      </c>
      <c r="AD52" s="50">
        <f>ROUND($B$6*$B$9*$B$14*$B$15*$B$18*$B$21*$B$23,0)</f>
        <v/>
      </c>
      <c r="AE52" s="50">
        <f>ROUND($B$6*$B$9*$B$14*$B$15*$B$18*$B$21*$B$24,0)</f>
        <v/>
      </c>
      <c r="AF52" s="50">
        <f>ROUND($B$6*$B$9*$B$14*$B$15*$B$18*$B$22*$B$23,0)</f>
        <v/>
      </c>
      <c r="AG52" s="50">
        <f>ROUND($B$6*$B$9*$B$14*$B$15*$B$18*$B$22*$B$24,0)</f>
        <v/>
      </c>
      <c r="AH52" s="50">
        <f>ROUND($B$6*$B$9*$B$14*$B$15*$B$19*$B$20*$B$23,0)</f>
        <v/>
      </c>
      <c r="AI52" s="50">
        <f>ROUND($B$6*$B$9*$B$14*$B$15*$B$19*$B$20*$B$24,0)</f>
        <v/>
      </c>
      <c r="AJ52" s="50">
        <f>ROUND($B$6*$B$9*$B$14*$B$15*$B$19*$B$21*$B$23,0)</f>
        <v/>
      </c>
      <c r="AK52" s="50">
        <f>ROUND($B$6*$B$9*$B$14*$B$15*$B$19*$B$21*$B$24,0)</f>
        <v/>
      </c>
      <c r="AL52" s="50">
        <f>ROUND($B$6*$B$9*$B$14*$B$15*$B$19*$B$22*$B$23,0)</f>
        <v/>
      </c>
      <c r="AM52" s="50">
        <f>ROUND($B$6*$B$9*$B$14*$B$15*$B$19*$B$22*$B$24,0)</f>
        <v/>
      </c>
    </row>
    <row r="53" ht="20.1" customHeight="1" s="62">
      <c r="A53" s="104" t="n"/>
      <c r="B53" s="58" t="n"/>
      <c r="C53" s="101" t="inlineStr">
        <is>
          <t>Criticité modérée</t>
        </is>
      </c>
      <c r="D53" s="50">
        <f>ROUND($B$4*$B$9*$B$14*$B$16*$B$18*$B$20*$B$23,0)</f>
        <v/>
      </c>
      <c r="E53" s="50">
        <f>ROUND($B$4*$B$9*$B$14*$B$16*$B$18*$B$20*$B$24,0)</f>
        <v/>
      </c>
      <c r="F53" s="50">
        <f>ROUND($B$4*$B$9*$B$14*$B$16*$B$18*$B$21*$B$23,0)</f>
        <v/>
      </c>
      <c r="G53" s="50">
        <f>ROUND($B$4*$B$9*$B$14*$B$16*$B$18*$B$21*$B$24,0)</f>
        <v/>
      </c>
      <c r="H53" s="50">
        <f>ROUND($B$4*$B$9*$B$14*$B$16*$B$18*$B$22*$B$23,0)</f>
        <v/>
      </c>
      <c r="I53" s="50">
        <f>ROUND($B$4*$B$9*$B$14*$B$16*$B$18*$B$22*$B$24,0)</f>
        <v/>
      </c>
      <c r="J53" s="50">
        <f>ROUND($B$4*$B$9*$B$14*$B$16*$B$19*$B$20*$B$23,0)</f>
        <v/>
      </c>
      <c r="K53" s="50">
        <f>ROUND($B$4*$B$9*$B$14*$B$16*$B$19*$B$20*$B$24,0)</f>
        <v/>
      </c>
      <c r="L53" s="50">
        <f>ROUND($B$4*$B$9*$B$14*$B$16*$B$19*$B$21*$B$23,0)</f>
        <v/>
      </c>
      <c r="M53" s="50">
        <f>ROUND($B$4*$B$9*$B$14*$B$16*$B$19*$B$21*$B$24,0)</f>
        <v/>
      </c>
      <c r="N53" s="50">
        <f>ROUND($B$4*$B$9*$B$14*$B$16*$B$19*$B$22*$B$23,0)</f>
        <v/>
      </c>
      <c r="O53" s="50">
        <f>ROUND($B$4*$B$9*$B$14*$B$16*$B$19*$B$22*$B$24,0)</f>
        <v/>
      </c>
      <c r="P53" s="50">
        <f>ROUND($B$5*$B$9*$B$14*$B$16*$B$18*$B$20*$B$23,0)</f>
        <v/>
      </c>
      <c r="Q53" s="50">
        <f>ROUND($B$5*$B$9*$B$14*$B$16*$B$18*$B$20*$B$24,0)</f>
        <v/>
      </c>
      <c r="R53" s="50">
        <f>ROUND($B$5*$B$9*$B$14*$B$16*$B$18*$B$21*$B$23,0)</f>
        <v/>
      </c>
      <c r="S53" s="50">
        <f>ROUND($B$5*$B$9*$B$14*$B$16*$B$18*$B$21*$B$24,0)</f>
        <v/>
      </c>
      <c r="T53" s="50">
        <f>ROUND($B$5*$B$9*$B$14*$B$16*$B$18*$B$22*$B$23,0)</f>
        <v/>
      </c>
      <c r="U53" s="50">
        <f>ROUND($B$5*$B$9*$B$14*$B$16*$B$18*$B$22*$B$24,0)</f>
        <v/>
      </c>
      <c r="V53" s="50">
        <f>ROUND($B$5*$B$9*$B$14*$B$16*$B$19*$B$20*$B$23,0)</f>
        <v/>
      </c>
      <c r="W53" s="50">
        <f>ROUND($B$5*$B$9*$B$14*$B$16*$B$19*$B$20*$B$24,0)</f>
        <v/>
      </c>
      <c r="X53" s="50">
        <f>ROUND($B$5*$B$9*$B$14*$B$16*$B$19*$B$21*$B$23,0)</f>
        <v/>
      </c>
      <c r="Y53" s="50">
        <f>ROUND($B$5*$B$9*$B$14*$B$16*$B$19*$B$21*$B$24,0)</f>
        <v/>
      </c>
      <c r="Z53" s="50">
        <f>ROUND($B$5*$B$9*$B$14*$B$16*$B$19*$B$22*$B$23,0)</f>
        <v/>
      </c>
      <c r="AA53" s="50">
        <f>ROUND($B$5*$B$9*$B$14*$B$16*$B$19*$B$22*$B$24,0)</f>
        <v/>
      </c>
      <c r="AB53" s="50">
        <f>ROUND($B$6*$B$9*$B$14*$B$16*$B$18*$B$20*$B$23,0)</f>
        <v/>
      </c>
      <c r="AC53" s="50">
        <f>ROUND($B$6*$B$9*$B$14*$B$16*$B$18*$B$20*$B$24,0)</f>
        <v/>
      </c>
      <c r="AD53" s="50">
        <f>ROUND($B$6*$B$9*$B$14*$B$16*$B$18*$B$21*$B$23,0)</f>
        <v/>
      </c>
      <c r="AE53" s="50">
        <f>ROUND($B$6*$B$9*$B$14*$B$16*$B$18*$B$21*$B$24,0)</f>
        <v/>
      </c>
      <c r="AF53" s="50">
        <f>ROUND($B$6*$B$9*$B$14*$B$16*$B$18*$B$22*$B$23,0)</f>
        <v/>
      </c>
      <c r="AG53" s="50">
        <f>ROUND($B$6*$B$9*$B$14*$B$16*$B$18*$B$22*$B$24,0)</f>
        <v/>
      </c>
      <c r="AH53" s="50">
        <f>ROUND($B$6*$B$9*$B$14*$B$16*$B$19*$B$20*$B$23,0)</f>
        <v/>
      </c>
      <c r="AI53" s="50">
        <f>ROUND($B$6*$B$9*$B$14*$B$16*$B$19*$B$20*$B$24,0)</f>
        <v/>
      </c>
      <c r="AJ53" s="50">
        <f>ROUND($B$6*$B$9*$B$14*$B$16*$B$19*$B$21*$B$23,0)</f>
        <v/>
      </c>
      <c r="AK53" s="50">
        <f>ROUND($B$6*$B$9*$B$14*$B$16*$B$19*$B$21*$B$24,0)</f>
        <v/>
      </c>
      <c r="AL53" s="50">
        <f>ROUND($B$6*$B$9*$B$14*$B$16*$B$19*$B$22*$B$23,0)</f>
        <v/>
      </c>
      <c r="AM53" s="50">
        <f>ROUND($B$6*$B$9*$B$14*$B$16*$B$19*$B$22*$B$24,0)</f>
        <v/>
      </c>
    </row>
    <row r="54" ht="20.1" customHeight="1" s="62">
      <c r="A54" s="105" t="n"/>
      <c r="B54" s="59" t="n"/>
      <c r="C54" s="51" t="inlineStr">
        <is>
          <t>Criticité élevée</t>
        </is>
      </c>
      <c r="D54" s="50">
        <f>ROUND($B$4*$B$9*$B$14*$B$17*$B$18*$B$20*$B$23,0)</f>
        <v/>
      </c>
      <c r="E54" s="50">
        <f>ROUND($B$4*$B$9*$B$14*$B$17*$B$18*$B$20*$B$24,0)</f>
        <v/>
      </c>
      <c r="F54" s="50">
        <f>ROUND($B$4*$B$9*$B$14*$B$17*$B$18*$B$21*$B$23,0)</f>
        <v/>
      </c>
      <c r="G54" s="50">
        <f>ROUND($B$4*$B$9*$B$14*$B$17*$B$18*$B$21*$B$24,0)</f>
        <v/>
      </c>
      <c r="H54" s="50">
        <f>ROUND($B$4*$B$9*$B$14*$B$17*$B$18*$B$22*$B$23,0)</f>
        <v/>
      </c>
      <c r="I54" s="50">
        <f>ROUND($B$4*$B$9*$B$14*$B$17*$B$18*$B$22*$B$24,0)</f>
        <v/>
      </c>
      <c r="J54" s="50">
        <f>ROUND($B$4*$B$9*$B$14*$B$17*$B$19*$B$20*$B$23,0)</f>
        <v/>
      </c>
      <c r="K54" s="50">
        <f>ROUND($B$4*$B$9*$B$14*$B$17*$B$19*$B$20*$B$24,0)</f>
        <v/>
      </c>
      <c r="L54" s="50">
        <f>ROUND($B$4*$B$9*$B$14*$B$17*$B$19*$B$21*$B$23,0)</f>
        <v/>
      </c>
      <c r="M54" s="50">
        <f>ROUND($B$4*$B$9*$B$14*$B$17*$B$19*$B$21*$B$24,0)</f>
        <v/>
      </c>
      <c r="N54" s="50">
        <f>ROUND($B$4*$B$9*$B$14*$B$17*$B$19*$B$22*$B$23,0)</f>
        <v/>
      </c>
      <c r="O54" s="50">
        <f>ROUND($B$4*$B$9*$B$14*$B$17*$B$19*$B$22*$B$24,0)</f>
        <v/>
      </c>
      <c r="P54" s="50">
        <f>ROUND($B$5*$B$9*$B$14*$B$17*$B$18*$B$20*$B$23,0)</f>
        <v/>
      </c>
      <c r="Q54" s="50">
        <f>ROUND($B$5*$B$9*$B$14*$B$17*$B$18*$B$20*$B$24,0)</f>
        <v/>
      </c>
      <c r="R54" s="50">
        <f>ROUND($B$5*$B$9*$B$14*$B$17*$B$18*$B$21*$B$23,0)</f>
        <v/>
      </c>
      <c r="S54" s="50">
        <f>ROUND($B$5*$B$9*$B$14*$B$17*$B$18*$B$21*$B$24,0)</f>
        <v/>
      </c>
      <c r="T54" s="50">
        <f>ROUND($B$5*$B$9*$B$14*$B$17*$B$18*$B$22*$B$23,0)</f>
        <v/>
      </c>
      <c r="U54" s="50">
        <f>ROUND($B$5*$B$9*$B$14*$B$17*$B$18*$B$22*$B$24,0)</f>
        <v/>
      </c>
      <c r="V54" s="50">
        <f>ROUND($B$5*$B$9*$B$14*$B$17*$B$19*$B$20*$B$23,0)</f>
        <v/>
      </c>
      <c r="W54" s="50">
        <f>ROUND($B$5*$B$9*$B$14*$B$17*$B$19*$B$20*$B$24,0)</f>
        <v/>
      </c>
      <c r="X54" s="50">
        <f>ROUND($B$5*$B$9*$B$14*$B$17*$B$19*$B$21*$B$23,0)</f>
        <v/>
      </c>
      <c r="Y54" s="50">
        <f>ROUND($B$5*$B$9*$B$14*$B$17*$B$19*$B$21*$B$24,0)</f>
        <v/>
      </c>
      <c r="Z54" s="50">
        <f>ROUND($B$5*$B$9*$B$14*$B$17*$B$19*$B$22*$B$23,0)</f>
        <v/>
      </c>
      <c r="AA54" s="50">
        <f>ROUND($B$5*$B$9*$B$14*$B$17*$B$19*$B$22*$B$24,0)</f>
        <v/>
      </c>
      <c r="AB54" s="50">
        <f>ROUND($B$6*$B$9*$B$14*$B$17*$B$18*$B$20*$B$23,0)</f>
        <v/>
      </c>
      <c r="AC54" s="50">
        <f>ROUND($B$6*$B$9*$B$14*$B$17*$B$18*$B$20*$B$24,0)</f>
        <v/>
      </c>
      <c r="AD54" s="50">
        <f>ROUND($B$6*$B$9*$B$14*$B$17*$B$18*$B$21*$B$23,0)</f>
        <v/>
      </c>
      <c r="AE54" s="50">
        <f>ROUND($B$6*$B$9*$B$14*$B$17*$B$18*$B$21*$B$24,0)</f>
        <v/>
      </c>
      <c r="AF54" s="50">
        <f>ROUND($B$6*$B$9*$B$14*$B$17*$B$18*$B$22*$B$23,0)</f>
        <v/>
      </c>
      <c r="AG54" s="50">
        <f>ROUND($B$6*$B$9*$B$14*$B$17*$B$18*$B$22*$B$24,0)</f>
        <v/>
      </c>
      <c r="AH54" s="50">
        <f>ROUND($B$6*$B$9*$B$14*$B$17*$B$19*$B$20*$B$23,0)</f>
        <v/>
      </c>
      <c r="AI54" s="50">
        <f>ROUND($B$6*$B$9*$B$14*$B$17*$B$19*$B$20*$B$24,0)</f>
        <v/>
      </c>
      <c r="AJ54" s="50">
        <f>ROUND($B$6*$B$9*$B$14*$B$17*$B$19*$B$21*$B$23,0)</f>
        <v/>
      </c>
      <c r="AK54" s="50">
        <f>ROUND($B$6*$B$9*$B$14*$B$17*$B$19*$B$21*$B$24,0)</f>
        <v/>
      </c>
      <c r="AL54" s="50">
        <f>ROUND($B$6*$B$9*$B$14*$B$17*$B$19*$B$22*$B$23,0)</f>
        <v/>
      </c>
      <c r="AM54" s="50">
        <f>ROUND($B$6*$B$9*$B$14*$B$17*$B$19*$B$22*$B$24,0)</f>
        <v/>
      </c>
    </row>
    <row r="55" ht="20.1" customHeight="1" s="62">
      <c r="A55" s="103" t="inlineStr">
        <is>
          <t>Complexe</t>
        </is>
      </c>
      <c r="B55" s="101" t="inlineStr">
        <is>
          <t>Site web</t>
        </is>
      </c>
      <c r="C55" s="49" t="inlineStr">
        <is>
          <t>Criticité faible</t>
        </is>
      </c>
      <c r="D55" s="50">
        <f>ROUND($B$4*$B$10*$B$11*$B$15*$B$18*$B$20*$B$23,0)</f>
        <v/>
      </c>
      <c r="E55" s="50">
        <f>ROUND($B$4*$B$10*$B$11*$B$15*$B$18*$B$20*$B$24,0)</f>
        <v/>
      </c>
      <c r="F55" s="50">
        <f>ROUND($B$4*$B$10*$B$11*$B$15*$B$18*$B$21*$B$23,0)</f>
        <v/>
      </c>
      <c r="G55" s="50">
        <f>ROUND($B$4*$B$10*$B$11*$B$15*$B$18*$B$21*$B$24,0)</f>
        <v/>
      </c>
      <c r="H55" s="50">
        <f>ROUND($B$4*$B$10*$B$11*$B$15*$B$18*$B$22*$B$23,0)</f>
        <v/>
      </c>
      <c r="I55" s="50">
        <f>ROUND($B$4*$B$10*$B$11*$B$15*$B$18*$B$22*$B$24,0)</f>
        <v/>
      </c>
      <c r="J55" s="50">
        <f>ROUND($B$4*$B$10*$B$11*$B$15*$B$19*$B$20*$B$23,0)</f>
        <v/>
      </c>
      <c r="K55" s="50">
        <f>ROUND($B$4*$B$10*$B$11*$B$15*$B$19*$B$20*$B$24,0)</f>
        <v/>
      </c>
      <c r="L55" s="50">
        <f>ROUND($B$4*$B$10*$B$11*$B$15*$B$19*$B$21*$B$23,0)</f>
        <v/>
      </c>
      <c r="M55" s="50">
        <f>ROUND($B$4*$B$10*$B$11*$B$15*$B$19*$B$21*$B$24,0)</f>
        <v/>
      </c>
      <c r="N55" s="50">
        <f>ROUND($B$4*$B$10*$B$11*$B$15*$B$19*$B$22*$B$23,0)</f>
        <v/>
      </c>
      <c r="O55" s="50">
        <f>ROUND($B$4*$B$10*$B$11*$B$15*$B$19*$B$22*$B$24,0)</f>
        <v/>
      </c>
      <c r="P55" s="50">
        <f>ROUND($B$5*$B$10*$B$11*$B$15*$B$18*$B$20*$B$23,0)</f>
        <v/>
      </c>
      <c r="Q55" s="50">
        <f>ROUND($B$5*$B$10*$B$11*$B$15*$B$18*$B$20*$B$24,0)</f>
        <v/>
      </c>
      <c r="R55" s="50">
        <f>ROUND($B$5*$B$10*$B$11*$B$15*$B$18*$B$21*$B$23,0)</f>
        <v/>
      </c>
      <c r="S55" s="50">
        <f>ROUND($B$5*$B$10*$B$11*$B$15*$B$18*$B$21*$B$24,0)</f>
        <v/>
      </c>
      <c r="T55" s="50">
        <f>ROUND($B$5*$B$10*$B$11*$B$15*$B$18*$B$22*$B$23,0)</f>
        <v/>
      </c>
      <c r="U55" s="50">
        <f>ROUND($B$5*$B$10*$B$11*$B$15*$B$18*$B$22*$B$24,0)</f>
        <v/>
      </c>
      <c r="V55" s="50">
        <f>ROUND($B$5*$B$10*$B$11*$B$15*$B$19*$B$20*$B$23,0)</f>
        <v/>
      </c>
      <c r="W55" s="50">
        <f>ROUND($B$5*$B$10*$B$11*$B$15*$B$19*$B$20*$B$24,0)</f>
        <v/>
      </c>
      <c r="X55" s="50">
        <f>ROUND($B$5*$B$10*$B$11*$B$15*$B$19*$B$21*$B$23,0)</f>
        <v/>
      </c>
      <c r="Y55" s="50">
        <f>ROUND($B$5*$B$10*$B$11*$B$15*$B$19*$B$21*$B$24,0)</f>
        <v/>
      </c>
      <c r="Z55" s="50">
        <f>ROUND($B$5*$B$10*$B$11*$B$15*$B$19*$B$22*$B$23,0)</f>
        <v/>
      </c>
      <c r="AA55" s="50">
        <f>ROUND($B$5*$B$10*$B$11*$B$15*$B$19*$B$22*$B$24,0)</f>
        <v/>
      </c>
      <c r="AB55" s="50">
        <f>ROUND($B$6*$B$10*$B$11*$B$15*$B$18*$B$20*$B$23,0)</f>
        <v/>
      </c>
      <c r="AC55" s="50">
        <f>ROUND($B$6*$B$10*$B$11*$B$15*$B$18*$B$20*$B$24,0)</f>
        <v/>
      </c>
      <c r="AD55" s="50">
        <f>ROUND($B$6*$B$10*$B$11*$B$15*$B$18*$B$21*$B$23,0)</f>
        <v/>
      </c>
      <c r="AE55" s="50">
        <f>ROUND($B$6*$B$10*$B$11*$B$15*$B$18*$B$21*$B$24,0)</f>
        <v/>
      </c>
      <c r="AF55" s="50">
        <f>ROUND($B$6*$B$10*$B$11*$B$15*$B$18*$B$22*$B$23,0)</f>
        <v/>
      </c>
      <c r="AG55" s="50">
        <f>ROUND($B$6*$B$10*$B$11*$B$15*$B$18*$B$22*$B$24,0)</f>
        <v/>
      </c>
      <c r="AH55" s="50">
        <f>ROUND($B$6*$B$10*$B$11*$B$15*$B$19*$B$20*$B$23,0)</f>
        <v/>
      </c>
      <c r="AI55" s="50">
        <f>ROUND($B$6*$B$10*$B$11*$B$15*$B$19*$B$20*$B$24,0)</f>
        <v/>
      </c>
      <c r="AJ55" s="50">
        <f>ROUND($B$6*$B$10*$B$11*$B$15*$B$19*$B$21*$B$23,0)</f>
        <v/>
      </c>
      <c r="AK55" s="50">
        <f>ROUND($B$6*$B$10*$B$11*$B$15*$B$19*$B$21*$B$24,0)</f>
        <v/>
      </c>
      <c r="AL55" s="50">
        <f>ROUND($B$6*$B$10*$B$11*$B$15*$B$19*$B$22*$B$23,0)</f>
        <v/>
      </c>
      <c r="AM55" s="50">
        <f>ROUND($B$6*$B$10*$B$11*$B$15*$B$19*$B$22*$B$24,0)</f>
        <v/>
      </c>
    </row>
    <row r="56" ht="20.1" customHeight="1" s="62">
      <c r="A56" s="104" t="n"/>
      <c r="B56" s="58" t="n"/>
      <c r="C56" s="101" t="inlineStr">
        <is>
          <t>Criticité modérée</t>
        </is>
      </c>
      <c r="D56" s="50">
        <f>ROUND($B$4*$B$10*$B$11*$B$16*$B$18*$B$20*$B$23,0)</f>
        <v/>
      </c>
      <c r="E56" s="50">
        <f>ROUND($B$4*$B$10*$B$11*$B$16*$B$18*$B$20*$B$24,0)</f>
        <v/>
      </c>
      <c r="F56" s="50">
        <f>ROUND($B$4*$B$10*$B$11*$B$16*$B$18*$B$21*$B$23,0)</f>
        <v/>
      </c>
      <c r="G56" s="50">
        <f>ROUND($B$4*$B$10*$B$11*$B$16*$B$18*$B$21*$B$24,0)</f>
        <v/>
      </c>
      <c r="H56" s="50">
        <f>ROUND($B$4*$B$10*$B$11*$B$16*$B$18*$B$22*$B$23,0)</f>
        <v/>
      </c>
      <c r="I56" s="50">
        <f>ROUND($B$4*$B$10*$B$11*$B$16*$B$18*$B$22*$B$24,0)</f>
        <v/>
      </c>
      <c r="J56" s="50">
        <f>ROUND($B$4*$B$10*$B$11*$B$16*$B$19*$B$20*$B$23,0)</f>
        <v/>
      </c>
      <c r="K56" s="50">
        <f>ROUND($B$4*$B$10*$B$11*$B$16*$B$19*$B$20*$B$24,0)</f>
        <v/>
      </c>
      <c r="L56" s="50">
        <f>ROUND($B$4*$B$10*$B$11*$B$16*$B$19*$B$21*$B$23,0)</f>
        <v/>
      </c>
      <c r="M56" s="50">
        <f>ROUND($B$4*$B$10*$B$11*$B$16*$B$19*$B$21*$B$24,0)</f>
        <v/>
      </c>
      <c r="N56" s="50">
        <f>ROUND($B$4*$B$10*$B$11*$B$16*$B$19*$B$22*$B$23,0)</f>
        <v/>
      </c>
      <c r="O56" s="50">
        <f>ROUND($B$4*$B$10*$B$11*$B$16*$B$19*$B$22*$B$24,0)</f>
        <v/>
      </c>
      <c r="P56" s="50">
        <f>ROUND($B$5*$B$10*$B$11*$B$16*$B$18*$B$20*$B$23,0)</f>
        <v/>
      </c>
      <c r="Q56" s="50">
        <f>ROUND($B$5*$B$10*$B$11*$B$16*$B$18*$B$20*$B$24,0)</f>
        <v/>
      </c>
      <c r="R56" s="50">
        <f>ROUND($B$5*$B$10*$B$11*$B$16*$B$18*$B$21*$B$23,0)</f>
        <v/>
      </c>
      <c r="S56" s="50">
        <f>ROUND($B$5*$B$10*$B$11*$B$16*$B$18*$B$21*$B$24,0)</f>
        <v/>
      </c>
      <c r="T56" s="50">
        <f>ROUND($B$5*$B$10*$B$11*$B$16*$B$18*$B$22*$B$23,0)</f>
        <v/>
      </c>
      <c r="U56" s="50">
        <f>ROUND($B$5*$B$10*$B$11*$B$16*$B$18*$B$22*$B$24,0)</f>
        <v/>
      </c>
      <c r="V56" s="50">
        <f>ROUND($B$5*$B$10*$B$11*$B$16*$B$19*$B$20*$B$23,0)</f>
        <v/>
      </c>
      <c r="W56" s="50">
        <f>ROUND($B$5*$B$10*$B$11*$B$16*$B$19*$B$20*$B$24,0)</f>
        <v/>
      </c>
      <c r="X56" s="50">
        <f>ROUND($B$5*$B$10*$B$11*$B$16*$B$19*$B$21*$B$23,0)</f>
        <v/>
      </c>
      <c r="Y56" s="50">
        <f>ROUND($B$5*$B$10*$B$11*$B$16*$B$19*$B$21*$B$24,0)</f>
        <v/>
      </c>
      <c r="Z56" s="50">
        <f>ROUND($B$5*$B$10*$B$11*$B$16*$B$19*$B$22*$B$23,0)</f>
        <v/>
      </c>
      <c r="AA56" s="50">
        <f>ROUND($B$5*$B$10*$B$11*$B$16*$B$19*$B$22*$B$24,0)</f>
        <v/>
      </c>
      <c r="AB56" s="50">
        <f>ROUND($B$6*$B$10*$B$11*$B$16*$B$18*$B$20*$B$23,0)</f>
        <v/>
      </c>
      <c r="AC56" s="50">
        <f>ROUND($B$6*$B$10*$B$11*$B$16*$B$18*$B$20*$B$24,0)</f>
        <v/>
      </c>
      <c r="AD56" s="50">
        <f>ROUND($B$6*$B$10*$B$11*$B$16*$B$18*$B$21*$B$23,0)</f>
        <v/>
      </c>
      <c r="AE56" s="50">
        <f>ROUND($B$6*$B$10*$B$11*$B$16*$B$18*$B$21*$B$24,0)</f>
        <v/>
      </c>
      <c r="AF56" s="50">
        <f>ROUND($B$6*$B$10*$B$11*$B$16*$B$18*$B$22*$B$23,0)</f>
        <v/>
      </c>
      <c r="AG56" s="50">
        <f>ROUND($B$6*$B$10*$B$11*$B$16*$B$18*$B$22*$B$24,0)</f>
        <v/>
      </c>
      <c r="AH56" s="50">
        <f>ROUND($B$6*$B$10*$B$11*$B$16*$B$19*$B$20*$B$23,0)</f>
        <v/>
      </c>
      <c r="AI56" s="50">
        <f>ROUND($B$6*$B$10*$B$11*$B$16*$B$19*$B$20*$B$24,0)</f>
        <v/>
      </c>
      <c r="AJ56" s="50">
        <f>ROUND($B$6*$B$10*$B$11*$B$16*$B$19*$B$21*$B$23,0)</f>
        <v/>
      </c>
      <c r="AK56" s="50">
        <f>ROUND($B$6*$B$10*$B$11*$B$16*$B$19*$B$21*$B$24,0)</f>
        <v/>
      </c>
      <c r="AL56" s="50">
        <f>ROUND($B$6*$B$10*$B$11*$B$16*$B$19*$B$22*$B$23,0)</f>
        <v/>
      </c>
      <c r="AM56" s="50">
        <f>ROUND($B$6*$B$10*$B$11*$B$16*$B$19*$B$22*$B$24,0)</f>
        <v/>
      </c>
    </row>
    <row r="57" ht="20.1" customHeight="1" s="62">
      <c r="A57" s="104" t="n"/>
      <c r="B57" s="59" t="n"/>
      <c r="C57" s="51" t="inlineStr">
        <is>
          <t>Criticité élevée</t>
        </is>
      </c>
      <c r="D57" s="50">
        <f>ROUND($B$4*$B$10*$B$11*$B$17*$B$18*$B$20*$B$23,0)</f>
        <v/>
      </c>
      <c r="E57" s="50">
        <f>ROUND($B$4*$B$10*$B$11*$B$17*$B$18*$B$20*$B$24,0)</f>
        <v/>
      </c>
      <c r="F57" s="50">
        <f>ROUND($B$4*$B$10*$B$11*$B$17*$B$18*$B$21*$B$23,0)</f>
        <v/>
      </c>
      <c r="G57" s="50">
        <f>ROUND($B$4*$B$10*$B$11*$B$17*$B$18*$B$21*$B$24,0)</f>
        <v/>
      </c>
      <c r="H57" s="50">
        <f>ROUND($B$4*$B$10*$B$11*$B$17*$B$18*$B$22*$B$23,0)</f>
        <v/>
      </c>
      <c r="I57" s="50">
        <f>ROUND($B$4*$B$10*$B$11*$B$17*$B$18*$B$22*$B$24,0)</f>
        <v/>
      </c>
      <c r="J57" s="50">
        <f>ROUND($B$4*$B$10*$B$11*$B$17*$B$19*$B$20*$B$23,0)</f>
        <v/>
      </c>
      <c r="K57" s="50">
        <f>ROUND($B$4*$B$10*$B$11*$B$17*$B$19*$B$20*$B$24,0)</f>
        <v/>
      </c>
      <c r="L57" s="50">
        <f>ROUND($B$4*$B$10*$B$11*$B$17*$B$19*$B$21*$B$23,0)</f>
        <v/>
      </c>
      <c r="M57" s="50">
        <f>ROUND($B$4*$B$10*$B$11*$B$17*$B$19*$B$21*$B$24,0)</f>
        <v/>
      </c>
      <c r="N57" s="50">
        <f>ROUND($B$4*$B$10*$B$11*$B$17*$B$19*$B$22*$B$23,0)</f>
        <v/>
      </c>
      <c r="O57" s="50">
        <f>ROUND($B$4*$B$10*$B$11*$B$17*$B$19*$B$22*$B$24,0)</f>
        <v/>
      </c>
      <c r="P57" s="50">
        <f>ROUND($B$5*$B$10*$B$11*$B$17*$B$18*$B$20*$B$23,0)</f>
        <v/>
      </c>
      <c r="Q57" s="50">
        <f>ROUND($B$5*$B$10*$B$11*$B$17*$B$18*$B$20*$B$24,0)</f>
        <v/>
      </c>
      <c r="R57" s="50">
        <f>ROUND($B$5*$B$10*$B$11*$B$17*$B$18*$B$21*$B$23,0)</f>
        <v/>
      </c>
      <c r="S57" s="50">
        <f>ROUND($B$5*$B$10*$B$11*$B$17*$B$18*$B$21*$B$24,0)</f>
        <v/>
      </c>
      <c r="T57" s="50">
        <f>ROUND($B$5*$B$10*$B$11*$B$17*$B$18*$B$22*$B$23,0)</f>
        <v/>
      </c>
      <c r="U57" s="50">
        <f>ROUND($B$5*$B$10*$B$11*$B$17*$B$18*$B$22*$B$24,0)</f>
        <v/>
      </c>
      <c r="V57" s="50">
        <f>ROUND($B$5*$B$10*$B$11*$B$17*$B$19*$B$20*$B$23,0)</f>
        <v/>
      </c>
      <c r="W57" s="50">
        <f>ROUND($B$5*$B$10*$B$11*$B$17*$B$19*$B$20*$B$24,0)</f>
        <v/>
      </c>
      <c r="X57" s="50">
        <f>ROUND($B$5*$B$10*$B$11*$B$17*$B$19*$B$21*$B$23,0)</f>
        <v/>
      </c>
      <c r="Y57" s="50">
        <f>ROUND($B$5*$B$10*$B$11*$B$17*$B$19*$B$21*$B$24,0)</f>
        <v/>
      </c>
      <c r="Z57" s="50">
        <f>ROUND($B$5*$B$10*$B$11*$B$17*$B$19*$B$22*$B$23,0)</f>
        <v/>
      </c>
      <c r="AA57" s="50">
        <f>ROUND($B$5*$B$10*$B$11*$B$17*$B$19*$B$22*$B$24,0)</f>
        <v/>
      </c>
      <c r="AB57" s="50">
        <f>ROUND($B$6*$B$10*$B$11*$B$17*$B$18*$B$20*$B$23,0)</f>
        <v/>
      </c>
      <c r="AC57" s="50">
        <f>ROUND($B$6*$B$10*$B$11*$B$17*$B$18*$B$20*$B$24,0)</f>
        <v/>
      </c>
      <c r="AD57" s="50">
        <f>ROUND($B$6*$B$10*$B$11*$B$17*$B$18*$B$21*$B$23,0)</f>
        <v/>
      </c>
      <c r="AE57" s="50">
        <f>ROUND($B$6*$B$10*$B$11*$B$17*$B$18*$B$21*$B$24,0)</f>
        <v/>
      </c>
      <c r="AF57" s="50">
        <f>ROUND($B$6*$B$10*$B$11*$B$17*$B$18*$B$22*$B$23,0)</f>
        <v/>
      </c>
      <c r="AG57" s="50">
        <f>ROUND($B$6*$B$10*$B$11*$B$17*$B$18*$B$22*$B$24,0)</f>
        <v/>
      </c>
      <c r="AH57" s="50">
        <f>ROUND($B$6*$B$10*$B$11*$B$17*$B$19*$B$20*$B$23,0)</f>
        <v/>
      </c>
      <c r="AI57" s="50">
        <f>ROUND($B$6*$B$10*$B$11*$B$17*$B$19*$B$20*$B$24,0)</f>
        <v/>
      </c>
      <c r="AJ57" s="50">
        <f>ROUND($B$6*$B$10*$B$11*$B$17*$B$19*$B$21*$B$23,0)</f>
        <v/>
      </c>
      <c r="AK57" s="50">
        <f>ROUND($B$6*$B$10*$B$11*$B$17*$B$19*$B$21*$B$24,0)</f>
        <v/>
      </c>
      <c r="AL57" s="50">
        <f>ROUND($B$6*$B$10*$B$11*$B$17*$B$19*$B$22*$B$23,0)</f>
        <v/>
      </c>
      <c r="AM57" s="50">
        <f>ROUND($B$6*$B$10*$B$11*$B$17*$B$19*$B$22*$B$24,0)</f>
        <v/>
      </c>
    </row>
    <row r="58" ht="20.1" customHeight="1" s="62">
      <c r="A58" s="104" t="n"/>
      <c r="B58" s="101" t="inlineStr">
        <is>
          <t>Logiciel</t>
        </is>
      </c>
      <c r="C58" s="49" t="inlineStr">
        <is>
          <t>Criticité faible</t>
        </is>
      </c>
      <c r="D58" s="50">
        <f>ROUND($B$4*$B$10*$B$12*$B$15*$B$18*$B$20*$B$23,0)</f>
        <v/>
      </c>
      <c r="E58" s="50">
        <f>ROUND($B$4*$B$10*$B$12*$B$15*$B$18*$B$20*$B$24,0)</f>
        <v/>
      </c>
      <c r="F58" s="50">
        <f>ROUND($B$4*$B$10*$B$12*$B$15*$B$18*$B$21*$B$23,0)</f>
        <v/>
      </c>
      <c r="G58" s="50">
        <f>ROUND($B$4*$B$10*$B$12*$B$15*$B$18*$B$21*$B$24,0)</f>
        <v/>
      </c>
      <c r="H58" s="50">
        <f>ROUND($B$4*$B$10*$B$12*$B$15*$B$18*$B$22*$B$23,0)</f>
        <v/>
      </c>
      <c r="I58" s="50">
        <f>ROUND($B$4*$B$10*$B$12*$B$15*$B$18*$B$22*$B$24,0)</f>
        <v/>
      </c>
      <c r="J58" s="50">
        <f>ROUND($B$4*$B$10*$B$12*$B$15*$B$19*$B$20*$B$23,0)</f>
        <v/>
      </c>
      <c r="K58" s="50">
        <f>ROUND($B$4*$B$10*$B$12*$B$15*$B$19*$B$20*$B$24,0)</f>
        <v/>
      </c>
      <c r="L58" s="50">
        <f>ROUND($B$4*$B$10*$B$12*$B$15*$B$19*$B$21*$B$23,0)</f>
        <v/>
      </c>
      <c r="M58" s="50">
        <f>ROUND($B$4*$B$10*$B$12*$B$15*$B$19*$B$21*$B$24,0)</f>
        <v/>
      </c>
      <c r="N58" s="50">
        <f>ROUND($B$4*$B$10*$B$12*$B$15*$B$19*$B$22*$B$23,0)</f>
        <v/>
      </c>
      <c r="O58" s="50">
        <f>ROUND($B$4*$B$10*$B$12*$B$15*$B$19*$B$22*$B$24,0)</f>
        <v/>
      </c>
      <c r="P58" s="50">
        <f>ROUND($B$5*$B$10*$B$12*$B$15*$B$18*$B$20*$B$23,0)</f>
        <v/>
      </c>
      <c r="Q58" s="50">
        <f>ROUND($B$5*$B$10*$B$12*$B$15*$B$18*$B$20*$B$24,0)</f>
        <v/>
      </c>
      <c r="R58" s="50">
        <f>ROUND($B$5*$B$10*$B$12*$B$15*$B$18*$B$21*$B$23,0)</f>
        <v/>
      </c>
      <c r="S58" s="50">
        <f>ROUND($B$5*$B$10*$B$12*$B$15*$B$18*$B$21*$B$24,0)</f>
        <v/>
      </c>
      <c r="T58" s="50">
        <f>ROUND($B$5*$B$10*$B$12*$B$15*$B$18*$B$22*$B$23,0)</f>
        <v/>
      </c>
      <c r="U58" s="50">
        <f>ROUND($B$5*$B$10*$B$12*$B$15*$B$18*$B$22*$B$24,0)</f>
        <v/>
      </c>
      <c r="V58" s="50">
        <f>ROUND($B$5*$B$10*$B$12*$B$15*$B$19*$B$20*$B$23,0)</f>
        <v/>
      </c>
      <c r="W58" s="50">
        <f>ROUND($B$5*$B$10*$B$12*$B$15*$B$19*$B$20*$B$24,0)</f>
        <v/>
      </c>
      <c r="X58" s="50">
        <f>ROUND($B$5*$B$10*$B$12*$B$15*$B$19*$B$21*$B$23,0)</f>
        <v/>
      </c>
      <c r="Y58" s="50">
        <f>ROUND($B$5*$B$10*$B$12*$B$15*$B$19*$B$21*$B$24,0)</f>
        <v/>
      </c>
      <c r="Z58" s="50">
        <f>ROUND($B$5*$B$10*$B$12*$B$15*$B$19*$B$22*$B$23,0)</f>
        <v/>
      </c>
      <c r="AA58" s="50">
        <f>ROUND($B$5*$B$10*$B$12*$B$15*$B$19*$B$22*$B$24,0)</f>
        <v/>
      </c>
      <c r="AB58" s="50">
        <f>ROUND($B$6*$B$10*$B$12*$B$15*$B$18*$B$20*$B$23,0)</f>
        <v/>
      </c>
      <c r="AC58" s="50">
        <f>ROUND($B$6*$B$10*$B$12*$B$15*$B$18*$B$20*$B$24,0)</f>
        <v/>
      </c>
      <c r="AD58" s="50">
        <f>ROUND($B$6*$B$10*$B$12*$B$15*$B$18*$B$21*$B$23,0)</f>
        <v/>
      </c>
      <c r="AE58" s="50">
        <f>ROUND($B$6*$B$10*$B$12*$B$15*$B$18*$B$21*$B$24,0)</f>
        <v/>
      </c>
      <c r="AF58" s="50">
        <f>ROUND($B$6*$B$10*$B$12*$B$15*$B$18*$B$22*$B$23,0)</f>
        <v/>
      </c>
      <c r="AG58" s="50">
        <f>ROUND($B$6*$B$10*$B$12*$B$15*$B$18*$B$22*$B$24,0)</f>
        <v/>
      </c>
      <c r="AH58" s="50">
        <f>ROUND($B$6*$B$10*$B$12*$B$15*$B$19*$B$20*$B$23,0)</f>
        <v/>
      </c>
      <c r="AI58" s="50">
        <f>ROUND($B$6*$B$10*$B$12*$B$15*$B$19*$B$20*$B$24,0)</f>
        <v/>
      </c>
      <c r="AJ58" s="50">
        <f>ROUND($B$6*$B$10*$B$12*$B$15*$B$19*$B$21*$B$23,0)</f>
        <v/>
      </c>
      <c r="AK58" s="50">
        <f>ROUND($B$6*$B$10*$B$12*$B$15*$B$19*$B$21*$B$24,0)</f>
        <v/>
      </c>
      <c r="AL58" s="50">
        <f>ROUND($B$6*$B$10*$B$12*$B$15*$B$19*$B$22*$B$23,0)</f>
        <v/>
      </c>
      <c r="AM58" s="50">
        <f>ROUND($B$6*$B$10*$B$12*$B$15*$B$19*$B$22*$B$24,0)</f>
        <v/>
      </c>
    </row>
    <row r="59" ht="20.1" customHeight="1" s="62">
      <c r="A59" s="104" t="n"/>
      <c r="B59" s="58" t="n"/>
      <c r="C59" s="101" t="inlineStr">
        <is>
          <t>Criticité modérée</t>
        </is>
      </c>
      <c r="D59" s="50">
        <f>ROUND($B$4*$B$10*$B$12*$B$16*$B$18*$B$20*$B$23,0)</f>
        <v/>
      </c>
      <c r="E59" s="50">
        <f>ROUND($B$4*$B$10*$B$12*$B$16*$B$18*$B$20*$B$24,0)</f>
        <v/>
      </c>
      <c r="F59" s="50">
        <f>ROUND($B$4*$B$10*$B$12*$B$16*$B$18*$B$21*$B$23,0)</f>
        <v/>
      </c>
      <c r="G59" s="50">
        <f>ROUND($B$4*$B$10*$B$12*$B$16*$B$18*$B$21*$B$24,0)</f>
        <v/>
      </c>
      <c r="H59" s="50">
        <f>ROUND($B$4*$B$10*$B$12*$B$16*$B$18*$B$22*$B$23,0)</f>
        <v/>
      </c>
      <c r="I59" s="50">
        <f>ROUND($B$4*$B$10*$B$12*$B$16*$B$18*$B$22*$B$24,0)</f>
        <v/>
      </c>
      <c r="J59" s="50">
        <f>ROUND($B$4*$B$10*$B$12*$B$16*$B$19*$B$20*$B$23,0)</f>
        <v/>
      </c>
      <c r="K59" s="50">
        <f>ROUND($B$4*$B$10*$B$12*$B$16*$B$19*$B$20*$B$24,0)</f>
        <v/>
      </c>
      <c r="L59" s="50">
        <f>ROUND($B$4*$B$10*$B$12*$B$16*$B$19*$B$21*$B$23,0)</f>
        <v/>
      </c>
      <c r="M59" s="50">
        <f>ROUND($B$4*$B$10*$B$12*$B$16*$B$19*$B$21*$B$24,0)</f>
        <v/>
      </c>
      <c r="N59" s="50">
        <f>ROUND($B$4*$B$10*$B$12*$B$16*$B$19*$B$22*$B$23,0)</f>
        <v/>
      </c>
      <c r="O59" s="50">
        <f>ROUND($B$4*$B$10*$B$12*$B$16*$B$19*$B$22*$B$24,0)</f>
        <v/>
      </c>
      <c r="P59" s="50">
        <f>ROUND($B$5*$B$10*$B$12*$B$16*$B$18*$B$20*$B$23,0)</f>
        <v/>
      </c>
      <c r="Q59" s="50">
        <f>ROUND($B$5*$B$10*$B$12*$B$16*$B$18*$B$20*$B$24,0)</f>
        <v/>
      </c>
      <c r="R59" s="50">
        <f>ROUND($B$5*$B$10*$B$12*$B$16*$B$18*$B$21*$B$23,0)</f>
        <v/>
      </c>
      <c r="S59" s="50">
        <f>ROUND($B$5*$B$10*$B$12*$B$16*$B$18*$B$21*$B$24,0)</f>
        <v/>
      </c>
      <c r="T59" s="50">
        <f>ROUND($B$5*$B$10*$B$12*$B$16*$B$18*$B$22*$B$23,0)</f>
        <v/>
      </c>
      <c r="U59" s="50">
        <f>ROUND($B$5*$B$10*$B$12*$B$16*$B$18*$B$22*$B$24,0)</f>
        <v/>
      </c>
      <c r="V59" s="50">
        <f>ROUND($B$5*$B$10*$B$12*$B$16*$B$19*$B$20*$B$23,0)</f>
        <v/>
      </c>
      <c r="W59" s="50">
        <f>ROUND($B$5*$B$10*$B$12*$B$16*$B$19*$B$20*$B$24,0)</f>
        <v/>
      </c>
      <c r="X59" s="50">
        <f>ROUND($B$5*$B$10*$B$12*$B$16*$B$19*$B$21*$B$23,0)</f>
        <v/>
      </c>
      <c r="Y59" s="50">
        <f>ROUND($B$5*$B$10*$B$12*$B$16*$B$19*$B$21*$B$24,0)</f>
        <v/>
      </c>
      <c r="Z59" s="50">
        <f>ROUND($B$5*$B$10*$B$12*$B$16*$B$19*$B$22*$B$23,0)</f>
        <v/>
      </c>
      <c r="AA59" s="50">
        <f>ROUND($B$5*$B$10*$B$12*$B$16*$B$19*$B$22*$B$24,0)</f>
        <v/>
      </c>
      <c r="AB59" s="50">
        <f>ROUND($B$6*$B$10*$B$12*$B$16*$B$18*$B$20*$B$23,0)</f>
        <v/>
      </c>
      <c r="AC59" s="50">
        <f>ROUND($B$6*$B$10*$B$12*$B$16*$B$18*$B$20*$B$24,0)</f>
        <v/>
      </c>
      <c r="AD59" s="50">
        <f>ROUND($B$6*$B$10*$B$12*$B$16*$B$18*$B$21*$B$23,0)</f>
        <v/>
      </c>
      <c r="AE59" s="50">
        <f>ROUND($B$6*$B$10*$B$12*$B$16*$B$18*$B$21*$B$24,0)</f>
        <v/>
      </c>
      <c r="AF59" s="50">
        <f>ROUND($B$6*$B$10*$B$12*$B$16*$B$18*$B$22*$B$23,0)</f>
        <v/>
      </c>
      <c r="AG59" s="50">
        <f>ROUND($B$6*$B$10*$B$12*$B$16*$B$18*$B$22*$B$24,0)</f>
        <v/>
      </c>
      <c r="AH59" s="50">
        <f>ROUND($B$6*$B$10*$B$12*$B$16*$B$19*$B$20*$B$23,0)</f>
        <v/>
      </c>
      <c r="AI59" s="50">
        <f>ROUND($B$6*$B$10*$B$12*$B$16*$B$19*$B$20*$B$24,0)</f>
        <v/>
      </c>
      <c r="AJ59" s="50">
        <f>ROUND($B$6*$B$10*$B$12*$B$16*$B$19*$B$21*$B$23,0)</f>
        <v/>
      </c>
      <c r="AK59" s="50">
        <f>ROUND($B$6*$B$10*$B$12*$B$16*$B$19*$B$21*$B$24,0)</f>
        <v/>
      </c>
      <c r="AL59" s="50">
        <f>ROUND($B$6*$B$10*$B$12*$B$16*$B$19*$B$22*$B$23,0)</f>
        <v/>
      </c>
      <c r="AM59" s="50">
        <f>ROUND($B$6*$B$10*$B$12*$B$16*$B$19*$B$22*$B$24,0)</f>
        <v/>
      </c>
    </row>
    <row r="60" ht="20.1" customHeight="1" s="62">
      <c r="A60" s="104" t="n"/>
      <c r="B60" s="59" t="n"/>
      <c r="C60" s="51" t="inlineStr">
        <is>
          <t>Criticité élevée</t>
        </is>
      </c>
      <c r="D60" s="50">
        <f>ROUND($B$4*$B$10*$B$12*$B$17*$B$18*$B$20*$B$23,0)</f>
        <v/>
      </c>
      <c r="E60" s="50">
        <f>ROUND($B$4*$B$10*$B$12*$B$17*$B$18*$B$20*$B$24,0)</f>
        <v/>
      </c>
      <c r="F60" s="50">
        <f>ROUND($B$4*$B$10*$B$12*$B$17*$B$18*$B$21*$B$23,0)</f>
        <v/>
      </c>
      <c r="G60" s="50">
        <f>ROUND($B$4*$B$10*$B$12*$B$17*$B$18*$B$21*$B$24,0)</f>
        <v/>
      </c>
      <c r="H60" s="50">
        <f>ROUND($B$4*$B$10*$B$12*$B$17*$B$18*$B$22*$B$23,0)</f>
        <v/>
      </c>
      <c r="I60" s="50">
        <f>ROUND($B$4*$B$10*$B$12*$B$17*$B$18*$B$22*$B$24,0)</f>
        <v/>
      </c>
      <c r="J60" s="50">
        <f>ROUND($B$4*$B$10*$B$12*$B$17*$B$19*$B$20*$B$23,0)</f>
        <v/>
      </c>
      <c r="K60" s="50">
        <f>ROUND($B$4*$B$10*$B$12*$B$17*$B$19*$B$20*$B$24,0)</f>
        <v/>
      </c>
      <c r="L60" s="50">
        <f>ROUND($B$4*$B$10*$B$12*$B$17*$B$19*$B$21*$B$23,0)</f>
        <v/>
      </c>
      <c r="M60" s="50">
        <f>ROUND($B$4*$B$10*$B$12*$B$17*$B$19*$B$21*$B$24,0)</f>
        <v/>
      </c>
      <c r="N60" s="50">
        <f>ROUND($B$4*$B$10*$B$12*$B$17*$B$19*$B$22*$B$23,0)</f>
        <v/>
      </c>
      <c r="O60" s="50">
        <f>ROUND($B$4*$B$10*$B$12*$B$17*$B$19*$B$22*$B$24,0)</f>
        <v/>
      </c>
      <c r="P60" s="50">
        <f>ROUND($B$5*$B$10*$B$12*$B$17*$B$18*$B$20*$B$23,0)</f>
        <v/>
      </c>
      <c r="Q60" s="50">
        <f>ROUND($B$5*$B$10*$B$12*$B$17*$B$18*$B$20*$B$24,0)</f>
        <v/>
      </c>
      <c r="R60" s="50">
        <f>ROUND($B$5*$B$10*$B$12*$B$17*$B$18*$B$21*$B$23,0)</f>
        <v/>
      </c>
      <c r="S60" s="50">
        <f>ROUND($B$5*$B$10*$B$12*$B$17*$B$18*$B$21*$B$24,0)</f>
        <v/>
      </c>
      <c r="T60" s="50">
        <f>ROUND($B$5*$B$10*$B$12*$B$17*$B$18*$B$22*$B$23,0)</f>
        <v/>
      </c>
      <c r="U60" s="50">
        <f>ROUND($B$5*$B$10*$B$12*$B$17*$B$18*$B$22*$B$24,0)</f>
        <v/>
      </c>
      <c r="V60" s="50">
        <f>ROUND($B$5*$B$10*$B$12*$B$17*$B$19*$B$20*$B$23,0)</f>
        <v/>
      </c>
      <c r="W60" s="50">
        <f>ROUND($B$5*$B$10*$B$12*$B$17*$B$19*$B$20*$B$24,0)</f>
        <v/>
      </c>
      <c r="X60" s="50">
        <f>ROUND($B$5*$B$10*$B$12*$B$17*$B$19*$B$21*$B$23,0)</f>
        <v/>
      </c>
      <c r="Y60" s="50">
        <f>ROUND($B$5*$B$10*$B$12*$B$17*$B$19*$B$21*$B$24,0)</f>
        <v/>
      </c>
      <c r="Z60" s="50">
        <f>ROUND($B$5*$B$10*$B$12*$B$17*$B$19*$B$22*$B$23,0)</f>
        <v/>
      </c>
      <c r="AA60" s="50">
        <f>ROUND($B$5*$B$10*$B$12*$B$17*$B$19*$B$22*$B$24,0)</f>
        <v/>
      </c>
      <c r="AB60" s="50">
        <f>ROUND($B$6*$B$10*$B$12*$B$17*$B$18*$B$20*$B$23,0)</f>
        <v/>
      </c>
      <c r="AC60" s="50">
        <f>ROUND($B$6*$B$10*$B$12*$B$17*$B$18*$B$20*$B$24,0)</f>
        <v/>
      </c>
      <c r="AD60" s="50">
        <f>ROUND($B$6*$B$10*$B$12*$B$17*$B$18*$B$21*$B$23,0)</f>
        <v/>
      </c>
      <c r="AE60" s="50">
        <f>ROUND($B$6*$B$10*$B$12*$B$17*$B$18*$B$21*$B$24,0)</f>
        <v/>
      </c>
      <c r="AF60" s="50">
        <f>ROUND($B$6*$B$10*$B$12*$B$17*$B$18*$B$22*$B$23,0)</f>
        <v/>
      </c>
      <c r="AG60" s="50">
        <f>ROUND($B$6*$B$10*$B$12*$B$17*$B$18*$B$22*$B$24,0)</f>
        <v/>
      </c>
      <c r="AH60" s="50">
        <f>ROUND($B$6*$B$10*$B$12*$B$17*$B$19*$B$20*$B$23,0)</f>
        <v/>
      </c>
      <c r="AI60" s="50">
        <f>ROUND($B$6*$B$10*$B$12*$B$17*$B$19*$B$20*$B$24,0)</f>
        <v/>
      </c>
      <c r="AJ60" s="50">
        <f>ROUND($B$6*$B$10*$B$12*$B$17*$B$19*$B$21*$B$23,0)</f>
        <v/>
      </c>
      <c r="AK60" s="50">
        <f>ROUND($B$6*$B$10*$B$12*$B$17*$B$19*$B$21*$B$24,0)</f>
        <v/>
      </c>
      <c r="AL60" s="50">
        <f>ROUND($B$6*$B$10*$B$12*$B$17*$B$19*$B$22*$B$23,0)</f>
        <v/>
      </c>
      <c r="AM60" s="50">
        <f>ROUND($B$6*$B$10*$B$12*$B$17*$B$19*$B$22*$B$24,0)</f>
        <v/>
      </c>
    </row>
    <row r="61" ht="20.1" customHeight="1" s="62">
      <c r="A61" s="104" t="n"/>
      <c r="B61" s="101" t="inlineStr">
        <is>
          <t>Application métier</t>
        </is>
      </c>
      <c r="C61" s="49" t="inlineStr">
        <is>
          <t>Criticité faible</t>
        </is>
      </c>
      <c r="D61" s="50">
        <f>ROUND($B$4*$B$10*$B$13*$B$15*$B$18*$B$20*$B$23,0)</f>
        <v/>
      </c>
      <c r="E61" s="50">
        <f>ROUND($B$4*$B$10*$B$13*$B$15*$B$18*$B$20*$B$24,0)</f>
        <v/>
      </c>
      <c r="F61" s="50">
        <f>ROUND($B$4*$B$10*$B$13*$B$15*$B$18*$B$21*$B$23,0)</f>
        <v/>
      </c>
      <c r="G61" s="50">
        <f>ROUND($B$4*$B$10*$B$13*$B$15*$B$18*$B$21*$B$24,0)</f>
        <v/>
      </c>
      <c r="H61" s="50">
        <f>ROUND($B$4*$B$10*$B$13*$B$15*$B$18*$B$22*$B$23,0)</f>
        <v/>
      </c>
      <c r="I61" s="50">
        <f>ROUND($B$4*$B$10*$B$13*$B$15*$B$18*$B$22*$B$24,0)</f>
        <v/>
      </c>
      <c r="J61" s="50">
        <f>ROUND($B$4*$B$10*$B$13*$B$15*$B$19*$B$20*$B$23,0)</f>
        <v/>
      </c>
      <c r="K61" s="50">
        <f>ROUND($B$4*$B$10*$B$13*$B$15*$B$19*$B$20*$B$24,0)</f>
        <v/>
      </c>
      <c r="L61" s="50">
        <f>ROUND($B$4*$B$10*$B$13*$B$15*$B$19*$B$21*$B$23,0)</f>
        <v/>
      </c>
      <c r="M61" s="50">
        <f>ROUND($B$4*$B$10*$B$13*$B$15*$B$19*$B$21*$B$24,0)</f>
        <v/>
      </c>
      <c r="N61" s="50">
        <f>ROUND($B$4*$B$10*$B$13*$B$15*$B$19*$B$22*$B$23,0)</f>
        <v/>
      </c>
      <c r="O61" s="50">
        <f>ROUND($B$4*$B$10*$B$13*$B$15*$B$19*$B$22*$B$24,0)</f>
        <v/>
      </c>
      <c r="P61" s="50">
        <f>ROUND($B$5*$B$10*$B$13*$B$15*$B$18*$B$20*$B$23,0)</f>
        <v/>
      </c>
      <c r="Q61" s="50">
        <f>ROUND($B$5*$B$10*$B$13*$B$15*$B$18*$B$20*$B$24,0)</f>
        <v/>
      </c>
      <c r="R61" s="50">
        <f>ROUND($B$5*$B$10*$B$13*$B$15*$B$18*$B$21*$B$23,0)</f>
        <v/>
      </c>
      <c r="S61" s="50">
        <f>ROUND($B$5*$B$10*$B$13*$B$15*$B$18*$B$21*$B$24,0)</f>
        <v/>
      </c>
      <c r="T61" s="50">
        <f>ROUND($B$5*$B$10*$B$13*$B$15*$B$18*$B$22*$B$23,0)</f>
        <v/>
      </c>
      <c r="U61" s="50">
        <f>ROUND($B$5*$B$10*$B$13*$B$15*$B$18*$B$22*$B$24,0)</f>
        <v/>
      </c>
      <c r="V61" s="50">
        <f>ROUND($B$5*$B$10*$B$13*$B$15*$B$19*$B$20*$B$23,0)</f>
        <v/>
      </c>
      <c r="W61" s="50">
        <f>ROUND($B$5*$B$10*$B$13*$B$15*$B$19*$B$20*$B$24,0)</f>
        <v/>
      </c>
      <c r="X61" s="50">
        <f>ROUND($B$5*$B$10*$B$13*$B$15*$B$19*$B$21*$B$23,0)</f>
        <v/>
      </c>
      <c r="Y61" s="50">
        <f>ROUND($B$5*$B$10*$B$13*$B$15*$B$19*$B$21*$B$24,0)</f>
        <v/>
      </c>
      <c r="Z61" s="50">
        <f>ROUND($B$5*$B$10*$B$13*$B$15*$B$19*$B$22*$B$23,0)</f>
        <v/>
      </c>
      <c r="AA61" s="50">
        <f>ROUND($B$5*$B$10*$B$13*$B$15*$B$19*$B$22*$B$24,0)</f>
        <v/>
      </c>
      <c r="AB61" s="50">
        <f>ROUND($B$6*$B$10*$B$13*$B$15*$B$18*$B$20*$B$23,0)</f>
        <v/>
      </c>
      <c r="AC61" s="50">
        <f>ROUND($B$6*$B$10*$B$13*$B$15*$B$18*$B$20*$B$24,0)</f>
        <v/>
      </c>
      <c r="AD61" s="50">
        <f>ROUND($B$6*$B$10*$B$13*$B$15*$B$18*$B$21*$B$23,0)</f>
        <v/>
      </c>
      <c r="AE61" s="50">
        <f>ROUND($B$6*$B$10*$B$13*$B$15*$B$18*$B$21*$B$24,0)</f>
        <v/>
      </c>
      <c r="AF61" s="50">
        <f>ROUND($B$6*$B$10*$B$13*$B$15*$B$18*$B$22*$B$23,0)</f>
        <v/>
      </c>
      <c r="AG61" s="50">
        <f>ROUND($B$6*$B$10*$B$13*$B$15*$B$18*$B$22*$B$24,0)</f>
        <v/>
      </c>
      <c r="AH61" s="50">
        <f>ROUND($B$6*$B$10*$B$13*$B$15*$B$19*$B$20*$B$23,0)</f>
        <v/>
      </c>
      <c r="AI61" s="50">
        <f>ROUND($B$6*$B$10*$B$13*$B$15*$B$19*$B$20*$B$24,0)</f>
        <v/>
      </c>
      <c r="AJ61" s="50">
        <f>ROUND($B$6*$B$10*$B$13*$B$15*$B$19*$B$21*$B$23,0)</f>
        <v/>
      </c>
      <c r="AK61" s="50">
        <f>ROUND($B$6*$B$10*$B$13*$B$15*$B$19*$B$21*$B$24,0)</f>
        <v/>
      </c>
      <c r="AL61" s="50">
        <f>ROUND($B$6*$B$10*$B$13*$B$15*$B$19*$B$22*$B$23,0)</f>
        <v/>
      </c>
      <c r="AM61" s="50">
        <f>ROUND($B$6*$B$10*$B$13*$B$15*$B$19*$B$22*$B$24,0)</f>
        <v/>
      </c>
    </row>
    <row r="62" ht="20.1" customHeight="1" s="62">
      <c r="A62" s="104" t="n"/>
      <c r="B62" s="58" t="n"/>
      <c r="C62" s="101" t="inlineStr">
        <is>
          <t>Criticité modérée</t>
        </is>
      </c>
      <c r="D62" s="50">
        <f>ROUND($B$4*$B$10*$B$13*$B$16*$B$18*$B$20*$B$23,0)</f>
        <v/>
      </c>
      <c r="E62" s="50">
        <f>ROUND($B$4*$B$10*$B$13*$B$16*$B$18*$B$20*$B$24,0)</f>
        <v/>
      </c>
      <c r="F62" s="50">
        <f>ROUND($B$4*$B$10*$B$13*$B$16*$B$18*$B$21*$B$23,0)</f>
        <v/>
      </c>
      <c r="G62" s="50">
        <f>ROUND($B$4*$B$10*$B$13*$B$16*$B$18*$B$21*$B$24,0)</f>
        <v/>
      </c>
      <c r="H62" s="50">
        <f>ROUND($B$4*$B$10*$B$13*$B$16*$B$18*$B$22*$B$23,0)</f>
        <v/>
      </c>
      <c r="I62" s="50">
        <f>ROUND($B$4*$B$10*$B$13*$B$16*$B$18*$B$22*$B$24,0)</f>
        <v/>
      </c>
      <c r="J62" s="50">
        <f>ROUND($B$4*$B$10*$B$13*$B$16*$B$19*$B$20*$B$23,0)</f>
        <v/>
      </c>
      <c r="K62" s="50">
        <f>ROUND($B$4*$B$10*$B$13*$B$16*$B$19*$B$20*$B$24,0)</f>
        <v/>
      </c>
      <c r="L62" s="50">
        <f>ROUND($B$4*$B$10*$B$13*$B$16*$B$19*$B$21*$B$23,0)</f>
        <v/>
      </c>
      <c r="M62" s="50">
        <f>ROUND($B$4*$B$10*$B$13*$B$16*$B$19*$B$21*$B$24,0)</f>
        <v/>
      </c>
      <c r="N62" s="50">
        <f>ROUND($B$4*$B$10*$B$13*$B$16*$B$19*$B$22*$B$23,0)</f>
        <v/>
      </c>
      <c r="O62" s="50">
        <f>ROUND($B$4*$B$10*$B$13*$B$16*$B$19*$B$22*$B$24,0)</f>
        <v/>
      </c>
      <c r="P62" s="50">
        <f>ROUND($B$5*$B$10*$B$13*$B$16*$B$18*$B$20*$B$23,0)</f>
        <v/>
      </c>
      <c r="Q62" s="50">
        <f>ROUND($B$5*$B$10*$B$13*$B$16*$B$18*$B$20*$B$24,0)</f>
        <v/>
      </c>
      <c r="R62" s="50">
        <f>ROUND($B$5*$B$10*$B$13*$B$16*$B$18*$B$21*$B$23,0)</f>
        <v/>
      </c>
      <c r="S62" s="50">
        <f>ROUND($B$5*$B$10*$B$13*$B$16*$B$18*$B$21*$B$24,0)</f>
        <v/>
      </c>
      <c r="T62" s="50">
        <f>ROUND($B$5*$B$10*$B$13*$B$16*$B$18*$B$22*$B$23,0)</f>
        <v/>
      </c>
      <c r="U62" s="50">
        <f>ROUND($B$5*$B$10*$B$13*$B$16*$B$18*$B$22*$B$24,0)</f>
        <v/>
      </c>
      <c r="V62" s="50">
        <f>ROUND($B$5*$B$10*$B$13*$B$16*$B$19*$B$20*$B$23,0)</f>
        <v/>
      </c>
      <c r="W62" s="50">
        <f>ROUND($B$5*$B$10*$B$13*$B$16*$B$19*$B$20*$B$24,0)</f>
        <v/>
      </c>
      <c r="X62" s="50">
        <f>ROUND($B$5*$B$10*$B$13*$B$16*$B$19*$B$21*$B$23,0)</f>
        <v/>
      </c>
      <c r="Y62" s="50">
        <f>ROUND($B$5*$B$10*$B$13*$B$16*$B$19*$B$21*$B$24,0)</f>
        <v/>
      </c>
      <c r="Z62" s="50">
        <f>ROUND($B$5*$B$10*$B$13*$B$16*$B$19*$B$22*$B$23,0)</f>
        <v/>
      </c>
      <c r="AA62" s="50">
        <f>ROUND($B$5*$B$10*$B$13*$B$16*$B$19*$B$22*$B$24,0)</f>
        <v/>
      </c>
      <c r="AB62" s="50">
        <f>ROUND($B$6*$B$10*$B$13*$B$16*$B$18*$B$20*$B$23,0)</f>
        <v/>
      </c>
      <c r="AC62" s="50">
        <f>ROUND($B$6*$B$10*$B$13*$B$16*$B$18*$B$20*$B$24,0)</f>
        <v/>
      </c>
      <c r="AD62" s="50">
        <f>ROUND($B$6*$B$10*$B$13*$B$16*$B$18*$B$21*$B$23,0)</f>
        <v/>
      </c>
      <c r="AE62" s="50">
        <f>ROUND($B$6*$B$10*$B$13*$B$16*$B$18*$B$21*$B$24,0)</f>
        <v/>
      </c>
      <c r="AF62" s="50">
        <f>ROUND($B$6*$B$10*$B$13*$B$16*$B$18*$B$22*$B$23,0)</f>
        <v/>
      </c>
      <c r="AG62" s="50">
        <f>ROUND($B$6*$B$10*$B$13*$B$16*$B$18*$B$22*$B$24,0)</f>
        <v/>
      </c>
      <c r="AH62" s="50">
        <f>ROUND($B$6*$B$10*$B$13*$B$16*$B$19*$B$20*$B$23,0)</f>
        <v/>
      </c>
      <c r="AI62" s="50">
        <f>ROUND($B$6*$B$10*$B$13*$B$16*$B$19*$B$20*$B$24,0)</f>
        <v/>
      </c>
      <c r="AJ62" s="50">
        <f>ROUND($B$6*$B$10*$B$13*$B$16*$B$19*$B$21*$B$23,0)</f>
        <v/>
      </c>
      <c r="AK62" s="50">
        <f>ROUND($B$6*$B$10*$B$13*$B$16*$B$19*$B$21*$B$24,0)</f>
        <v/>
      </c>
      <c r="AL62" s="50">
        <f>ROUND($B$6*$B$10*$B$13*$B$16*$B$19*$B$22*$B$23,0)</f>
        <v/>
      </c>
      <c r="AM62" s="50">
        <f>ROUND($B$6*$B$10*$B$13*$B$16*$B$19*$B$22*$B$24,0)</f>
        <v/>
      </c>
    </row>
    <row r="63" ht="20.1" customHeight="1" s="62">
      <c r="A63" s="104" t="n"/>
      <c r="B63" s="59" t="n"/>
      <c r="C63" s="51" t="inlineStr">
        <is>
          <t>Criticité élevée</t>
        </is>
      </c>
      <c r="D63" s="50">
        <f>ROUND($B$4*$B$10*$B$13*$B$17*$B$18*$B$20*$B$23,0)</f>
        <v/>
      </c>
      <c r="E63" s="50">
        <f>ROUND($B$4*$B$10*$B$13*$B$17*$B$18*$B$20*$B$24,0)</f>
        <v/>
      </c>
      <c r="F63" s="50">
        <f>ROUND($B$4*$B$10*$B$13*$B$17*$B$18*$B$21*$B$23,0)</f>
        <v/>
      </c>
      <c r="G63" s="50">
        <f>ROUND($B$4*$B$10*$B$13*$B$17*$B$18*$B$21*$B$24,0)</f>
        <v/>
      </c>
      <c r="H63" s="50">
        <f>ROUND($B$4*$B$10*$B$13*$B$17*$B$18*$B$22*$B$23,0)</f>
        <v/>
      </c>
      <c r="I63" s="50">
        <f>ROUND($B$4*$B$10*$B$13*$B$17*$B$18*$B$22*$B$24,0)</f>
        <v/>
      </c>
      <c r="J63" s="50">
        <f>ROUND($B$4*$B$10*$B$13*$B$17*$B$19*$B$20*$B$23,0)</f>
        <v/>
      </c>
      <c r="K63" s="50">
        <f>ROUND($B$4*$B$10*$B$13*$B$17*$B$19*$B$20*$B$24,0)</f>
        <v/>
      </c>
      <c r="L63" s="50">
        <f>ROUND($B$4*$B$10*$B$13*$B$17*$B$19*$B$21*$B$23,0)</f>
        <v/>
      </c>
      <c r="M63" s="50">
        <f>ROUND($B$4*$B$10*$B$13*$B$17*$B$19*$B$21*$B$24,0)</f>
        <v/>
      </c>
      <c r="N63" s="50">
        <f>ROUND($B$4*$B$10*$B$13*$B$17*$B$19*$B$22*$B$23,0)</f>
        <v/>
      </c>
      <c r="O63" s="50">
        <f>ROUND($B$4*$B$10*$B$13*$B$17*$B$19*$B$22*$B$24,0)</f>
        <v/>
      </c>
      <c r="P63" s="50">
        <f>ROUND($B$5*$B$10*$B$13*$B$17*$B$18*$B$20*$B$23,0)</f>
        <v/>
      </c>
      <c r="Q63" s="50">
        <f>ROUND($B$5*$B$10*$B$13*$B$17*$B$18*$B$20*$B$24,0)</f>
        <v/>
      </c>
      <c r="R63" s="50">
        <f>ROUND($B$5*$B$10*$B$13*$B$17*$B$18*$B$21*$B$23,0)</f>
        <v/>
      </c>
      <c r="S63" s="50">
        <f>ROUND($B$5*$B$10*$B$13*$B$17*$B$18*$B$21*$B$24,0)</f>
        <v/>
      </c>
      <c r="T63" s="50">
        <f>ROUND($B$5*$B$10*$B$13*$B$17*$B$18*$B$22*$B$23,0)</f>
        <v/>
      </c>
      <c r="U63" s="50">
        <f>ROUND($B$5*$B$10*$B$13*$B$17*$B$18*$B$22*$B$24,0)</f>
        <v/>
      </c>
      <c r="V63" s="50">
        <f>ROUND($B$5*$B$10*$B$13*$B$17*$B$19*$B$20*$B$23,0)</f>
        <v/>
      </c>
      <c r="W63" s="50">
        <f>ROUND($B$5*$B$10*$B$13*$B$17*$B$19*$B$20*$B$24,0)</f>
        <v/>
      </c>
      <c r="X63" s="50">
        <f>ROUND($B$5*$B$10*$B$13*$B$17*$B$19*$B$21*$B$23,0)</f>
        <v/>
      </c>
      <c r="Y63" s="50">
        <f>ROUND($B$5*$B$10*$B$13*$B$17*$B$19*$B$21*$B$24,0)</f>
        <v/>
      </c>
      <c r="Z63" s="50">
        <f>ROUND($B$5*$B$10*$B$13*$B$17*$B$19*$B$22*$B$23,0)</f>
        <v/>
      </c>
      <c r="AA63" s="50">
        <f>ROUND($B$5*$B$10*$B$13*$B$17*$B$19*$B$22*$B$24,0)</f>
        <v/>
      </c>
      <c r="AB63" s="50">
        <f>ROUND($B$6*$B$10*$B$13*$B$17*$B$18*$B$20*$B$23,0)</f>
        <v/>
      </c>
      <c r="AC63" s="50">
        <f>ROUND($B$6*$B$10*$B$13*$B$17*$B$18*$B$20*$B$24,0)</f>
        <v/>
      </c>
      <c r="AD63" s="50">
        <f>ROUND($B$6*$B$10*$B$13*$B$17*$B$18*$B$21*$B$23,0)</f>
        <v/>
      </c>
      <c r="AE63" s="50">
        <f>ROUND($B$6*$B$10*$B$13*$B$17*$B$18*$B$21*$B$24,0)</f>
        <v/>
      </c>
      <c r="AF63" s="50">
        <f>ROUND($B$6*$B$10*$B$13*$B$17*$B$18*$B$22*$B$23,0)</f>
        <v/>
      </c>
      <c r="AG63" s="50">
        <f>ROUND($B$6*$B$10*$B$13*$B$17*$B$18*$B$22*$B$24,0)</f>
        <v/>
      </c>
      <c r="AH63" s="50">
        <f>ROUND($B$6*$B$10*$B$13*$B$17*$B$19*$B$20*$B$23,0)</f>
        <v/>
      </c>
      <c r="AI63" s="50">
        <f>ROUND($B$6*$B$10*$B$13*$B$17*$B$19*$B$20*$B$24,0)</f>
        <v/>
      </c>
      <c r="AJ63" s="50">
        <f>ROUND($B$6*$B$10*$B$13*$B$17*$B$19*$B$21*$B$23,0)</f>
        <v/>
      </c>
      <c r="AK63" s="50">
        <f>ROUND($B$6*$B$10*$B$13*$B$17*$B$19*$B$21*$B$24,0)</f>
        <v/>
      </c>
      <c r="AL63" s="50">
        <f>ROUND($B$6*$B$10*$B$13*$B$17*$B$19*$B$22*$B$23,0)</f>
        <v/>
      </c>
      <c r="AM63" s="50">
        <f>ROUND($B$6*$B$10*$B$13*$B$17*$B$19*$B$22*$B$24,0)</f>
        <v/>
      </c>
    </row>
    <row r="64" ht="20.1" customHeight="1" s="62">
      <c r="A64" s="104" t="n"/>
      <c r="B64" s="101" t="inlineStr">
        <is>
          <t>Serveur</t>
        </is>
      </c>
      <c r="C64" s="49" t="inlineStr">
        <is>
          <t>Criticité faible</t>
        </is>
      </c>
      <c r="D64" s="50">
        <f>ROUND($B$4*$B$10*$B$14*$B$15*$B$18*$B$20*$B$23,0)</f>
        <v/>
      </c>
      <c r="E64" s="50">
        <f>ROUND($B$4*$B$10*$B$14*$B$15*$B$18*$B$20*$B$24,0)</f>
        <v/>
      </c>
      <c r="F64" s="50">
        <f>ROUND($B$4*$B$10*$B$14*$B$15*$B$18*$B$21*$B$23,0)</f>
        <v/>
      </c>
      <c r="G64" s="50">
        <f>ROUND($B$4*$B$10*$B$14*$B$15*$B$18*$B$21*$B$24,0)</f>
        <v/>
      </c>
      <c r="H64" s="50">
        <f>ROUND($B$4*$B$10*$B$14*$B$15*$B$18*$B$22*$B$23,0)</f>
        <v/>
      </c>
      <c r="I64" s="50">
        <f>ROUND($B$4*$B$10*$B$14*$B$15*$B$18*$B$22*$B$24,0)</f>
        <v/>
      </c>
      <c r="J64" s="50">
        <f>ROUND($B$4*$B$10*$B$14*$B$15*$B$19*$B$20*$B$23,0)</f>
        <v/>
      </c>
      <c r="K64" s="50">
        <f>ROUND($B$4*$B$10*$B$14*$B$15*$B$19*$B$20*$B$24,0)</f>
        <v/>
      </c>
      <c r="L64" s="50">
        <f>ROUND($B$4*$B$10*$B$14*$B$15*$B$19*$B$21*$B$23,0)</f>
        <v/>
      </c>
      <c r="M64" s="50">
        <f>ROUND($B$4*$B$10*$B$14*$B$15*$B$19*$B$21*$B$24,0)</f>
        <v/>
      </c>
      <c r="N64" s="50">
        <f>ROUND($B$4*$B$10*$B$14*$B$15*$B$19*$B$22*$B$23,0)</f>
        <v/>
      </c>
      <c r="O64" s="50">
        <f>ROUND($B$4*$B$10*$B$14*$B$15*$B$19*$B$22*$B$24,0)</f>
        <v/>
      </c>
      <c r="P64" s="50">
        <f>ROUND($B$5*$B$10*$B$14*$B$15*$B$18*$B$20*$B$23,0)</f>
        <v/>
      </c>
      <c r="Q64" s="50">
        <f>ROUND($B$5*$B$10*$B$14*$B$15*$B$18*$B$20*$B$24,0)</f>
        <v/>
      </c>
      <c r="R64" s="50">
        <f>ROUND($B$5*$B$10*$B$14*$B$15*$B$18*$B$21*$B$23,0)</f>
        <v/>
      </c>
      <c r="S64" s="50">
        <f>ROUND($B$5*$B$10*$B$14*$B$15*$B$18*$B$21*$B$24,0)</f>
        <v/>
      </c>
      <c r="T64" s="50">
        <f>ROUND($B$5*$B$10*$B$14*$B$15*$B$18*$B$22*$B$23,0)</f>
        <v/>
      </c>
      <c r="U64" s="50">
        <f>ROUND($B$5*$B$10*$B$14*$B$15*$B$18*$B$22*$B$24,0)</f>
        <v/>
      </c>
      <c r="V64" s="50">
        <f>ROUND($B$5*$B$10*$B$14*$B$15*$B$19*$B$20*$B$23,0)</f>
        <v/>
      </c>
      <c r="W64" s="50">
        <f>ROUND($B$5*$B$10*$B$14*$B$15*$B$19*$B$20*$B$24,0)</f>
        <v/>
      </c>
      <c r="X64" s="50">
        <f>ROUND($B$5*$B$10*$B$14*$B$15*$B$19*$B$21*$B$23,0)</f>
        <v/>
      </c>
      <c r="Y64" s="50">
        <f>ROUND($B$5*$B$10*$B$14*$B$15*$B$19*$B$21*$B$24,0)</f>
        <v/>
      </c>
      <c r="Z64" s="50">
        <f>ROUND($B$5*$B$10*$B$14*$B$15*$B$19*$B$22*$B$23,0)</f>
        <v/>
      </c>
      <c r="AA64" s="50">
        <f>ROUND($B$5*$B$10*$B$14*$B$15*$B$19*$B$22*$B$24,0)</f>
        <v/>
      </c>
      <c r="AB64" s="50">
        <f>ROUND($B$6*$B$10*$B$14*$B$15*$B$18*$B$20*$B$23,0)</f>
        <v/>
      </c>
      <c r="AC64" s="50">
        <f>ROUND($B$6*$B$10*$B$14*$B$15*$B$18*$B$20*$B$24,0)</f>
        <v/>
      </c>
      <c r="AD64" s="50">
        <f>ROUND($B$6*$B$10*$B$14*$B$15*$B$18*$B$21*$B$23,0)</f>
        <v/>
      </c>
      <c r="AE64" s="50">
        <f>ROUND($B$6*$B$10*$B$14*$B$15*$B$18*$B$21*$B$24,0)</f>
        <v/>
      </c>
      <c r="AF64" s="50">
        <f>ROUND($B$6*$B$10*$B$14*$B$15*$B$18*$B$22*$B$23,0)</f>
        <v/>
      </c>
      <c r="AG64" s="50">
        <f>ROUND($B$6*$B$10*$B$14*$B$15*$B$18*$B$22*$B$24,0)</f>
        <v/>
      </c>
      <c r="AH64" s="50">
        <f>ROUND($B$6*$B$10*$B$14*$B$15*$B$19*$B$20*$B$23,0)</f>
        <v/>
      </c>
      <c r="AI64" s="50">
        <f>ROUND($B$6*$B$10*$B$14*$B$15*$B$19*$B$20*$B$24,0)</f>
        <v/>
      </c>
      <c r="AJ64" s="50">
        <f>ROUND($B$6*$B$10*$B$14*$B$15*$B$19*$B$21*$B$23,0)</f>
        <v/>
      </c>
      <c r="AK64" s="50">
        <f>ROUND($B$6*$B$10*$B$14*$B$15*$B$19*$B$21*$B$24,0)</f>
        <v/>
      </c>
      <c r="AL64" s="50">
        <f>ROUND($B$6*$B$10*$B$14*$B$15*$B$19*$B$22*$B$23,0)</f>
        <v/>
      </c>
      <c r="AM64" s="50">
        <f>ROUND($B$6*$B$10*$B$14*$B$15*$B$19*$B$22*$B$24,0)</f>
        <v/>
      </c>
    </row>
    <row r="65" ht="20.1" customHeight="1" s="62">
      <c r="A65" s="104" t="n"/>
      <c r="B65" s="58" t="n"/>
      <c r="C65" s="101" t="inlineStr">
        <is>
          <t>Criticité modérée</t>
        </is>
      </c>
      <c r="D65" s="50">
        <f>ROUND($B$4*$B$10*$B$14*$B$16*$B$18*$B$20*$B$23,0)</f>
        <v/>
      </c>
      <c r="E65" s="50">
        <f>ROUND($B$4*$B$10*$B$14*$B$16*$B$18*$B$20*$B$24,0)</f>
        <v/>
      </c>
      <c r="F65" s="50">
        <f>ROUND($B$4*$B$10*$B$14*$B$16*$B$18*$B$21*$B$23,0)</f>
        <v/>
      </c>
      <c r="G65" s="50">
        <f>ROUND($B$4*$B$10*$B$14*$B$16*$B$18*$B$21*$B$24,0)</f>
        <v/>
      </c>
      <c r="H65" s="50">
        <f>ROUND($B$4*$B$10*$B$14*$B$16*$B$18*$B$22*$B$23,0)</f>
        <v/>
      </c>
      <c r="I65" s="50">
        <f>ROUND($B$4*$B$10*$B$14*$B$16*$B$18*$B$22*$B$24,0)</f>
        <v/>
      </c>
      <c r="J65" s="50">
        <f>ROUND($B$4*$B$10*$B$14*$B$16*$B$19*$B$20*$B$23,0)</f>
        <v/>
      </c>
      <c r="K65" s="50">
        <f>ROUND($B$4*$B$10*$B$14*$B$16*$B$19*$B$20*$B$24,0)</f>
        <v/>
      </c>
      <c r="L65" s="50">
        <f>ROUND($B$4*$B$10*$B$14*$B$16*$B$19*$B$21*$B$23,0)</f>
        <v/>
      </c>
      <c r="M65" s="50">
        <f>ROUND($B$4*$B$10*$B$14*$B$16*$B$19*$B$21*$B$24,0)</f>
        <v/>
      </c>
      <c r="N65" s="50">
        <f>ROUND($B$4*$B$10*$B$14*$B$16*$B$19*$B$22*$B$23,0)</f>
        <v/>
      </c>
      <c r="O65" s="50">
        <f>ROUND($B$4*$B$10*$B$14*$B$16*$B$19*$B$22*$B$24,0)</f>
        <v/>
      </c>
      <c r="P65" s="50">
        <f>ROUND($B$5*$B$10*$B$14*$B$16*$B$18*$B$20*$B$23,0)</f>
        <v/>
      </c>
      <c r="Q65" s="50">
        <f>ROUND($B$5*$B$10*$B$14*$B$16*$B$18*$B$20*$B$24,0)</f>
        <v/>
      </c>
      <c r="R65" s="50">
        <f>ROUND($B$5*$B$10*$B$14*$B$16*$B$18*$B$21*$B$23,0)</f>
        <v/>
      </c>
      <c r="S65" s="50">
        <f>ROUND($B$5*$B$10*$B$14*$B$16*$B$18*$B$21*$B$24,0)</f>
        <v/>
      </c>
      <c r="T65" s="50">
        <f>ROUND($B$5*$B$10*$B$14*$B$16*$B$18*$B$22*$B$23,0)</f>
        <v/>
      </c>
      <c r="U65" s="50">
        <f>ROUND($B$5*$B$10*$B$14*$B$16*$B$18*$B$22*$B$24,0)</f>
        <v/>
      </c>
      <c r="V65" s="50">
        <f>ROUND($B$5*$B$10*$B$14*$B$16*$B$19*$B$20*$B$23,0)</f>
        <v/>
      </c>
      <c r="W65" s="50">
        <f>ROUND($B$5*$B$10*$B$14*$B$16*$B$19*$B$20*$B$24,0)</f>
        <v/>
      </c>
      <c r="X65" s="50">
        <f>ROUND($B$5*$B$10*$B$14*$B$16*$B$19*$B$21*$B$23,0)</f>
        <v/>
      </c>
      <c r="Y65" s="50">
        <f>ROUND($B$5*$B$10*$B$14*$B$16*$B$19*$B$21*$B$24,0)</f>
        <v/>
      </c>
      <c r="Z65" s="50">
        <f>ROUND($B$5*$B$10*$B$14*$B$16*$B$19*$B$22*$B$23,0)</f>
        <v/>
      </c>
      <c r="AA65" s="50">
        <f>ROUND($B$5*$B$10*$B$14*$B$16*$B$19*$B$22*$B$24,0)</f>
        <v/>
      </c>
      <c r="AB65" s="50">
        <f>ROUND($B$6*$B$10*$B$14*$B$16*$B$18*$B$20*$B$23,0)</f>
        <v/>
      </c>
      <c r="AC65" s="50">
        <f>ROUND($B$6*$B$10*$B$14*$B$16*$B$18*$B$20*$B$24,0)</f>
        <v/>
      </c>
      <c r="AD65" s="50">
        <f>ROUND($B$6*$B$10*$B$14*$B$16*$B$18*$B$21*$B$23,0)</f>
        <v/>
      </c>
      <c r="AE65" s="50">
        <f>ROUND($B$6*$B$10*$B$14*$B$16*$B$18*$B$21*$B$24,0)</f>
        <v/>
      </c>
      <c r="AF65" s="50">
        <f>ROUND($B$6*$B$10*$B$14*$B$16*$B$18*$B$22*$B$23,0)</f>
        <v/>
      </c>
      <c r="AG65" s="50">
        <f>ROUND($B$6*$B$10*$B$14*$B$16*$B$18*$B$22*$B$24,0)</f>
        <v/>
      </c>
      <c r="AH65" s="50">
        <f>ROUND($B$6*$B$10*$B$14*$B$16*$B$19*$B$20*$B$23,0)</f>
        <v/>
      </c>
      <c r="AI65" s="50">
        <f>ROUND($B$6*$B$10*$B$14*$B$16*$B$19*$B$20*$B$24,0)</f>
        <v/>
      </c>
      <c r="AJ65" s="50">
        <f>ROUND($B$6*$B$10*$B$14*$B$16*$B$19*$B$21*$B$23,0)</f>
        <v/>
      </c>
      <c r="AK65" s="50">
        <f>ROUND($B$6*$B$10*$B$14*$B$16*$B$19*$B$21*$B$24,0)</f>
        <v/>
      </c>
      <c r="AL65" s="50">
        <f>ROUND($B$6*$B$10*$B$14*$B$16*$B$19*$B$22*$B$23,0)</f>
        <v/>
      </c>
      <c r="AM65" s="50">
        <f>ROUND($B$6*$B$10*$B$14*$B$16*$B$19*$B$22*$B$24,0)</f>
        <v/>
      </c>
    </row>
    <row r="66" ht="20.1" customHeight="1" s="62">
      <c r="A66" s="105" t="n"/>
      <c r="B66" s="59" t="n"/>
      <c r="C66" s="51" t="inlineStr">
        <is>
          <t>Criticité élevée</t>
        </is>
      </c>
      <c r="D66" s="50">
        <f>ROUND($B$4*$B$10*$B$14*$B$17*$B$18*$B$20*$B$23,0)</f>
        <v/>
      </c>
      <c r="E66" s="50">
        <f>ROUND($B$4*$B$10*$B$14*$B$17*$B$18*$B$20*$B$24,0)</f>
        <v/>
      </c>
      <c r="F66" s="50">
        <f>ROUND($B$4*$B$10*$B$14*$B$17*$B$18*$B$21*$B$23,0)</f>
        <v/>
      </c>
      <c r="G66" s="50">
        <f>ROUND($B$4*$B$10*$B$14*$B$17*$B$18*$B$21*$B$24,0)</f>
        <v/>
      </c>
      <c r="H66" s="50">
        <f>ROUND($B$4*$B$10*$B$14*$B$17*$B$18*$B$22*$B$23,0)</f>
        <v/>
      </c>
      <c r="I66" s="50">
        <f>ROUND($B$4*$B$10*$B$14*$B$17*$B$18*$B$22*$B$24,0)</f>
        <v/>
      </c>
      <c r="J66" s="50">
        <f>ROUND($B$4*$B$10*$B$14*$B$17*$B$19*$B$20*$B$23,0)</f>
        <v/>
      </c>
      <c r="K66" s="50">
        <f>ROUND($B$4*$B$10*$B$14*$B$17*$B$19*$B$20*$B$24,0)</f>
        <v/>
      </c>
      <c r="L66" s="50">
        <f>ROUND($B$4*$B$10*$B$14*$B$17*$B$19*$B$21*$B$23,0)</f>
        <v/>
      </c>
      <c r="M66" s="50">
        <f>ROUND($B$4*$B$10*$B$14*$B$17*$B$19*$B$21*$B$24,0)</f>
        <v/>
      </c>
      <c r="N66" s="50">
        <f>ROUND($B$4*$B$10*$B$14*$B$17*$B$19*$B$22*$B$23,0)</f>
        <v/>
      </c>
      <c r="O66" s="50">
        <f>ROUND($B$4*$B$10*$B$14*$B$17*$B$19*$B$22*$B$24,0)</f>
        <v/>
      </c>
      <c r="P66" s="50">
        <f>ROUND($B$5*$B$10*$B$14*$B$17*$B$18*$B$20*$B$23,0)</f>
        <v/>
      </c>
      <c r="Q66" s="50">
        <f>ROUND($B$5*$B$10*$B$14*$B$17*$B$18*$B$20*$B$24,0)</f>
        <v/>
      </c>
      <c r="R66" s="50">
        <f>ROUND($B$5*$B$10*$B$14*$B$17*$B$18*$B$21*$B$23,0)</f>
        <v/>
      </c>
      <c r="S66" s="50">
        <f>ROUND($B$5*$B$10*$B$14*$B$17*$B$18*$B$21*$B$24,0)</f>
        <v/>
      </c>
      <c r="T66" s="50">
        <f>ROUND($B$5*$B$10*$B$14*$B$17*$B$18*$B$22*$B$23,0)</f>
        <v/>
      </c>
      <c r="U66" s="50">
        <f>ROUND($B$5*$B$10*$B$14*$B$17*$B$18*$B$22*$B$24,0)</f>
        <v/>
      </c>
      <c r="V66" s="50">
        <f>ROUND($B$5*$B$10*$B$14*$B$17*$B$19*$B$20*$B$23,0)</f>
        <v/>
      </c>
      <c r="W66" s="50">
        <f>ROUND($B$5*$B$10*$B$14*$B$17*$B$19*$B$20*$B$24,0)</f>
        <v/>
      </c>
      <c r="X66" s="50">
        <f>ROUND($B$5*$B$10*$B$14*$B$17*$B$19*$B$21*$B$23,0)</f>
        <v/>
      </c>
      <c r="Y66" s="50">
        <f>ROUND($B$5*$B$10*$B$14*$B$17*$B$19*$B$21*$B$24,0)</f>
        <v/>
      </c>
      <c r="Z66" s="50">
        <f>ROUND($B$5*$B$10*$B$14*$B$17*$B$19*$B$22*$B$23,0)</f>
        <v/>
      </c>
      <c r="AA66" s="50">
        <f>ROUND($B$5*$B$10*$B$14*$B$17*$B$19*$B$22*$B$24,0)</f>
        <v/>
      </c>
      <c r="AB66" s="50">
        <f>ROUND($B$6*$B$10*$B$14*$B$17*$B$18*$B$20*$B$23,0)</f>
        <v/>
      </c>
      <c r="AC66" s="50">
        <f>ROUND($B$6*$B$10*$B$14*$B$17*$B$18*$B$20*$B$24,0)</f>
        <v/>
      </c>
      <c r="AD66" s="50">
        <f>ROUND($B$6*$B$10*$B$14*$B$17*$B$18*$B$21*$B$23,0)</f>
        <v/>
      </c>
      <c r="AE66" s="50">
        <f>ROUND($B$6*$B$10*$B$14*$B$17*$B$18*$B$21*$B$24,0)</f>
        <v/>
      </c>
      <c r="AF66" s="50">
        <f>ROUND($B$6*$B$10*$B$14*$B$17*$B$18*$B$22*$B$23,0)</f>
        <v/>
      </c>
      <c r="AG66" s="50">
        <f>ROUND($B$6*$B$10*$B$14*$B$17*$B$18*$B$22*$B$24,0)</f>
        <v/>
      </c>
      <c r="AH66" s="50">
        <f>ROUND($B$6*$B$10*$B$14*$B$17*$B$19*$B$20*$B$23,0)</f>
        <v/>
      </c>
      <c r="AI66" s="50">
        <f>ROUND($B$6*$B$10*$B$14*$B$17*$B$19*$B$20*$B$24,0)</f>
        <v/>
      </c>
      <c r="AJ66" s="50">
        <f>ROUND($B$6*$B$10*$B$14*$B$17*$B$19*$B$21*$B$23,0)</f>
        <v/>
      </c>
      <c r="AK66" s="50">
        <f>ROUND($B$6*$B$10*$B$14*$B$17*$B$19*$B$21*$B$24,0)</f>
        <v/>
      </c>
      <c r="AL66" s="50">
        <f>ROUND($B$6*$B$10*$B$14*$B$17*$B$19*$B$22*$B$23,0)</f>
        <v/>
      </c>
      <c r="AM66" s="50">
        <f>ROUND($B$6*$B$10*$B$14*$B$17*$B$19*$B$22*$B$24,0)</f>
        <v/>
      </c>
    </row>
  </sheetData>
  <mergeCells count="50">
    <mergeCell ref="A1:AM1"/>
    <mergeCell ref="J29:K29"/>
    <mergeCell ref="V28:AA28"/>
    <mergeCell ref="F29:G29"/>
    <mergeCell ref="B49:B51"/>
    <mergeCell ref="B34:B36"/>
    <mergeCell ref="B40:B42"/>
    <mergeCell ref="P29:Q29"/>
    <mergeCell ref="H29:I29"/>
    <mergeCell ref="D27:O27"/>
    <mergeCell ref="R29:S29"/>
    <mergeCell ref="AB29:AC29"/>
    <mergeCell ref="T29:U29"/>
    <mergeCell ref="AD29:AE29"/>
    <mergeCell ref="A7:AM7"/>
    <mergeCell ref="B55:B57"/>
    <mergeCell ref="A25:AM25"/>
    <mergeCell ref="P27:AA27"/>
    <mergeCell ref="AB27:AM27"/>
    <mergeCell ref="B27:B30"/>
    <mergeCell ref="V29:W29"/>
    <mergeCell ref="A31:A42"/>
    <mergeCell ref="A43:A54"/>
    <mergeCell ref="AF29:AG29"/>
    <mergeCell ref="D28:I28"/>
    <mergeCell ref="B64:B66"/>
    <mergeCell ref="AH29:AI29"/>
    <mergeCell ref="A3:AM3"/>
    <mergeCell ref="P28:U28"/>
    <mergeCell ref="A2:AM2"/>
    <mergeCell ref="C27:C30"/>
    <mergeCell ref="A27:A30"/>
    <mergeCell ref="B31:B33"/>
    <mergeCell ref="L29:M29"/>
    <mergeCell ref="N29:O29"/>
    <mergeCell ref="B43:B45"/>
    <mergeCell ref="AB28:AG28"/>
    <mergeCell ref="X29:Y29"/>
    <mergeCell ref="B52:B54"/>
    <mergeCell ref="Z29:AA29"/>
    <mergeCell ref="AH28:AM28"/>
    <mergeCell ref="B46:B48"/>
    <mergeCell ref="A55:A66"/>
    <mergeCell ref="B58:B60"/>
    <mergeCell ref="B61:B63"/>
    <mergeCell ref="AJ29:AK29"/>
    <mergeCell ref="J28:O28"/>
    <mergeCell ref="D29:E29"/>
    <mergeCell ref="AL29:AM29"/>
    <mergeCell ref="B37:B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1C3557"/>
    <outlinePr summaryBelow="1" summaryRight="1"/>
    <pageSetUpPr/>
  </sheetPr>
  <dimension ref="A1:AA55"/>
  <sheetViews>
    <sheetView workbookViewId="0">
      <pane xSplit="3" topLeftCell="D1" activePane="topRight" state="frozen"/>
      <selection pane="topRight" activeCell="A23" sqref="A23:AA23"/>
    </sheetView>
  </sheetViews>
  <sheetFormatPr baseColWidth="10" defaultColWidth="9.140625" defaultRowHeight="15"/>
  <cols>
    <col width="22" customWidth="1" style="62" min="1" max="2"/>
    <col width="20" customWidth="1" style="62" min="3" max="3"/>
    <col width="13" customWidth="1" style="62" min="4" max="27"/>
  </cols>
  <sheetData>
    <row r="1" ht="33.95" customHeight="1" s="62">
      <c r="A1" s="97" t="inlineStr">
        <is>
          <t>GRILLE TARIFAIRE — Maintenance évolutive</t>
        </is>
      </c>
    </row>
    <row r="2" ht="26.1" customHeight="1" s="62">
      <c r="A2" s="107" t="inlineStr">
        <is>
          <t>⚙  ZONE DE PARAMÉTRAGE — Remplissez uniquement les cases jaunes. Le tableau se calcule automatiquement.</t>
        </is>
      </c>
    </row>
    <row r="3" ht="21.95" customHeight="1" s="62">
      <c r="A3" s="106" t="inlineStr">
        <is>
          <t>TARIFS DE BASE  —  Par niveau de prestation</t>
        </is>
      </c>
    </row>
    <row r="4" ht="21.95" customHeight="1" s="62">
      <c r="A4" s="43" t="inlineStr">
        <is>
          <t>Tarif de base — Évolution ponctuelle</t>
        </is>
      </c>
      <c r="B4" s="44" t="n">
        <v>900</v>
      </c>
      <c r="C4" s="45" t="inlineStr">
        <is>
          <t>Fourchette : 300 – 1 500 €</t>
        </is>
      </c>
    </row>
    <row r="5" ht="21.95" customHeight="1" s="62">
      <c r="A5" s="43" t="inlineStr">
        <is>
          <t>Tarif de base — Forfait mensuel</t>
        </is>
      </c>
      <c r="B5" s="52" t="n">
        <v>1250</v>
      </c>
      <c r="C5" s="45" t="inlineStr">
        <is>
          <t>Fourchette : 500 – 2 000 €/mois</t>
        </is>
      </c>
    </row>
    <row r="6" ht="21.95" customHeight="1" s="62">
      <c r="A6" s="43" t="inlineStr">
        <is>
          <t>Tarif de base — Accompagnement avancé</t>
        </is>
      </c>
      <c r="B6" s="52" t="n">
        <v>3500</v>
      </c>
      <c r="C6" s="45" t="inlineStr">
        <is>
          <t>Fourchette : 2 000 – 5 000 €/mois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complexité — Simple</t>
        </is>
      </c>
      <c r="B8" s="46" t="n">
        <v>0.9</v>
      </c>
      <c r="C8" s="47" t="inlineStr">
        <is>
          <t>Ajout mineur</t>
        </is>
      </c>
    </row>
    <row r="9" ht="20.1" customHeight="1" s="62">
      <c r="A9" s="19" t="inlineStr">
        <is>
          <t>Coeff. complexité — Modérée</t>
        </is>
      </c>
      <c r="B9" s="46" t="n">
        <v>1</v>
      </c>
      <c r="C9" s="47" t="inlineStr">
        <is>
          <t>Référence</t>
        </is>
      </c>
    </row>
    <row r="10" ht="20.1" customHeight="1" s="62">
      <c r="A10" s="19" t="inlineStr">
        <is>
          <t>Coeff. complexité — Complexe</t>
        </is>
      </c>
      <c r="B10" s="46" t="n">
        <v>1.55</v>
      </c>
      <c r="C10" s="47" t="inlineStr">
        <is>
          <t>Refonte fonctionnelle</t>
        </is>
      </c>
    </row>
    <row r="11" ht="20.1" customHeight="1" s="62">
      <c r="A11" s="19" t="inlineStr">
        <is>
          <t>Coeff. fréquence — Ponctuelle</t>
        </is>
      </c>
      <c r="B11" s="46" t="n">
        <v>1</v>
      </c>
      <c r="C11" s="47" t="inlineStr">
        <is>
          <t>Référence</t>
        </is>
      </c>
    </row>
    <row r="12" ht="20.1" customHeight="1" s="62">
      <c r="A12" s="19" t="inlineStr">
        <is>
          <t>Coeff. fréquence — Mensuelle</t>
        </is>
      </c>
      <c r="B12" s="46" t="n">
        <v>0.9</v>
      </c>
      <c r="C12" s="47" t="inlineStr">
        <is>
          <t>Forfait régulier</t>
        </is>
      </c>
    </row>
    <row r="13" ht="20.1" customHeight="1" s="62">
      <c r="A13" s="19" t="inlineStr">
        <is>
          <t>Coeff. fréquence — Continue</t>
        </is>
      </c>
      <c r="B13" s="46" t="n">
        <v>1</v>
      </c>
      <c r="C13" s="47" t="inlineStr">
        <is>
          <t>Flux permanent d'évolutions</t>
        </is>
      </c>
    </row>
    <row r="14" ht="20.1" customHeight="1" s="62">
      <c r="A14" s="19" t="inlineStr">
        <is>
          <t>Coeff. outils — 1 outil</t>
        </is>
      </c>
      <c r="B14" s="46" t="n">
        <v>0.9</v>
      </c>
      <c r="C14" s="47" t="inlineStr">
        <is>
          <t>Périmètre réduit</t>
        </is>
      </c>
    </row>
    <row r="15" ht="20.1" customHeight="1" s="62">
      <c r="A15" s="19" t="inlineStr">
        <is>
          <t>Coeff. outils — 2-3 outils</t>
        </is>
      </c>
      <c r="B15" s="46" t="n">
        <v>1</v>
      </c>
      <c r="C15" s="47" t="inlineStr">
        <is>
          <t>Référence</t>
        </is>
      </c>
    </row>
    <row r="16" ht="20.1" customHeight="1" s="62">
      <c r="A16" s="19" t="inlineStr">
        <is>
          <t>Coeff. outils — 4+ outils</t>
        </is>
      </c>
      <c r="B16" s="46" t="n">
        <v>1.4</v>
      </c>
      <c r="C16" s="47" t="inlineStr">
        <is>
          <t>Multi-outils</t>
        </is>
      </c>
    </row>
    <row r="17" ht="20.1" customHeight="1" s="62">
      <c r="A17" s="19" t="inlineStr">
        <is>
          <t>Coeff. priorité — Standard</t>
        </is>
      </c>
      <c r="B17" s="46" t="n">
        <v>1</v>
      </c>
      <c r="C17" s="47" t="inlineStr">
        <is>
          <t>Référence</t>
        </is>
      </c>
    </row>
    <row r="18" ht="20.1" customHeight="1" s="62">
      <c r="A18" s="19" t="inlineStr">
        <is>
          <t>Coeff. priorité — Haute</t>
        </is>
      </c>
      <c r="B18" s="46" t="n">
        <v>1.3</v>
      </c>
      <c r="C18" s="47" t="inlineStr">
        <is>
          <t>Livraison accélérée</t>
        </is>
      </c>
    </row>
    <row r="19" ht="20.1" customHeight="1" s="62">
      <c r="A19" s="19" t="inlineStr">
        <is>
          <t>Coeff. env. — Standard</t>
        </is>
      </c>
      <c r="B19" s="46" t="n">
        <v>1</v>
      </c>
      <c r="C19" s="47" t="inlineStr">
        <is>
          <t>Référence</t>
        </is>
      </c>
    </row>
    <row r="20" ht="20.1" customHeight="1" s="62">
      <c r="A20" s="19" t="inlineStr">
        <is>
          <t>Coeff. env. — Sécurisé / Réglementé</t>
        </is>
      </c>
      <c r="B20" s="46" t="n">
        <v>1.3</v>
      </c>
      <c r="C20" s="47" t="inlineStr">
        <is>
          <t>Contraintes techniques fortes</t>
        </is>
      </c>
    </row>
    <row r="21" ht="20.1" customHeight="1" s="62">
      <c r="A21" s="19" t="inlineStr">
        <is>
          <t>Coeff. mode — Distanciel</t>
        </is>
      </c>
      <c r="B21" s="46" t="n">
        <v>1</v>
      </c>
      <c r="C21" s="47" t="inlineStr">
        <is>
          <t>Référence</t>
        </is>
      </c>
    </row>
    <row r="22" ht="20.1" customHeight="1" s="62">
      <c r="A22" s="19" t="inlineStr">
        <is>
          <t>Coeff. mode — Présentiel</t>
        </is>
      </c>
      <c r="B22" s="46" t="n">
        <v>1.3</v>
      </c>
      <c r="C22" s="47" t="inlineStr">
        <is>
          <t>Sessions sur site</t>
        </is>
      </c>
    </row>
    <row r="23" ht="24" customHeight="1" s="62">
      <c r="A23" s="102" t="inlineStr">
        <is>
          <t>▼  GRILLE TARIFAIRE CALCULÉE AUTOMATIQUEMENT  — Les cellules bleues sont en lecture seule (formules).</t>
        </is>
      </c>
    </row>
    <row r="24" ht="6" customHeight="1" s="62"/>
    <row r="25" ht="38.1" customHeight="1" s="62">
      <c r="A25" s="100" t="inlineStr">
        <is>
          <t>Complexité de l'évolution</t>
        </is>
      </c>
      <c r="B25" s="99" t="inlineStr">
        <is>
          <t>Fréquence</t>
        </is>
      </c>
      <c r="C25" s="98" t="inlineStr">
        <is>
          <t>Nombre d'outils</t>
        </is>
      </c>
      <c r="D25" s="100" t="inlineStr">
        <is>
          <t>Évolution ponctuelle</t>
        </is>
      </c>
      <c r="E25" s="55" t="n"/>
      <c r="F25" s="55" t="n"/>
      <c r="G25" s="55" t="n"/>
      <c r="H25" s="55" t="n"/>
      <c r="I25" s="55" t="n"/>
      <c r="J25" s="55" t="n"/>
      <c r="K25" s="56" t="n"/>
      <c r="L25" s="100" t="inlineStr">
        <is>
          <t>Forfait mensuel</t>
        </is>
      </c>
      <c r="M25" s="55" t="n"/>
      <c r="N25" s="55" t="n"/>
      <c r="O25" s="55" t="n"/>
      <c r="P25" s="55" t="n"/>
      <c r="Q25" s="55" t="n"/>
      <c r="R25" s="55" t="n"/>
      <c r="S25" s="56" t="n"/>
      <c r="T25" s="100" t="inlineStr">
        <is>
          <t>Accompagnement avancé</t>
        </is>
      </c>
      <c r="U25" s="55" t="n"/>
      <c r="V25" s="55" t="n"/>
      <c r="W25" s="55" t="n"/>
      <c r="X25" s="55" t="n"/>
      <c r="Y25" s="55" t="n"/>
      <c r="Z25" s="55" t="n"/>
      <c r="AA25" s="56" t="n"/>
    </row>
    <row r="26" ht="38.1" customHeight="1" s="62">
      <c r="A26" s="64" t="n"/>
      <c r="B26" s="64" t="n"/>
      <c r="C26" s="64" t="n"/>
      <c r="D26" s="99" t="inlineStr">
        <is>
          <t>Priorité standard</t>
        </is>
      </c>
      <c r="E26" s="55" t="n"/>
      <c r="F26" s="55" t="n"/>
      <c r="G26" s="56" t="n"/>
      <c r="H26" s="99" t="inlineStr">
        <is>
          <t>Priorité haute</t>
        </is>
      </c>
      <c r="I26" s="55" t="n"/>
      <c r="J26" s="55" t="n"/>
      <c r="K26" s="56" t="n"/>
      <c r="L26" s="99" t="inlineStr">
        <is>
          <t>Priorité standard</t>
        </is>
      </c>
      <c r="M26" s="55" t="n"/>
      <c r="N26" s="55" t="n"/>
      <c r="O26" s="56" t="n"/>
      <c r="P26" s="99" t="inlineStr">
        <is>
          <t>Priorité haute</t>
        </is>
      </c>
      <c r="Q26" s="55" t="n"/>
      <c r="R26" s="55" t="n"/>
      <c r="S26" s="56" t="n"/>
      <c r="T26" s="99" t="inlineStr">
        <is>
          <t>Priorité standard</t>
        </is>
      </c>
      <c r="U26" s="55" t="n"/>
      <c r="V26" s="55" t="n"/>
      <c r="W26" s="56" t="n"/>
      <c r="X26" s="99" t="inlineStr">
        <is>
          <t>Priorité haute</t>
        </is>
      </c>
      <c r="Y26" s="55" t="n"/>
      <c r="Z26" s="55" t="n"/>
      <c r="AA26" s="56" t="n"/>
    </row>
    <row r="27" ht="38.1" customHeight="1" s="62">
      <c r="A27" s="64" t="n"/>
      <c r="B27" s="64" t="n"/>
      <c r="C27" s="64" t="n"/>
      <c r="D27" s="98" t="inlineStr">
        <is>
          <t>Environnement standard</t>
        </is>
      </c>
      <c r="E27" s="56" t="n"/>
      <c r="F27" s="98" t="inlineStr">
        <is>
          <t>Environnement sécurisé</t>
        </is>
      </c>
      <c r="G27" s="56" t="n"/>
      <c r="H27" s="98" t="inlineStr">
        <is>
          <t>Environnement standard</t>
        </is>
      </c>
      <c r="I27" s="56" t="n"/>
      <c r="J27" s="98" t="inlineStr">
        <is>
          <t>Environnement sécurisé</t>
        </is>
      </c>
      <c r="K27" s="56" t="n"/>
      <c r="L27" s="98" t="inlineStr">
        <is>
          <t>Environnement standard</t>
        </is>
      </c>
      <c r="M27" s="56" t="n"/>
      <c r="N27" s="98" t="inlineStr">
        <is>
          <t>Environnement sécurisé</t>
        </is>
      </c>
      <c r="O27" s="56" t="n"/>
      <c r="P27" s="98" t="inlineStr">
        <is>
          <t>Environnement standard</t>
        </is>
      </c>
      <c r="Q27" s="56" t="n"/>
      <c r="R27" s="98" t="inlineStr">
        <is>
          <t>Environnement sécurisé</t>
        </is>
      </c>
      <c r="S27" s="56" t="n"/>
      <c r="T27" s="98" t="inlineStr">
        <is>
          <t>Environnement standard</t>
        </is>
      </c>
      <c r="U27" s="56" t="n"/>
      <c r="V27" s="98" t="inlineStr">
        <is>
          <t>Environnement sécurisé</t>
        </is>
      </c>
      <c r="W27" s="56" t="n"/>
      <c r="X27" s="98" t="inlineStr">
        <is>
          <t>Environnement standard</t>
        </is>
      </c>
      <c r="Y27" s="56" t="n"/>
      <c r="Z27" s="98" t="inlineStr">
        <is>
          <t>Environnement sécurisé</t>
        </is>
      </c>
      <c r="AA27" s="56" t="n"/>
    </row>
    <row r="28" ht="38.1" customHeight="1" s="62">
      <c r="A28" s="65" t="n"/>
      <c r="B28" s="65" t="n"/>
      <c r="C28" s="65" t="n"/>
      <c r="D28" s="22" t="inlineStr">
        <is>
          <t>Distanciel</t>
        </is>
      </c>
      <c r="E28" s="22" t="inlineStr">
        <is>
          <t>Présentiel</t>
        </is>
      </c>
      <c r="F28" s="22" t="inlineStr">
        <is>
          <t>Distanciel</t>
        </is>
      </c>
      <c r="G28" s="22" t="inlineStr">
        <is>
          <t>Présentiel</t>
        </is>
      </c>
      <c r="H28" s="22" t="inlineStr">
        <is>
          <t>Distanciel</t>
        </is>
      </c>
      <c r="I28" s="22" t="inlineStr">
        <is>
          <t>Présentiel</t>
        </is>
      </c>
      <c r="J28" s="22" t="inlineStr">
        <is>
          <t>Distanciel</t>
        </is>
      </c>
      <c r="K28" s="22" t="inlineStr">
        <is>
          <t>Présentiel</t>
        </is>
      </c>
      <c r="L28" s="22" t="inlineStr">
        <is>
          <t>Distanciel</t>
        </is>
      </c>
      <c r="M28" s="22" t="inlineStr">
        <is>
          <t>Présentiel</t>
        </is>
      </c>
      <c r="N28" s="22" t="inlineStr">
        <is>
          <t>Distanciel</t>
        </is>
      </c>
      <c r="O28" s="22" t="inlineStr">
        <is>
          <t>Présentiel</t>
        </is>
      </c>
      <c r="P28" s="22" t="inlineStr">
        <is>
          <t>Distanciel</t>
        </is>
      </c>
      <c r="Q28" s="22" t="inlineStr">
        <is>
          <t>Présentiel</t>
        </is>
      </c>
      <c r="R28" s="22" t="inlineStr">
        <is>
          <t>Distanciel</t>
        </is>
      </c>
      <c r="S28" s="22" t="inlineStr">
        <is>
          <t>Présentiel</t>
        </is>
      </c>
      <c r="T28" s="22" t="inlineStr">
        <is>
          <t>Distanciel</t>
        </is>
      </c>
      <c r="U28" s="22" t="inlineStr">
        <is>
          <t>Présentiel</t>
        </is>
      </c>
      <c r="V28" s="22" t="inlineStr">
        <is>
          <t>Distanciel</t>
        </is>
      </c>
      <c r="W28" s="22" t="inlineStr">
        <is>
          <t>Présentiel</t>
        </is>
      </c>
      <c r="X28" s="22" t="inlineStr">
        <is>
          <t>Distanciel</t>
        </is>
      </c>
      <c r="Y28" s="22" t="inlineStr">
        <is>
          <t>Présentiel</t>
        </is>
      </c>
      <c r="Z28" s="22" t="inlineStr">
        <is>
          <t>Distanciel</t>
        </is>
      </c>
      <c r="AA28" s="22" t="inlineStr">
        <is>
          <t>Présentiel</t>
        </is>
      </c>
    </row>
    <row r="29" ht="20.1" customHeight="1" s="62">
      <c r="A29" s="103" t="inlineStr">
        <is>
          <t>Complexité simple</t>
        </is>
      </c>
      <c r="B29" s="101" t="inlineStr">
        <is>
          <t>Fréquence ponctuelle</t>
        </is>
      </c>
      <c r="C29" s="49" t="inlineStr">
        <is>
          <t>1 outil</t>
        </is>
      </c>
      <c r="D29" s="50">
        <f>ROUND($B$4*$B$8*$B$11*$B$14*$B$17*$B$19*$B$21,0)</f>
        <v/>
      </c>
      <c r="E29" s="50">
        <f>ROUND($B$4*$B$8*$B$11*$B$14*$B$17*$B$19*$B$22,0)</f>
        <v/>
      </c>
      <c r="F29" s="50">
        <f>ROUND($B$4*$B$8*$B$11*$B$14*$B$17*$B$20*$B$21,0)</f>
        <v/>
      </c>
      <c r="G29" s="50">
        <f>ROUND($B$4*$B$8*$B$11*$B$14*$B$17*$B$20*$B$22,0)</f>
        <v/>
      </c>
      <c r="H29" s="50">
        <f>ROUND($B$4*$B$8*$B$11*$B$14*$B$18*$B$19*$B$21,0)</f>
        <v/>
      </c>
      <c r="I29" s="50">
        <f>ROUND($B$4*$B$8*$B$11*$B$14*$B$18*$B$19*$B$22,0)</f>
        <v/>
      </c>
      <c r="J29" s="50">
        <f>ROUND($B$4*$B$8*$B$11*$B$14*$B$18*$B$20*$B$21,0)</f>
        <v/>
      </c>
      <c r="K29" s="50">
        <f>ROUND($B$4*$B$8*$B$11*$B$14*$B$18*$B$20*$B$22,0)</f>
        <v/>
      </c>
      <c r="L29" s="53">
        <f>ROUND($B$5*$B$8*$B$11*$B$14*$B$17*$B$19*$B$21,0)</f>
        <v/>
      </c>
      <c r="M29" s="53">
        <f>ROUND($B$5*$B$8*$B$11*$B$14*$B$17*$B$19*$B$22,0)</f>
        <v/>
      </c>
      <c r="N29" s="53">
        <f>ROUND($B$5*$B$8*$B$11*$B$14*$B$17*$B$20*$B$21,0)</f>
        <v/>
      </c>
      <c r="O29" s="53">
        <f>ROUND($B$5*$B$8*$B$11*$B$14*$B$17*$B$20*$B$22,0)</f>
        <v/>
      </c>
      <c r="P29" s="53">
        <f>ROUND($B$5*$B$8*$B$11*$B$14*$B$18*$B$19*$B$21,0)</f>
        <v/>
      </c>
      <c r="Q29" s="53">
        <f>ROUND($B$5*$B$8*$B$11*$B$14*$B$18*$B$19*$B$22,0)</f>
        <v/>
      </c>
      <c r="R29" s="53">
        <f>ROUND($B$5*$B$8*$B$11*$B$14*$B$18*$B$20*$B$21,0)</f>
        <v/>
      </c>
      <c r="S29" s="53">
        <f>ROUND($B$5*$B$8*$B$11*$B$14*$B$18*$B$20*$B$22,0)</f>
        <v/>
      </c>
      <c r="T29" s="53">
        <f>ROUND($B$6*$B$8*$B$11*$B$14*$B$17*$B$19*$B$21,0)</f>
        <v/>
      </c>
      <c r="U29" s="53">
        <f>ROUND($B$6*$B$8*$B$11*$B$14*$B$17*$B$19*$B$22,0)</f>
        <v/>
      </c>
      <c r="V29" s="53">
        <f>ROUND($B$6*$B$8*$B$11*$B$14*$B$17*$B$20*$B$21,0)</f>
        <v/>
      </c>
      <c r="W29" s="53">
        <f>ROUND($B$6*$B$8*$B$11*$B$14*$B$17*$B$20*$B$22,0)</f>
        <v/>
      </c>
      <c r="X29" s="53">
        <f>ROUND($B$6*$B$8*$B$11*$B$14*$B$18*$B$19*$B$21,0)</f>
        <v/>
      </c>
      <c r="Y29" s="53">
        <f>ROUND($B$6*$B$8*$B$11*$B$14*$B$18*$B$19*$B$22,0)</f>
        <v/>
      </c>
      <c r="Z29" s="53">
        <f>ROUND($B$6*$B$8*$B$11*$B$14*$B$18*$B$20*$B$21,0)</f>
        <v/>
      </c>
      <c r="AA29" s="53">
        <f>ROUND($B$6*$B$8*$B$11*$B$14*$B$18*$B$20*$B$22,0)</f>
        <v/>
      </c>
    </row>
    <row r="30" ht="20.1" customHeight="1" s="62">
      <c r="A30" s="104" t="n"/>
      <c r="B30" s="58" t="n"/>
      <c r="C30" s="101" t="inlineStr">
        <is>
          <t>2-3 outils</t>
        </is>
      </c>
      <c r="D30" s="50">
        <f>ROUND($B$4*$B$8*$B$11*$B$15*$B$17*$B$19*$B$21,0)</f>
        <v/>
      </c>
      <c r="E30" s="50">
        <f>ROUND($B$4*$B$8*$B$11*$B$15*$B$17*$B$19*$B$22,0)</f>
        <v/>
      </c>
      <c r="F30" s="50">
        <f>ROUND($B$4*$B$8*$B$11*$B$15*$B$17*$B$20*$B$21,0)</f>
        <v/>
      </c>
      <c r="G30" s="50">
        <f>ROUND($B$4*$B$8*$B$11*$B$15*$B$17*$B$20*$B$22,0)</f>
        <v/>
      </c>
      <c r="H30" s="50">
        <f>ROUND($B$4*$B$8*$B$11*$B$15*$B$18*$B$19*$B$21,0)</f>
        <v/>
      </c>
      <c r="I30" s="50">
        <f>ROUND($B$4*$B$8*$B$11*$B$15*$B$18*$B$19*$B$22,0)</f>
        <v/>
      </c>
      <c r="J30" s="50">
        <f>ROUND($B$4*$B$8*$B$11*$B$15*$B$18*$B$20*$B$21,0)</f>
        <v/>
      </c>
      <c r="K30" s="50">
        <f>ROUND($B$4*$B$8*$B$11*$B$15*$B$18*$B$20*$B$22,0)</f>
        <v/>
      </c>
      <c r="L30" s="53">
        <f>ROUND($B$5*$B$8*$B$11*$B$15*$B$17*$B$19*$B$21,0)</f>
        <v/>
      </c>
      <c r="M30" s="53">
        <f>ROUND($B$5*$B$8*$B$11*$B$15*$B$17*$B$19*$B$22,0)</f>
        <v/>
      </c>
      <c r="N30" s="53">
        <f>ROUND($B$5*$B$8*$B$11*$B$15*$B$17*$B$20*$B$21,0)</f>
        <v/>
      </c>
      <c r="O30" s="53">
        <f>ROUND($B$5*$B$8*$B$11*$B$15*$B$17*$B$20*$B$22,0)</f>
        <v/>
      </c>
      <c r="P30" s="53">
        <f>ROUND($B$5*$B$8*$B$11*$B$15*$B$18*$B$19*$B$21,0)</f>
        <v/>
      </c>
      <c r="Q30" s="53">
        <f>ROUND($B$5*$B$8*$B$11*$B$15*$B$18*$B$19*$B$22,0)</f>
        <v/>
      </c>
      <c r="R30" s="53">
        <f>ROUND($B$5*$B$8*$B$11*$B$15*$B$18*$B$20*$B$21,0)</f>
        <v/>
      </c>
      <c r="S30" s="53">
        <f>ROUND($B$5*$B$8*$B$11*$B$15*$B$18*$B$20*$B$22,0)</f>
        <v/>
      </c>
      <c r="T30" s="53">
        <f>ROUND($B$6*$B$8*$B$11*$B$15*$B$17*$B$19*$B$21,0)</f>
        <v/>
      </c>
      <c r="U30" s="53">
        <f>ROUND($B$6*$B$8*$B$11*$B$15*$B$17*$B$19*$B$22,0)</f>
        <v/>
      </c>
      <c r="V30" s="53">
        <f>ROUND($B$6*$B$8*$B$11*$B$15*$B$17*$B$20*$B$21,0)</f>
        <v/>
      </c>
      <c r="W30" s="53">
        <f>ROUND($B$6*$B$8*$B$11*$B$15*$B$17*$B$20*$B$22,0)</f>
        <v/>
      </c>
      <c r="X30" s="53">
        <f>ROUND($B$6*$B$8*$B$11*$B$15*$B$18*$B$19*$B$21,0)</f>
        <v/>
      </c>
      <c r="Y30" s="53">
        <f>ROUND($B$6*$B$8*$B$11*$B$15*$B$18*$B$19*$B$22,0)</f>
        <v/>
      </c>
      <c r="Z30" s="53">
        <f>ROUND($B$6*$B$8*$B$11*$B$15*$B$18*$B$20*$B$21,0)</f>
        <v/>
      </c>
      <c r="AA30" s="53">
        <f>ROUND($B$6*$B$8*$B$11*$B$15*$B$18*$B$20*$B$22,0)</f>
        <v/>
      </c>
    </row>
    <row r="31" ht="20.1" customHeight="1" s="62">
      <c r="A31" s="104" t="n"/>
      <c r="B31" s="59" t="n"/>
      <c r="C31" s="51" t="inlineStr">
        <is>
          <t>4+ outils</t>
        </is>
      </c>
      <c r="D31" s="50">
        <f>ROUND($B$4*$B$8*$B$11*$B$16*$B$17*$B$19*$B$21,0)</f>
        <v/>
      </c>
      <c r="E31" s="50">
        <f>ROUND($B$4*$B$8*$B$11*$B$16*$B$17*$B$19*$B$22,0)</f>
        <v/>
      </c>
      <c r="F31" s="50">
        <f>ROUND($B$4*$B$8*$B$11*$B$16*$B$17*$B$20*$B$21,0)</f>
        <v/>
      </c>
      <c r="G31" s="50">
        <f>ROUND($B$4*$B$8*$B$11*$B$16*$B$17*$B$20*$B$22,0)</f>
        <v/>
      </c>
      <c r="H31" s="50">
        <f>ROUND($B$4*$B$8*$B$11*$B$16*$B$18*$B$19*$B$21,0)</f>
        <v/>
      </c>
      <c r="I31" s="50">
        <f>ROUND($B$4*$B$8*$B$11*$B$16*$B$18*$B$19*$B$22,0)</f>
        <v/>
      </c>
      <c r="J31" s="50">
        <f>ROUND($B$4*$B$8*$B$11*$B$16*$B$18*$B$20*$B$21,0)</f>
        <v/>
      </c>
      <c r="K31" s="50">
        <f>ROUND($B$4*$B$8*$B$11*$B$16*$B$18*$B$20*$B$22,0)</f>
        <v/>
      </c>
      <c r="L31" s="53">
        <f>ROUND($B$5*$B$8*$B$11*$B$16*$B$17*$B$19*$B$21,0)</f>
        <v/>
      </c>
      <c r="M31" s="53">
        <f>ROUND($B$5*$B$8*$B$11*$B$16*$B$17*$B$19*$B$22,0)</f>
        <v/>
      </c>
      <c r="N31" s="53">
        <f>ROUND($B$5*$B$8*$B$11*$B$16*$B$17*$B$20*$B$21,0)</f>
        <v/>
      </c>
      <c r="O31" s="53">
        <f>ROUND($B$5*$B$8*$B$11*$B$16*$B$17*$B$20*$B$22,0)</f>
        <v/>
      </c>
      <c r="P31" s="53">
        <f>ROUND($B$5*$B$8*$B$11*$B$16*$B$18*$B$19*$B$21,0)</f>
        <v/>
      </c>
      <c r="Q31" s="53">
        <f>ROUND($B$5*$B$8*$B$11*$B$16*$B$18*$B$19*$B$22,0)</f>
        <v/>
      </c>
      <c r="R31" s="53">
        <f>ROUND($B$5*$B$8*$B$11*$B$16*$B$18*$B$20*$B$21,0)</f>
        <v/>
      </c>
      <c r="S31" s="53">
        <f>ROUND($B$5*$B$8*$B$11*$B$16*$B$18*$B$20*$B$22,0)</f>
        <v/>
      </c>
      <c r="T31" s="53">
        <f>ROUND($B$6*$B$8*$B$11*$B$16*$B$17*$B$19*$B$21,0)</f>
        <v/>
      </c>
      <c r="U31" s="53">
        <f>ROUND($B$6*$B$8*$B$11*$B$16*$B$17*$B$19*$B$22,0)</f>
        <v/>
      </c>
      <c r="V31" s="53">
        <f>ROUND($B$6*$B$8*$B$11*$B$16*$B$17*$B$20*$B$21,0)</f>
        <v/>
      </c>
      <c r="W31" s="53">
        <f>ROUND($B$6*$B$8*$B$11*$B$16*$B$17*$B$20*$B$22,0)</f>
        <v/>
      </c>
      <c r="X31" s="53">
        <f>ROUND($B$6*$B$8*$B$11*$B$16*$B$18*$B$19*$B$21,0)</f>
        <v/>
      </c>
      <c r="Y31" s="53">
        <f>ROUND($B$6*$B$8*$B$11*$B$16*$B$18*$B$19*$B$22,0)</f>
        <v/>
      </c>
      <c r="Z31" s="53">
        <f>ROUND($B$6*$B$8*$B$11*$B$16*$B$18*$B$20*$B$21,0)</f>
        <v/>
      </c>
      <c r="AA31" s="53">
        <f>ROUND($B$6*$B$8*$B$11*$B$16*$B$18*$B$20*$B$22,0)</f>
        <v/>
      </c>
    </row>
    <row r="32" ht="20.1" customHeight="1" s="62">
      <c r="A32" s="104" t="n"/>
      <c r="B32" s="101" t="inlineStr">
        <is>
          <t>Fréquence mensuelle</t>
        </is>
      </c>
      <c r="C32" s="49" t="inlineStr">
        <is>
          <t>1 outil</t>
        </is>
      </c>
      <c r="D32" s="50">
        <f>ROUND($B$4*$B$8*$B$12*$B$14*$B$17*$B$19*$B$21,0)</f>
        <v/>
      </c>
      <c r="E32" s="50">
        <f>ROUND($B$4*$B$8*$B$12*$B$14*$B$17*$B$19*$B$22,0)</f>
        <v/>
      </c>
      <c r="F32" s="50">
        <f>ROUND($B$4*$B$8*$B$12*$B$14*$B$17*$B$20*$B$21,0)</f>
        <v/>
      </c>
      <c r="G32" s="50">
        <f>ROUND($B$4*$B$8*$B$12*$B$14*$B$17*$B$20*$B$22,0)</f>
        <v/>
      </c>
      <c r="H32" s="50">
        <f>ROUND($B$4*$B$8*$B$12*$B$14*$B$18*$B$19*$B$21,0)</f>
        <v/>
      </c>
      <c r="I32" s="50">
        <f>ROUND($B$4*$B$8*$B$12*$B$14*$B$18*$B$19*$B$22,0)</f>
        <v/>
      </c>
      <c r="J32" s="50">
        <f>ROUND($B$4*$B$8*$B$12*$B$14*$B$18*$B$20*$B$21,0)</f>
        <v/>
      </c>
      <c r="K32" s="50">
        <f>ROUND($B$4*$B$8*$B$12*$B$14*$B$18*$B$20*$B$22,0)</f>
        <v/>
      </c>
      <c r="L32" s="53">
        <f>ROUND($B$5*$B$8*$B$12*$B$14*$B$17*$B$19*$B$21,0)</f>
        <v/>
      </c>
      <c r="M32" s="53">
        <f>ROUND($B$5*$B$8*$B$12*$B$14*$B$17*$B$19*$B$22,0)</f>
        <v/>
      </c>
      <c r="N32" s="53">
        <f>ROUND($B$5*$B$8*$B$12*$B$14*$B$17*$B$20*$B$21,0)</f>
        <v/>
      </c>
      <c r="O32" s="53">
        <f>ROUND($B$5*$B$8*$B$12*$B$14*$B$17*$B$20*$B$22,0)</f>
        <v/>
      </c>
      <c r="P32" s="53">
        <f>ROUND($B$5*$B$8*$B$12*$B$14*$B$18*$B$19*$B$21,0)</f>
        <v/>
      </c>
      <c r="Q32" s="53">
        <f>ROUND($B$5*$B$8*$B$12*$B$14*$B$18*$B$19*$B$22,0)</f>
        <v/>
      </c>
      <c r="R32" s="53">
        <f>ROUND($B$5*$B$8*$B$12*$B$14*$B$18*$B$20*$B$21,0)</f>
        <v/>
      </c>
      <c r="S32" s="53">
        <f>ROUND($B$5*$B$8*$B$12*$B$14*$B$18*$B$20*$B$22,0)</f>
        <v/>
      </c>
      <c r="T32" s="53">
        <f>ROUND($B$6*$B$8*$B$12*$B$14*$B$17*$B$19*$B$21,0)</f>
        <v/>
      </c>
      <c r="U32" s="53">
        <f>ROUND($B$6*$B$8*$B$12*$B$14*$B$17*$B$19*$B$22,0)</f>
        <v/>
      </c>
      <c r="V32" s="53">
        <f>ROUND($B$6*$B$8*$B$12*$B$14*$B$17*$B$20*$B$21,0)</f>
        <v/>
      </c>
      <c r="W32" s="53">
        <f>ROUND($B$6*$B$8*$B$12*$B$14*$B$17*$B$20*$B$22,0)</f>
        <v/>
      </c>
      <c r="X32" s="53">
        <f>ROUND($B$6*$B$8*$B$12*$B$14*$B$18*$B$19*$B$21,0)</f>
        <v/>
      </c>
      <c r="Y32" s="53">
        <f>ROUND($B$6*$B$8*$B$12*$B$14*$B$18*$B$19*$B$22,0)</f>
        <v/>
      </c>
      <c r="Z32" s="53">
        <f>ROUND($B$6*$B$8*$B$12*$B$14*$B$18*$B$20*$B$21,0)</f>
        <v/>
      </c>
      <c r="AA32" s="53">
        <f>ROUND($B$6*$B$8*$B$12*$B$14*$B$18*$B$20*$B$22,0)</f>
        <v/>
      </c>
    </row>
    <row r="33" ht="20.1" customHeight="1" s="62">
      <c r="A33" s="104" t="n"/>
      <c r="B33" s="58" t="n"/>
      <c r="C33" s="101" t="inlineStr">
        <is>
          <t>2-3 outils</t>
        </is>
      </c>
      <c r="D33" s="50">
        <f>ROUND($B$4*$B$8*$B$12*$B$15*$B$17*$B$19*$B$21,0)</f>
        <v/>
      </c>
      <c r="E33" s="50">
        <f>ROUND($B$4*$B$8*$B$12*$B$15*$B$17*$B$19*$B$22,0)</f>
        <v/>
      </c>
      <c r="F33" s="50">
        <f>ROUND($B$4*$B$8*$B$12*$B$15*$B$17*$B$20*$B$21,0)</f>
        <v/>
      </c>
      <c r="G33" s="50">
        <f>ROUND($B$4*$B$8*$B$12*$B$15*$B$17*$B$20*$B$22,0)</f>
        <v/>
      </c>
      <c r="H33" s="50">
        <f>ROUND($B$4*$B$8*$B$12*$B$15*$B$18*$B$19*$B$21,0)</f>
        <v/>
      </c>
      <c r="I33" s="50">
        <f>ROUND($B$4*$B$8*$B$12*$B$15*$B$18*$B$19*$B$22,0)</f>
        <v/>
      </c>
      <c r="J33" s="50">
        <f>ROUND($B$4*$B$8*$B$12*$B$15*$B$18*$B$20*$B$21,0)</f>
        <v/>
      </c>
      <c r="K33" s="50">
        <f>ROUND($B$4*$B$8*$B$12*$B$15*$B$18*$B$20*$B$22,0)</f>
        <v/>
      </c>
      <c r="L33" s="53">
        <f>ROUND($B$5*$B$8*$B$12*$B$15*$B$17*$B$19*$B$21,0)</f>
        <v/>
      </c>
      <c r="M33" s="53">
        <f>ROUND($B$5*$B$8*$B$12*$B$15*$B$17*$B$19*$B$22,0)</f>
        <v/>
      </c>
      <c r="N33" s="53">
        <f>ROUND($B$5*$B$8*$B$12*$B$15*$B$17*$B$20*$B$21,0)</f>
        <v/>
      </c>
      <c r="O33" s="53">
        <f>ROUND($B$5*$B$8*$B$12*$B$15*$B$17*$B$20*$B$22,0)</f>
        <v/>
      </c>
      <c r="P33" s="53">
        <f>ROUND($B$5*$B$8*$B$12*$B$15*$B$18*$B$19*$B$21,0)</f>
        <v/>
      </c>
      <c r="Q33" s="53">
        <f>ROUND($B$5*$B$8*$B$12*$B$15*$B$18*$B$19*$B$22,0)</f>
        <v/>
      </c>
      <c r="R33" s="53">
        <f>ROUND($B$5*$B$8*$B$12*$B$15*$B$18*$B$20*$B$21,0)</f>
        <v/>
      </c>
      <c r="S33" s="53">
        <f>ROUND($B$5*$B$8*$B$12*$B$15*$B$18*$B$20*$B$22,0)</f>
        <v/>
      </c>
      <c r="T33" s="53">
        <f>ROUND($B$6*$B$8*$B$12*$B$15*$B$17*$B$19*$B$21,0)</f>
        <v/>
      </c>
      <c r="U33" s="53">
        <f>ROUND($B$6*$B$8*$B$12*$B$15*$B$17*$B$19*$B$22,0)</f>
        <v/>
      </c>
      <c r="V33" s="53">
        <f>ROUND($B$6*$B$8*$B$12*$B$15*$B$17*$B$20*$B$21,0)</f>
        <v/>
      </c>
      <c r="W33" s="53">
        <f>ROUND($B$6*$B$8*$B$12*$B$15*$B$17*$B$20*$B$22,0)</f>
        <v/>
      </c>
      <c r="X33" s="53">
        <f>ROUND($B$6*$B$8*$B$12*$B$15*$B$18*$B$19*$B$21,0)</f>
        <v/>
      </c>
      <c r="Y33" s="53">
        <f>ROUND($B$6*$B$8*$B$12*$B$15*$B$18*$B$19*$B$22,0)</f>
        <v/>
      </c>
      <c r="Z33" s="53">
        <f>ROUND($B$6*$B$8*$B$12*$B$15*$B$18*$B$20*$B$21,0)</f>
        <v/>
      </c>
      <c r="AA33" s="53">
        <f>ROUND($B$6*$B$8*$B$12*$B$15*$B$18*$B$20*$B$22,0)</f>
        <v/>
      </c>
    </row>
    <row r="34" ht="20.1" customHeight="1" s="62">
      <c r="A34" s="104" t="n"/>
      <c r="B34" s="59" t="n"/>
      <c r="C34" s="51" t="inlineStr">
        <is>
          <t>4+ outils</t>
        </is>
      </c>
      <c r="D34" s="50">
        <f>ROUND($B$4*$B$8*$B$12*$B$16*$B$17*$B$19*$B$21,0)</f>
        <v/>
      </c>
      <c r="E34" s="50">
        <f>ROUND($B$4*$B$8*$B$12*$B$16*$B$17*$B$19*$B$22,0)</f>
        <v/>
      </c>
      <c r="F34" s="50">
        <f>ROUND($B$4*$B$8*$B$12*$B$16*$B$17*$B$20*$B$21,0)</f>
        <v/>
      </c>
      <c r="G34" s="50">
        <f>ROUND($B$4*$B$8*$B$12*$B$16*$B$17*$B$20*$B$22,0)</f>
        <v/>
      </c>
      <c r="H34" s="50">
        <f>ROUND($B$4*$B$8*$B$12*$B$16*$B$18*$B$19*$B$21,0)</f>
        <v/>
      </c>
      <c r="I34" s="50">
        <f>ROUND($B$4*$B$8*$B$12*$B$16*$B$18*$B$19*$B$22,0)</f>
        <v/>
      </c>
      <c r="J34" s="50">
        <f>ROUND($B$4*$B$8*$B$12*$B$16*$B$18*$B$20*$B$21,0)</f>
        <v/>
      </c>
      <c r="K34" s="50">
        <f>ROUND($B$4*$B$8*$B$12*$B$16*$B$18*$B$20*$B$22,0)</f>
        <v/>
      </c>
      <c r="L34" s="53">
        <f>ROUND($B$5*$B$8*$B$12*$B$16*$B$17*$B$19*$B$21,0)</f>
        <v/>
      </c>
      <c r="M34" s="53">
        <f>ROUND($B$5*$B$8*$B$12*$B$16*$B$17*$B$19*$B$22,0)</f>
        <v/>
      </c>
      <c r="N34" s="53">
        <f>ROUND($B$5*$B$8*$B$12*$B$16*$B$17*$B$20*$B$21,0)</f>
        <v/>
      </c>
      <c r="O34" s="53">
        <f>ROUND($B$5*$B$8*$B$12*$B$16*$B$17*$B$20*$B$22,0)</f>
        <v/>
      </c>
      <c r="P34" s="53">
        <f>ROUND($B$5*$B$8*$B$12*$B$16*$B$18*$B$19*$B$21,0)</f>
        <v/>
      </c>
      <c r="Q34" s="53">
        <f>ROUND($B$5*$B$8*$B$12*$B$16*$B$18*$B$19*$B$22,0)</f>
        <v/>
      </c>
      <c r="R34" s="53">
        <f>ROUND($B$5*$B$8*$B$12*$B$16*$B$18*$B$20*$B$21,0)</f>
        <v/>
      </c>
      <c r="S34" s="53">
        <f>ROUND($B$5*$B$8*$B$12*$B$16*$B$18*$B$20*$B$22,0)</f>
        <v/>
      </c>
      <c r="T34" s="53">
        <f>ROUND($B$6*$B$8*$B$12*$B$16*$B$17*$B$19*$B$21,0)</f>
        <v/>
      </c>
      <c r="U34" s="53">
        <f>ROUND($B$6*$B$8*$B$12*$B$16*$B$17*$B$19*$B$22,0)</f>
        <v/>
      </c>
      <c r="V34" s="53">
        <f>ROUND($B$6*$B$8*$B$12*$B$16*$B$17*$B$20*$B$21,0)</f>
        <v/>
      </c>
      <c r="W34" s="53">
        <f>ROUND($B$6*$B$8*$B$12*$B$16*$B$17*$B$20*$B$22,0)</f>
        <v/>
      </c>
      <c r="X34" s="53">
        <f>ROUND($B$6*$B$8*$B$12*$B$16*$B$18*$B$19*$B$21,0)</f>
        <v/>
      </c>
      <c r="Y34" s="53">
        <f>ROUND($B$6*$B$8*$B$12*$B$16*$B$18*$B$19*$B$22,0)</f>
        <v/>
      </c>
      <c r="Z34" s="53">
        <f>ROUND($B$6*$B$8*$B$12*$B$16*$B$18*$B$20*$B$21,0)</f>
        <v/>
      </c>
      <c r="AA34" s="53">
        <f>ROUND($B$6*$B$8*$B$12*$B$16*$B$18*$B$20*$B$22,0)</f>
        <v/>
      </c>
    </row>
    <row r="35" ht="20.1" customHeight="1" s="62">
      <c r="A35" s="104" t="n"/>
      <c r="B35" s="101" t="inlineStr">
        <is>
          <t>Fréquence continue</t>
        </is>
      </c>
      <c r="C35" s="49" t="inlineStr">
        <is>
          <t>1 outil</t>
        </is>
      </c>
      <c r="D35" s="50">
        <f>ROUND($B$4*$B$8*$B$13*$B$14*$B$17*$B$19*$B$21,0)</f>
        <v/>
      </c>
      <c r="E35" s="50">
        <f>ROUND($B$4*$B$8*$B$13*$B$14*$B$17*$B$19*$B$22,0)</f>
        <v/>
      </c>
      <c r="F35" s="50">
        <f>ROUND($B$4*$B$8*$B$13*$B$14*$B$17*$B$20*$B$21,0)</f>
        <v/>
      </c>
      <c r="G35" s="50">
        <f>ROUND($B$4*$B$8*$B$13*$B$14*$B$17*$B$20*$B$22,0)</f>
        <v/>
      </c>
      <c r="H35" s="50">
        <f>ROUND($B$4*$B$8*$B$13*$B$14*$B$18*$B$19*$B$21,0)</f>
        <v/>
      </c>
      <c r="I35" s="50">
        <f>ROUND($B$4*$B$8*$B$13*$B$14*$B$18*$B$19*$B$22,0)</f>
        <v/>
      </c>
      <c r="J35" s="50">
        <f>ROUND($B$4*$B$8*$B$13*$B$14*$B$18*$B$20*$B$21,0)</f>
        <v/>
      </c>
      <c r="K35" s="50">
        <f>ROUND($B$4*$B$8*$B$13*$B$14*$B$18*$B$20*$B$22,0)</f>
        <v/>
      </c>
      <c r="L35" s="53">
        <f>ROUND($B$5*$B$8*$B$13*$B$14*$B$17*$B$19*$B$21,0)</f>
        <v/>
      </c>
      <c r="M35" s="53">
        <f>ROUND($B$5*$B$8*$B$13*$B$14*$B$17*$B$19*$B$22,0)</f>
        <v/>
      </c>
      <c r="N35" s="53">
        <f>ROUND($B$5*$B$8*$B$13*$B$14*$B$17*$B$20*$B$21,0)</f>
        <v/>
      </c>
      <c r="O35" s="53">
        <f>ROUND($B$5*$B$8*$B$13*$B$14*$B$17*$B$20*$B$22,0)</f>
        <v/>
      </c>
      <c r="P35" s="53">
        <f>ROUND($B$5*$B$8*$B$13*$B$14*$B$18*$B$19*$B$21,0)</f>
        <v/>
      </c>
      <c r="Q35" s="53">
        <f>ROUND($B$5*$B$8*$B$13*$B$14*$B$18*$B$19*$B$22,0)</f>
        <v/>
      </c>
      <c r="R35" s="53">
        <f>ROUND($B$5*$B$8*$B$13*$B$14*$B$18*$B$20*$B$21,0)</f>
        <v/>
      </c>
      <c r="S35" s="53">
        <f>ROUND($B$5*$B$8*$B$13*$B$14*$B$18*$B$20*$B$22,0)</f>
        <v/>
      </c>
      <c r="T35" s="53">
        <f>ROUND($B$6*$B$8*$B$13*$B$14*$B$17*$B$19*$B$21,0)</f>
        <v/>
      </c>
      <c r="U35" s="53">
        <f>ROUND($B$6*$B$8*$B$13*$B$14*$B$17*$B$19*$B$22,0)</f>
        <v/>
      </c>
      <c r="V35" s="53">
        <f>ROUND($B$6*$B$8*$B$13*$B$14*$B$17*$B$20*$B$21,0)</f>
        <v/>
      </c>
      <c r="W35" s="53">
        <f>ROUND($B$6*$B$8*$B$13*$B$14*$B$17*$B$20*$B$22,0)</f>
        <v/>
      </c>
      <c r="X35" s="53">
        <f>ROUND($B$6*$B$8*$B$13*$B$14*$B$18*$B$19*$B$21,0)</f>
        <v/>
      </c>
      <c r="Y35" s="53">
        <f>ROUND($B$6*$B$8*$B$13*$B$14*$B$18*$B$19*$B$22,0)</f>
        <v/>
      </c>
      <c r="Z35" s="53">
        <f>ROUND($B$6*$B$8*$B$13*$B$14*$B$18*$B$20*$B$21,0)</f>
        <v/>
      </c>
      <c r="AA35" s="53">
        <f>ROUND($B$6*$B$8*$B$13*$B$14*$B$18*$B$20*$B$22,0)</f>
        <v/>
      </c>
    </row>
    <row r="36" ht="20.1" customHeight="1" s="62">
      <c r="A36" s="104" t="n"/>
      <c r="B36" s="58" t="n"/>
      <c r="C36" s="101" t="inlineStr">
        <is>
          <t>2-3 outils</t>
        </is>
      </c>
      <c r="D36" s="50">
        <f>ROUND($B$4*$B$8*$B$13*$B$15*$B$17*$B$19*$B$21,0)</f>
        <v/>
      </c>
      <c r="E36" s="50">
        <f>ROUND($B$4*$B$8*$B$13*$B$15*$B$17*$B$19*$B$22,0)</f>
        <v/>
      </c>
      <c r="F36" s="50">
        <f>ROUND($B$4*$B$8*$B$13*$B$15*$B$17*$B$20*$B$21,0)</f>
        <v/>
      </c>
      <c r="G36" s="50">
        <f>ROUND($B$4*$B$8*$B$13*$B$15*$B$17*$B$20*$B$22,0)</f>
        <v/>
      </c>
      <c r="H36" s="50">
        <f>ROUND($B$4*$B$8*$B$13*$B$15*$B$18*$B$19*$B$21,0)</f>
        <v/>
      </c>
      <c r="I36" s="50">
        <f>ROUND($B$4*$B$8*$B$13*$B$15*$B$18*$B$19*$B$22,0)</f>
        <v/>
      </c>
      <c r="J36" s="50">
        <f>ROUND($B$4*$B$8*$B$13*$B$15*$B$18*$B$20*$B$21,0)</f>
        <v/>
      </c>
      <c r="K36" s="50">
        <f>ROUND($B$4*$B$8*$B$13*$B$15*$B$18*$B$20*$B$22,0)</f>
        <v/>
      </c>
      <c r="L36" s="53">
        <f>ROUND($B$5*$B$8*$B$13*$B$15*$B$17*$B$19*$B$21,0)</f>
        <v/>
      </c>
      <c r="M36" s="53">
        <f>ROUND($B$5*$B$8*$B$13*$B$15*$B$17*$B$19*$B$22,0)</f>
        <v/>
      </c>
      <c r="N36" s="53">
        <f>ROUND($B$5*$B$8*$B$13*$B$15*$B$17*$B$20*$B$21,0)</f>
        <v/>
      </c>
      <c r="O36" s="53">
        <f>ROUND($B$5*$B$8*$B$13*$B$15*$B$17*$B$20*$B$22,0)</f>
        <v/>
      </c>
      <c r="P36" s="53">
        <f>ROUND($B$5*$B$8*$B$13*$B$15*$B$18*$B$19*$B$21,0)</f>
        <v/>
      </c>
      <c r="Q36" s="53">
        <f>ROUND($B$5*$B$8*$B$13*$B$15*$B$18*$B$19*$B$22,0)</f>
        <v/>
      </c>
      <c r="R36" s="53">
        <f>ROUND($B$5*$B$8*$B$13*$B$15*$B$18*$B$20*$B$21,0)</f>
        <v/>
      </c>
      <c r="S36" s="53">
        <f>ROUND($B$5*$B$8*$B$13*$B$15*$B$18*$B$20*$B$22,0)</f>
        <v/>
      </c>
      <c r="T36" s="53">
        <f>ROUND($B$6*$B$8*$B$13*$B$15*$B$17*$B$19*$B$21,0)</f>
        <v/>
      </c>
      <c r="U36" s="53">
        <f>ROUND($B$6*$B$8*$B$13*$B$15*$B$17*$B$19*$B$22,0)</f>
        <v/>
      </c>
      <c r="V36" s="53">
        <f>ROUND($B$6*$B$8*$B$13*$B$15*$B$17*$B$20*$B$21,0)</f>
        <v/>
      </c>
      <c r="W36" s="53">
        <f>ROUND($B$6*$B$8*$B$13*$B$15*$B$17*$B$20*$B$22,0)</f>
        <v/>
      </c>
      <c r="X36" s="53">
        <f>ROUND($B$6*$B$8*$B$13*$B$15*$B$18*$B$19*$B$21,0)</f>
        <v/>
      </c>
      <c r="Y36" s="53">
        <f>ROUND($B$6*$B$8*$B$13*$B$15*$B$18*$B$19*$B$22,0)</f>
        <v/>
      </c>
      <c r="Z36" s="53">
        <f>ROUND($B$6*$B$8*$B$13*$B$15*$B$18*$B$20*$B$21,0)</f>
        <v/>
      </c>
      <c r="AA36" s="53">
        <f>ROUND($B$6*$B$8*$B$13*$B$15*$B$18*$B$20*$B$22,0)</f>
        <v/>
      </c>
    </row>
    <row r="37" ht="20.1" customHeight="1" s="62">
      <c r="A37" s="105" t="n"/>
      <c r="B37" s="59" t="n"/>
      <c r="C37" s="51" t="inlineStr">
        <is>
          <t>4+ outils</t>
        </is>
      </c>
      <c r="D37" s="50">
        <f>ROUND($B$4*$B$8*$B$13*$B$16*$B$17*$B$19*$B$21,0)</f>
        <v/>
      </c>
      <c r="E37" s="50">
        <f>ROUND($B$4*$B$8*$B$13*$B$16*$B$17*$B$19*$B$22,0)</f>
        <v/>
      </c>
      <c r="F37" s="50">
        <f>ROUND($B$4*$B$8*$B$13*$B$16*$B$17*$B$20*$B$21,0)</f>
        <v/>
      </c>
      <c r="G37" s="50">
        <f>ROUND($B$4*$B$8*$B$13*$B$16*$B$17*$B$20*$B$22,0)</f>
        <v/>
      </c>
      <c r="H37" s="50">
        <f>ROUND($B$4*$B$8*$B$13*$B$16*$B$18*$B$19*$B$21,0)</f>
        <v/>
      </c>
      <c r="I37" s="50">
        <f>ROUND($B$4*$B$8*$B$13*$B$16*$B$18*$B$19*$B$22,0)</f>
        <v/>
      </c>
      <c r="J37" s="50">
        <f>ROUND($B$4*$B$8*$B$13*$B$16*$B$18*$B$20*$B$21,0)</f>
        <v/>
      </c>
      <c r="K37" s="50">
        <f>ROUND($B$4*$B$8*$B$13*$B$16*$B$18*$B$20*$B$22,0)</f>
        <v/>
      </c>
      <c r="L37" s="53">
        <f>ROUND($B$5*$B$8*$B$13*$B$16*$B$17*$B$19*$B$21,0)</f>
        <v/>
      </c>
      <c r="M37" s="53">
        <f>ROUND($B$5*$B$8*$B$13*$B$16*$B$17*$B$19*$B$22,0)</f>
        <v/>
      </c>
      <c r="N37" s="53">
        <f>ROUND($B$5*$B$8*$B$13*$B$16*$B$17*$B$20*$B$21,0)</f>
        <v/>
      </c>
      <c r="O37" s="53">
        <f>ROUND($B$5*$B$8*$B$13*$B$16*$B$17*$B$20*$B$22,0)</f>
        <v/>
      </c>
      <c r="P37" s="53">
        <f>ROUND($B$5*$B$8*$B$13*$B$16*$B$18*$B$19*$B$21,0)</f>
        <v/>
      </c>
      <c r="Q37" s="53">
        <f>ROUND($B$5*$B$8*$B$13*$B$16*$B$18*$B$19*$B$22,0)</f>
        <v/>
      </c>
      <c r="R37" s="53">
        <f>ROUND($B$5*$B$8*$B$13*$B$16*$B$18*$B$20*$B$21,0)</f>
        <v/>
      </c>
      <c r="S37" s="53">
        <f>ROUND($B$5*$B$8*$B$13*$B$16*$B$18*$B$20*$B$22,0)</f>
        <v/>
      </c>
      <c r="T37" s="53">
        <f>ROUND($B$6*$B$8*$B$13*$B$16*$B$17*$B$19*$B$21,0)</f>
        <v/>
      </c>
      <c r="U37" s="53">
        <f>ROUND($B$6*$B$8*$B$13*$B$16*$B$17*$B$19*$B$22,0)</f>
        <v/>
      </c>
      <c r="V37" s="53">
        <f>ROUND($B$6*$B$8*$B$13*$B$16*$B$17*$B$20*$B$21,0)</f>
        <v/>
      </c>
      <c r="W37" s="53">
        <f>ROUND($B$6*$B$8*$B$13*$B$16*$B$17*$B$20*$B$22,0)</f>
        <v/>
      </c>
      <c r="X37" s="53">
        <f>ROUND($B$6*$B$8*$B$13*$B$16*$B$18*$B$19*$B$21,0)</f>
        <v/>
      </c>
      <c r="Y37" s="53">
        <f>ROUND($B$6*$B$8*$B$13*$B$16*$B$18*$B$19*$B$22,0)</f>
        <v/>
      </c>
      <c r="Z37" s="53">
        <f>ROUND($B$6*$B$8*$B$13*$B$16*$B$18*$B$20*$B$21,0)</f>
        <v/>
      </c>
      <c r="AA37" s="53">
        <f>ROUND($B$6*$B$8*$B$13*$B$16*$B$18*$B$20*$B$22,0)</f>
        <v/>
      </c>
    </row>
    <row r="38" ht="20.1" customHeight="1" s="62">
      <c r="A38" s="103" t="inlineStr">
        <is>
          <t>Complexité modérée</t>
        </is>
      </c>
      <c r="B38" s="101" t="inlineStr">
        <is>
          <t>Fréquence ponctuelle</t>
        </is>
      </c>
      <c r="C38" s="49" t="inlineStr">
        <is>
          <t>1 outil</t>
        </is>
      </c>
      <c r="D38" s="50">
        <f>ROUND($B$4*$B$9*$B$11*$B$14*$B$17*$B$19*$B$21,0)</f>
        <v/>
      </c>
      <c r="E38" s="50">
        <f>ROUND($B$4*$B$9*$B$11*$B$14*$B$17*$B$19*$B$22,0)</f>
        <v/>
      </c>
      <c r="F38" s="50">
        <f>ROUND($B$4*$B$9*$B$11*$B$14*$B$17*$B$20*$B$21,0)</f>
        <v/>
      </c>
      <c r="G38" s="50">
        <f>ROUND($B$4*$B$9*$B$11*$B$14*$B$17*$B$20*$B$22,0)</f>
        <v/>
      </c>
      <c r="H38" s="50">
        <f>ROUND($B$4*$B$9*$B$11*$B$14*$B$18*$B$19*$B$21,0)</f>
        <v/>
      </c>
      <c r="I38" s="50">
        <f>ROUND($B$4*$B$9*$B$11*$B$14*$B$18*$B$19*$B$22,0)</f>
        <v/>
      </c>
      <c r="J38" s="50">
        <f>ROUND($B$4*$B$9*$B$11*$B$14*$B$18*$B$20*$B$21,0)</f>
        <v/>
      </c>
      <c r="K38" s="50">
        <f>ROUND($B$4*$B$9*$B$11*$B$14*$B$18*$B$20*$B$22,0)</f>
        <v/>
      </c>
      <c r="L38" s="53">
        <f>ROUND($B$5*$B$9*$B$11*$B$14*$B$17*$B$19*$B$21,0)</f>
        <v/>
      </c>
      <c r="M38" s="53">
        <f>ROUND($B$5*$B$9*$B$11*$B$14*$B$17*$B$19*$B$22,0)</f>
        <v/>
      </c>
      <c r="N38" s="53">
        <f>ROUND($B$5*$B$9*$B$11*$B$14*$B$17*$B$20*$B$21,0)</f>
        <v/>
      </c>
      <c r="O38" s="53">
        <f>ROUND($B$5*$B$9*$B$11*$B$14*$B$17*$B$20*$B$22,0)</f>
        <v/>
      </c>
      <c r="P38" s="53">
        <f>ROUND($B$5*$B$9*$B$11*$B$14*$B$18*$B$19*$B$21,0)</f>
        <v/>
      </c>
      <c r="Q38" s="53">
        <f>ROUND($B$5*$B$9*$B$11*$B$14*$B$18*$B$19*$B$22,0)</f>
        <v/>
      </c>
      <c r="R38" s="53">
        <f>ROUND($B$5*$B$9*$B$11*$B$14*$B$18*$B$20*$B$21,0)</f>
        <v/>
      </c>
      <c r="S38" s="53">
        <f>ROUND($B$5*$B$9*$B$11*$B$14*$B$18*$B$20*$B$22,0)</f>
        <v/>
      </c>
      <c r="T38" s="53">
        <f>ROUND($B$6*$B$9*$B$11*$B$14*$B$17*$B$19*$B$21,0)</f>
        <v/>
      </c>
      <c r="U38" s="53">
        <f>ROUND($B$6*$B$9*$B$11*$B$14*$B$17*$B$19*$B$22,0)</f>
        <v/>
      </c>
      <c r="V38" s="53">
        <f>ROUND($B$6*$B$9*$B$11*$B$14*$B$17*$B$20*$B$21,0)</f>
        <v/>
      </c>
      <c r="W38" s="53">
        <f>ROUND($B$6*$B$9*$B$11*$B$14*$B$17*$B$20*$B$22,0)</f>
        <v/>
      </c>
      <c r="X38" s="53">
        <f>ROUND($B$6*$B$9*$B$11*$B$14*$B$18*$B$19*$B$21,0)</f>
        <v/>
      </c>
      <c r="Y38" s="53">
        <f>ROUND($B$6*$B$9*$B$11*$B$14*$B$18*$B$19*$B$22,0)</f>
        <v/>
      </c>
      <c r="Z38" s="53">
        <f>ROUND($B$6*$B$9*$B$11*$B$14*$B$18*$B$20*$B$21,0)</f>
        <v/>
      </c>
      <c r="AA38" s="53">
        <f>ROUND($B$6*$B$9*$B$11*$B$14*$B$18*$B$20*$B$22,0)</f>
        <v/>
      </c>
    </row>
    <row r="39" ht="20.1" customHeight="1" s="62">
      <c r="A39" s="104" t="n"/>
      <c r="B39" s="58" t="n"/>
      <c r="C39" s="101" t="inlineStr">
        <is>
          <t>2-3 outils</t>
        </is>
      </c>
      <c r="D39" s="50">
        <f>ROUND($B$4*$B$9*$B$11*$B$15*$B$17*$B$19*$B$21,0)</f>
        <v/>
      </c>
      <c r="E39" s="50">
        <f>ROUND($B$4*$B$9*$B$11*$B$15*$B$17*$B$19*$B$22,0)</f>
        <v/>
      </c>
      <c r="F39" s="50">
        <f>ROUND($B$4*$B$9*$B$11*$B$15*$B$17*$B$20*$B$21,0)</f>
        <v/>
      </c>
      <c r="G39" s="50">
        <f>ROUND($B$4*$B$9*$B$11*$B$15*$B$17*$B$20*$B$22,0)</f>
        <v/>
      </c>
      <c r="H39" s="50">
        <f>ROUND($B$4*$B$9*$B$11*$B$15*$B$18*$B$19*$B$21,0)</f>
        <v/>
      </c>
      <c r="I39" s="50">
        <f>ROUND($B$4*$B$9*$B$11*$B$15*$B$18*$B$19*$B$22,0)</f>
        <v/>
      </c>
      <c r="J39" s="50">
        <f>ROUND($B$4*$B$9*$B$11*$B$15*$B$18*$B$20*$B$21,0)</f>
        <v/>
      </c>
      <c r="K39" s="50">
        <f>ROUND($B$4*$B$9*$B$11*$B$15*$B$18*$B$20*$B$22,0)</f>
        <v/>
      </c>
      <c r="L39" s="53">
        <f>ROUND($B$5*$B$9*$B$11*$B$15*$B$17*$B$19*$B$21,0)</f>
        <v/>
      </c>
      <c r="M39" s="53">
        <f>ROUND($B$5*$B$9*$B$11*$B$15*$B$17*$B$19*$B$22,0)</f>
        <v/>
      </c>
      <c r="N39" s="53">
        <f>ROUND($B$5*$B$9*$B$11*$B$15*$B$17*$B$20*$B$21,0)</f>
        <v/>
      </c>
      <c r="O39" s="53">
        <f>ROUND($B$5*$B$9*$B$11*$B$15*$B$17*$B$20*$B$22,0)</f>
        <v/>
      </c>
      <c r="P39" s="53">
        <f>ROUND($B$5*$B$9*$B$11*$B$15*$B$18*$B$19*$B$21,0)</f>
        <v/>
      </c>
      <c r="Q39" s="53">
        <f>ROUND($B$5*$B$9*$B$11*$B$15*$B$18*$B$19*$B$22,0)</f>
        <v/>
      </c>
      <c r="R39" s="53">
        <f>ROUND($B$5*$B$9*$B$11*$B$15*$B$18*$B$20*$B$21,0)</f>
        <v/>
      </c>
      <c r="S39" s="53">
        <f>ROUND($B$5*$B$9*$B$11*$B$15*$B$18*$B$20*$B$22,0)</f>
        <v/>
      </c>
      <c r="T39" s="53">
        <f>ROUND($B$6*$B$9*$B$11*$B$15*$B$17*$B$19*$B$21,0)</f>
        <v/>
      </c>
      <c r="U39" s="53">
        <f>ROUND($B$6*$B$9*$B$11*$B$15*$B$17*$B$19*$B$22,0)</f>
        <v/>
      </c>
      <c r="V39" s="53">
        <f>ROUND($B$6*$B$9*$B$11*$B$15*$B$17*$B$20*$B$21,0)</f>
        <v/>
      </c>
      <c r="W39" s="53">
        <f>ROUND($B$6*$B$9*$B$11*$B$15*$B$17*$B$20*$B$22,0)</f>
        <v/>
      </c>
      <c r="X39" s="53">
        <f>ROUND($B$6*$B$9*$B$11*$B$15*$B$18*$B$19*$B$21,0)</f>
        <v/>
      </c>
      <c r="Y39" s="53">
        <f>ROUND($B$6*$B$9*$B$11*$B$15*$B$18*$B$19*$B$22,0)</f>
        <v/>
      </c>
      <c r="Z39" s="53">
        <f>ROUND($B$6*$B$9*$B$11*$B$15*$B$18*$B$20*$B$21,0)</f>
        <v/>
      </c>
      <c r="AA39" s="53">
        <f>ROUND($B$6*$B$9*$B$11*$B$15*$B$18*$B$20*$B$22,0)</f>
        <v/>
      </c>
    </row>
    <row r="40" ht="20.1" customHeight="1" s="62">
      <c r="A40" s="104" t="n"/>
      <c r="B40" s="59" t="n"/>
      <c r="C40" s="51" t="inlineStr">
        <is>
          <t>4+ outils</t>
        </is>
      </c>
      <c r="D40" s="50">
        <f>ROUND($B$4*$B$9*$B$11*$B$16*$B$17*$B$19*$B$21,0)</f>
        <v/>
      </c>
      <c r="E40" s="50">
        <f>ROUND($B$4*$B$9*$B$11*$B$16*$B$17*$B$19*$B$22,0)</f>
        <v/>
      </c>
      <c r="F40" s="50">
        <f>ROUND($B$4*$B$9*$B$11*$B$16*$B$17*$B$20*$B$21,0)</f>
        <v/>
      </c>
      <c r="G40" s="50">
        <f>ROUND($B$4*$B$9*$B$11*$B$16*$B$17*$B$20*$B$22,0)</f>
        <v/>
      </c>
      <c r="H40" s="50">
        <f>ROUND($B$4*$B$9*$B$11*$B$16*$B$18*$B$19*$B$21,0)</f>
        <v/>
      </c>
      <c r="I40" s="50">
        <f>ROUND($B$4*$B$9*$B$11*$B$16*$B$18*$B$19*$B$22,0)</f>
        <v/>
      </c>
      <c r="J40" s="50">
        <f>ROUND($B$4*$B$9*$B$11*$B$16*$B$18*$B$20*$B$21,0)</f>
        <v/>
      </c>
      <c r="K40" s="50">
        <f>ROUND($B$4*$B$9*$B$11*$B$16*$B$18*$B$20*$B$22,0)</f>
        <v/>
      </c>
      <c r="L40" s="53">
        <f>ROUND($B$5*$B$9*$B$11*$B$16*$B$17*$B$19*$B$21,0)</f>
        <v/>
      </c>
      <c r="M40" s="53">
        <f>ROUND($B$5*$B$9*$B$11*$B$16*$B$17*$B$19*$B$22,0)</f>
        <v/>
      </c>
      <c r="N40" s="53">
        <f>ROUND($B$5*$B$9*$B$11*$B$16*$B$17*$B$20*$B$21,0)</f>
        <v/>
      </c>
      <c r="O40" s="53">
        <f>ROUND($B$5*$B$9*$B$11*$B$16*$B$17*$B$20*$B$22,0)</f>
        <v/>
      </c>
      <c r="P40" s="53">
        <f>ROUND($B$5*$B$9*$B$11*$B$16*$B$18*$B$19*$B$21,0)</f>
        <v/>
      </c>
      <c r="Q40" s="53">
        <f>ROUND($B$5*$B$9*$B$11*$B$16*$B$18*$B$19*$B$22,0)</f>
        <v/>
      </c>
      <c r="R40" s="53">
        <f>ROUND($B$5*$B$9*$B$11*$B$16*$B$18*$B$20*$B$21,0)</f>
        <v/>
      </c>
      <c r="S40" s="53">
        <f>ROUND($B$5*$B$9*$B$11*$B$16*$B$18*$B$20*$B$22,0)</f>
        <v/>
      </c>
      <c r="T40" s="53">
        <f>ROUND($B$6*$B$9*$B$11*$B$16*$B$17*$B$19*$B$21,0)</f>
        <v/>
      </c>
      <c r="U40" s="53">
        <f>ROUND($B$6*$B$9*$B$11*$B$16*$B$17*$B$19*$B$22,0)</f>
        <v/>
      </c>
      <c r="V40" s="53">
        <f>ROUND($B$6*$B$9*$B$11*$B$16*$B$17*$B$20*$B$21,0)</f>
        <v/>
      </c>
      <c r="W40" s="53">
        <f>ROUND($B$6*$B$9*$B$11*$B$16*$B$17*$B$20*$B$22,0)</f>
        <v/>
      </c>
      <c r="X40" s="53">
        <f>ROUND($B$6*$B$9*$B$11*$B$16*$B$18*$B$19*$B$21,0)</f>
        <v/>
      </c>
      <c r="Y40" s="53">
        <f>ROUND($B$6*$B$9*$B$11*$B$16*$B$18*$B$19*$B$22,0)</f>
        <v/>
      </c>
      <c r="Z40" s="53">
        <f>ROUND($B$6*$B$9*$B$11*$B$16*$B$18*$B$20*$B$21,0)</f>
        <v/>
      </c>
      <c r="AA40" s="53">
        <f>ROUND($B$6*$B$9*$B$11*$B$16*$B$18*$B$20*$B$22,0)</f>
        <v/>
      </c>
    </row>
    <row r="41" ht="20.1" customHeight="1" s="62">
      <c r="A41" s="104" t="n"/>
      <c r="B41" s="101" t="inlineStr">
        <is>
          <t>Fréquence mensuelle</t>
        </is>
      </c>
      <c r="C41" s="49" t="inlineStr">
        <is>
          <t>1 outil</t>
        </is>
      </c>
      <c r="D41" s="50">
        <f>ROUND($B$4*$B$9*$B$12*$B$14*$B$17*$B$19*$B$21,0)</f>
        <v/>
      </c>
      <c r="E41" s="50">
        <f>ROUND($B$4*$B$9*$B$12*$B$14*$B$17*$B$19*$B$22,0)</f>
        <v/>
      </c>
      <c r="F41" s="50">
        <f>ROUND($B$4*$B$9*$B$12*$B$14*$B$17*$B$20*$B$21,0)</f>
        <v/>
      </c>
      <c r="G41" s="50">
        <f>ROUND($B$4*$B$9*$B$12*$B$14*$B$17*$B$20*$B$22,0)</f>
        <v/>
      </c>
      <c r="H41" s="50">
        <f>ROUND($B$4*$B$9*$B$12*$B$14*$B$18*$B$19*$B$21,0)</f>
        <v/>
      </c>
      <c r="I41" s="50">
        <f>ROUND($B$4*$B$9*$B$12*$B$14*$B$18*$B$19*$B$22,0)</f>
        <v/>
      </c>
      <c r="J41" s="50">
        <f>ROUND($B$4*$B$9*$B$12*$B$14*$B$18*$B$20*$B$21,0)</f>
        <v/>
      </c>
      <c r="K41" s="50">
        <f>ROUND($B$4*$B$9*$B$12*$B$14*$B$18*$B$20*$B$22,0)</f>
        <v/>
      </c>
      <c r="L41" s="53">
        <f>ROUND($B$5*$B$9*$B$12*$B$14*$B$17*$B$19*$B$21,0)</f>
        <v/>
      </c>
      <c r="M41" s="53">
        <f>ROUND($B$5*$B$9*$B$12*$B$14*$B$17*$B$19*$B$22,0)</f>
        <v/>
      </c>
      <c r="N41" s="53">
        <f>ROUND($B$5*$B$9*$B$12*$B$14*$B$17*$B$20*$B$21,0)</f>
        <v/>
      </c>
      <c r="O41" s="53">
        <f>ROUND($B$5*$B$9*$B$12*$B$14*$B$17*$B$20*$B$22,0)</f>
        <v/>
      </c>
      <c r="P41" s="53">
        <f>ROUND($B$5*$B$9*$B$12*$B$14*$B$18*$B$19*$B$21,0)</f>
        <v/>
      </c>
      <c r="Q41" s="53">
        <f>ROUND($B$5*$B$9*$B$12*$B$14*$B$18*$B$19*$B$22,0)</f>
        <v/>
      </c>
      <c r="R41" s="53">
        <f>ROUND($B$5*$B$9*$B$12*$B$14*$B$18*$B$20*$B$21,0)</f>
        <v/>
      </c>
      <c r="S41" s="53">
        <f>ROUND($B$5*$B$9*$B$12*$B$14*$B$18*$B$20*$B$22,0)</f>
        <v/>
      </c>
      <c r="T41" s="53">
        <f>ROUND($B$6*$B$9*$B$12*$B$14*$B$17*$B$19*$B$21,0)</f>
        <v/>
      </c>
      <c r="U41" s="53">
        <f>ROUND($B$6*$B$9*$B$12*$B$14*$B$17*$B$19*$B$22,0)</f>
        <v/>
      </c>
      <c r="V41" s="53">
        <f>ROUND($B$6*$B$9*$B$12*$B$14*$B$17*$B$20*$B$21,0)</f>
        <v/>
      </c>
      <c r="W41" s="53">
        <f>ROUND($B$6*$B$9*$B$12*$B$14*$B$17*$B$20*$B$22,0)</f>
        <v/>
      </c>
      <c r="X41" s="53">
        <f>ROUND($B$6*$B$9*$B$12*$B$14*$B$18*$B$19*$B$21,0)</f>
        <v/>
      </c>
      <c r="Y41" s="53">
        <f>ROUND($B$6*$B$9*$B$12*$B$14*$B$18*$B$19*$B$22,0)</f>
        <v/>
      </c>
      <c r="Z41" s="53">
        <f>ROUND($B$6*$B$9*$B$12*$B$14*$B$18*$B$20*$B$21,0)</f>
        <v/>
      </c>
      <c r="AA41" s="53">
        <f>ROUND($B$6*$B$9*$B$12*$B$14*$B$18*$B$20*$B$22,0)</f>
        <v/>
      </c>
    </row>
    <row r="42" ht="20.1" customHeight="1" s="62">
      <c r="A42" s="104" t="n"/>
      <c r="B42" s="58" t="n"/>
      <c r="C42" s="101" t="inlineStr">
        <is>
          <t>2-3 outils</t>
        </is>
      </c>
      <c r="D42" s="50">
        <f>ROUND($B$4*$B$9*$B$12*$B$15*$B$17*$B$19*$B$21,0)</f>
        <v/>
      </c>
      <c r="E42" s="50">
        <f>ROUND($B$4*$B$9*$B$12*$B$15*$B$17*$B$19*$B$22,0)</f>
        <v/>
      </c>
      <c r="F42" s="50">
        <f>ROUND($B$4*$B$9*$B$12*$B$15*$B$17*$B$20*$B$21,0)</f>
        <v/>
      </c>
      <c r="G42" s="50">
        <f>ROUND($B$4*$B$9*$B$12*$B$15*$B$17*$B$20*$B$22,0)</f>
        <v/>
      </c>
      <c r="H42" s="50">
        <f>ROUND($B$4*$B$9*$B$12*$B$15*$B$18*$B$19*$B$21,0)</f>
        <v/>
      </c>
      <c r="I42" s="50">
        <f>ROUND($B$4*$B$9*$B$12*$B$15*$B$18*$B$19*$B$22,0)</f>
        <v/>
      </c>
      <c r="J42" s="50">
        <f>ROUND($B$4*$B$9*$B$12*$B$15*$B$18*$B$20*$B$21,0)</f>
        <v/>
      </c>
      <c r="K42" s="50">
        <f>ROUND($B$4*$B$9*$B$12*$B$15*$B$18*$B$20*$B$22,0)</f>
        <v/>
      </c>
      <c r="L42" s="53">
        <f>ROUND($B$5*$B$9*$B$12*$B$15*$B$17*$B$19*$B$21,0)</f>
        <v/>
      </c>
      <c r="M42" s="53">
        <f>ROUND($B$5*$B$9*$B$12*$B$15*$B$17*$B$19*$B$22,0)</f>
        <v/>
      </c>
      <c r="N42" s="53">
        <f>ROUND($B$5*$B$9*$B$12*$B$15*$B$17*$B$20*$B$21,0)</f>
        <v/>
      </c>
      <c r="O42" s="53">
        <f>ROUND($B$5*$B$9*$B$12*$B$15*$B$17*$B$20*$B$22,0)</f>
        <v/>
      </c>
      <c r="P42" s="53">
        <f>ROUND($B$5*$B$9*$B$12*$B$15*$B$18*$B$19*$B$21,0)</f>
        <v/>
      </c>
      <c r="Q42" s="53">
        <f>ROUND($B$5*$B$9*$B$12*$B$15*$B$18*$B$19*$B$22,0)</f>
        <v/>
      </c>
      <c r="R42" s="53">
        <f>ROUND($B$5*$B$9*$B$12*$B$15*$B$18*$B$20*$B$21,0)</f>
        <v/>
      </c>
      <c r="S42" s="53">
        <f>ROUND($B$5*$B$9*$B$12*$B$15*$B$18*$B$20*$B$22,0)</f>
        <v/>
      </c>
      <c r="T42" s="53">
        <f>ROUND($B$6*$B$9*$B$12*$B$15*$B$17*$B$19*$B$21,0)</f>
        <v/>
      </c>
      <c r="U42" s="53">
        <f>ROUND($B$6*$B$9*$B$12*$B$15*$B$17*$B$19*$B$22,0)</f>
        <v/>
      </c>
      <c r="V42" s="53">
        <f>ROUND($B$6*$B$9*$B$12*$B$15*$B$17*$B$20*$B$21,0)</f>
        <v/>
      </c>
      <c r="W42" s="53">
        <f>ROUND($B$6*$B$9*$B$12*$B$15*$B$17*$B$20*$B$22,0)</f>
        <v/>
      </c>
      <c r="X42" s="53">
        <f>ROUND($B$6*$B$9*$B$12*$B$15*$B$18*$B$19*$B$21,0)</f>
        <v/>
      </c>
      <c r="Y42" s="53">
        <f>ROUND($B$6*$B$9*$B$12*$B$15*$B$18*$B$19*$B$22,0)</f>
        <v/>
      </c>
      <c r="Z42" s="53">
        <f>ROUND($B$6*$B$9*$B$12*$B$15*$B$18*$B$20*$B$21,0)</f>
        <v/>
      </c>
      <c r="AA42" s="53">
        <f>ROUND($B$6*$B$9*$B$12*$B$15*$B$18*$B$20*$B$22,0)</f>
        <v/>
      </c>
    </row>
    <row r="43" ht="20.1" customHeight="1" s="62">
      <c r="A43" s="104" t="n"/>
      <c r="B43" s="59" t="n"/>
      <c r="C43" s="51" t="inlineStr">
        <is>
          <t>4+ outils</t>
        </is>
      </c>
      <c r="D43" s="50">
        <f>ROUND($B$4*$B$9*$B$12*$B$16*$B$17*$B$19*$B$21,0)</f>
        <v/>
      </c>
      <c r="E43" s="50">
        <f>ROUND($B$4*$B$9*$B$12*$B$16*$B$17*$B$19*$B$22,0)</f>
        <v/>
      </c>
      <c r="F43" s="50">
        <f>ROUND($B$4*$B$9*$B$12*$B$16*$B$17*$B$20*$B$21,0)</f>
        <v/>
      </c>
      <c r="G43" s="50">
        <f>ROUND($B$4*$B$9*$B$12*$B$16*$B$17*$B$20*$B$22,0)</f>
        <v/>
      </c>
      <c r="H43" s="50">
        <f>ROUND($B$4*$B$9*$B$12*$B$16*$B$18*$B$19*$B$21,0)</f>
        <v/>
      </c>
      <c r="I43" s="50">
        <f>ROUND($B$4*$B$9*$B$12*$B$16*$B$18*$B$19*$B$22,0)</f>
        <v/>
      </c>
      <c r="J43" s="50">
        <f>ROUND($B$4*$B$9*$B$12*$B$16*$B$18*$B$20*$B$21,0)</f>
        <v/>
      </c>
      <c r="K43" s="50">
        <f>ROUND($B$4*$B$9*$B$12*$B$16*$B$18*$B$20*$B$22,0)</f>
        <v/>
      </c>
      <c r="L43" s="53">
        <f>ROUND($B$5*$B$9*$B$12*$B$16*$B$17*$B$19*$B$21,0)</f>
        <v/>
      </c>
      <c r="M43" s="53">
        <f>ROUND($B$5*$B$9*$B$12*$B$16*$B$17*$B$19*$B$22,0)</f>
        <v/>
      </c>
      <c r="N43" s="53">
        <f>ROUND($B$5*$B$9*$B$12*$B$16*$B$17*$B$20*$B$21,0)</f>
        <v/>
      </c>
      <c r="O43" s="53">
        <f>ROUND($B$5*$B$9*$B$12*$B$16*$B$17*$B$20*$B$22,0)</f>
        <v/>
      </c>
      <c r="P43" s="53">
        <f>ROUND($B$5*$B$9*$B$12*$B$16*$B$18*$B$19*$B$21,0)</f>
        <v/>
      </c>
      <c r="Q43" s="53">
        <f>ROUND($B$5*$B$9*$B$12*$B$16*$B$18*$B$19*$B$22,0)</f>
        <v/>
      </c>
      <c r="R43" s="53">
        <f>ROUND($B$5*$B$9*$B$12*$B$16*$B$18*$B$20*$B$21,0)</f>
        <v/>
      </c>
      <c r="S43" s="53">
        <f>ROUND($B$5*$B$9*$B$12*$B$16*$B$18*$B$20*$B$22,0)</f>
        <v/>
      </c>
      <c r="T43" s="53">
        <f>ROUND($B$6*$B$9*$B$12*$B$16*$B$17*$B$19*$B$21,0)</f>
        <v/>
      </c>
      <c r="U43" s="53">
        <f>ROUND($B$6*$B$9*$B$12*$B$16*$B$17*$B$19*$B$22,0)</f>
        <v/>
      </c>
      <c r="V43" s="53">
        <f>ROUND($B$6*$B$9*$B$12*$B$16*$B$17*$B$20*$B$21,0)</f>
        <v/>
      </c>
      <c r="W43" s="53">
        <f>ROUND($B$6*$B$9*$B$12*$B$16*$B$17*$B$20*$B$22,0)</f>
        <v/>
      </c>
      <c r="X43" s="53">
        <f>ROUND($B$6*$B$9*$B$12*$B$16*$B$18*$B$19*$B$21,0)</f>
        <v/>
      </c>
      <c r="Y43" s="53">
        <f>ROUND($B$6*$B$9*$B$12*$B$16*$B$18*$B$19*$B$22,0)</f>
        <v/>
      </c>
      <c r="Z43" s="53">
        <f>ROUND($B$6*$B$9*$B$12*$B$16*$B$18*$B$20*$B$21,0)</f>
        <v/>
      </c>
      <c r="AA43" s="53">
        <f>ROUND($B$6*$B$9*$B$12*$B$16*$B$18*$B$20*$B$22,0)</f>
        <v/>
      </c>
    </row>
    <row r="44" ht="20.1" customHeight="1" s="62">
      <c r="A44" s="104" t="n"/>
      <c r="B44" s="101" t="inlineStr">
        <is>
          <t>Fréquence continue</t>
        </is>
      </c>
      <c r="C44" s="49" t="inlineStr">
        <is>
          <t>1 outil</t>
        </is>
      </c>
      <c r="D44" s="50">
        <f>ROUND($B$4*$B$9*$B$13*$B$14*$B$17*$B$19*$B$21,0)</f>
        <v/>
      </c>
      <c r="E44" s="50">
        <f>ROUND($B$4*$B$9*$B$13*$B$14*$B$17*$B$19*$B$22,0)</f>
        <v/>
      </c>
      <c r="F44" s="50">
        <f>ROUND($B$4*$B$9*$B$13*$B$14*$B$17*$B$20*$B$21,0)</f>
        <v/>
      </c>
      <c r="G44" s="50">
        <f>ROUND($B$4*$B$9*$B$13*$B$14*$B$17*$B$20*$B$22,0)</f>
        <v/>
      </c>
      <c r="H44" s="50">
        <f>ROUND($B$4*$B$9*$B$13*$B$14*$B$18*$B$19*$B$21,0)</f>
        <v/>
      </c>
      <c r="I44" s="50">
        <f>ROUND($B$4*$B$9*$B$13*$B$14*$B$18*$B$19*$B$22,0)</f>
        <v/>
      </c>
      <c r="J44" s="50">
        <f>ROUND($B$4*$B$9*$B$13*$B$14*$B$18*$B$20*$B$21,0)</f>
        <v/>
      </c>
      <c r="K44" s="50">
        <f>ROUND($B$4*$B$9*$B$13*$B$14*$B$18*$B$20*$B$22,0)</f>
        <v/>
      </c>
      <c r="L44" s="53">
        <f>ROUND($B$5*$B$9*$B$13*$B$14*$B$17*$B$19*$B$21,0)</f>
        <v/>
      </c>
      <c r="M44" s="53">
        <f>ROUND($B$5*$B$9*$B$13*$B$14*$B$17*$B$19*$B$22,0)</f>
        <v/>
      </c>
      <c r="N44" s="53">
        <f>ROUND($B$5*$B$9*$B$13*$B$14*$B$17*$B$20*$B$21,0)</f>
        <v/>
      </c>
      <c r="O44" s="53">
        <f>ROUND($B$5*$B$9*$B$13*$B$14*$B$17*$B$20*$B$22,0)</f>
        <v/>
      </c>
      <c r="P44" s="53">
        <f>ROUND($B$5*$B$9*$B$13*$B$14*$B$18*$B$19*$B$21,0)</f>
        <v/>
      </c>
      <c r="Q44" s="53">
        <f>ROUND($B$5*$B$9*$B$13*$B$14*$B$18*$B$19*$B$22,0)</f>
        <v/>
      </c>
      <c r="R44" s="53">
        <f>ROUND($B$5*$B$9*$B$13*$B$14*$B$18*$B$20*$B$21,0)</f>
        <v/>
      </c>
      <c r="S44" s="53">
        <f>ROUND($B$5*$B$9*$B$13*$B$14*$B$18*$B$20*$B$22,0)</f>
        <v/>
      </c>
      <c r="T44" s="53">
        <f>ROUND($B$6*$B$9*$B$13*$B$14*$B$17*$B$19*$B$21,0)</f>
        <v/>
      </c>
      <c r="U44" s="53">
        <f>ROUND($B$6*$B$9*$B$13*$B$14*$B$17*$B$19*$B$22,0)</f>
        <v/>
      </c>
      <c r="V44" s="53">
        <f>ROUND($B$6*$B$9*$B$13*$B$14*$B$17*$B$20*$B$21,0)</f>
        <v/>
      </c>
      <c r="W44" s="53">
        <f>ROUND($B$6*$B$9*$B$13*$B$14*$B$17*$B$20*$B$22,0)</f>
        <v/>
      </c>
      <c r="X44" s="53">
        <f>ROUND($B$6*$B$9*$B$13*$B$14*$B$18*$B$19*$B$21,0)</f>
        <v/>
      </c>
      <c r="Y44" s="53">
        <f>ROUND($B$6*$B$9*$B$13*$B$14*$B$18*$B$19*$B$22,0)</f>
        <v/>
      </c>
      <c r="Z44" s="53">
        <f>ROUND($B$6*$B$9*$B$13*$B$14*$B$18*$B$20*$B$21,0)</f>
        <v/>
      </c>
      <c r="AA44" s="53">
        <f>ROUND($B$6*$B$9*$B$13*$B$14*$B$18*$B$20*$B$22,0)</f>
        <v/>
      </c>
    </row>
    <row r="45" ht="20.1" customHeight="1" s="62">
      <c r="A45" s="104" t="n"/>
      <c r="B45" s="58" t="n"/>
      <c r="C45" s="101" t="inlineStr">
        <is>
          <t>2-3 outils</t>
        </is>
      </c>
      <c r="D45" s="50">
        <f>ROUND($B$4*$B$9*$B$13*$B$15*$B$17*$B$19*$B$21,0)</f>
        <v/>
      </c>
      <c r="E45" s="50">
        <f>ROUND($B$4*$B$9*$B$13*$B$15*$B$17*$B$19*$B$22,0)</f>
        <v/>
      </c>
      <c r="F45" s="50">
        <f>ROUND($B$4*$B$9*$B$13*$B$15*$B$17*$B$20*$B$21,0)</f>
        <v/>
      </c>
      <c r="G45" s="50">
        <f>ROUND($B$4*$B$9*$B$13*$B$15*$B$17*$B$20*$B$22,0)</f>
        <v/>
      </c>
      <c r="H45" s="50">
        <f>ROUND($B$4*$B$9*$B$13*$B$15*$B$18*$B$19*$B$21,0)</f>
        <v/>
      </c>
      <c r="I45" s="50">
        <f>ROUND($B$4*$B$9*$B$13*$B$15*$B$18*$B$19*$B$22,0)</f>
        <v/>
      </c>
      <c r="J45" s="50">
        <f>ROUND($B$4*$B$9*$B$13*$B$15*$B$18*$B$20*$B$21,0)</f>
        <v/>
      </c>
      <c r="K45" s="50">
        <f>ROUND($B$4*$B$9*$B$13*$B$15*$B$18*$B$20*$B$22,0)</f>
        <v/>
      </c>
      <c r="L45" s="53">
        <f>ROUND($B$5*$B$9*$B$13*$B$15*$B$17*$B$19*$B$21,0)</f>
        <v/>
      </c>
      <c r="M45" s="53">
        <f>ROUND($B$5*$B$9*$B$13*$B$15*$B$17*$B$19*$B$22,0)</f>
        <v/>
      </c>
      <c r="N45" s="53">
        <f>ROUND($B$5*$B$9*$B$13*$B$15*$B$17*$B$20*$B$21,0)</f>
        <v/>
      </c>
      <c r="O45" s="53">
        <f>ROUND($B$5*$B$9*$B$13*$B$15*$B$17*$B$20*$B$22,0)</f>
        <v/>
      </c>
      <c r="P45" s="53">
        <f>ROUND($B$5*$B$9*$B$13*$B$15*$B$18*$B$19*$B$21,0)</f>
        <v/>
      </c>
      <c r="Q45" s="53">
        <f>ROUND($B$5*$B$9*$B$13*$B$15*$B$18*$B$19*$B$22,0)</f>
        <v/>
      </c>
      <c r="R45" s="53">
        <f>ROUND($B$5*$B$9*$B$13*$B$15*$B$18*$B$20*$B$21,0)</f>
        <v/>
      </c>
      <c r="S45" s="53">
        <f>ROUND($B$5*$B$9*$B$13*$B$15*$B$18*$B$20*$B$22,0)</f>
        <v/>
      </c>
      <c r="T45" s="53">
        <f>ROUND($B$6*$B$9*$B$13*$B$15*$B$17*$B$19*$B$21,0)</f>
        <v/>
      </c>
      <c r="U45" s="53">
        <f>ROUND($B$6*$B$9*$B$13*$B$15*$B$17*$B$19*$B$22,0)</f>
        <v/>
      </c>
      <c r="V45" s="53">
        <f>ROUND($B$6*$B$9*$B$13*$B$15*$B$17*$B$20*$B$21,0)</f>
        <v/>
      </c>
      <c r="W45" s="53">
        <f>ROUND($B$6*$B$9*$B$13*$B$15*$B$17*$B$20*$B$22,0)</f>
        <v/>
      </c>
      <c r="X45" s="53">
        <f>ROUND($B$6*$B$9*$B$13*$B$15*$B$18*$B$19*$B$21,0)</f>
        <v/>
      </c>
      <c r="Y45" s="53">
        <f>ROUND($B$6*$B$9*$B$13*$B$15*$B$18*$B$19*$B$22,0)</f>
        <v/>
      </c>
      <c r="Z45" s="53">
        <f>ROUND($B$6*$B$9*$B$13*$B$15*$B$18*$B$20*$B$21,0)</f>
        <v/>
      </c>
      <c r="AA45" s="53">
        <f>ROUND($B$6*$B$9*$B$13*$B$15*$B$18*$B$20*$B$22,0)</f>
        <v/>
      </c>
    </row>
    <row r="46" ht="20.1" customHeight="1" s="62">
      <c r="A46" s="105" t="n"/>
      <c r="B46" s="59" t="n"/>
      <c r="C46" s="51" t="inlineStr">
        <is>
          <t>4+ outils</t>
        </is>
      </c>
      <c r="D46" s="50">
        <f>ROUND($B$4*$B$9*$B$13*$B$16*$B$17*$B$19*$B$21,0)</f>
        <v/>
      </c>
      <c r="E46" s="50">
        <f>ROUND($B$4*$B$9*$B$13*$B$16*$B$17*$B$19*$B$22,0)</f>
        <v/>
      </c>
      <c r="F46" s="50">
        <f>ROUND($B$4*$B$9*$B$13*$B$16*$B$17*$B$20*$B$21,0)</f>
        <v/>
      </c>
      <c r="G46" s="50">
        <f>ROUND($B$4*$B$9*$B$13*$B$16*$B$17*$B$20*$B$22,0)</f>
        <v/>
      </c>
      <c r="H46" s="50">
        <f>ROUND($B$4*$B$9*$B$13*$B$16*$B$18*$B$19*$B$21,0)</f>
        <v/>
      </c>
      <c r="I46" s="50">
        <f>ROUND($B$4*$B$9*$B$13*$B$16*$B$18*$B$19*$B$22,0)</f>
        <v/>
      </c>
      <c r="J46" s="50">
        <f>ROUND($B$4*$B$9*$B$13*$B$16*$B$18*$B$20*$B$21,0)</f>
        <v/>
      </c>
      <c r="K46" s="50">
        <f>ROUND($B$4*$B$9*$B$13*$B$16*$B$18*$B$20*$B$22,0)</f>
        <v/>
      </c>
      <c r="L46" s="53">
        <f>ROUND($B$5*$B$9*$B$13*$B$16*$B$17*$B$19*$B$21,0)</f>
        <v/>
      </c>
      <c r="M46" s="53">
        <f>ROUND($B$5*$B$9*$B$13*$B$16*$B$17*$B$19*$B$22,0)</f>
        <v/>
      </c>
      <c r="N46" s="53">
        <f>ROUND($B$5*$B$9*$B$13*$B$16*$B$17*$B$20*$B$21,0)</f>
        <v/>
      </c>
      <c r="O46" s="53">
        <f>ROUND($B$5*$B$9*$B$13*$B$16*$B$17*$B$20*$B$22,0)</f>
        <v/>
      </c>
      <c r="P46" s="53">
        <f>ROUND($B$5*$B$9*$B$13*$B$16*$B$18*$B$19*$B$21,0)</f>
        <v/>
      </c>
      <c r="Q46" s="53">
        <f>ROUND($B$5*$B$9*$B$13*$B$16*$B$18*$B$19*$B$22,0)</f>
        <v/>
      </c>
      <c r="R46" s="53">
        <f>ROUND($B$5*$B$9*$B$13*$B$16*$B$18*$B$20*$B$21,0)</f>
        <v/>
      </c>
      <c r="S46" s="53">
        <f>ROUND($B$5*$B$9*$B$13*$B$16*$B$18*$B$20*$B$22,0)</f>
        <v/>
      </c>
      <c r="T46" s="53">
        <f>ROUND($B$6*$B$9*$B$13*$B$16*$B$17*$B$19*$B$21,0)</f>
        <v/>
      </c>
      <c r="U46" s="53">
        <f>ROUND($B$6*$B$9*$B$13*$B$16*$B$17*$B$19*$B$22,0)</f>
        <v/>
      </c>
      <c r="V46" s="53">
        <f>ROUND($B$6*$B$9*$B$13*$B$16*$B$17*$B$20*$B$21,0)</f>
        <v/>
      </c>
      <c r="W46" s="53">
        <f>ROUND($B$6*$B$9*$B$13*$B$16*$B$17*$B$20*$B$22,0)</f>
        <v/>
      </c>
      <c r="X46" s="53">
        <f>ROUND($B$6*$B$9*$B$13*$B$16*$B$18*$B$19*$B$21,0)</f>
        <v/>
      </c>
      <c r="Y46" s="53">
        <f>ROUND($B$6*$B$9*$B$13*$B$16*$B$18*$B$19*$B$22,0)</f>
        <v/>
      </c>
      <c r="Z46" s="53">
        <f>ROUND($B$6*$B$9*$B$13*$B$16*$B$18*$B$20*$B$21,0)</f>
        <v/>
      </c>
      <c r="AA46" s="53">
        <f>ROUND($B$6*$B$9*$B$13*$B$16*$B$18*$B$20*$B$22,0)</f>
        <v/>
      </c>
    </row>
    <row r="47" ht="20.1" customHeight="1" s="62">
      <c r="A47" s="103" t="inlineStr">
        <is>
          <t>Complexité complexe</t>
        </is>
      </c>
      <c r="B47" s="101" t="inlineStr">
        <is>
          <t>Fréquence ponctuelle</t>
        </is>
      </c>
      <c r="C47" s="49" t="inlineStr">
        <is>
          <t>1 outil</t>
        </is>
      </c>
      <c r="D47" s="50">
        <f>ROUND($B$4*$B$10*$B$11*$B$14*$B$17*$B$19*$B$21,0)</f>
        <v/>
      </c>
      <c r="E47" s="50">
        <f>ROUND($B$4*$B$10*$B$11*$B$14*$B$17*$B$19*$B$22,0)</f>
        <v/>
      </c>
      <c r="F47" s="50">
        <f>ROUND($B$4*$B$10*$B$11*$B$14*$B$17*$B$20*$B$21,0)</f>
        <v/>
      </c>
      <c r="G47" s="50">
        <f>ROUND($B$4*$B$10*$B$11*$B$14*$B$17*$B$20*$B$22,0)</f>
        <v/>
      </c>
      <c r="H47" s="50">
        <f>ROUND($B$4*$B$10*$B$11*$B$14*$B$18*$B$19*$B$21,0)</f>
        <v/>
      </c>
      <c r="I47" s="50">
        <f>ROUND($B$4*$B$10*$B$11*$B$14*$B$18*$B$19*$B$22,0)</f>
        <v/>
      </c>
      <c r="J47" s="50">
        <f>ROUND($B$4*$B$10*$B$11*$B$14*$B$18*$B$20*$B$21,0)</f>
        <v/>
      </c>
      <c r="K47" s="50">
        <f>ROUND($B$4*$B$10*$B$11*$B$14*$B$18*$B$20*$B$22,0)</f>
        <v/>
      </c>
      <c r="L47" s="53">
        <f>ROUND($B$5*$B$10*$B$11*$B$14*$B$17*$B$19*$B$21,0)</f>
        <v/>
      </c>
      <c r="M47" s="53">
        <f>ROUND($B$5*$B$10*$B$11*$B$14*$B$17*$B$19*$B$22,0)</f>
        <v/>
      </c>
      <c r="N47" s="53">
        <f>ROUND($B$5*$B$10*$B$11*$B$14*$B$17*$B$20*$B$21,0)</f>
        <v/>
      </c>
      <c r="O47" s="53">
        <f>ROUND($B$5*$B$10*$B$11*$B$14*$B$17*$B$20*$B$22,0)</f>
        <v/>
      </c>
      <c r="P47" s="53">
        <f>ROUND($B$5*$B$10*$B$11*$B$14*$B$18*$B$19*$B$21,0)</f>
        <v/>
      </c>
      <c r="Q47" s="53">
        <f>ROUND($B$5*$B$10*$B$11*$B$14*$B$18*$B$19*$B$22,0)</f>
        <v/>
      </c>
      <c r="R47" s="53">
        <f>ROUND($B$5*$B$10*$B$11*$B$14*$B$18*$B$20*$B$21,0)</f>
        <v/>
      </c>
      <c r="S47" s="53">
        <f>ROUND($B$5*$B$10*$B$11*$B$14*$B$18*$B$20*$B$22,0)</f>
        <v/>
      </c>
      <c r="T47" s="53">
        <f>ROUND($B$6*$B$10*$B$11*$B$14*$B$17*$B$19*$B$21,0)</f>
        <v/>
      </c>
      <c r="U47" s="53">
        <f>ROUND($B$6*$B$10*$B$11*$B$14*$B$17*$B$19*$B$22,0)</f>
        <v/>
      </c>
      <c r="V47" s="53">
        <f>ROUND($B$6*$B$10*$B$11*$B$14*$B$17*$B$20*$B$21,0)</f>
        <v/>
      </c>
      <c r="W47" s="53">
        <f>ROUND($B$6*$B$10*$B$11*$B$14*$B$17*$B$20*$B$22,0)</f>
        <v/>
      </c>
      <c r="X47" s="53">
        <f>ROUND($B$6*$B$10*$B$11*$B$14*$B$18*$B$19*$B$21,0)</f>
        <v/>
      </c>
      <c r="Y47" s="53">
        <f>ROUND($B$6*$B$10*$B$11*$B$14*$B$18*$B$19*$B$22,0)</f>
        <v/>
      </c>
      <c r="Z47" s="53">
        <f>ROUND($B$6*$B$10*$B$11*$B$14*$B$18*$B$20*$B$21,0)</f>
        <v/>
      </c>
      <c r="AA47" s="53">
        <f>ROUND($B$6*$B$10*$B$11*$B$14*$B$18*$B$20*$B$22,0)</f>
        <v/>
      </c>
    </row>
    <row r="48" ht="20.1" customHeight="1" s="62">
      <c r="A48" s="104" t="n"/>
      <c r="B48" s="58" t="n"/>
      <c r="C48" s="101" t="inlineStr">
        <is>
          <t>2-3 outils</t>
        </is>
      </c>
      <c r="D48" s="50">
        <f>ROUND($B$4*$B$10*$B$11*$B$15*$B$17*$B$19*$B$21,0)</f>
        <v/>
      </c>
      <c r="E48" s="50">
        <f>ROUND($B$4*$B$10*$B$11*$B$15*$B$17*$B$19*$B$22,0)</f>
        <v/>
      </c>
      <c r="F48" s="50">
        <f>ROUND($B$4*$B$10*$B$11*$B$15*$B$17*$B$20*$B$21,0)</f>
        <v/>
      </c>
      <c r="G48" s="50">
        <f>ROUND($B$4*$B$10*$B$11*$B$15*$B$17*$B$20*$B$22,0)</f>
        <v/>
      </c>
      <c r="H48" s="50">
        <f>ROUND($B$4*$B$10*$B$11*$B$15*$B$18*$B$19*$B$21,0)</f>
        <v/>
      </c>
      <c r="I48" s="50">
        <f>ROUND($B$4*$B$10*$B$11*$B$15*$B$18*$B$19*$B$22,0)</f>
        <v/>
      </c>
      <c r="J48" s="50">
        <f>ROUND($B$4*$B$10*$B$11*$B$15*$B$18*$B$20*$B$21,0)</f>
        <v/>
      </c>
      <c r="K48" s="50">
        <f>ROUND($B$4*$B$10*$B$11*$B$15*$B$18*$B$20*$B$22,0)</f>
        <v/>
      </c>
      <c r="L48" s="53">
        <f>ROUND($B$5*$B$10*$B$11*$B$15*$B$17*$B$19*$B$21,0)</f>
        <v/>
      </c>
      <c r="M48" s="53">
        <f>ROUND($B$5*$B$10*$B$11*$B$15*$B$17*$B$19*$B$22,0)</f>
        <v/>
      </c>
      <c r="N48" s="53">
        <f>ROUND($B$5*$B$10*$B$11*$B$15*$B$17*$B$20*$B$21,0)</f>
        <v/>
      </c>
      <c r="O48" s="53">
        <f>ROUND($B$5*$B$10*$B$11*$B$15*$B$17*$B$20*$B$22,0)</f>
        <v/>
      </c>
      <c r="P48" s="53">
        <f>ROUND($B$5*$B$10*$B$11*$B$15*$B$18*$B$19*$B$21,0)</f>
        <v/>
      </c>
      <c r="Q48" s="53">
        <f>ROUND($B$5*$B$10*$B$11*$B$15*$B$18*$B$19*$B$22,0)</f>
        <v/>
      </c>
      <c r="R48" s="53">
        <f>ROUND($B$5*$B$10*$B$11*$B$15*$B$18*$B$20*$B$21,0)</f>
        <v/>
      </c>
      <c r="S48" s="53">
        <f>ROUND($B$5*$B$10*$B$11*$B$15*$B$18*$B$20*$B$22,0)</f>
        <v/>
      </c>
      <c r="T48" s="53">
        <f>ROUND($B$6*$B$10*$B$11*$B$15*$B$17*$B$19*$B$21,0)</f>
        <v/>
      </c>
      <c r="U48" s="53">
        <f>ROUND($B$6*$B$10*$B$11*$B$15*$B$17*$B$19*$B$22,0)</f>
        <v/>
      </c>
      <c r="V48" s="53">
        <f>ROUND($B$6*$B$10*$B$11*$B$15*$B$17*$B$20*$B$21,0)</f>
        <v/>
      </c>
      <c r="W48" s="53">
        <f>ROUND($B$6*$B$10*$B$11*$B$15*$B$17*$B$20*$B$22,0)</f>
        <v/>
      </c>
      <c r="X48" s="53">
        <f>ROUND($B$6*$B$10*$B$11*$B$15*$B$18*$B$19*$B$21,0)</f>
        <v/>
      </c>
      <c r="Y48" s="53">
        <f>ROUND($B$6*$B$10*$B$11*$B$15*$B$18*$B$19*$B$22,0)</f>
        <v/>
      </c>
      <c r="Z48" s="53">
        <f>ROUND($B$6*$B$10*$B$11*$B$15*$B$18*$B$20*$B$21,0)</f>
        <v/>
      </c>
      <c r="AA48" s="53">
        <f>ROUND($B$6*$B$10*$B$11*$B$15*$B$18*$B$20*$B$22,0)</f>
        <v/>
      </c>
    </row>
    <row r="49" ht="20.1" customHeight="1" s="62">
      <c r="A49" s="104" t="n"/>
      <c r="B49" s="59" t="n"/>
      <c r="C49" s="51" t="inlineStr">
        <is>
          <t>4+ outils</t>
        </is>
      </c>
      <c r="D49" s="50">
        <f>ROUND($B$4*$B$10*$B$11*$B$16*$B$17*$B$19*$B$21,0)</f>
        <v/>
      </c>
      <c r="E49" s="50">
        <f>ROUND($B$4*$B$10*$B$11*$B$16*$B$17*$B$19*$B$22,0)</f>
        <v/>
      </c>
      <c r="F49" s="50">
        <f>ROUND($B$4*$B$10*$B$11*$B$16*$B$17*$B$20*$B$21,0)</f>
        <v/>
      </c>
      <c r="G49" s="50">
        <f>ROUND($B$4*$B$10*$B$11*$B$16*$B$17*$B$20*$B$22,0)</f>
        <v/>
      </c>
      <c r="H49" s="50">
        <f>ROUND($B$4*$B$10*$B$11*$B$16*$B$18*$B$19*$B$21,0)</f>
        <v/>
      </c>
      <c r="I49" s="50">
        <f>ROUND($B$4*$B$10*$B$11*$B$16*$B$18*$B$19*$B$22,0)</f>
        <v/>
      </c>
      <c r="J49" s="50">
        <f>ROUND($B$4*$B$10*$B$11*$B$16*$B$18*$B$20*$B$21,0)</f>
        <v/>
      </c>
      <c r="K49" s="50">
        <f>ROUND($B$4*$B$10*$B$11*$B$16*$B$18*$B$20*$B$22,0)</f>
        <v/>
      </c>
      <c r="L49" s="53">
        <f>ROUND($B$5*$B$10*$B$11*$B$16*$B$17*$B$19*$B$21,0)</f>
        <v/>
      </c>
      <c r="M49" s="53">
        <f>ROUND($B$5*$B$10*$B$11*$B$16*$B$17*$B$19*$B$22,0)</f>
        <v/>
      </c>
      <c r="N49" s="53">
        <f>ROUND($B$5*$B$10*$B$11*$B$16*$B$17*$B$20*$B$21,0)</f>
        <v/>
      </c>
      <c r="O49" s="53">
        <f>ROUND($B$5*$B$10*$B$11*$B$16*$B$17*$B$20*$B$22,0)</f>
        <v/>
      </c>
      <c r="P49" s="53">
        <f>ROUND($B$5*$B$10*$B$11*$B$16*$B$18*$B$19*$B$21,0)</f>
        <v/>
      </c>
      <c r="Q49" s="53">
        <f>ROUND($B$5*$B$10*$B$11*$B$16*$B$18*$B$19*$B$22,0)</f>
        <v/>
      </c>
      <c r="R49" s="53">
        <f>ROUND($B$5*$B$10*$B$11*$B$16*$B$18*$B$20*$B$21,0)</f>
        <v/>
      </c>
      <c r="S49" s="53">
        <f>ROUND($B$5*$B$10*$B$11*$B$16*$B$18*$B$20*$B$22,0)</f>
        <v/>
      </c>
      <c r="T49" s="53">
        <f>ROUND($B$6*$B$10*$B$11*$B$16*$B$17*$B$19*$B$21,0)</f>
        <v/>
      </c>
      <c r="U49" s="53">
        <f>ROUND($B$6*$B$10*$B$11*$B$16*$B$17*$B$19*$B$22,0)</f>
        <v/>
      </c>
      <c r="V49" s="53">
        <f>ROUND($B$6*$B$10*$B$11*$B$16*$B$17*$B$20*$B$21,0)</f>
        <v/>
      </c>
      <c r="W49" s="53">
        <f>ROUND($B$6*$B$10*$B$11*$B$16*$B$17*$B$20*$B$22,0)</f>
        <v/>
      </c>
      <c r="X49" s="53">
        <f>ROUND($B$6*$B$10*$B$11*$B$16*$B$18*$B$19*$B$21,0)</f>
        <v/>
      </c>
      <c r="Y49" s="53">
        <f>ROUND($B$6*$B$10*$B$11*$B$16*$B$18*$B$19*$B$22,0)</f>
        <v/>
      </c>
      <c r="Z49" s="53">
        <f>ROUND($B$6*$B$10*$B$11*$B$16*$B$18*$B$20*$B$21,0)</f>
        <v/>
      </c>
      <c r="AA49" s="53">
        <f>ROUND($B$6*$B$10*$B$11*$B$16*$B$18*$B$20*$B$22,0)</f>
        <v/>
      </c>
    </row>
    <row r="50" ht="20.1" customHeight="1" s="62">
      <c r="A50" s="104" t="n"/>
      <c r="B50" s="101" t="inlineStr">
        <is>
          <t>Fréquence mensuelle</t>
        </is>
      </c>
      <c r="C50" s="49" t="inlineStr">
        <is>
          <t>1 outil</t>
        </is>
      </c>
      <c r="D50" s="50">
        <f>ROUND($B$4*$B$10*$B$12*$B$14*$B$17*$B$19*$B$21,0)</f>
        <v/>
      </c>
      <c r="E50" s="50">
        <f>ROUND($B$4*$B$10*$B$12*$B$14*$B$17*$B$19*$B$22,0)</f>
        <v/>
      </c>
      <c r="F50" s="50">
        <f>ROUND($B$4*$B$10*$B$12*$B$14*$B$17*$B$20*$B$21,0)</f>
        <v/>
      </c>
      <c r="G50" s="50">
        <f>ROUND($B$4*$B$10*$B$12*$B$14*$B$17*$B$20*$B$22,0)</f>
        <v/>
      </c>
      <c r="H50" s="50">
        <f>ROUND($B$4*$B$10*$B$12*$B$14*$B$18*$B$19*$B$21,0)</f>
        <v/>
      </c>
      <c r="I50" s="50">
        <f>ROUND($B$4*$B$10*$B$12*$B$14*$B$18*$B$19*$B$22,0)</f>
        <v/>
      </c>
      <c r="J50" s="50">
        <f>ROUND($B$4*$B$10*$B$12*$B$14*$B$18*$B$20*$B$21,0)</f>
        <v/>
      </c>
      <c r="K50" s="50">
        <f>ROUND($B$4*$B$10*$B$12*$B$14*$B$18*$B$20*$B$22,0)</f>
        <v/>
      </c>
      <c r="L50" s="53">
        <f>ROUND($B$5*$B$10*$B$12*$B$14*$B$17*$B$19*$B$21,0)</f>
        <v/>
      </c>
      <c r="M50" s="53">
        <f>ROUND($B$5*$B$10*$B$12*$B$14*$B$17*$B$19*$B$22,0)</f>
        <v/>
      </c>
      <c r="N50" s="53">
        <f>ROUND($B$5*$B$10*$B$12*$B$14*$B$17*$B$20*$B$21,0)</f>
        <v/>
      </c>
      <c r="O50" s="53">
        <f>ROUND($B$5*$B$10*$B$12*$B$14*$B$17*$B$20*$B$22,0)</f>
        <v/>
      </c>
      <c r="P50" s="53">
        <f>ROUND($B$5*$B$10*$B$12*$B$14*$B$18*$B$19*$B$21,0)</f>
        <v/>
      </c>
      <c r="Q50" s="53">
        <f>ROUND($B$5*$B$10*$B$12*$B$14*$B$18*$B$19*$B$22,0)</f>
        <v/>
      </c>
      <c r="R50" s="53">
        <f>ROUND($B$5*$B$10*$B$12*$B$14*$B$18*$B$20*$B$21,0)</f>
        <v/>
      </c>
      <c r="S50" s="53">
        <f>ROUND($B$5*$B$10*$B$12*$B$14*$B$18*$B$20*$B$22,0)</f>
        <v/>
      </c>
      <c r="T50" s="53">
        <f>ROUND($B$6*$B$10*$B$12*$B$14*$B$17*$B$19*$B$21,0)</f>
        <v/>
      </c>
      <c r="U50" s="53">
        <f>ROUND($B$6*$B$10*$B$12*$B$14*$B$17*$B$19*$B$22,0)</f>
        <v/>
      </c>
      <c r="V50" s="53">
        <f>ROUND($B$6*$B$10*$B$12*$B$14*$B$17*$B$20*$B$21,0)</f>
        <v/>
      </c>
      <c r="W50" s="53">
        <f>ROUND($B$6*$B$10*$B$12*$B$14*$B$17*$B$20*$B$22,0)</f>
        <v/>
      </c>
      <c r="X50" s="53">
        <f>ROUND($B$6*$B$10*$B$12*$B$14*$B$18*$B$19*$B$21,0)</f>
        <v/>
      </c>
      <c r="Y50" s="53">
        <f>ROUND($B$6*$B$10*$B$12*$B$14*$B$18*$B$19*$B$22,0)</f>
        <v/>
      </c>
      <c r="Z50" s="53">
        <f>ROUND($B$6*$B$10*$B$12*$B$14*$B$18*$B$20*$B$21,0)</f>
        <v/>
      </c>
      <c r="AA50" s="53">
        <f>ROUND($B$6*$B$10*$B$12*$B$14*$B$18*$B$20*$B$22,0)</f>
        <v/>
      </c>
    </row>
    <row r="51" ht="20.1" customHeight="1" s="62">
      <c r="A51" s="104" t="n"/>
      <c r="B51" s="58" t="n"/>
      <c r="C51" s="101" t="inlineStr">
        <is>
          <t>2-3 outils</t>
        </is>
      </c>
      <c r="D51" s="50">
        <f>ROUND($B$4*$B$10*$B$12*$B$15*$B$17*$B$19*$B$21,0)</f>
        <v/>
      </c>
      <c r="E51" s="50">
        <f>ROUND($B$4*$B$10*$B$12*$B$15*$B$17*$B$19*$B$22,0)</f>
        <v/>
      </c>
      <c r="F51" s="50">
        <f>ROUND($B$4*$B$10*$B$12*$B$15*$B$17*$B$20*$B$21,0)</f>
        <v/>
      </c>
      <c r="G51" s="50">
        <f>ROUND($B$4*$B$10*$B$12*$B$15*$B$17*$B$20*$B$22,0)</f>
        <v/>
      </c>
      <c r="H51" s="50">
        <f>ROUND($B$4*$B$10*$B$12*$B$15*$B$18*$B$19*$B$21,0)</f>
        <v/>
      </c>
      <c r="I51" s="50">
        <f>ROUND($B$4*$B$10*$B$12*$B$15*$B$18*$B$19*$B$22,0)</f>
        <v/>
      </c>
      <c r="J51" s="50">
        <f>ROUND($B$4*$B$10*$B$12*$B$15*$B$18*$B$20*$B$21,0)</f>
        <v/>
      </c>
      <c r="K51" s="50">
        <f>ROUND($B$4*$B$10*$B$12*$B$15*$B$18*$B$20*$B$22,0)</f>
        <v/>
      </c>
      <c r="L51" s="53">
        <f>ROUND($B$5*$B$10*$B$12*$B$15*$B$17*$B$19*$B$21,0)</f>
        <v/>
      </c>
      <c r="M51" s="53">
        <f>ROUND($B$5*$B$10*$B$12*$B$15*$B$17*$B$19*$B$22,0)</f>
        <v/>
      </c>
      <c r="N51" s="53">
        <f>ROUND($B$5*$B$10*$B$12*$B$15*$B$17*$B$20*$B$21,0)</f>
        <v/>
      </c>
      <c r="O51" s="53">
        <f>ROUND($B$5*$B$10*$B$12*$B$15*$B$17*$B$20*$B$22,0)</f>
        <v/>
      </c>
      <c r="P51" s="53">
        <f>ROUND($B$5*$B$10*$B$12*$B$15*$B$18*$B$19*$B$21,0)</f>
        <v/>
      </c>
      <c r="Q51" s="53">
        <f>ROUND($B$5*$B$10*$B$12*$B$15*$B$18*$B$19*$B$22,0)</f>
        <v/>
      </c>
      <c r="R51" s="53">
        <f>ROUND($B$5*$B$10*$B$12*$B$15*$B$18*$B$20*$B$21,0)</f>
        <v/>
      </c>
      <c r="S51" s="53">
        <f>ROUND($B$5*$B$10*$B$12*$B$15*$B$18*$B$20*$B$22,0)</f>
        <v/>
      </c>
      <c r="T51" s="53">
        <f>ROUND($B$6*$B$10*$B$12*$B$15*$B$17*$B$19*$B$21,0)</f>
        <v/>
      </c>
      <c r="U51" s="53">
        <f>ROUND($B$6*$B$10*$B$12*$B$15*$B$17*$B$19*$B$22,0)</f>
        <v/>
      </c>
      <c r="V51" s="53">
        <f>ROUND($B$6*$B$10*$B$12*$B$15*$B$17*$B$20*$B$21,0)</f>
        <v/>
      </c>
      <c r="W51" s="53">
        <f>ROUND($B$6*$B$10*$B$12*$B$15*$B$17*$B$20*$B$22,0)</f>
        <v/>
      </c>
      <c r="X51" s="53">
        <f>ROUND($B$6*$B$10*$B$12*$B$15*$B$18*$B$19*$B$21,0)</f>
        <v/>
      </c>
      <c r="Y51" s="53">
        <f>ROUND($B$6*$B$10*$B$12*$B$15*$B$18*$B$19*$B$22,0)</f>
        <v/>
      </c>
      <c r="Z51" s="53">
        <f>ROUND($B$6*$B$10*$B$12*$B$15*$B$18*$B$20*$B$21,0)</f>
        <v/>
      </c>
      <c r="AA51" s="53">
        <f>ROUND($B$6*$B$10*$B$12*$B$15*$B$18*$B$20*$B$22,0)</f>
        <v/>
      </c>
    </row>
    <row r="52" ht="20.1" customHeight="1" s="62">
      <c r="A52" s="104" t="n"/>
      <c r="B52" s="59" t="n"/>
      <c r="C52" s="51" t="inlineStr">
        <is>
          <t>4+ outils</t>
        </is>
      </c>
      <c r="D52" s="50">
        <f>ROUND($B$4*$B$10*$B$12*$B$16*$B$17*$B$19*$B$21,0)</f>
        <v/>
      </c>
      <c r="E52" s="50">
        <f>ROUND($B$4*$B$10*$B$12*$B$16*$B$17*$B$19*$B$22,0)</f>
        <v/>
      </c>
      <c r="F52" s="50">
        <f>ROUND($B$4*$B$10*$B$12*$B$16*$B$17*$B$20*$B$21,0)</f>
        <v/>
      </c>
      <c r="G52" s="50">
        <f>ROUND($B$4*$B$10*$B$12*$B$16*$B$17*$B$20*$B$22,0)</f>
        <v/>
      </c>
      <c r="H52" s="50">
        <f>ROUND($B$4*$B$10*$B$12*$B$16*$B$18*$B$19*$B$21,0)</f>
        <v/>
      </c>
      <c r="I52" s="50">
        <f>ROUND($B$4*$B$10*$B$12*$B$16*$B$18*$B$19*$B$22,0)</f>
        <v/>
      </c>
      <c r="J52" s="50">
        <f>ROUND($B$4*$B$10*$B$12*$B$16*$B$18*$B$20*$B$21,0)</f>
        <v/>
      </c>
      <c r="K52" s="50">
        <f>ROUND($B$4*$B$10*$B$12*$B$16*$B$18*$B$20*$B$22,0)</f>
        <v/>
      </c>
      <c r="L52" s="53">
        <f>ROUND($B$5*$B$10*$B$12*$B$16*$B$17*$B$19*$B$21,0)</f>
        <v/>
      </c>
      <c r="M52" s="53">
        <f>ROUND($B$5*$B$10*$B$12*$B$16*$B$17*$B$19*$B$22,0)</f>
        <v/>
      </c>
      <c r="N52" s="53">
        <f>ROUND($B$5*$B$10*$B$12*$B$16*$B$17*$B$20*$B$21,0)</f>
        <v/>
      </c>
      <c r="O52" s="53">
        <f>ROUND($B$5*$B$10*$B$12*$B$16*$B$17*$B$20*$B$22,0)</f>
        <v/>
      </c>
      <c r="P52" s="53">
        <f>ROUND($B$5*$B$10*$B$12*$B$16*$B$18*$B$19*$B$21,0)</f>
        <v/>
      </c>
      <c r="Q52" s="53">
        <f>ROUND($B$5*$B$10*$B$12*$B$16*$B$18*$B$19*$B$22,0)</f>
        <v/>
      </c>
      <c r="R52" s="53">
        <f>ROUND($B$5*$B$10*$B$12*$B$16*$B$18*$B$20*$B$21,0)</f>
        <v/>
      </c>
      <c r="S52" s="53">
        <f>ROUND($B$5*$B$10*$B$12*$B$16*$B$18*$B$20*$B$22,0)</f>
        <v/>
      </c>
      <c r="T52" s="53">
        <f>ROUND($B$6*$B$10*$B$12*$B$16*$B$17*$B$19*$B$21,0)</f>
        <v/>
      </c>
      <c r="U52" s="53">
        <f>ROUND($B$6*$B$10*$B$12*$B$16*$B$17*$B$19*$B$22,0)</f>
        <v/>
      </c>
      <c r="V52" s="53">
        <f>ROUND($B$6*$B$10*$B$12*$B$16*$B$17*$B$20*$B$21,0)</f>
        <v/>
      </c>
      <c r="W52" s="53">
        <f>ROUND($B$6*$B$10*$B$12*$B$16*$B$17*$B$20*$B$22,0)</f>
        <v/>
      </c>
      <c r="X52" s="53">
        <f>ROUND($B$6*$B$10*$B$12*$B$16*$B$18*$B$19*$B$21,0)</f>
        <v/>
      </c>
      <c r="Y52" s="53">
        <f>ROUND($B$6*$B$10*$B$12*$B$16*$B$18*$B$19*$B$22,0)</f>
        <v/>
      </c>
      <c r="Z52" s="53">
        <f>ROUND($B$6*$B$10*$B$12*$B$16*$B$18*$B$20*$B$21,0)</f>
        <v/>
      </c>
      <c r="AA52" s="53">
        <f>ROUND($B$6*$B$10*$B$12*$B$16*$B$18*$B$20*$B$22,0)</f>
        <v/>
      </c>
    </row>
    <row r="53" ht="20.1" customHeight="1" s="62">
      <c r="A53" s="104" t="n"/>
      <c r="B53" s="101" t="inlineStr">
        <is>
          <t>Fréquence continue</t>
        </is>
      </c>
      <c r="C53" s="49" t="inlineStr">
        <is>
          <t>1 outil</t>
        </is>
      </c>
      <c r="D53" s="50">
        <f>ROUND($B$4*$B$10*$B$13*$B$14*$B$17*$B$19*$B$21,0)</f>
        <v/>
      </c>
      <c r="E53" s="50">
        <f>ROUND($B$4*$B$10*$B$13*$B$14*$B$17*$B$19*$B$22,0)</f>
        <v/>
      </c>
      <c r="F53" s="50">
        <f>ROUND($B$4*$B$10*$B$13*$B$14*$B$17*$B$20*$B$21,0)</f>
        <v/>
      </c>
      <c r="G53" s="50">
        <f>ROUND($B$4*$B$10*$B$13*$B$14*$B$17*$B$20*$B$22,0)</f>
        <v/>
      </c>
      <c r="H53" s="50">
        <f>ROUND($B$4*$B$10*$B$13*$B$14*$B$18*$B$19*$B$21,0)</f>
        <v/>
      </c>
      <c r="I53" s="50">
        <f>ROUND($B$4*$B$10*$B$13*$B$14*$B$18*$B$19*$B$22,0)</f>
        <v/>
      </c>
      <c r="J53" s="50">
        <f>ROUND($B$4*$B$10*$B$13*$B$14*$B$18*$B$20*$B$21,0)</f>
        <v/>
      </c>
      <c r="K53" s="50">
        <f>ROUND($B$4*$B$10*$B$13*$B$14*$B$18*$B$20*$B$22,0)</f>
        <v/>
      </c>
      <c r="L53" s="53">
        <f>ROUND($B$5*$B$10*$B$13*$B$14*$B$17*$B$19*$B$21,0)</f>
        <v/>
      </c>
      <c r="M53" s="53">
        <f>ROUND($B$5*$B$10*$B$13*$B$14*$B$17*$B$19*$B$22,0)</f>
        <v/>
      </c>
      <c r="N53" s="53">
        <f>ROUND($B$5*$B$10*$B$13*$B$14*$B$17*$B$20*$B$21,0)</f>
        <v/>
      </c>
      <c r="O53" s="53">
        <f>ROUND($B$5*$B$10*$B$13*$B$14*$B$17*$B$20*$B$22,0)</f>
        <v/>
      </c>
      <c r="P53" s="53">
        <f>ROUND($B$5*$B$10*$B$13*$B$14*$B$18*$B$19*$B$21,0)</f>
        <v/>
      </c>
      <c r="Q53" s="53">
        <f>ROUND($B$5*$B$10*$B$13*$B$14*$B$18*$B$19*$B$22,0)</f>
        <v/>
      </c>
      <c r="R53" s="53">
        <f>ROUND($B$5*$B$10*$B$13*$B$14*$B$18*$B$20*$B$21,0)</f>
        <v/>
      </c>
      <c r="S53" s="53">
        <f>ROUND($B$5*$B$10*$B$13*$B$14*$B$18*$B$20*$B$22,0)</f>
        <v/>
      </c>
      <c r="T53" s="53">
        <f>ROUND($B$6*$B$10*$B$13*$B$14*$B$17*$B$19*$B$21,0)</f>
        <v/>
      </c>
      <c r="U53" s="53">
        <f>ROUND($B$6*$B$10*$B$13*$B$14*$B$17*$B$19*$B$22,0)</f>
        <v/>
      </c>
      <c r="V53" s="53">
        <f>ROUND($B$6*$B$10*$B$13*$B$14*$B$17*$B$20*$B$21,0)</f>
        <v/>
      </c>
      <c r="W53" s="53">
        <f>ROUND($B$6*$B$10*$B$13*$B$14*$B$17*$B$20*$B$22,0)</f>
        <v/>
      </c>
      <c r="X53" s="53">
        <f>ROUND($B$6*$B$10*$B$13*$B$14*$B$18*$B$19*$B$21,0)</f>
        <v/>
      </c>
      <c r="Y53" s="53">
        <f>ROUND($B$6*$B$10*$B$13*$B$14*$B$18*$B$19*$B$22,0)</f>
        <v/>
      </c>
      <c r="Z53" s="53">
        <f>ROUND($B$6*$B$10*$B$13*$B$14*$B$18*$B$20*$B$21,0)</f>
        <v/>
      </c>
      <c r="AA53" s="53">
        <f>ROUND($B$6*$B$10*$B$13*$B$14*$B$18*$B$20*$B$22,0)</f>
        <v/>
      </c>
    </row>
    <row r="54" ht="20.1" customHeight="1" s="62">
      <c r="A54" s="104" t="n"/>
      <c r="B54" s="58" t="n"/>
      <c r="C54" s="101" t="inlineStr">
        <is>
          <t>2-3 outils</t>
        </is>
      </c>
      <c r="D54" s="50">
        <f>ROUND($B$4*$B$10*$B$13*$B$15*$B$17*$B$19*$B$21,0)</f>
        <v/>
      </c>
      <c r="E54" s="50">
        <f>ROUND($B$4*$B$10*$B$13*$B$15*$B$17*$B$19*$B$22,0)</f>
        <v/>
      </c>
      <c r="F54" s="50">
        <f>ROUND($B$4*$B$10*$B$13*$B$15*$B$17*$B$20*$B$21,0)</f>
        <v/>
      </c>
      <c r="G54" s="50">
        <f>ROUND($B$4*$B$10*$B$13*$B$15*$B$17*$B$20*$B$22,0)</f>
        <v/>
      </c>
      <c r="H54" s="50">
        <f>ROUND($B$4*$B$10*$B$13*$B$15*$B$18*$B$19*$B$21,0)</f>
        <v/>
      </c>
      <c r="I54" s="50">
        <f>ROUND($B$4*$B$10*$B$13*$B$15*$B$18*$B$19*$B$22,0)</f>
        <v/>
      </c>
      <c r="J54" s="50">
        <f>ROUND($B$4*$B$10*$B$13*$B$15*$B$18*$B$20*$B$21,0)</f>
        <v/>
      </c>
      <c r="K54" s="50">
        <f>ROUND($B$4*$B$10*$B$13*$B$15*$B$18*$B$20*$B$22,0)</f>
        <v/>
      </c>
      <c r="L54" s="53">
        <f>ROUND($B$5*$B$10*$B$13*$B$15*$B$17*$B$19*$B$21,0)</f>
        <v/>
      </c>
      <c r="M54" s="53">
        <f>ROUND($B$5*$B$10*$B$13*$B$15*$B$17*$B$19*$B$22,0)</f>
        <v/>
      </c>
      <c r="N54" s="53">
        <f>ROUND($B$5*$B$10*$B$13*$B$15*$B$17*$B$20*$B$21,0)</f>
        <v/>
      </c>
      <c r="O54" s="53">
        <f>ROUND($B$5*$B$10*$B$13*$B$15*$B$17*$B$20*$B$22,0)</f>
        <v/>
      </c>
      <c r="P54" s="53">
        <f>ROUND($B$5*$B$10*$B$13*$B$15*$B$18*$B$19*$B$21,0)</f>
        <v/>
      </c>
      <c r="Q54" s="53">
        <f>ROUND($B$5*$B$10*$B$13*$B$15*$B$18*$B$19*$B$22,0)</f>
        <v/>
      </c>
      <c r="R54" s="53">
        <f>ROUND($B$5*$B$10*$B$13*$B$15*$B$18*$B$20*$B$21,0)</f>
        <v/>
      </c>
      <c r="S54" s="53">
        <f>ROUND($B$5*$B$10*$B$13*$B$15*$B$18*$B$20*$B$22,0)</f>
        <v/>
      </c>
      <c r="T54" s="53">
        <f>ROUND($B$6*$B$10*$B$13*$B$15*$B$17*$B$19*$B$21,0)</f>
        <v/>
      </c>
      <c r="U54" s="53">
        <f>ROUND($B$6*$B$10*$B$13*$B$15*$B$17*$B$19*$B$22,0)</f>
        <v/>
      </c>
      <c r="V54" s="53">
        <f>ROUND($B$6*$B$10*$B$13*$B$15*$B$17*$B$20*$B$21,0)</f>
        <v/>
      </c>
      <c r="W54" s="53">
        <f>ROUND($B$6*$B$10*$B$13*$B$15*$B$17*$B$20*$B$22,0)</f>
        <v/>
      </c>
      <c r="X54" s="53">
        <f>ROUND($B$6*$B$10*$B$13*$B$15*$B$18*$B$19*$B$21,0)</f>
        <v/>
      </c>
      <c r="Y54" s="53">
        <f>ROUND($B$6*$B$10*$B$13*$B$15*$B$18*$B$19*$B$22,0)</f>
        <v/>
      </c>
      <c r="Z54" s="53">
        <f>ROUND($B$6*$B$10*$B$13*$B$15*$B$18*$B$20*$B$21,0)</f>
        <v/>
      </c>
      <c r="AA54" s="53">
        <f>ROUND($B$6*$B$10*$B$13*$B$15*$B$18*$B$20*$B$22,0)</f>
        <v/>
      </c>
    </row>
    <row r="55" ht="20.1" customHeight="1" s="62">
      <c r="A55" s="105" t="n"/>
      <c r="B55" s="59" t="n"/>
      <c r="C55" s="51" t="inlineStr">
        <is>
          <t>4+ outils</t>
        </is>
      </c>
      <c r="D55" s="50">
        <f>ROUND($B$4*$B$10*$B$13*$B$16*$B$17*$B$19*$B$21,0)</f>
        <v/>
      </c>
      <c r="E55" s="50">
        <f>ROUND($B$4*$B$10*$B$13*$B$16*$B$17*$B$19*$B$22,0)</f>
        <v/>
      </c>
      <c r="F55" s="50">
        <f>ROUND($B$4*$B$10*$B$13*$B$16*$B$17*$B$20*$B$21,0)</f>
        <v/>
      </c>
      <c r="G55" s="50">
        <f>ROUND($B$4*$B$10*$B$13*$B$16*$B$17*$B$20*$B$22,0)</f>
        <v/>
      </c>
      <c r="H55" s="50">
        <f>ROUND($B$4*$B$10*$B$13*$B$16*$B$18*$B$19*$B$21,0)</f>
        <v/>
      </c>
      <c r="I55" s="50">
        <f>ROUND($B$4*$B$10*$B$13*$B$16*$B$18*$B$19*$B$22,0)</f>
        <v/>
      </c>
      <c r="J55" s="50">
        <f>ROUND($B$4*$B$10*$B$13*$B$16*$B$18*$B$20*$B$21,0)</f>
        <v/>
      </c>
      <c r="K55" s="50">
        <f>ROUND($B$4*$B$10*$B$13*$B$16*$B$18*$B$20*$B$22,0)</f>
        <v/>
      </c>
      <c r="L55" s="53">
        <f>ROUND($B$5*$B$10*$B$13*$B$16*$B$17*$B$19*$B$21,0)</f>
        <v/>
      </c>
      <c r="M55" s="53">
        <f>ROUND($B$5*$B$10*$B$13*$B$16*$B$17*$B$19*$B$22,0)</f>
        <v/>
      </c>
      <c r="N55" s="53">
        <f>ROUND($B$5*$B$10*$B$13*$B$16*$B$17*$B$20*$B$21,0)</f>
        <v/>
      </c>
      <c r="O55" s="53">
        <f>ROUND($B$5*$B$10*$B$13*$B$16*$B$17*$B$20*$B$22,0)</f>
        <v/>
      </c>
      <c r="P55" s="53">
        <f>ROUND($B$5*$B$10*$B$13*$B$16*$B$18*$B$19*$B$21,0)</f>
        <v/>
      </c>
      <c r="Q55" s="53">
        <f>ROUND($B$5*$B$10*$B$13*$B$16*$B$18*$B$19*$B$22,0)</f>
        <v/>
      </c>
      <c r="R55" s="53">
        <f>ROUND($B$5*$B$10*$B$13*$B$16*$B$18*$B$20*$B$21,0)</f>
        <v/>
      </c>
      <c r="S55" s="53">
        <f>ROUND($B$5*$B$10*$B$13*$B$16*$B$18*$B$20*$B$22,0)</f>
        <v/>
      </c>
      <c r="T55" s="53">
        <f>ROUND($B$6*$B$10*$B$13*$B$16*$B$17*$B$19*$B$21,0)</f>
        <v/>
      </c>
      <c r="U55" s="53">
        <f>ROUND($B$6*$B$10*$B$13*$B$16*$B$17*$B$19*$B$22,0)</f>
        <v/>
      </c>
      <c r="V55" s="53">
        <f>ROUND($B$6*$B$10*$B$13*$B$16*$B$17*$B$20*$B$21,0)</f>
        <v/>
      </c>
      <c r="W55" s="53">
        <f>ROUND($B$6*$B$10*$B$13*$B$16*$B$17*$B$20*$B$22,0)</f>
        <v/>
      </c>
      <c r="X55" s="53">
        <f>ROUND($B$6*$B$10*$B$13*$B$16*$B$18*$B$19*$B$21,0)</f>
        <v/>
      </c>
      <c r="Y55" s="53">
        <f>ROUND($B$6*$B$10*$B$13*$B$16*$B$18*$B$19*$B$22,0)</f>
        <v/>
      </c>
      <c r="Z55" s="53">
        <f>ROUND($B$6*$B$10*$B$13*$B$16*$B$18*$B$20*$B$21,0)</f>
        <v/>
      </c>
      <c r="AA55" s="53">
        <f>ROUND($B$6*$B$10*$B$13*$B$16*$B$18*$B$20*$B$22,0)</f>
        <v/>
      </c>
    </row>
  </sheetData>
  <mergeCells count="41">
    <mergeCell ref="B53:B55"/>
    <mergeCell ref="X26:AA26"/>
    <mergeCell ref="A7:AA7"/>
    <mergeCell ref="Z27:AA27"/>
    <mergeCell ref="A25:A28"/>
    <mergeCell ref="D26:G26"/>
    <mergeCell ref="A3:AA3"/>
    <mergeCell ref="B35:B37"/>
    <mergeCell ref="H26:K26"/>
    <mergeCell ref="C25:C28"/>
    <mergeCell ref="D27:E27"/>
    <mergeCell ref="T25:AA25"/>
    <mergeCell ref="A2:AA2"/>
    <mergeCell ref="P26:S26"/>
    <mergeCell ref="N27:O27"/>
    <mergeCell ref="A29:A37"/>
    <mergeCell ref="J27:K27"/>
    <mergeCell ref="P27:Q27"/>
    <mergeCell ref="B41:B43"/>
    <mergeCell ref="B47:B49"/>
    <mergeCell ref="R27:S27"/>
    <mergeCell ref="B32:B34"/>
    <mergeCell ref="A23:AA23"/>
    <mergeCell ref="B50:B52"/>
    <mergeCell ref="A47:A55"/>
    <mergeCell ref="A38:A46"/>
    <mergeCell ref="V27:W27"/>
    <mergeCell ref="L25:S25"/>
    <mergeCell ref="F27:G27"/>
    <mergeCell ref="H27:I27"/>
    <mergeCell ref="D25:K25"/>
    <mergeCell ref="L26:O26"/>
    <mergeCell ref="B44:B46"/>
    <mergeCell ref="T26:W26"/>
    <mergeCell ref="B29:B31"/>
    <mergeCell ref="L27:M27"/>
    <mergeCell ref="B38:B40"/>
    <mergeCell ref="B25:B28"/>
    <mergeCell ref="T27:U27"/>
    <mergeCell ref="A1:AA1"/>
    <mergeCell ref="X27:Y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1C3557"/>
    <outlinePr summaryBelow="1" summaryRight="1"/>
    <pageSetUpPr/>
  </sheetPr>
  <dimension ref="A1:AM56"/>
  <sheetViews>
    <sheetView workbookViewId="0">
      <pane xSplit="3" topLeftCell="D1" activePane="topRight" state="frozen"/>
      <selection pane="topRight" activeCell="A24" sqref="A24:AM24"/>
    </sheetView>
  </sheetViews>
  <sheetFormatPr baseColWidth="10" defaultColWidth="9.140625" defaultRowHeight="15"/>
  <cols>
    <col width="22" customWidth="1" style="62" min="1" max="2"/>
    <col width="20" customWidth="1" style="62" min="3" max="3"/>
    <col width="13" customWidth="1" style="62" min="4" max="39"/>
  </cols>
  <sheetData>
    <row r="1" ht="33.95" customHeight="1" s="62">
      <c r="A1" s="97" t="inlineStr">
        <is>
          <t>GRILLE TARIFAIRE — Support technique</t>
        </is>
      </c>
    </row>
    <row r="2" ht="26.1" customHeight="1" s="62">
      <c r="A2" s="107" t="inlineStr">
        <is>
          <t>⚙  ZONE DE PARAMÉTRAGE — Remplissez uniquement les cases jaunes. Le tableau se calcule automatiquement.</t>
        </is>
      </c>
    </row>
    <row r="3" ht="21.95" customHeight="1" s="62">
      <c r="A3" s="106" t="inlineStr">
        <is>
          <t>TARIFS DE BASE  —  Par niveau de prestation</t>
        </is>
      </c>
    </row>
    <row r="4" ht="21.95" customHeight="1" s="62">
      <c r="A4" s="43" t="inlineStr">
        <is>
          <t>Tarif de base — Support ponctuel</t>
        </is>
      </c>
      <c r="B4" s="44" t="n">
        <v>200</v>
      </c>
      <c r="C4" s="45" t="inlineStr">
        <is>
          <t>Fourchette : 100 – 300 €</t>
        </is>
      </c>
    </row>
    <row r="5" ht="21.95" customHeight="1" s="62">
      <c r="A5" s="43" t="inlineStr">
        <is>
          <t>Tarif de base — Pack mensuel</t>
        </is>
      </c>
      <c r="B5" s="52" t="n">
        <v>650</v>
      </c>
      <c r="C5" s="45" t="inlineStr">
        <is>
          <t>Fourchette : 300 – 1 000 €/mois</t>
        </is>
      </c>
    </row>
    <row r="6" ht="21.95" customHeight="1" s="62">
      <c r="A6" s="43" t="inlineStr">
        <is>
          <t>Tarif de base — Support avancé</t>
        </is>
      </c>
      <c r="B6" s="52" t="n">
        <v>2000</v>
      </c>
      <c r="C6" s="45" t="inlineStr">
        <is>
          <t>Fourchette : 1 000 – 3 000 €/mois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niveau — Basique (usage outils)</t>
        </is>
      </c>
      <c r="B8" s="46" t="n">
        <v>0.9</v>
      </c>
      <c r="C8" s="47" t="inlineStr">
        <is>
          <t>Questions d'utilisation</t>
        </is>
      </c>
    </row>
    <row r="9" ht="20.1" customHeight="1" s="62">
      <c r="A9" s="19" t="inlineStr">
        <is>
          <t>Coeff. niveau — Intermédiaire (bugs simples)</t>
        </is>
      </c>
      <c r="B9" s="46" t="n">
        <v>1</v>
      </c>
      <c r="C9" s="47" t="inlineStr">
        <is>
          <t>Référence</t>
        </is>
      </c>
    </row>
    <row r="10" ht="20.1" customHeight="1" s="62">
      <c r="A10" s="19" t="inlineStr">
        <is>
          <t>Coeff. niveau — Avancé (technique complexe)</t>
        </is>
      </c>
      <c r="B10" s="46" t="n">
        <v>1.45</v>
      </c>
      <c r="C10" s="47" t="inlineStr">
        <is>
          <t>Expertise technique requise</t>
        </is>
      </c>
    </row>
    <row r="11" ht="20.1" customHeight="1" s="62">
      <c r="A11" s="19" t="inlineStr">
        <is>
          <t>Coeff. volume — Faible (&lt; 5 dem./mois)</t>
        </is>
      </c>
      <c r="B11" s="46" t="n">
        <v>0.9</v>
      </c>
      <c r="C11" s="47" t="inlineStr">
        <is>
          <t>Peu de sollicitations</t>
        </is>
      </c>
    </row>
    <row r="12" ht="20.1" customHeight="1" s="62">
      <c r="A12" s="19" t="inlineStr">
        <is>
          <t>Coeff. volume — Moyen (5-20 dem./mois)</t>
        </is>
      </c>
      <c r="B12" s="46" t="n">
        <v>1</v>
      </c>
      <c r="C12" s="47" t="inlineStr">
        <is>
          <t>Référence</t>
        </is>
      </c>
    </row>
    <row r="13" ht="20.1" customHeight="1" s="62">
      <c r="A13" s="19" t="inlineStr">
        <is>
          <t>Coeff. volume — Élevé (20+ dem./mois)</t>
        </is>
      </c>
      <c r="B13" s="46" t="n">
        <v>1.4</v>
      </c>
      <c r="C13" s="47" t="inlineStr">
        <is>
          <t>Forte sollicitation</t>
        </is>
      </c>
    </row>
    <row r="14" ht="20.1" customHeight="1" s="62">
      <c r="A14" s="19" t="inlineStr">
        <is>
          <t>Coeff. utilisateurs — 1-5</t>
        </is>
      </c>
      <c r="B14" s="46" t="n">
        <v>0.9</v>
      </c>
      <c r="C14" s="47" t="inlineStr">
        <is>
          <t>Petite équipe</t>
        </is>
      </c>
    </row>
    <row r="15" ht="20.1" customHeight="1" s="62">
      <c r="A15" s="19" t="inlineStr">
        <is>
          <t>Coeff. utilisateurs — 6-20</t>
        </is>
      </c>
      <c r="B15" s="46" t="n">
        <v>1</v>
      </c>
      <c r="C15" s="47" t="inlineStr">
        <is>
          <t>Référence</t>
        </is>
      </c>
    </row>
    <row r="16" ht="20.1" customHeight="1" s="62">
      <c r="A16" s="19" t="inlineStr">
        <is>
          <t>Coeff. utilisateurs — 21+</t>
        </is>
      </c>
      <c r="B16" s="46" t="n">
        <v>1.35</v>
      </c>
      <c r="C16" s="47" t="inlineStr">
        <is>
          <t>Grande équipe</t>
        </is>
      </c>
    </row>
    <row r="17" ht="20.1" customHeight="1" s="62">
      <c r="A17" s="19" t="inlineStr">
        <is>
          <t>Coeff. réponse — Standard (48-72h)</t>
        </is>
      </c>
      <c r="B17" s="46" t="n">
        <v>1</v>
      </c>
      <c r="C17" s="47" t="inlineStr">
        <is>
          <t>Référence</t>
        </is>
      </c>
    </row>
    <row r="18" ht="20.1" customHeight="1" s="62">
      <c r="A18" s="19" t="inlineStr">
        <is>
          <t>Coeff. réponse — Rapide (&lt; 24h)</t>
        </is>
      </c>
      <c r="B18" s="46" t="n">
        <v>1.25</v>
      </c>
      <c r="C18" s="47" t="inlineStr">
        <is>
          <t>SLA renforcé</t>
        </is>
      </c>
    </row>
    <row r="19" ht="20.1" customHeight="1" s="62">
      <c r="A19" s="19" t="inlineStr">
        <is>
          <t>Coeff. réponse — Urgent (&lt; 4h)</t>
        </is>
      </c>
      <c r="B19" s="46" t="n">
        <v>1.6</v>
      </c>
      <c r="C19" s="47" t="inlineStr">
        <is>
          <t>Astreinte prioritaire</t>
        </is>
      </c>
    </row>
    <row r="20" ht="20.1" customHeight="1" s="62">
      <c r="A20" s="19" t="inlineStr">
        <is>
          <t>Coeff. dispo — Heures ouvrées</t>
        </is>
      </c>
      <c r="B20" s="46" t="n">
        <v>1</v>
      </c>
      <c r="C20" s="47" t="inlineStr">
        <is>
          <t>Référence</t>
        </is>
      </c>
    </row>
    <row r="21" ht="20.1" customHeight="1" s="62">
      <c r="A21" s="19" t="inlineStr">
        <is>
          <t>Coeff. dispo — 24/7</t>
        </is>
      </c>
      <c r="B21" s="46" t="n">
        <v>1.5</v>
      </c>
      <c r="C21" s="47" t="inlineStr">
        <is>
          <t>Disponibilité continue</t>
        </is>
      </c>
    </row>
    <row r="22" ht="20.1" customHeight="1" s="62">
      <c r="A22" s="19" t="inlineStr">
        <is>
          <t>Coeff. mode — Mail / Ticket</t>
        </is>
      </c>
      <c r="B22" s="46" t="n">
        <v>1</v>
      </c>
      <c r="C22" s="47" t="inlineStr">
        <is>
          <t>Référence</t>
        </is>
      </c>
    </row>
    <row r="23" ht="20.1" customHeight="1" s="62">
      <c r="A23" s="19" t="inlineStr">
        <is>
          <t>Coeff. mode — Visio / Téléphone</t>
        </is>
      </c>
      <c r="B23" s="46" t="n">
        <v>1.3</v>
      </c>
      <c r="C23" s="47" t="inlineStr">
        <is>
          <t>Support en temps réel</t>
        </is>
      </c>
    </row>
    <row r="24" ht="24" customHeight="1" s="62">
      <c r="A24" s="102" t="inlineStr">
        <is>
          <t>▼  GRILLE TARIFAIRE CALCULÉE AUTOMATIQUEMENT  — Les cellules bleues sont en lecture seule (formules).</t>
        </is>
      </c>
    </row>
    <row r="25" ht="6" customHeight="1" s="62"/>
    <row r="26" ht="38.1" customHeight="1" s="62">
      <c r="A26" s="100" t="inlineStr">
        <is>
          <t>Niveau de support</t>
        </is>
      </c>
      <c r="B26" s="99" t="inlineStr">
        <is>
          <t>Volume de demandes</t>
        </is>
      </c>
      <c r="C26" s="98" t="inlineStr">
        <is>
          <t>Nb d'utilisateurs</t>
        </is>
      </c>
      <c r="D26" s="100" t="inlineStr">
        <is>
          <t>Support ponctuel</t>
        </is>
      </c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6" t="n"/>
      <c r="P26" s="100" t="inlineStr">
        <is>
          <t>Pack mensuel</t>
        </is>
      </c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6" t="n"/>
      <c r="AB26" s="100" t="inlineStr">
        <is>
          <t>Support avancé</t>
        </is>
      </c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6" t="n"/>
    </row>
    <row r="27" ht="38.1" customHeight="1" s="62">
      <c r="A27" s="64" t="n"/>
      <c r="B27" s="64" t="n"/>
      <c r="C27" s="64" t="n"/>
      <c r="D27" s="99" t="inlineStr">
        <is>
          <t>Réponse standard (48-72h)</t>
        </is>
      </c>
      <c r="E27" s="55" t="n"/>
      <c r="F27" s="55" t="n"/>
      <c r="G27" s="56" t="n"/>
      <c r="H27" s="99" t="inlineStr">
        <is>
          <t>Réponse rapide (&lt; 24h)</t>
        </is>
      </c>
      <c r="I27" s="55" t="n"/>
      <c r="J27" s="55" t="n"/>
      <c r="K27" s="56" t="n"/>
      <c r="L27" s="99" t="inlineStr">
        <is>
          <t>Réponse urgente (&lt; 4h)</t>
        </is>
      </c>
      <c r="M27" s="55" t="n"/>
      <c r="N27" s="55" t="n"/>
      <c r="O27" s="56" t="n"/>
      <c r="P27" s="99" t="inlineStr">
        <is>
          <t>Réponse standard (48-72h)</t>
        </is>
      </c>
      <c r="Q27" s="55" t="n"/>
      <c r="R27" s="55" t="n"/>
      <c r="S27" s="56" t="n"/>
      <c r="T27" s="99" t="inlineStr">
        <is>
          <t>Réponse rapide (&lt; 24h)</t>
        </is>
      </c>
      <c r="U27" s="55" t="n"/>
      <c r="V27" s="55" t="n"/>
      <c r="W27" s="56" t="n"/>
      <c r="X27" s="99" t="inlineStr">
        <is>
          <t>Réponse urgente (&lt; 4h)</t>
        </is>
      </c>
      <c r="Y27" s="55" t="n"/>
      <c r="Z27" s="55" t="n"/>
      <c r="AA27" s="56" t="n"/>
      <c r="AB27" s="99" t="inlineStr">
        <is>
          <t>Réponse standard (48-72h)</t>
        </is>
      </c>
      <c r="AC27" s="55" t="n"/>
      <c r="AD27" s="55" t="n"/>
      <c r="AE27" s="56" t="n"/>
      <c r="AF27" s="99" t="inlineStr">
        <is>
          <t>Réponse rapide (&lt; 24h)</t>
        </is>
      </c>
      <c r="AG27" s="55" t="n"/>
      <c r="AH27" s="55" t="n"/>
      <c r="AI27" s="56" t="n"/>
      <c r="AJ27" s="99" t="inlineStr">
        <is>
          <t>Réponse urgente (&lt; 4h)</t>
        </is>
      </c>
      <c r="AK27" s="55" t="n"/>
      <c r="AL27" s="55" t="n"/>
      <c r="AM27" s="56" t="n"/>
    </row>
    <row r="28" ht="38.1" customHeight="1" s="62">
      <c r="A28" s="64" t="n"/>
      <c r="B28" s="64" t="n"/>
      <c r="C28" s="64" t="n"/>
      <c r="D28" s="98" t="inlineStr">
        <is>
          <t>Heures ouvrées</t>
        </is>
      </c>
      <c r="E28" s="56" t="n"/>
      <c r="F28" s="98" t="inlineStr">
        <is>
          <t>24/7</t>
        </is>
      </c>
      <c r="G28" s="56" t="n"/>
      <c r="H28" s="98" t="inlineStr">
        <is>
          <t>Heures ouvrées</t>
        </is>
      </c>
      <c r="I28" s="56" t="n"/>
      <c r="J28" s="98" t="inlineStr">
        <is>
          <t>24/7</t>
        </is>
      </c>
      <c r="K28" s="56" t="n"/>
      <c r="L28" s="98" t="inlineStr">
        <is>
          <t>Heures ouvrées</t>
        </is>
      </c>
      <c r="M28" s="56" t="n"/>
      <c r="N28" s="98" t="inlineStr">
        <is>
          <t>24/7</t>
        </is>
      </c>
      <c r="O28" s="56" t="n"/>
      <c r="P28" s="98" t="inlineStr">
        <is>
          <t>Heures ouvrées</t>
        </is>
      </c>
      <c r="Q28" s="56" t="n"/>
      <c r="R28" s="98" t="inlineStr">
        <is>
          <t>24/7</t>
        </is>
      </c>
      <c r="S28" s="56" t="n"/>
      <c r="T28" s="98" t="inlineStr">
        <is>
          <t>Heures ouvrées</t>
        </is>
      </c>
      <c r="U28" s="56" t="n"/>
      <c r="V28" s="98" t="inlineStr">
        <is>
          <t>24/7</t>
        </is>
      </c>
      <c r="W28" s="56" t="n"/>
      <c r="X28" s="98" t="inlineStr">
        <is>
          <t>Heures ouvrées</t>
        </is>
      </c>
      <c r="Y28" s="56" t="n"/>
      <c r="Z28" s="98" t="inlineStr">
        <is>
          <t>24/7</t>
        </is>
      </c>
      <c r="AA28" s="56" t="n"/>
      <c r="AB28" s="98" t="inlineStr">
        <is>
          <t>Heures ouvrées</t>
        </is>
      </c>
      <c r="AC28" s="56" t="n"/>
      <c r="AD28" s="98" t="inlineStr">
        <is>
          <t>24/7</t>
        </is>
      </c>
      <c r="AE28" s="56" t="n"/>
      <c r="AF28" s="98" t="inlineStr">
        <is>
          <t>Heures ouvrées</t>
        </is>
      </c>
      <c r="AG28" s="56" t="n"/>
      <c r="AH28" s="98" t="inlineStr">
        <is>
          <t>24/7</t>
        </is>
      </c>
      <c r="AI28" s="56" t="n"/>
      <c r="AJ28" s="98" t="inlineStr">
        <is>
          <t>Heures ouvrées</t>
        </is>
      </c>
      <c r="AK28" s="56" t="n"/>
      <c r="AL28" s="98" t="inlineStr">
        <is>
          <t>24/7</t>
        </is>
      </c>
      <c r="AM28" s="56" t="n"/>
    </row>
    <row r="29" ht="38.1" customHeight="1" s="62">
      <c r="A29" s="65" t="n"/>
      <c r="B29" s="65" t="n"/>
      <c r="C29" s="65" t="n"/>
      <c r="D29" s="22" t="inlineStr">
        <is>
          <t>Mail / Ticket</t>
        </is>
      </c>
      <c r="E29" s="22" t="inlineStr">
        <is>
          <t>Visio / Téléphone</t>
        </is>
      </c>
      <c r="F29" s="22" t="inlineStr">
        <is>
          <t>Mail / Ticket</t>
        </is>
      </c>
      <c r="G29" s="22" t="inlineStr">
        <is>
          <t>Visio / Téléphone</t>
        </is>
      </c>
      <c r="H29" s="22" t="inlineStr">
        <is>
          <t>Mail / Ticket</t>
        </is>
      </c>
      <c r="I29" s="22" t="inlineStr">
        <is>
          <t>Visio / Téléphone</t>
        </is>
      </c>
      <c r="J29" s="22" t="inlineStr">
        <is>
          <t>Mail / Ticket</t>
        </is>
      </c>
      <c r="K29" s="22" t="inlineStr">
        <is>
          <t>Visio / Téléphone</t>
        </is>
      </c>
      <c r="L29" s="22" t="inlineStr">
        <is>
          <t>Mail / Ticket</t>
        </is>
      </c>
      <c r="M29" s="22" t="inlineStr">
        <is>
          <t>Visio / Téléphone</t>
        </is>
      </c>
      <c r="N29" s="22" t="inlineStr">
        <is>
          <t>Mail / Ticket</t>
        </is>
      </c>
      <c r="O29" s="22" t="inlineStr">
        <is>
          <t>Visio / Téléphone</t>
        </is>
      </c>
      <c r="P29" s="22" t="inlineStr">
        <is>
          <t>Mail / Ticket</t>
        </is>
      </c>
      <c r="Q29" s="22" t="inlineStr">
        <is>
          <t>Visio / Téléphone</t>
        </is>
      </c>
      <c r="R29" s="22" t="inlineStr">
        <is>
          <t>Mail / Ticket</t>
        </is>
      </c>
      <c r="S29" s="22" t="inlineStr">
        <is>
          <t>Visio / Téléphone</t>
        </is>
      </c>
      <c r="T29" s="22" t="inlineStr">
        <is>
          <t>Mail / Ticket</t>
        </is>
      </c>
      <c r="U29" s="22" t="inlineStr">
        <is>
          <t>Visio / Téléphone</t>
        </is>
      </c>
      <c r="V29" s="22" t="inlineStr">
        <is>
          <t>Mail / Ticket</t>
        </is>
      </c>
      <c r="W29" s="22" t="inlineStr">
        <is>
          <t>Visio / Téléphone</t>
        </is>
      </c>
      <c r="X29" s="22" t="inlineStr">
        <is>
          <t>Mail / Ticket</t>
        </is>
      </c>
      <c r="Y29" s="22" t="inlineStr">
        <is>
          <t>Visio / Téléphone</t>
        </is>
      </c>
      <c r="Z29" s="22" t="inlineStr">
        <is>
          <t>Mail / Ticket</t>
        </is>
      </c>
      <c r="AA29" s="22" t="inlineStr">
        <is>
          <t>Visio / Téléphone</t>
        </is>
      </c>
      <c r="AB29" s="22" t="inlineStr">
        <is>
          <t>Mail / Ticket</t>
        </is>
      </c>
      <c r="AC29" s="22" t="inlineStr">
        <is>
          <t>Visio / Téléphone</t>
        </is>
      </c>
      <c r="AD29" s="22" t="inlineStr">
        <is>
          <t>Mail / Ticket</t>
        </is>
      </c>
      <c r="AE29" s="22" t="inlineStr">
        <is>
          <t>Visio / Téléphone</t>
        </is>
      </c>
      <c r="AF29" s="22" t="inlineStr">
        <is>
          <t>Mail / Ticket</t>
        </is>
      </c>
      <c r="AG29" s="22" t="inlineStr">
        <is>
          <t>Visio / Téléphone</t>
        </is>
      </c>
      <c r="AH29" s="22" t="inlineStr">
        <is>
          <t>Mail / Ticket</t>
        </is>
      </c>
      <c r="AI29" s="22" t="inlineStr">
        <is>
          <t>Visio / Téléphone</t>
        </is>
      </c>
      <c r="AJ29" s="22" t="inlineStr">
        <is>
          <t>Mail / Ticket</t>
        </is>
      </c>
      <c r="AK29" s="22" t="inlineStr">
        <is>
          <t>Visio / Téléphone</t>
        </is>
      </c>
      <c r="AL29" s="22" t="inlineStr">
        <is>
          <t>Mail / Ticket</t>
        </is>
      </c>
      <c r="AM29" s="22" t="inlineStr">
        <is>
          <t>Visio / Téléphone</t>
        </is>
      </c>
    </row>
    <row r="30" ht="20.1" customHeight="1" s="62">
      <c r="A30" s="103" t="inlineStr">
        <is>
          <t>Niveau basique</t>
        </is>
      </c>
      <c r="B30" s="101" t="inlineStr">
        <is>
          <t>Volume faible (&lt; 5/mois)</t>
        </is>
      </c>
      <c r="C30" s="49" t="inlineStr">
        <is>
          <t>1-5 utilisateurs</t>
        </is>
      </c>
      <c r="D30" s="50">
        <f>ROUND($B$4*$B$8*$B$11*$B$14*$B$17*$B$20*$B$22,0)</f>
        <v/>
      </c>
      <c r="E30" s="50">
        <f>ROUND($B$4*$B$8*$B$11*$B$14*$B$17*$B$20*$B$23,0)</f>
        <v/>
      </c>
      <c r="F30" s="50">
        <f>ROUND($B$4*$B$8*$B$11*$B$14*$B$17*$B$21*$B$22,0)</f>
        <v/>
      </c>
      <c r="G30" s="50">
        <f>ROUND($B$4*$B$8*$B$11*$B$14*$B$17*$B$21*$B$23,0)</f>
        <v/>
      </c>
      <c r="H30" s="50">
        <f>ROUND($B$4*$B$8*$B$11*$B$14*$B$18*$B$20*$B$22,0)</f>
        <v/>
      </c>
      <c r="I30" s="50">
        <f>ROUND($B$4*$B$8*$B$11*$B$14*$B$18*$B$20*$B$23,0)</f>
        <v/>
      </c>
      <c r="J30" s="50">
        <f>ROUND($B$4*$B$8*$B$11*$B$14*$B$18*$B$21*$B$22,0)</f>
        <v/>
      </c>
      <c r="K30" s="50">
        <f>ROUND($B$4*$B$8*$B$11*$B$14*$B$18*$B$21*$B$23,0)</f>
        <v/>
      </c>
      <c r="L30" s="50">
        <f>ROUND($B$4*$B$8*$B$11*$B$14*$B$19*$B$20*$B$22,0)</f>
        <v/>
      </c>
      <c r="M30" s="50">
        <f>ROUND($B$4*$B$8*$B$11*$B$14*$B$19*$B$20*$B$23,0)</f>
        <v/>
      </c>
      <c r="N30" s="50">
        <f>ROUND($B$4*$B$8*$B$11*$B$14*$B$19*$B$21*$B$22,0)</f>
        <v/>
      </c>
      <c r="O30" s="50">
        <f>ROUND($B$4*$B$8*$B$11*$B$14*$B$19*$B$21*$B$23,0)</f>
        <v/>
      </c>
      <c r="P30" s="53">
        <f>ROUND($B$5*$B$8*$B$11*$B$14*$B$17*$B$20*$B$22,0)</f>
        <v/>
      </c>
      <c r="Q30" s="53">
        <f>ROUND($B$5*$B$8*$B$11*$B$14*$B$17*$B$20*$B$23,0)</f>
        <v/>
      </c>
      <c r="R30" s="53">
        <f>ROUND($B$5*$B$8*$B$11*$B$14*$B$17*$B$21*$B$22,0)</f>
        <v/>
      </c>
      <c r="S30" s="53">
        <f>ROUND($B$5*$B$8*$B$11*$B$14*$B$17*$B$21*$B$23,0)</f>
        <v/>
      </c>
      <c r="T30" s="53">
        <f>ROUND($B$5*$B$8*$B$11*$B$14*$B$18*$B$20*$B$22,0)</f>
        <v/>
      </c>
      <c r="U30" s="53">
        <f>ROUND($B$5*$B$8*$B$11*$B$14*$B$18*$B$20*$B$23,0)</f>
        <v/>
      </c>
      <c r="V30" s="53">
        <f>ROUND($B$5*$B$8*$B$11*$B$14*$B$18*$B$21*$B$22,0)</f>
        <v/>
      </c>
      <c r="W30" s="53">
        <f>ROUND($B$5*$B$8*$B$11*$B$14*$B$18*$B$21*$B$23,0)</f>
        <v/>
      </c>
      <c r="X30" s="53">
        <f>ROUND($B$5*$B$8*$B$11*$B$14*$B$19*$B$20*$B$22,0)</f>
        <v/>
      </c>
      <c r="Y30" s="53">
        <f>ROUND($B$5*$B$8*$B$11*$B$14*$B$19*$B$20*$B$23,0)</f>
        <v/>
      </c>
      <c r="Z30" s="53">
        <f>ROUND($B$5*$B$8*$B$11*$B$14*$B$19*$B$21*$B$22,0)</f>
        <v/>
      </c>
      <c r="AA30" s="53">
        <f>ROUND($B$5*$B$8*$B$11*$B$14*$B$19*$B$21*$B$23,0)</f>
        <v/>
      </c>
      <c r="AB30" s="53">
        <f>ROUND($B$6*$B$8*$B$11*$B$14*$B$17*$B$20*$B$22,0)</f>
        <v/>
      </c>
      <c r="AC30" s="53">
        <f>ROUND($B$6*$B$8*$B$11*$B$14*$B$17*$B$20*$B$23,0)</f>
        <v/>
      </c>
      <c r="AD30" s="53">
        <f>ROUND($B$6*$B$8*$B$11*$B$14*$B$17*$B$21*$B$22,0)</f>
        <v/>
      </c>
      <c r="AE30" s="53">
        <f>ROUND($B$6*$B$8*$B$11*$B$14*$B$17*$B$21*$B$23,0)</f>
        <v/>
      </c>
      <c r="AF30" s="53">
        <f>ROUND($B$6*$B$8*$B$11*$B$14*$B$18*$B$20*$B$22,0)</f>
        <v/>
      </c>
      <c r="AG30" s="53">
        <f>ROUND($B$6*$B$8*$B$11*$B$14*$B$18*$B$20*$B$23,0)</f>
        <v/>
      </c>
      <c r="AH30" s="53">
        <f>ROUND($B$6*$B$8*$B$11*$B$14*$B$18*$B$21*$B$22,0)</f>
        <v/>
      </c>
      <c r="AI30" s="53">
        <f>ROUND($B$6*$B$8*$B$11*$B$14*$B$18*$B$21*$B$23,0)</f>
        <v/>
      </c>
      <c r="AJ30" s="53">
        <f>ROUND($B$6*$B$8*$B$11*$B$14*$B$19*$B$20*$B$22,0)</f>
        <v/>
      </c>
      <c r="AK30" s="53">
        <f>ROUND($B$6*$B$8*$B$11*$B$14*$B$19*$B$20*$B$23,0)</f>
        <v/>
      </c>
      <c r="AL30" s="53">
        <f>ROUND($B$6*$B$8*$B$11*$B$14*$B$19*$B$21*$B$22,0)</f>
        <v/>
      </c>
      <c r="AM30" s="53">
        <f>ROUND($B$6*$B$8*$B$11*$B$14*$B$19*$B$21*$B$23,0)</f>
        <v/>
      </c>
    </row>
    <row r="31" ht="20.1" customHeight="1" s="62">
      <c r="A31" s="104" t="n"/>
      <c r="B31" s="58" t="n"/>
      <c r="C31" s="101" t="inlineStr">
        <is>
          <t>6-20 utilisateurs</t>
        </is>
      </c>
      <c r="D31" s="50">
        <f>ROUND($B$4*$B$8*$B$11*$B$15*$B$17*$B$20*$B$22,0)</f>
        <v/>
      </c>
      <c r="E31" s="50">
        <f>ROUND($B$4*$B$8*$B$11*$B$15*$B$17*$B$20*$B$23,0)</f>
        <v/>
      </c>
      <c r="F31" s="50">
        <f>ROUND($B$4*$B$8*$B$11*$B$15*$B$17*$B$21*$B$22,0)</f>
        <v/>
      </c>
      <c r="G31" s="50">
        <f>ROUND($B$4*$B$8*$B$11*$B$15*$B$17*$B$21*$B$23,0)</f>
        <v/>
      </c>
      <c r="H31" s="50">
        <f>ROUND($B$4*$B$8*$B$11*$B$15*$B$18*$B$20*$B$22,0)</f>
        <v/>
      </c>
      <c r="I31" s="50">
        <f>ROUND($B$4*$B$8*$B$11*$B$15*$B$18*$B$20*$B$23,0)</f>
        <v/>
      </c>
      <c r="J31" s="50">
        <f>ROUND($B$4*$B$8*$B$11*$B$15*$B$18*$B$21*$B$22,0)</f>
        <v/>
      </c>
      <c r="K31" s="50">
        <f>ROUND($B$4*$B$8*$B$11*$B$15*$B$18*$B$21*$B$23,0)</f>
        <v/>
      </c>
      <c r="L31" s="50">
        <f>ROUND($B$4*$B$8*$B$11*$B$15*$B$19*$B$20*$B$22,0)</f>
        <v/>
      </c>
      <c r="M31" s="50">
        <f>ROUND($B$4*$B$8*$B$11*$B$15*$B$19*$B$20*$B$23,0)</f>
        <v/>
      </c>
      <c r="N31" s="50">
        <f>ROUND($B$4*$B$8*$B$11*$B$15*$B$19*$B$21*$B$22,0)</f>
        <v/>
      </c>
      <c r="O31" s="50">
        <f>ROUND($B$4*$B$8*$B$11*$B$15*$B$19*$B$21*$B$23,0)</f>
        <v/>
      </c>
      <c r="P31" s="53">
        <f>ROUND($B$5*$B$8*$B$11*$B$15*$B$17*$B$20*$B$22,0)</f>
        <v/>
      </c>
      <c r="Q31" s="53">
        <f>ROUND($B$5*$B$8*$B$11*$B$15*$B$17*$B$20*$B$23,0)</f>
        <v/>
      </c>
      <c r="R31" s="53">
        <f>ROUND($B$5*$B$8*$B$11*$B$15*$B$17*$B$21*$B$22,0)</f>
        <v/>
      </c>
      <c r="S31" s="53">
        <f>ROUND($B$5*$B$8*$B$11*$B$15*$B$17*$B$21*$B$23,0)</f>
        <v/>
      </c>
      <c r="T31" s="53">
        <f>ROUND($B$5*$B$8*$B$11*$B$15*$B$18*$B$20*$B$22,0)</f>
        <v/>
      </c>
      <c r="U31" s="53">
        <f>ROUND($B$5*$B$8*$B$11*$B$15*$B$18*$B$20*$B$23,0)</f>
        <v/>
      </c>
      <c r="V31" s="53">
        <f>ROUND($B$5*$B$8*$B$11*$B$15*$B$18*$B$21*$B$22,0)</f>
        <v/>
      </c>
      <c r="W31" s="53">
        <f>ROUND($B$5*$B$8*$B$11*$B$15*$B$18*$B$21*$B$23,0)</f>
        <v/>
      </c>
      <c r="X31" s="53">
        <f>ROUND($B$5*$B$8*$B$11*$B$15*$B$19*$B$20*$B$22,0)</f>
        <v/>
      </c>
      <c r="Y31" s="53">
        <f>ROUND($B$5*$B$8*$B$11*$B$15*$B$19*$B$20*$B$23,0)</f>
        <v/>
      </c>
      <c r="Z31" s="53">
        <f>ROUND($B$5*$B$8*$B$11*$B$15*$B$19*$B$21*$B$22,0)</f>
        <v/>
      </c>
      <c r="AA31" s="53">
        <f>ROUND($B$5*$B$8*$B$11*$B$15*$B$19*$B$21*$B$23,0)</f>
        <v/>
      </c>
      <c r="AB31" s="53">
        <f>ROUND($B$6*$B$8*$B$11*$B$15*$B$17*$B$20*$B$22,0)</f>
        <v/>
      </c>
      <c r="AC31" s="53">
        <f>ROUND($B$6*$B$8*$B$11*$B$15*$B$17*$B$20*$B$23,0)</f>
        <v/>
      </c>
      <c r="AD31" s="53">
        <f>ROUND($B$6*$B$8*$B$11*$B$15*$B$17*$B$21*$B$22,0)</f>
        <v/>
      </c>
      <c r="AE31" s="53">
        <f>ROUND($B$6*$B$8*$B$11*$B$15*$B$17*$B$21*$B$23,0)</f>
        <v/>
      </c>
      <c r="AF31" s="53">
        <f>ROUND($B$6*$B$8*$B$11*$B$15*$B$18*$B$20*$B$22,0)</f>
        <v/>
      </c>
      <c r="AG31" s="53">
        <f>ROUND($B$6*$B$8*$B$11*$B$15*$B$18*$B$20*$B$23,0)</f>
        <v/>
      </c>
      <c r="AH31" s="53">
        <f>ROUND($B$6*$B$8*$B$11*$B$15*$B$18*$B$21*$B$22,0)</f>
        <v/>
      </c>
      <c r="AI31" s="53">
        <f>ROUND($B$6*$B$8*$B$11*$B$15*$B$18*$B$21*$B$23,0)</f>
        <v/>
      </c>
      <c r="AJ31" s="53">
        <f>ROUND($B$6*$B$8*$B$11*$B$15*$B$19*$B$20*$B$22,0)</f>
        <v/>
      </c>
      <c r="AK31" s="53">
        <f>ROUND($B$6*$B$8*$B$11*$B$15*$B$19*$B$20*$B$23,0)</f>
        <v/>
      </c>
      <c r="AL31" s="53">
        <f>ROUND($B$6*$B$8*$B$11*$B$15*$B$19*$B$21*$B$22,0)</f>
        <v/>
      </c>
      <c r="AM31" s="53">
        <f>ROUND($B$6*$B$8*$B$11*$B$15*$B$19*$B$21*$B$23,0)</f>
        <v/>
      </c>
    </row>
    <row r="32" ht="20.1" customHeight="1" s="62">
      <c r="A32" s="104" t="n"/>
      <c r="B32" s="59" t="n"/>
      <c r="C32" s="51" t="inlineStr">
        <is>
          <t>21+ utilisateurs</t>
        </is>
      </c>
      <c r="D32" s="50">
        <f>ROUND($B$4*$B$8*$B$11*$B$16*$B$17*$B$20*$B$22,0)</f>
        <v/>
      </c>
      <c r="E32" s="50">
        <f>ROUND($B$4*$B$8*$B$11*$B$16*$B$17*$B$20*$B$23,0)</f>
        <v/>
      </c>
      <c r="F32" s="50">
        <f>ROUND($B$4*$B$8*$B$11*$B$16*$B$17*$B$21*$B$22,0)</f>
        <v/>
      </c>
      <c r="G32" s="50">
        <f>ROUND($B$4*$B$8*$B$11*$B$16*$B$17*$B$21*$B$23,0)</f>
        <v/>
      </c>
      <c r="H32" s="50">
        <f>ROUND($B$4*$B$8*$B$11*$B$16*$B$18*$B$20*$B$22,0)</f>
        <v/>
      </c>
      <c r="I32" s="50">
        <f>ROUND($B$4*$B$8*$B$11*$B$16*$B$18*$B$20*$B$23,0)</f>
        <v/>
      </c>
      <c r="J32" s="50">
        <f>ROUND($B$4*$B$8*$B$11*$B$16*$B$18*$B$21*$B$22,0)</f>
        <v/>
      </c>
      <c r="K32" s="50">
        <f>ROUND($B$4*$B$8*$B$11*$B$16*$B$18*$B$21*$B$23,0)</f>
        <v/>
      </c>
      <c r="L32" s="50">
        <f>ROUND($B$4*$B$8*$B$11*$B$16*$B$19*$B$20*$B$22,0)</f>
        <v/>
      </c>
      <c r="M32" s="50">
        <f>ROUND($B$4*$B$8*$B$11*$B$16*$B$19*$B$20*$B$23,0)</f>
        <v/>
      </c>
      <c r="N32" s="50">
        <f>ROUND($B$4*$B$8*$B$11*$B$16*$B$19*$B$21*$B$22,0)</f>
        <v/>
      </c>
      <c r="O32" s="50">
        <f>ROUND($B$4*$B$8*$B$11*$B$16*$B$19*$B$21*$B$23,0)</f>
        <v/>
      </c>
      <c r="P32" s="53">
        <f>ROUND($B$5*$B$8*$B$11*$B$16*$B$17*$B$20*$B$22,0)</f>
        <v/>
      </c>
      <c r="Q32" s="53">
        <f>ROUND($B$5*$B$8*$B$11*$B$16*$B$17*$B$20*$B$23,0)</f>
        <v/>
      </c>
      <c r="R32" s="53">
        <f>ROUND($B$5*$B$8*$B$11*$B$16*$B$17*$B$21*$B$22,0)</f>
        <v/>
      </c>
      <c r="S32" s="53">
        <f>ROUND($B$5*$B$8*$B$11*$B$16*$B$17*$B$21*$B$23,0)</f>
        <v/>
      </c>
      <c r="T32" s="53">
        <f>ROUND($B$5*$B$8*$B$11*$B$16*$B$18*$B$20*$B$22,0)</f>
        <v/>
      </c>
      <c r="U32" s="53">
        <f>ROUND($B$5*$B$8*$B$11*$B$16*$B$18*$B$20*$B$23,0)</f>
        <v/>
      </c>
      <c r="V32" s="53">
        <f>ROUND($B$5*$B$8*$B$11*$B$16*$B$18*$B$21*$B$22,0)</f>
        <v/>
      </c>
      <c r="W32" s="53">
        <f>ROUND($B$5*$B$8*$B$11*$B$16*$B$18*$B$21*$B$23,0)</f>
        <v/>
      </c>
      <c r="X32" s="53">
        <f>ROUND($B$5*$B$8*$B$11*$B$16*$B$19*$B$20*$B$22,0)</f>
        <v/>
      </c>
      <c r="Y32" s="53">
        <f>ROUND($B$5*$B$8*$B$11*$B$16*$B$19*$B$20*$B$23,0)</f>
        <v/>
      </c>
      <c r="Z32" s="53">
        <f>ROUND($B$5*$B$8*$B$11*$B$16*$B$19*$B$21*$B$22,0)</f>
        <v/>
      </c>
      <c r="AA32" s="53">
        <f>ROUND($B$5*$B$8*$B$11*$B$16*$B$19*$B$21*$B$23,0)</f>
        <v/>
      </c>
      <c r="AB32" s="53">
        <f>ROUND($B$6*$B$8*$B$11*$B$16*$B$17*$B$20*$B$22,0)</f>
        <v/>
      </c>
      <c r="AC32" s="53">
        <f>ROUND($B$6*$B$8*$B$11*$B$16*$B$17*$B$20*$B$23,0)</f>
        <v/>
      </c>
      <c r="AD32" s="53">
        <f>ROUND($B$6*$B$8*$B$11*$B$16*$B$17*$B$21*$B$22,0)</f>
        <v/>
      </c>
      <c r="AE32" s="53">
        <f>ROUND($B$6*$B$8*$B$11*$B$16*$B$17*$B$21*$B$23,0)</f>
        <v/>
      </c>
      <c r="AF32" s="53">
        <f>ROUND($B$6*$B$8*$B$11*$B$16*$B$18*$B$20*$B$22,0)</f>
        <v/>
      </c>
      <c r="AG32" s="53">
        <f>ROUND($B$6*$B$8*$B$11*$B$16*$B$18*$B$20*$B$23,0)</f>
        <v/>
      </c>
      <c r="AH32" s="53">
        <f>ROUND($B$6*$B$8*$B$11*$B$16*$B$18*$B$21*$B$22,0)</f>
        <v/>
      </c>
      <c r="AI32" s="53">
        <f>ROUND($B$6*$B$8*$B$11*$B$16*$B$18*$B$21*$B$23,0)</f>
        <v/>
      </c>
      <c r="AJ32" s="53">
        <f>ROUND($B$6*$B$8*$B$11*$B$16*$B$19*$B$20*$B$22,0)</f>
        <v/>
      </c>
      <c r="AK32" s="53">
        <f>ROUND($B$6*$B$8*$B$11*$B$16*$B$19*$B$20*$B$23,0)</f>
        <v/>
      </c>
      <c r="AL32" s="53">
        <f>ROUND($B$6*$B$8*$B$11*$B$16*$B$19*$B$21*$B$22,0)</f>
        <v/>
      </c>
      <c r="AM32" s="53">
        <f>ROUND($B$6*$B$8*$B$11*$B$16*$B$19*$B$21*$B$23,0)</f>
        <v/>
      </c>
    </row>
    <row r="33" ht="20.1" customHeight="1" s="62">
      <c r="A33" s="104" t="n"/>
      <c r="B33" s="101" t="inlineStr">
        <is>
          <t>Volume moyen (5-20/mois)</t>
        </is>
      </c>
      <c r="C33" s="49" t="inlineStr">
        <is>
          <t>1-5 utilisateurs</t>
        </is>
      </c>
      <c r="D33" s="50">
        <f>ROUND($B$4*$B$8*$B$12*$B$14*$B$17*$B$20*$B$22,0)</f>
        <v/>
      </c>
      <c r="E33" s="50">
        <f>ROUND($B$4*$B$8*$B$12*$B$14*$B$17*$B$20*$B$23,0)</f>
        <v/>
      </c>
      <c r="F33" s="50">
        <f>ROUND($B$4*$B$8*$B$12*$B$14*$B$17*$B$21*$B$22,0)</f>
        <v/>
      </c>
      <c r="G33" s="50">
        <f>ROUND($B$4*$B$8*$B$12*$B$14*$B$17*$B$21*$B$23,0)</f>
        <v/>
      </c>
      <c r="H33" s="50">
        <f>ROUND($B$4*$B$8*$B$12*$B$14*$B$18*$B$20*$B$22,0)</f>
        <v/>
      </c>
      <c r="I33" s="50">
        <f>ROUND($B$4*$B$8*$B$12*$B$14*$B$18*$B$20*$B$23,0)</f>
        <v/>
      </c>
      <c r="J33" s="50">
        <f>ROUND($B$4*$B$8*$B$12*$B$14*$B$18*$B$21*$B$22,0)</f>
        <v/>
      </c>
      <c r="K33" s="50">
        <f>ROUND($B$4*$B$8*$B$12*$B$14*$B$18*$B$21*$B$23,0)</f>
        <v/>
      </c>
      <c r="L33" s="50">
        <f>ROUND($B$4*$B$8*$B$12*$B$14*$B$19*$B$20*$B$22,0)</f>
        <v/>
      </c>
      <c r="M33" s="50">
        <f>ROUND($B$4*$B$8*$B$12*$B$14*$B$19*$B$20*$B$23,0)</f>
        <v/>
      </c>
      <c r="N33" s="50">
        <f>ROUND($B$4*$B$8*$B$12*$B$14*$B$19*$B$21*$B$22,0)</f>
        <v/>
      </c>
      <c r="O33" s="50">
        <f>ROUND($B$4*$B$8*$B$12*$B$14*$B$19*$B$21*$B$23,0)</f>
        <v/>
      </c>
      <c r="P33" s="53">
        <f>ROUND($B$5*$B$8*$B$12*$B$14*$B$17*$B$20*$B$22,0)</f>
        <v/>
      </c>
      <c r="Q33" s="53">
        <f>ROUND($B$5*$B$8*$B$12*$B$14*$B$17*$B$20*$B$23,0)</f>
        <v/>
      </c>
      <c r="R33" s="53">
        <f>ROUND($B$5*$B$8*$B$12*$B$14*$B$17*$B$21*$B$22,0)</f>
        <v/>
      </c>
      <c r="S33" s="53">
        <f>ROUND($B$5*$B$8*$B$12*$B$14*$B$17*$B$21*$B$23,0)</f>
        <v/>
      </c>
      <c r="T33" s="53">
        <f>ROUND($B$5*$B$8*$B$12*$B$14*$B$18*$B$20*$B$22,0)</f>
        <v/>
      </c>
      <c r="U33" s="53">
        <f>ROUND($B$5*$B$8*$B$12*$B$14*$B$18*$B$20*$B$23,0)</f>
        <v/>
      </c>
      <c r="V33" s="53">
        <f>ROUND($B$5*$B$8*$B$12*$B$14*$B$18*$B$21*$B$22,0)</f>
        <v/>
      </c>
      <c r="W33" s="53">
        <f>ROUND($B$5*$B$8*$B$12*$B$14*$B$18*$B$21*$B$23,0)</f>
        <v/>
      </c>
      <c r="X33" s="53">
        <f>ROUND($B$5*$B$8*$B$12*$B$14*$B$19*$B$20*$B$22,0)</f>
        <v/>
      </c>
      <c r="Y33" s="53">
        <f>ROUND($B$5*$B$8*$B$12*$B$14*$B$19*$B$20*$B$23,0)</f>
        <v/>
      </c>
      <c r="Z33" s="53">
        <f>ROUND($B$5*$B$8*$B$12*$B$14*$B$19*$B$21*$B$22,0)</f>
        <v/>
      </c>
      <c r="AA33" s="53">
        <f>ROUND($B$5*$B$8*$B$12*$B$14*$B$19*$B$21*$B$23,0)</f>
        <v/>
      </c>
      <c r="AB33" s="53">
        <f>ROUND($B$6*$B$8*$B$12*$B$14*$B$17*$B$20*$B$22,0)</f>
        <v/>
      </c>
      <c r="AC33" s="53">
        <f>ROUND($B$6*$B$8*$B$12*$B$14*$B$17*$B$20*$B$23,0)</f>
        <v/>
      </c>
      <c r="AD33" s="53">
        <f>ROUND($B$6*$B$8*$B$12*$B$14*$B$17*$B$21*$B$22,0)</f>
        <v/>
      </c>
      <c r="AE33" s="53">
        <f>ROUND($B$6*$B$8*$B$12*$B$14*$B$17*$B$21*$B$23,0)</f>
        <v/>
      </c>
      <c r="AF33" s="53">
        <f>ROUND($B$6*$B$8*$B$12*$B$14*$B$18*$B$20*$B$22,0)</f>
        <v/>
      </c>
      <c r="AG33" s="53">
        <f>ROUND($B$6*$B$8*$B$12*$B$14*$B$18*$B$20*$B$23,0)</f>
        <v/>
      </c>
      <c r="AH33" s="53">
        <f>ROUND($B$6*$B$8*$B$12*$B$14*$B$18*$B$21*$B$22,0)</f>
        <v/>
      </c>
      <c r="AI33" s="53">
        <f>ROUND($B$6*$B$8*$B$12*$B$14*$B$18*$B$21*$B$23,0)</f>
        <v/>
      </c>
      <c r="AJ33" s="53">
        <f>ROUND($B$6*$B$8*$B$12*$B$14*$B$19*$B$20*$B$22,0)</f>
        <v/>
      </c>
      <c r="AK33" s="53">
        <f>ROUND($B$6*$B$8*$B$12*$B$14*$B$19*$B$20*$B$23,0)</f>
        <v/>
      </c>
      <c r="AL33" s="53">
        <f>ROUND($B$6*$B$8*$B$12*$B$14*$B$19*$B$21*$B$22,0)</f>
        <v/>
      </c>
      <c r="AM33" s="53">
        <f>ROUND($B$6*$B$8*$B$12*$B$14*$B$19*$B$21*$B$23,0)</f>
        <v/>
      </c>
    </row>
    <row r="34" ht="20.1" customHeight="1" s="62">
      <c r="A34" s="104" t="n"/>
      <c r="B34" s="58" t="n"/>
      <c r="C34" s="101" t="inlineStr">
        <is>
          <t>6-20 utilisateurs</t>
        </is>
      </c>
      <c r="D34" s="50">
        <f>ROUND($B$4*$B$8*$B$12*$B$15*$B$17*$B$20*$B$22,0)</f>
        <v/>
      </c>
      <c r="E34" s="50">
        <f>ROUND($B$4*$B$8*$B$12*$B$15*$B$17*$B$20*$B$23,0)</f>
        <v/>
      </c>
      <c r="F34" s="50">
        <f>ROUND($B$4*$B$8*$B$12*$B$15*$B$17*$B$21*$B$22,0)</f>
        <v/>
      </c>
      <c r="G34" s="50">
        <f>ROUND($B$4*$B$8*$B$12*$B$15*$B$17*$B$21*$B$23,0)</f>
        <v/>
      </c>
      <c r="H34" s="50">
        <f>ROUND($B$4*$B$8*$B$12*$B$15*$B$18*$B$20*$B$22,0)</f>
        <v/>
      </c>
      <c r="I34" s="50">
        <f>ROUND($B$4*$B$8*$B$12*$B$15*$B$18*$B$20*$B$23,0)</f>
        <v/>
      </c>
      <c r="J34" s="50">
        <f>ROUND($B$4*$B$8*$B$12*$B$15*$B$18*$B$21*$B$22,0)</f>
        <v/>
      </c>
      <c r="K34" s="50">
        <f>ROUND($B$4*$B$8*$B$12*$B$15*$B$18*$B$21*$B$23,0)</f>
        <v/>
      </c>
      <c r="L34" s="50">
        <f>ROUND($B$4*$B$8*$B$12*$B$15*$B$19*$B$20*$B$22,0)</f>
        <v/>
      </c>
      <c r="M34" s="50">
        <f>ROUND($B$4*$B$8*$B$12*$B$15*$B$19*$B$20*$B$23,0)</f>
        <v/>
      </c>
      <c r="N34" s="50">
        <f>ROUND($B$4*$B$8*$B$12*$B$15*$B$19*$B$21*$B$22,0)</f>
        <v/>
      </c>
      <c r="O34" s="50">
        <f>ROUND($B$4*$B$8*$B$12*$B$15*$B$19*$B$21*$B$23,0)</f>
        <v/>
      </c>
      <c r="P34" s="53">
        <f>ROUND($B$5*$B$8*$B$12*$B$15*$B$17*$B$20*$B$22,0)</f>
        <v/>
      </c>
      <c r="Q34" s="53">
        <f>ROUND($B$5*$B$8*$B$12*$B$15*$B$17*$B$20*$B$23,0)</f>
        <v/>
      </c>
      <c r="R34" s="53">
        <f>ROUND($B$5*$B$8*$B$12*$B$15*$B$17*$B$21*$B$22,0)</f>
        <v/>
      </c>
      <c r="S34" s="53">
        <f>ROUND($B$5*$B$8*$B$12*$B$15*$B$17*$B$21*$B$23,0)</f>
        <v/>
      </c>
      <c r="T34" s="53">
        <f>ROUND($B$5*$B$8*$B$12*$B$15*$B$18*$B$20*$B$22,0)</f>
        <v/>
      </c>
      <c r="U34" s="53">
        <f>ROUND($B$5*$B$8*$B$12*$B$15*$B$18*$B$20*$B$23,0)</f>
        <v/>
      </c>
      <c r="V34" s="53">
        <f>ROUND($B$5*$B$8*$B$12*$B$15*$B$18*$B$21*$B$22,0)</f>
        <v/>
      </c>
      <c r="W34" s="53">
        <f>ROUND($B$5*$B$8*$B$12*$B$15*$B$18*$B$21*$B$23,0)</f>
        <v/>
      </c>
      <c r="X34" s="53">
        <f>ROUND($B$5*$B$8*$B$12*$B$15*$B$19*$B$20*$B$22,0)</f>
        <v/>
      </c>
      <c r="Y34" s="53">
        <f>ROUND($B$5*$B$8*$B$12*$B$15*$B$19*$B$20*$B$23,0)</f>
        <v/>
      </c>
      <c r="Z34" s="53">
        <f>ROUND($B$5*$B$8*$B$12*$B$15*$B$19*$B$21*$B$22,0)</f>
        <v/>
      </c>
      <c r="AA34" s="53">
        <f>ROUND($B$5*$B$8*$B$12*$B$15*$B$19*$B$21*$B$23,0)</f>
        <v/>
      </c>
      <c r="AB34" s="53">
        <f>ROUND($B$6*$B$8*$B$12*$B$15*$B$17*$B$20*$B$22,0)</f>
        <v/>
      </c>
      <c r="AC34" s="53">
        <f>ROUND($B$6*$B$8*$B$12*$B$15*$B$17*$B$20*$B$23,0)</f>
        <v/>
      </c>
      <c r="AD34" s="53">
        <f>ROUND($B$6*$B$8*$B$12*$B$15*$B$17*$B$21*$B$22,0)</f>
        <v/>
      </c>
      <c r="AE34" s="53">
        <f>ROUND($B$6*$B$8*$B$12*$B$15*$B$17*$B$21*$B$23,0)</f>
        <v/>
      </c>
      <c r="AF34" s="53">
        <f>ROUND($B$6*$B$8*$B$12*$B$15*$B$18*$B$20*$B$22,0)</f>
        <v/>
      </c>
      <c r="AG34" s="53">
        <f>ROUND($B$6*$B$8*$B$12*$B$15*$B$18*$B$20*$B$23,0)</f>
        <v/>
      </c>
      <c r="AH34" s="53">
        <f>ROUND($B$6*$B$8*$B$12*$B$15*$B$18*$B$21*$B$22,0)</f>
        <v/>
      </c>
      <c r="AI34" s="53">
        <f>ROUND($B$6*$B$8*$B$12*$B$15*$B$18*$B$21*$B$23,0)</f>
        <v/>
      </c>
      <c r="AJ34" s="53">
        <f>ROUND($B$6*$B$8*$B$12*$B$15*$B$19*$B$20*$B$22,0)</f>
        <v/>
      </c>
      <c r="AK34" s="53">
        <f>ROUND($B$6*$B$8*$B$12*$B$15*$B$19*$B$20*$B$23,0)</f>
        <v/>
      </c>
      <c r="AL34" s="53">
        <f>ROUND($B$6*$B$8*$B$12*$B$15*$B$19*$B$21*$B$22,0)</f>
        <v/>
      </c>
      <c r="AM34" s="53">
        <f>ROUND($B$6*$B$8*$B$12*$B$15*$B$19*$B$21*$B$23,0)</f>
        <v/>
      </c>
    </row>
    <row r="35" ht="20.1" customHeight="1" s="62">
      <c r="A35" s="104" t="n"/>
      <c r="B35" s="59" t="n"/>
      <c r="C35" s="51" t="inlineStr">
        <is>
          <t>21+ utilisateurs</t>
        </is>
      </c>
      <c r="D35" s="50">
        <f>ROUND($B$4*$B$8*$B$12*$B$16*$B$17*$B$20*$B$22,0)</f>
        <v/>
      </c>
      <c r="E35" s="50">
        <f>ROUND($B$4*$B$8*$B$12*$B$16*$B$17*$B$20*$B$23,0)</f>
        <v/>
      </c>
      <c r="F35" s="50">
        <f>ROUND($B$4*$B$8*$B$12*$B$16*$B$17*$B$21*$B$22,0)</f>
        <v/>
      </c>
      <c r="G35" s="50">
        <f>ROUND($B$4*$B$8*$B$12*$B$16*$B$17*$B$21*$B$23,0)</f>
        <v/>
      </c>
      <c r="H35" s="50">
        <f>ROUND($B$4*$B$8*$B$12*$B$16*$B$18*$B$20*$B$22,0)</f>
        <v/>
      </c>
      <c r="I35" s="50">
        <f>ROUND($B$4*$B$8*$B$12*$B$16*$B$18*$B$20*$B$23,0)</f>
        <v/>
      </c>
      <c r="J35" s="50">
        <f>ROUND($B$4*$B$8*$B$12*$B$16*$B$18*$B$21*$B$22,0)</f>
        <v/>
      </c>
      <c r="K35" s="50">
        <f>ROUND($B$4*$B$8*$B$12*$B$16*$B$18*$B$21*$B$23,0)</f>
        <v/>
      </c>
      <c r="L35" s="50">
        <f>ROUND($B$4*$B$8*$B$12*$B$16*$B$19*$B$20*$B$22,0)</f>
        <v/>
      </c>
      <c r="M35" s="50">
        <f>ROUND($B$4*$B$8*$B$12*$B$16*$B$19*$B$20*$B$23,0)</f>
        <v/>
      </c>
      <c r="N35" s="50">
        <f>ROUND($B$4*$B$8*$B$12*$B$16*$B$19*$B$21*$B$22,0)</f>
        <v/>
      </c>
      <c r="O35" s="50">
        <f>ROUND($B$4*$B$8*$B$12*$B$16*$B$19*$B$21*$B$23,0)</f>
        <v/>
      </c>
      <c r="P35" s="53">
        <f>ROUND($B$5*$B$8*$B$12*$B$16*$B$17*$B$20*$B$22,0)</f>
        <v/>
      </c>
      <c r="Q35" s="53">
        <f>ROUND($B$5*$B$8*$B$12*$B$16*$B$17*$B$20*$B$23,0)</f>
        <v/>
      </c>
      <c r="R35" s="53">
        <f>ROUND($B$5*$B$8*$B$12*$B$16*$B$17*$B$21*$B$22,0)</f>
        <v/>
      </c>
      <c r="S35" s="53">
        <f>ROUND($B$5*$B$8*$B$12*$B$16*$B$17*$B$21*$B$23,0)</f>
        <v/>
      </c>
      <c r="T35" s="53">
        <f>ROUND($B$5*$B$8*$B$12*$B$16*$B$18*$B$20*$B$22,0)</f>
        <v/>
      </c>
      <c r="U35" s="53">
        <f>ROUND($B$5*$B$8*$B$12*$B$16*$B$18*$B$20*$B$23,0)</f>
        <v/>
      </c>
      <c r="V35" s="53">
        <f>ROUND($B$5*$B$8*$B$12*$B$16*$B$18*$B$21*$B$22,0)</f>
        <v/>
      </c>
      <c r="W35" s="53">
        <f>ROUND($B$5*$B$8*$B$12*$B$16*$B$18*$B$21*$B$23,0)</f>
        <v/>
      </c>
      <c r="X35" s="53">
        <f>ROUND($B$5*$B$8*$B$12*$B$16*$B$19*$B$20*$B$22,0)</f>
        <v/>
      </c>
      <c r="Y35" s="53">
        <f>ROUND($B$5*$B$8*$B$12*$B$16*$B$19*$B$20*$B$23,0)</f>
        <v/>
      </c>
      <c r="Z35" s="53">
        <f>ROUND($B$5*$B$8*$B$12*$B$16*$B$19*$B$21*$B$22,0)</f>
        <v/>
      </c>
      <c r="AA35" s="53">
        <f>ROUND($B$5*$B$8*$B$12*$B$16*$B$19*$B$21*$B$23,0)</f>
        <v/>
      </c>
      <c r="AB35" s="53">
        <f>ROUND($B$6*$B$8*$B$12*$B$16*$B$17*$B$20*$B$22,0)</f>
        <v/>
      </c>
      <c r="AC35" s="53">
        <f>ROUND($B$6*$B$8*$B$12*$B$16*$B$17*$B$20*$B$23,0)</f>
        <v/>
      </c>
      <c r="AD35" s="53">
        <f>ROUND($B$6*$B$8*$B$12*$B$16*$B$17*$B$21*$B$22,0)</f>
        <v/>
      </c>
      <c r="AE35" s="53">
        <f>ROUND($B$6*$B$8*$B$12*$B$16*$B$17*$B$21*$B$23,0)</f>
        <v/>
      </c>
      <c r="AF35" s="53">
        <f>ROUND($B$6*$B$8*$B$12*$B$16*$B$18*$B$20*$B$22,0)</f>
        <v/>
      </c>
      <c r="AG35" s="53">
        <f>ROUND($B$6*$B$8*$B$12*$B$16*$B$18*$B$20*$B$23,0)</f>
        <v/>
      </c>
      <c r="AH35" s="53">
        <f>ROUND($B$6*$B$8*$B$12*$B$16*$B$18*$B$21*$B$22,0)</f>
        <v/>
      </c>
      <c r="AI35" s="53">
        <f>ROUND($B$6*$B$8*$B$12*$B$16*$B$18*$B$21*$B$23,0)</f>
        <v/>
      </c>
      <c r="AJ35" s="53">
        <f>ROUND($B$6*$B$8*$B$12*$B$16*$B$19*$B$20*$B$22,0)</f>
        <v/>
      </c>
      <c r="AK35" s="53">
        <f>ROUND($B$6*$B$8*$B$12*$B$16*$B$19*$B$20*$B$23,0)</f>
        <v/>
      </c>
      <c r="AL35" s="53">
        <f>ROUND($B$6*$B$8*$B$12*$B$16*$B$19*$B$21*$B$22,0)</f>
        <v/>
      </c>
      <c r="AM35" s="53">
        <f>ROUND($B$6*$B$8*$B$12*$B$16*$B$19*$B$21*$B$23,0)</f>
        <v/>
      </c>
    </row>
    <row r="36" ht="20.1" customHeight="1" s="62">
      <c r="A36" s="104" t="n"/>
      <c r="B36" s="101" t="inlineStr">
        <is>
          <t>Volume élevé (20+/mois)</t>
        </is>
      </c>
      <c r="C36" s="49" t="inlineStr">
        <is>
          <t>1-5 utilisateurs</t>
        </is>
      </c>
      <c r="D36" s="50">
        <f>ROUND($B$4*$B$8*$B$13*$B$14*$B$17*$B$20*$B$22,0)</f>
        <v/>
      </c>
      <c r="E36" s="50">
        <f>ROUND($B$4*$B$8*$B$13*$B$14*$B$17*$B$20*$B$23,0)</f>
        <v/>
      </c>
      <c r="F36" s="50">
        <f>ROUND($B$4*$B$8*$B$13*$B$14*$B$17*$B$21*$B$22,0)</f>
        <v/>
      </c>
      <c r="G36" s="50">
        <f>ROUND($B$4*$B$8*$B$13*$B$14*$B$17*$B$21*$B$23,0)</f>
        <v/>
      </c>
      <c r="H36" s="50">
        <f>ROUND($B$4*$B$8*$B$13*$B$14*$B$18*$B$20*$B$22,0)</f>
        <v/>
      </c>
      <c r="I36" s="50">
        <f>ROUND($B$4*$B$8*$B$13*$B$14*$B$18*$B$20*$B$23,0)</f>
        <v/>
      </c>
      <c r="J36" s="50">
        <f>ROUND($B$4*$B$8*$B$13*$B$14*$B$18*$B$21*$B$22,0)</f>
        <v/>
      </c>
      <c r="K36" s="50">
        <f>ROUND($B$4*$B$8*$B$13*$B$14*$B$18*$B$21*$B$23,0)</f>
        <v/>
      </c>
      <c r="L36" s="50">
        <f>ROUND($B$4*$B$8*$B$13*$B$14*$B$19*$B$20*$B$22,0)</f>
        <v/>
      </c>
      <c r="M36" s="50">
        <f>ROUND($B$4*$B$8*$B$13*$B$14*$B$19*$B$20*$B$23,0)</f>
        <v/>
      </c>
      <c r="N36" s="50">
        <f>ROUND($B$4*$B$8*$B$13*$B$14*$B$19*$B$21*$B$22,0)</f>
        <v/>
      </c>
      <c r="O36" s="50">
        <f>ROUND($B$4*$B$8*$B$13*$B$14*$B$19*$B$21*$B$23,0)</f>
        <v/>
      </c>
      <c r="P36" s="53">
        <f>ROUND($B$5*$B$8*$B$13*$B$14*$B$17*$B$20*$B$22,0)</f>
        <v/>
      </c>
      <c r="Q36" s="53">
        <f>ROUND($B$5*$B$8*$B$13*$B$14*$B$17*$B$20*$B$23,0)</f>
        <v/>
      </c>
      <c r="R36" s="53">
        <f>ROUND($B$5*$B$8*$B$13*$B$14*$B$17*$B$21*$B$22,0)</f>
        <v/>
      </c>
      <c r="S36" s="53">
        <f>ROUND($B$5*$B$8*$B$13*$B$14*$B$17*$B$21*$B$23,0)</f>
        <v/>
      </c>
      <c r="T36" s="53">
        <f>ROUND($B$5*$B$8*$B$13*$B$14*$B$18*$B$20*$B$22,0)</f>
        <v/>
      </c>
      <c r="U36" s="53">
        <f>ROUND($B$5*$B$8*$B$13*$B$14*$B$18*$B$20*$B$23,0)</f>
        <v/>
      </c>
      <c r="V36" s="53">
        <f>ROUND($B$5*$B$8*$B$13*$B$14*$B$18*$B$21*$B$22,0)</f>
        <v/>
      </c>
      <c r="W36" s="53">
        <f>ROUND($B$5*$B$8*$B$13*$B$14*$B$18*$B$21*$B$23,0)</f>
        <v/>
      </c>
      <c r="X36" s="53">
        <f>ROUND($B$5*$B$8*$B$13*$B$14*$B$19*$B$20*$B$22,0)</f>
        <v/>
      </c>
      <c r="Y36" s="53">
        <f>ROUND($B$5*$B$8*$B$13*$B$14*$B$19*$B$20*$B$23,0)</f>
        <v/>
      </c>
      <c r="Z36" s="53">
        <f>ROUND($B$5*$B$8*$B$13*$B$14*$B$19*$B$21*$B$22,0)</f>
        <v/>
      </c>
      <c r="AA36" s="53">
        <f>ROUND($B$5*$B$8*$B$13*$B$14*$B$19*$B$21*$B$23,0)</f>
        <v/>
      </c>
      <c r="AB36" s="53">
        <f>ROUND($B$6*$B$8*$B$13*$B$14*$B$17*$B$20*$B$22,0)</f>
        <v/>
      </c>
      <c r="AC36" s="53">
        <f>ROUND($B$6*$B$8*$B$13*$B$14*$B$17*$B$20*$B$23,0)</f>
        <v/>
      </c>
      <c r="AD36" s="53">
        <f>ROUND($B$6*$B$8*$B$13*$B$14*$B$17*$B$21*$B$22,0)</f>
        <v/>
      </c>
      <c r="AE36" s="53">
        <f>ROUND($B$6*$B$8*$B$13*$B$14*$B$17*$B$21*$B$23,0)</f>
        <v/>
      </c>
      <c r="AF36" s="53">
        <f>ROUND($B$6*$B$8*$B$13*$B$14*$B$18*$B$20*$B$22,0)</f>
        <v/>
      </c>
      <c r="AG36" s="53">
        <f>ROUND($B$6*$B$8*$B$13*$B$14*$B$18*$B$20*$B$23,0)</f>
        <v/>
      </c>
      <c r="AH36" s="53">
        <f>ROUND($B$6*$B$8*$B$13*$B$14*$B$18*$B$21*$B$22,0)</f>
        <v/>
      </c>
      <c r="AI36" s="53">
        <f>ROUND($B$6*$B$8*$B$13*$B$14*$B$18*$B$21*$B$23,0)</f>
        <v/>
      </c>
      <c r="AJ36" s="53">
        <f>ROUND($B$6*$B$8*$B$13*$B$14*$B$19*$B$20*$B$22,0)</f>
        <v/>
      </c>
      <c r="AK36" s="53">
        <f>ROUND($B$6*$B$8*$B$13*$B$14*$B$19*$B$20*$B$23,0)</f>
        <v/>
      </c>
      <c r="AL36" s="53">
        <f>ROUND($B$6*$B$8*$B$13*$B$14*$B$19*$B$21*$B$22,0)</f>
        <v/>
      </c>
      <c r="AM36" s="53">
        <f>ROUND($B$6*$B$8*$B$13*$B$14*$B$19*$B$21*$B$23,0)</f>
        <v/>
      </c>
    </row>
    <row r="37" ht="20.1" customHeight="1" s="62">
      <c r="A37" s="104" t="n"/>
      <c r="B37" s="58" t="n"/>
      <c r="C37" s="101" t="inlineStr">
        <is>
          <t>6-20 utilisateurs</t>
        </is>
      </c>
      <c r="D37" s="50">
        <f>ROUND($B$4*$B$8*$B$13*$B$15*$B$17*$B$20*$B$22,0)</f>
        <v/>
      </c>
      <c r="E37" s="50">
        <f>ROUND($B$4*$B$8*$B$13*$B$15*$B$17*$B$20*$B$23,0)</f>
        <v/>
      </c>
      <c r="F37" s="50">
        <f>ROUND($B$4*$B$8*$B$13*$B$15*$B$17*$B$21*$B$22,0)</f>
        <v/>
      </c>
      <c r="G37" s="50">
        <f>ROUND($B$4*$B$8*$B$13*$B$15*$B$17*$B$21*$B$23,0)</f>
        <v/>
      </c>
      <c r="H37" s="50">
        <f>ROUND($B$4*$B$8*$B$13*$B$15*$B$18*$B$20*$B$22,0)</f>
        <v/>
      </c>
      <c r="I37" s="50">
        <f>ROUND($B$4*$B$8*$B$13*$B$15*$B$18*$B$20*$B$23,0)</f>
        <v/>
      </c>
      <c r="J37" s="50">
        <f>ROUND($B$4*$B$8*$B$13*$B$15*$B$18*$B$21*$B$22,0)</f>
        <v/>
      </c>
      <c r="K37" s="50">
        <f>ROUND($B$4*$B$8*$B$13*$B$15*$B$18*$B$21*$B$23,0)</f>
        <v/>
      </c>
      <c r="L37" s="50">
        <f>ROUND($B$4*$B$8*$B$13*$B$15*$B$19*$B$20*$B$22,0)</f>
        <v/>
      </c>
      <c r="M37" s="50">
        <f>ROUND($B$4*$B$8*$B$13*$B$15*$B$19*$B$20*$B$23,0)</f>
        <v/>
      </c>
      <c r="N37" s="50">
        <f>ROUND($B$4*$B$8*$B$13*$B$15*$B$19*$B$21*$B$22,0)</f>
        <v/>
      </c>
      <c r="O37" s="50">
        <f>ROUND($B$4*$B$8*$B$13*$B$15*$B$19*$B$21*$B$23,0)</f>
        <v/>
      </c>
      <c r="P37" s="53">
        <f>ROUND($B$5*$B$8*$B$13*$B$15*$B$17*$B$20*$B$22,0)</f>
        <v/>
      </c>
      <c r="Q37" s="53">
        <f>ROUND($B$5*$B$8*$B$13*$B$15*$B$17*$B$20*$B$23,0)</f>
        <v/>
      </c>
      <c r="R37" s="53">
        <f>ROUND($B$5*$B$8*$B$13*$B$15*$B$17*$B$21*$B$22,0)</f>
        <v/>
      </c>
      <c r="S37" s="53">
        <f>ROUND($B$5*$B$8*$B$13*$B$15*$B$17*$B$21*$B$23,0)</f>
        <v/>
      </c>
      <c r="T37" s="53">
        <f>ROUND($B$5*$B$8*$B$13*$B$15*$B$18*$B$20*$B$22,0)</f>
        <v/>
      </c>
      <c r="U37" s="53">
        <f>ROUND($B$5*$B$8*$B$13*$B$15*$B$18*$B$20*$B$23,0)</f>
        <v/>
      </c>
      <c r="V37" s="53">
        <f>ROUND($B$5*$B$8*$B$13*$B$15*$B$18*$B$21*$B$22,0)</f>
        <v/>
      </c>
      <c r="W37" s="53">
        <f>ROUND($B$5*$B$8*$B$13*$B$15*$B$18*$B$21*$B$23,0)</f>
        <v/>
      </c>
      <c r="X37" s="53">
        <f>ROUND($B$5*$B$8*$B$13*$B$15*$B$19*$B$20*$B$22,0)</f>
        <v/>
      </c>
      <c r="Y37" s="53">
        <f>ROUND($B$5*$B$8*$B$13*$B$15*$B$19*$B$20*$B$23,0)</f>
        <v/>
      </c>
      <c r="Z37" s="53">
        <f>ROUND($B$5*$B$8*$B$13*$B$15*$B$19*$B$21*$B$22,0)</f>
        <v/>
      </c>
      <c r="AA37" s="53">
        <f>ROUND($B$5*$B$8*$B$13*$B$15*$B$19*$B$21*$B$23,0)</f>
        <v/>
      </c>
      <c r="AB37" s="53">
        <f>ROUND($B$6*$B$8*$B$13*$B$15*$B$17*$B$20*$B$22,0)</f>
        <v/>
      </c>
      <c r="AC37" s="53">
        <f>ROUND($B$6*$B$8*$B$13*$B$15*$B$17*$B$20*$B$23,0)</f>
        <v/>
      </c>
      <c r="AD37" s="53">
        <f>ROUND($B$6*$B$8*$B$13*$B$15*$B$17*$B$21*$B$22,0)</f>
        <v/>
      </c>
      <c r="AE37" s="53">
        <f>ROUND($B$6*$B$8*$B$13*$B$15*$B$17*$B$21*$B$23,0)</f>
        <v/>
      </c>
      <c r="AF37" s="53">
        <f>ROUND($B$6*$B$8*$B$13*$B$15*$B$18*$B$20*$B$22,0)</f>
        <v/>
      </c>
      <c r="AG37" s="53">
        <f>ROUND($B$6*$B$8*$B$13*$B$15*$B$18*$B$20*$B$23,0)</f>
        <v/>
      </c>
      <c r="AH37" s="53">
        <f>ROUND($B$6*$B$8*$B$13*$B$15*$B$18*$B$21*$B$22,0)</f>
        <v/>
      </c>
      <c r="AI37" s="53">
        <f>ROUND($B$6*$B$8*$B$13*$B$15*$B$18*$B$21*$B$23,0)</f>
        <v/>
      </c>
      <c r="AJ37" s="53">
        <f>ROUND($B$6*$B$8*$B$13*$B$15*$B$19*$B$20*$B$22,0)</f>
        <v/>
      </c>
      <c r="AK37" s="53">
        <f>ROUND($B$6*$B$8*$B$13*$B$15*$B$19*$B$20*$B$23,0)</f>
        <v/>
      </c>
      <c r="AL37" s="53">
        <f>ROUND($B$6*$B$8*$B$13*$B$15*$B$19*$B$21*$B$22,0)</f>
        <v/>
      </c>
      <c r="AM37" s="53">
        <f>ROUND($B$6*$B$8*$B$13*$B$15*$B$19*$B$21*$B$23,0)</f>
        <v/>
      </c>
    </row>
    <row r="38" ht="20.1" customHeight="1" s="62">
      <c r="A38" s="105" t="n"/>
      <c r="B38" s="59" t="n"/>
      <c r="C38" s="51" t="inlineStr">
        <is>
          <t>21+ utilisateurs</t>
        </is>
      </c>
      <c r="D38" s="50">
        <f>ROUND($B$4*$B$8*$B$13*$B$16*$B$17*$B$20*$B$22,0)</f>
        <v/>
      </c>
      <c r="E38" s="50">
        <f>ROUND($B$4*$B$8*$B$13*$B$16*$B$17*$B$20*$B$23,0)</f>
        <v/>
      </c>
      <c r="F38" s="50">
        <f>ROUND($B$4*$B$8*$B$13*$B$16*$B$17*$B$21*$B$22,0)</f>
        <v/>
      </c>
      <c r="G38" s="50">
        <f>ROUND($B$4*$B$8*$B$13*$B$16*$B$17*$B$21*$B$23,0)</f>
        <v/>
      </c>
      <c r="H38" s="50">
        <f>ROUND($B$4*$B$8*$B$13*$B$16*$B$18*$B$20*$B$22,0)</f>
        <v/>
      </c>
      <c r="I38" s="50">
        <f>ROUND($B$4*$B$8*$B$13*$B$16*$B$18*$B$20*$B$23,0)</f>
        <v/>
      </c>
      <c r="J38" s="50">
        <f>ROUND($B$4*$B$8*$B$13*$B$16*$B$18*$B$21*$B$22,0)</f>
        <v/>
      </c>
      <c r="K38" s="50">
        <f>ROUND($B$4*$B$8*$B$13*$B$16*$B$18*$B$21*$B$23,0)</f>
        <v/>
      </c>
      <c r="L38" s="50">
        <f>ROUND($B$4*$B$8*$B$13*$B$16*$B$19*$B$20*$B$22,0)</f>
        <v/>
      </c>
      <c r="M38" s="50">
        <f>ROUND($B$4*$B$8*$B$13*$B$16*$B$19*$B$20*$B$23,0)</f>
        <v/>
      </c>
      <c r="N38" s="50">
        <f>ROUND($B$4*$B$8*$B$13*$B$16*$B$19*$B$21*$B$22,0)</f>
        <v/>
      </c>
      <c r="O38" s="50">
        <f>ROUND($B$4*$B$8*$B$13*$B$16*$B$19*$B$21*$B$23,0)</f>
        <v/>
      </c>
      <c r="P38" s="53">
        <f>ROUND($B$5*$B$8*$B$13*$B$16*$B$17*$B$20*$B$22,0)</f>
        <v/>
      </c>
      <c r="Q38" s="53">
        <f>ROUND($B$5*$B$8*$B$13*$B$16*$B$17*$B$20*$B$23,0)</f>
        <v/>
      </c>
      <c r="R38" s="53">
        <f>ROUND($B$5*$B$8*$B$13*$B$16*$B$17*$B$21*$B$22,0)</f>
        <v/>
      </c>
      <c r="S38" s="53">
        <f>ROUND($B$5*$B$8*$B$13*$B$16*$B$17*$B$21*$B$23,0)</f>
        <v/>
      </c>
      <c r="T38" s="53">
        <f>ROUND($B$5*$B$8*$B$13*$B$16*$B$18*$B$20*$B$22,0)</f>
        <v/>
      </c>
      <c r="U38" s="53">
        <f>ROUND($B$5*$B$8*$B$13*$B$16*$B$18*$B$20*$B$23,0)</f>
        <v/>
      </c>
      <c r="V38" s="53">
        <f>ROUND($B$5*$B$8*$B$13*$B$16*$B$18*$B$21*$B$22,0)</f>
        <v/>
      </c>
      <c r="W38" s="53">
        <f>ROUND($B$5*$B$8*$B$13*$B$16*$B$18*$B$21*$B$23,0)</f>
        <v/>
      </c>
      <c r="X38" s="53">
        <f>ROUND($B$5*$B$8*$B$13*$B$16*$B$19*$B$20*$B$22,0)</f>
        <v/>
      </c>
      <c r="Y38" s="53">
        <f>ROUND($B$5*$B$8*$B$13*$B$16*$B$19*$B$20*$B$23,0)</f>
        <v/>
      </c>
      <c r="Z38" s="53">
        <f>ROUND($B$5*$B$8*$B$13*$B$16*$B$19*$B$21*$B$22,0)</f>
        <v/>
      </c>
      <c r="AA38" s="53">
        <f>ROUND($B$5*$B$8*$B$13*$B$16*$B$19*$B$21*$B$23,0)</f>
        <v/>
      </c>
      <c r="AB38" s="53">
        <f>ROUND($B$6*$B$8*$B$13*$B$16*$B$17*$B$20*$B$22,0)</f>
        <v/>
      </c>
      <c r="AC38" s="53">
        <f>ROUND($B$6*$B$8*$B$13*$B$16*$B$17*$B$20*$B$23,0)</f>
        <v/>
      </c>
      <c r="AD38" s="53">
        <f>ROUND($B$6*$B$8*$B$13*$B$16*$B$17*$B$21*$B$22,0)</f>
        <v/>
      </c>
      <c r="AE38" s="53">
        <f>ROUND($B$6*$B$8*$B$13*$B$16*$B$17*$B$21*$B$23,0)</f>
        <v/>
      </c>
      <c r="AF38" s="53">
        <f>ROUND($B$6*$B$8*$B$13*$B$16*$B$18*$B$20*$B$22,0)</f>
        <v/>
      </c>
      <c r="AG38" s="53">
        <f>ROUND($B$6*$B$8*$B$13*$B$16*$B$18*$B$20*$B$23,0)</f>
        <v/>
      </c>
      <c r="AH38" s="53">
        <f>ROUND($B$6*$B$8*$B$13*$B$16*$B$18*$B$21*$B$22,0)</f>
        <v/>
      </c>
      <c r="AI38" s="53">
        <f>ROUND($B$6*$B$8*$B$13*$B$16*$B$18*$B$21*$B$23,0)</f>
        <v/>
      </c>
      <c r="AJ38" s="53">
        <f>ROUND($B$6*$B$8*$B$13*$B$16*$B$19*$B$20*$B$22,0)</f>
        <v/>
      </c>
      <c r="AK38" s="53">
        <f>ROUND($B$6*$B$8*$B$13*$B$16*$B$19*$B$20*$B$23,0)</f>
        <v/>
      </c>
      <c r="AL38" s="53">
        <f>ROUND($B$6*$B$8*$B$13*$B$16*$B$19*$B$21*$B$22,0)</f>
        <v/>
      </c>
      <c r="AM38" s="53">
        <f>ROUND($B$6*$B$8*$B$13*$B$16*$B$19*$B$21*$B$23,0)</f>
        <v/>
      </c>
    </row>
    <row r="39" ht="20.1" customHeight="1" s="62">
      <c r="A39" s="103" t="inlineStr">
        <is>
          <t>Niveau intermédiaire</t>
        </is>
      </c>
      <c r="B39" s="101" t="inlineStr">
        <is>
          <t>Volume faible (&lt; 5/mois)</t>
        </is>
      </c>
      <c r="C39" s="49" t="inlineStr">
        <is>
          <t>1-5 utilisateurs</t>
        </is>
      </c>
      <c r="D39" s="50">
        <f>ROUND($B$4*$B$9*$B$11*$B$14*$B$17*$B$20*$B$22,0)</f>
        <v/>
      </c>
      <c r="E39" s="50">
        <f>ROUND($B$4*$B$9*$B$11*$B$14*$B$17*$B$20*$B$23,0)</f>
        <v/>
      </c>
      <c r="F39" s="50">
        <f>ROUND($B$4*$B$9*$B$11*$B$14*$B$17*$B$21*$B$22,0)</f>
        <v/>
      </c>
      <c r="G39" s="50">
        <f>ROUND($B$4*$B$9*$B$11*$B$14*$B$17*$B$21*$B$23,0)</f>
        <v/>
      </c>
      <c r="H39" s="50">
        <f>ROUND($B$4*$B$9*$B$11*$B$14*$B$18*$B$20*$B$22,0)</f>
        <v/>
      </c>
      <c r="I39" s="50">
        <f>ROUND($B$4*$B$9*$B$11*$B$14*$B$18*$B$20*$B$23,0)</f>
        <v/>
      </c>
      <c r="J39" s="50">
        <f>ROUND($B$4*$B$9*$B$11*$B$14*$B$18*$B$21*$B$22,0)</f>
        <v/>
      </c>
      <c r="K39" s="50">
        <f>ROUND($B$4*$B$9*$B$11*$B$14*$B$18*$B$21*$B$23,0)</f>
        <v/>
      </c>
      <c r="L39" s="50">
        <f>ROUND($B$4*$B$9*$B$11*$B$14*$B$19*$B$20*$B$22,0)</f>
        <v/>
      </c>
      <c r="M39" s="50">
        <f>ROUND($B$4*$B$9*$B$11*$B$14*$B$19*$B$20*$B$23,0)</f>
        <v/>
      </c>
      <c r="N39" s="50">
        <f>ROUND($B$4*$B$9*$B$11*$B$14*$B$19*$B$21*$B$22,0)</f>
        <v/>
      </c>
      <c r="O39" s="50">
        <f>ROUND($B$4*$B$9*$B$11*$B$14*$B$19*$B$21*$B$23,0)</f>
        <v/>
      </c>
      <c r="P39" s="53">
        <f>ROUND($B$5*$B$9*$B$11*$B$14*$B$17*$B$20*$B$22,0)</f>
        <v/>
      </c>
      <c r="Q39" s="53">
        <f>ROUND($B$5*$B$9*$B$11*$B$14*$B$17*$B$20*$B$23,0)</f>
        <v/>
      </c>
      <c r="R39" s="53">
        <f>ROUND($B$5*$B$9*$B$11*$B$14*$B$17*$B$21*$B$22,0)</f>
        <v/>
      </c>
      <c r="S39" s="53">
        <f>ROUND($B$5*$B$9*$B$11*$B$14*$B$17*$B$21*$B$23,0)</f>
        <v/>
      </c>
      <c r="T39" s="53">
        <f>ROUND($B$5*$B$9*$B$11*$B$14*$B$18*$B$20*$B$22,0)</f>
        <v/>
      </c>
      <c r="U39" s="53">
        <f>ROUND($B$5*$B$9*$B$11*$B$14*$B$18*$B$20*$B$23,0)</f>
        <v/>
      </c>
      <c r="V39" s="53">
        <f>ROUND($B$5*$B$9*$B$11*$B$14*$B$18*$B$21*$B$22,0)</f>
        <v/>
      </c>
      <c r="W39" s="53">
        <f>ROUND($B$5*$B$9*$B$11*$B$14*$B$18*$B$21*$B$23,0)</f>
        <v/>
      </c>
      <c r="X39" s="53">
        <f>ROUND($B$5*$B$9*$B$11*$B$14*$B$19*$B$20*$B$22,0)</f>
        <v/>
      </c>
      <c r="Y39" s="53">
        <f>ROUND($B$5*$B$9*$B$11*$B$14*$B$19*$B$20*$B$23,0)</f>
        <v/>
      </c>
      <c r="Z39" s="53">
        <f>ROUND($B$5*$B$9*$B$11*$B$14*$B$19*$B$21*$B$22,0)</f>
        <v/>
      </c>
      <c r="AA39" s="53">
        <f>ROUND($B$5*$B$9*$B$11*$B$14*$B$19*$B$21*$B$23,0)</f>
        <v/>
      </c>
      <c r="AB39" s="53">
        <f>ROUND($B$6*$B$9*$B$11*$B$14*$B$17*$B$20*$B$22,0)</f>
        <v/>
      </c>
      <c r="AC39" s="53">
        <f>ROUND($B$6*$B$9*$B$11*$B$14*$B$17*$B$20*$B$23,0)</f>
        <v/>
      </c>
      <c r="AD39" s="53">
        <f>ROUND($B$6*$B$9*$B$11*$B$14*$B$17*$B$21*$B$22,0)</f>
        <v/>
      </c>
      <c r="AE39" s="53">
        <f>ROUND($B$6*$B$9*$B$11*$B$14*$B$17*$B$21*$B$23,0)</f>
        <v/>
      </c>
      <c r="AF39" s="53">
        <f>ROUND($B$6*$B$9*$B$11*$B$14*$B$18*$B$20*$B$22,0)</f>
        <v/>
      </c>
      <c r="AG39" s="53">
        <f>ROUND($B$6*$B$9*$B$11*$B$14*$B$18*$B$20*$B$23,0)</f>
        <v/>
      </c>
      <c r="AH39" s="53">
        <f>ROUND($B$6*$B$9*$B$11*$B$14*$B$18*$B$21*$B$22,0)</f>
        <v/>
      </c>
      <c r="AI39" s="53">
        <f>ROUND($B$6*$B$9*$B$11*$B$14*$B$18*$B$21*$B$23,0)</f>
        <v/>
      </c>
      <c r="AJ39" s="53">
        <f>ROUND($B$6*$B$9*$B$11*$B$14*$B$19*$B$20*$B$22,0)</f>
        <v/>
      </c>
      <c r="AK39" s="53">
        <f>ROUND($B$6*$B$9*$B$11*$B$14*$B$19*$B$20*$B$23,0)</f>
        <v/>
      </c>
      <c r="AL39" s="53">
        <f>ROUND($B$6*$B$9*$B$11*$B$14*$B$19*$B$21*$B$22,0)</f>
        <v/>
      </c>
      <c r="AM39" s="53">
        <f>ROUND($B$6*$B$9*$B$11*$B$14*$B$19*$B$21*$B$23,0)</f>
        <v/>
      </c>
    </row>
    <row r="40" ht="20.1" customHeight="1" s="62">
      <c r="A40" s="104" t="n"/>
      <c r="B40" s="58" t="n"/>
      <c r="C40" s="101" t="inlineStr">
        <is>
          <t>6-20 utilisateurs</t>
        </is>
      </c>
      <c r="D40" s="50">
        <f>ROUND($B$4*$B$9*$B$11*$B$15*$B$17*$B$20*$B$22,0)</f>
        <v/>
      </c>
      <c r="E40" s="50">
        <f>ROUND($B$4*$B$9*$B$11*$B$15*$B$17*$B$20*$B$23,0)</f>
        <v/>
      </c>
      <c r="F40" s="50">
        <f>ROUND($B$4*$B$9*$B$11*$B$15*$B$17*$B$21*$B$22,0)</f>
        <v/>
      </c>
      <c r="G40" s="50">
        <f>ROUND($B$4*$B$9*$B$11*$B$15*$B$17*$B$21*$B$23,0)</f>
        <v/>
      </c>
      <c r="H40" s="50">
        <f>ROUND($B$4*$B$9*$B$11*$B$15*$B$18*$B$20*$B$22,0)</f>
        <v/>
      </c>
      <c r="I40" s="50">
        <f>ROUND($B$4*$B$9*$B$11*$B$15*$B$18*$B$20*$B$23,0)</f>
        <v/>
      </c>
      <c r="J40" s="50">
        <f>ROUND($B$4*$B$9*$B$11*$B$15*$B$18*$B$21*$B$22,0)</f>
        <v/>
      </c>
      <c r="K40" s="50">
        <f>ROUND($B$4*$B$9*$B$11*$B$15*$B$18*$B$21*$B$23,0)</f>
        <v/>
      </c>
      <c r="L40" s="50">
        <f>ROUND($B$4*$B$9*$B$11*$B$15*$B$19*$B$20*$B$22,0)</f>
        <v/>
      </c>
      <c r="M40" s="50">
        <f>ROUND($B$4*$B$9*$B$11*$B$15*$B$19*$B$20*$B$23,0)</f>
        <v/>
      </c>
      <c r="N40" s="50">
        <f>ROUND($B$4*$B$9*$B$11*$B$15*$B$19*$B$21*$B$22,0)</f>
        <v/>
      </c>
      <c r="O40" s="50">
        <f>ROUND($B$4*$B$9*$B$11*$B$15*$B$19*$B$21*$B$23,0)</f>
        <v/>
      </c>
      <c r="P40" s="53">
        <f>ROUND($B$5*$B$9*$B$11*$B$15*$B$17*$B$20*$B$22,0)</f>
        <v/>
      </c>
      <c r="Q40" s="53">
        <f>ROUND($B$5*$B$9*$B$11*$B$15*$B$17*$B$20*$B$23,0)</f>
        <v/>
      </c>
      <c r="R40" s="53">
        <f>ROUND($B$5*$B$9*$B$11*$B$15*$B$17*$B$21*$B$22,0)</f>
        <v/>
      </c>
      <c r="S40" s="53">
        <f>ROUND($B$5*$B$9*$B$11*$B$15*$B$17*$B$21*$B$23,0)</f>
        <v/>
      </c>
      <c r="T40" s="53">
        <f>ROUND($B$5*$B$9*$B$11*$B$15*$B$18*$B$20*$B$22,0)</f>
        <v/>
      </c>
      <c r="U40" s="53">
        <f>ROUND($B$5*$B$9*$B$11*$B$15*$B$18*$B$20*$B$23,0)</f>
        <v/>
      </c>
      <c r="V40" s="53">
        <f>ROUND($B$5*$B$9*$B$11*$B$15*$B$18*$B$21*$B$22,0)</f>
        <v/>
      </c>
      <c r="W40" s="53">
        <f>ROUND($B$5*$B$9*$B$11*$B$15*$B$18*$B$21*$B$23,0)</f>
        <v/>
      </c>
      <c r="X40" s="53">
        <f>ROUND($B$5*$B$9*$B$11*$B$15*$B$19*$B$20*$B$22,0)</f>
        <v/>
      </c>
      <c r="Y40" s="53">
        <f>ROUND($B$5*$B$9*$B$11*$B$15*$B$19*$B$20*$B$23,0)</f>
        <v/>
      </c>
      <c r="Z40" s="53">
        <f>ROUND($B$5*$B$9*$B$11*$B$15*$B$19*$B$21*$B$22,0)</f>
        <v/>
      </c>
      <c r="AA40" s="53">
        <f>ROUND($B$5*$B$9*$B$11*$B$15*$B$19*$B$21*$B$23,0)</f>
        <v/>
      </c>
      <c r="AB40" s="53">
        <f>ROUND($B$6*$B$9*$B$11*$B$15*$B$17*$B$20*$B$22,0)</f>
        <v/>
      </c>
      <c r="AC40" s="53">
        <f>ROUND($B$6*$B$9*$B$11*$B$15*$B$17*$B$20*$B$23,0)</f>
        <v/>
      </c>
      <c r="AD40" s="53">
        <f>ROUND($B$6*$B$9*$B$11*$B$15*$B$17*$B$21*$B$22,0)</f>
        <v/>
      </c>
      <c r="AE40" s="53">
        <f>ROUND($B$6*$B$9*$B$11*$B$15*$B$17*$B$21*$B$23,0)</f>
        <v/>
      </c>
      <c r="AF40" s="53">
        <f>ROUND($B$6*$B$9*$B$11*$B$15*$B$18*$B$20*$B$22,0)</f>
        <v/>
      </c>
      <c r="AG40" s="53">
        <f>ROUND($B$6*$B$9*$B$11*$B$15*$B$18*$B$20*$B$23,0)</f>
        <v/>
      </c>
      <c r="AH40" s="53">
        <f>ROUND($B$6*$B$9*$B$11*$B$15*$B$18*$B$21*$B$22,0)</f>
        <v/>
      </c>
      <c r="AI40" s="53">
        <f>ROUND($B$6*$B$9*$B$11*$B$15*$B$18*$B$21*$B$23,0)</f>
        <v/>
      </c>
      <c r="AJ40" s="53">
        <f>ROUND($B$6*$B$9*$B$11*$B$15*$B$19*$B$20*$B$22,0)</f>
        <v/>
      </c>
      <c r="AK40" s="53">
        <f>ROUND($B$6*$B$9*$B$11*$B$15*$B$19*$B$20*$B$23,0)</f>
        <v/>
      </c>
      <c r="AL40" s="53">
        <f>ROUND($B$6*$B$9*$B$11*$B$15*$B$19*$B$21*$B$22,0)</f>
        <v/>
      </c>
      <c r="AM40" s="53">
        <f>ROUND($B$6*$B$9*$B$11*$B$15*$B$19*$B$21*$B$23,0)</f>
        <v/>
      </c>
    </row>
    <row r="41" ht="20.1" customHeight="1" s="62">
      <c r="A41" s="104" t="n"/>
      <c r="B41" s="59" t="n"/>
      <c r="C41" s="51" t="inlineStr">
        <is>
          <t>21+ utilisateurs</t>
        </is>
      </c>
      <c r="D41" s="50">
        <f>ROUND($B$4*$B$9*$B$11*$B$16*$B$17*$B$20*$B$22,0)</f>
        <v/>
      </c>
      <c r="E41" s="50">
        <f>ROUND($B$4*$B$9*$B$11*$B$16*$B$17*$B$20*$B$23,0)</f>
        <v/>
      </c>
      <c r="F41" s="50">
        <f>ROUND($B$4*$B$9*$B$11*$B$16*$B$17*$B$21*$B$22,0)</f>
        <v/>
      </c>
      <c r="G41" s="50">
        <f>ROUND($B$4*$B$9*$B$11*$B$16*$B$17*$B$21*$B$23,0)</f>
        <v/>
      </c>
      <c r="H41" s="50">
        <f>ROUND($B$4*$B$9*$B$11*$B$16*$B$18*$B$20*$B$22,0)</f>
        <v/>
      </c>
      <c r="I41" s="50">
        <f>ROUND($B$4*$B$9*$B$11*$B$16*$B$18*$B$20*$B$23,0)</f>
        <v/>
      </c>
      <c r="J41" s="50">
        <f>ROUND($B$4*$B$9*$B$11*$B$16*$B$18*$B$21*$B$22,0)</f>
        <v/>
      </c>
      <c r="K41" s="50">
        <f>ROUND($B$4*$B$9*$B$11*$B$16*$B$18*$B$21*$B$23,0)</f>
        <v/>
      </c>
      <c r="L41" s="50">
        <f>ROUND($B$4*$B$9*$B$11*$B$16*$B$19*$B$20*$B$22,0)</f>
        <v/>
      </c>
      <c r="M41" s="50">
        <f>ROUND($B$4*$B$9*$B$11*$B$16*$B$19*$B$20*$B$23,0)</f>
        <v/>
      </c>
      <c r="N41" s="50">
        <f>ROUND($B$4*$B$9*$B$11*$B$16*$B$19*$B$21*$B$22,0)</f>
        <v/>
      </c>
      <c r="O41" s="50">
        <f>ROUND($B$4*$B$9*$B$11*$B$16*$B$19*$B$21*$B$23,0)</f>
        <v/>
      </c>
      <c r="P41" s="53">
        <f>ROUND($B$5*$B$9*$B$11*$B$16*$B$17*$B$20*$B$22,0)</f>
        <v/>
      </c>
      <c r="Q41" s="53">
        <f>ROUND($B$5*$B$9*$B$11*$B$16*$B$17*$B$20*$B$23,0)</f>
        <v/>
      </c>
      <c r="R41" s="53">
        <f>ROUND($B$5*$B$9*$B$11*$B$16*$B$17*$B$21*$B$22,0)</f>
        <v/>
      </c>
      <c r="S41" s="53">
        <f>ROUND($B$5*$B$9*$B$11*$B$16*$B$17*$B$21*$B$23,0)</f>
        <v/>
      </c>
      <c r="T41" s="53">
        <f>ROUND($B$5*$B$9*$B$11*$B$16*$B$18*$B$20*$B$22,0)</f>
        <v/>
      </c>
      <c r="U41" s="53">
        <f>ROUND($B$5*$B$9*$B$11*$B$16*$B$18*$B$20*$B$23,0)</f>
        <v/>
      </c>
      <c r="V41" s="53">
        <f>ROUND($B$5*$B$9*$B$11*$B$16*$B$18*$B$21*$B$22,0)</f>
        <v/>
      </c>
      <c r="W41" s="53">
        <f>ROUND($B$5*$B$9*$B$11*$B$16*$B$18*$B$21*$B$23,0)</f>
        <v/>
      </c>
      <c r="X41" s="53">
        <f>ROUND($B$5*$B$9*$B$11*$B$16*$B$19*$B$20*$B$22,0)</f>
        <v/>
      </c>
      <c r="Y41" s="53">
        <f>ROUND($B$5*$B$9*$B$11*$B$16*$B$19*$B$20*$B$23,0)</f>
        <v/>
      </c>
      <c r="Z41" s="53">
        <f>ROUND($B$5*$B$9*$B$11*$B$16*$B$19*$B$21*$B$22,0)</f>
        <v/>
      </c>
      <c r="AA41" s="53">
        <f>ROUND($B$5*$B$9*$B$11*$B$16*$B$19*$B$21*$B$23,0)</f>
        <v/>
      </c>
      <c r="AB41" s="53">
        <f>ROUND($B$6*$B$9*$B$11*$B$16*$B$17*$B$20*$B$22,0)</f>
        <v/>
      </c>
      <c r="AC41" s="53">
        <f>ROUND($B$6*$B$9*$B$11*$B$16*$B$17*$B$20*$B$23,0)</f>
        <v/>
      </c>
      <c r="AD41" s="53">
        <f>ROUND($B$6*$B$9*$B$11*$B$16*$B$17*$B$21*$B$22,0)</f>
        <v/>
      </c>
      <c r="AE41" s="53">
        <f>ROUND($B$6*$B$9*$B$11*$B$16*$B$17*$B$21*$B$23,0)</f>
        <v/>
      </c>
      <c r="AF41" s="53">
        <f>ROUND($B$6*$B$9*$B$11*$B$16*$B$18*$B$20*$B$22,0)</f>
        <v/>
      </c>
      <c r="AG41" s="53">
        <f>ROUND($B$6*$B$9*$B$11*$B$16*$B$18*$B$20*$B$23,0)</f>
        <v/>
      </c>
      <c r="AH41" s="53">
        <f>ROUND($B$6*$B$9*$B$11*$B$16*$B$18*$B$21*$B$22,0)</f>
        <v/>
      </c>
      <c r="AI41" s="53">
        <f>ROUND($B$6*$B$9*$B$11*$B$16*$B$18*$B$21*$B$23,0)</f>
        <v/>
      </c>
      <c r="AJ41" s="53">
        <f>ROUND($B$6*$B$9*$B$11*$B$16*$B$19*$B$20*$B$22,0)</f>
        <v/>
      </c>
      <c r="AK41" s="53">
        <f>ROUND($B$6*$B$9*$B$11*$B$16*$B$19*$B$20*$B$23,0)</f>
        <v/>
      </c>
      <c r="AL41" s="53">
        <f>ROUND($B$6*$B$9*$B$11*$B$16*$B$19*$B$21*$B$22,0)</f>
        <v/>
      </c>
      <c r="AM41" s="53">
        <f>ROUND($B$6*$B$9*$B$11*$B$16*$B$19*$B$21*$B$23,0)</f>
        <v/>
      </c>
    </row>
    <row r="42" ht="20.1" customHeight="1" s="62">
      <c r="A42" s="104" t="n"/>
      <c r="B42" s="101" t="inlineStr">
        <is>
          <t>Volume moyen (5-20/mois)</t>
        </is>
      </c>
      <c r="C42" s="49" t="inlineStr">
        <is>
          <t>1-5 utilisateurs</t>
        </is>
      </c>
      <c r="D42" s="50">
        <f>ROUND($B$4*$B$9*$B$12*$B$14*$B$17*$B$20*$B$22,0)</f>
        <v/>
      </c>
      <c r="E42" s="50">
        <f>ROUND($B$4*$B$9*$B$12*$B$14*$B$17*$B$20*$B$23,0)</f>
        <v/>
      </c>
      <c r="F42" s="50">
        <f>ROUND($B$4*$B$9*$B$12*$B$14*$B$17*$B$21*$B$22,0)</f>
        <v/>
      </c>
      <c r="G42" s="50">
        <f>ROUND($B$4*$B$9*$B$12*$B$14*$B$17*$B$21*$B$23,0)</f>
        <v/>
      </c>
      <c r="H42" s="50">
        <f>ROUND($B$4*$B$9*$B$12*$B$14*$B$18*$B$20*$B$22,0)</f>
        <v/>
      </c>
      <c r="I42" s="50">
        <f>ROUND($B$4*$B$9*$B$12*$B$14*$B$18*$B$20*$B$23,0)</f>
        <v/>
      </c>
      <c r="J42" s="50">
        <f>ROUND($B$4*$B$9*$B$12*$B$14*$B$18*$B$21*$B$22,0)</f>
        <v/>
      </c>
      <c r="K42" s="50">
        <f>ROUND($B$4*$B$9*$B$12*$B$14*$B$18*$B$21*$B$23,0)</f>
        <v/>
      </c>
      <c r="L42" s="50">
        <f>ROUND($B$4*$B$9*$B$12*$B$14*$B$19*$B$20*$B$22,0)</f>
        <v/>
      </c>
      <c r="M42" s="50">
        <f>ROUND($B$4*$B$9*$B$12*$B$14*$B$19*$B$20*$B$23,0)</f>
        <v/>
      </c>
      <c r="N42" s="50">
        <f>ROUND($B$4*$B$9*$B$12*$B$14*$B$19*$B$21*$B$22,0)</f>
        <v/>
      </c>
      <c r="O42" s="50">
        <f>ROUND($B$4*$B$9*$B$12*$B$14*$B$19*$B$21*$B$23,0)</f>
        <v/>
      </c>
      <c r="P42" s="53">
        <f>ROUND($B$5*$B$9*$B$12*$B$14*$B$17*$B$20*$B$22,0)</f>
        <v/>
      </c>
      <c r="Q42" s="53">
        <f>ROUND($B$5*$B$9*$B$12*$B$14*$B$17*$B$20*$B$23,0)</f>
        <v/>
      </c>
      <c r="R42" s="53">
        <f>ROUND($B$5*$B$9*$B$12*$B$14*$B$17*$B$21*$B$22,0)</f>
        <v/>
      </c>
      <c r="S42" s="53">
        <f>ROUND($B$5*$B$9*$B$12*$B$14*$B$17*$B$21*$B$23,0)</f>
        <v/>
      </c>
      <c r="T42" s="53">
        <f>ROUND($B$5*$B$9*$B$12*$B$14*$B$18*$B$20*$B$22,0)</f>
        <v/>
      </c>
      <c r="U42" s="53">
        <f>ROUND($B$5*$B$9*$B$12*$B$14*$B$18*$B$20*$B$23,0)</f>
        <v/>
      </c>
      <c r="V42" s="53">
        <f>ROUND($B$5*$B$9*$B$12*$B$14*$B$18*$B$21*$B$22,0)</f>
        <v/>
      </c>
      <c r="W42" s="53">
        <f>ROUND($B$5*$B$9*$B$12*$B$14*$B$18*$B$21*$B$23,0)</f>
        <v/>
      </c>
      <c r="X42" s="53">
        <f>ROUND($B$5*$B$9*$B$12*$B$14*$B$19*$B$20*$B$22,0)</f>
        <v/>
      </c>
      <c r="Y42" s="53">
        <f>ROUND($B$5*$B$9*$B$12*$B$14*$B$19*$B$20*$B$23,0)</f>
        <v/>
      </c>
      <c r="Z42" s="53">
        <f>ROUND($B$5*$B$9*$B$12*$B$14*$B$19*$B$21*$B$22,0)</f>
        <v/>
      </c>
      <c r="AA42" s="53">
        <f>ROUND($B$5*$B$9*$B$12*$B$14*$B$19*$B$21*$B$23,0)</f>
        <v/>
      </c>
      <c r="AB42" s="53">
        <f>ROUND($B$6*$B$9*$B$12*$B$14*$B$17*$B$20*$B$22,0)</f>
        <v/>
      </c>
      <c r="AC42" s="53">
        <f>ROUND($B$6*$B$9*$B$12*$B$14*$B$17*$B$20*$B$23,0)</f>
        <v/>
      </c>
      <c r="AD42" s="53">
        <f>ROUND($B$6*$B$9*$B$12*$B$14*$B$17*$B$21*$B$22,0)</f>
        <v/>
      </c>
      <c r="AE42" s="53">
        <f>ROUND($B$6*$B$9*$B$12*$B$14*$B$17*$B$21*$B$23,0)</f>
        <v/>
      </c>
      <c r="AF42" s="53">
        <f>ROUND($B$6*$B$9*$B$12*$B$14*$B$18*$B$20*$B$22,0)</f>
        <v/>
      </c>
      <c r="AG42" s="53">
        <f>ROUND($B$6*$B$9*$B$12*$B$14*$B$18*$B$20*$B$23,0)</f>
        <v/>
      </c>
      <c r="AH42" s="53">
        <f>ROUND($B$6*$B$9*$B$12*$B$14*$B$18*$B$21*$B$22,0)</f>
        <v/>
      </c>
      <c r="AI42" s="53">
        <f>ROUND($B$6*$B$9*$B$12*$B$14*$B$18*$B$21*$B$23,0)</f>
        <v/>
      </c>
      <c r="AJ42" s="53">
        <f>ROUND($B$6*$B$9*$B$12*$B$14*$B$19*$B$20*$B$22,0)</f>
        <v/>
      </c>
      <c r="AK42" s="53">
        <f>ROUND($B$6*$B$9*$B$12*$B$14*$B$19*$B$20*$B$23,0)</f>
        <v/>
      </c>
      <c r="AL42" s="53">
        <f>ROUND($B$6*$B$9*$B$12*$B$14*$B$19*$B$21*$B$22,0)</f>
        <v/>
      </c>
      <c r="AM42" s="53">
        <f>ROUND($B$6*$B$9*$B$12*$B$14*$B$19*$B$21*$B$23,0)</f>
        <v/>
      </c>
    </row>
    <row r="43" ht="20.1" customHeight="1" s="62">
      <c r="A43" s="104" t="n"/>
      <c r="B43" s="58" t="n"/>
      <c r="C43" s="101" t="inlineStr">
        <is>
          <t>6-20 utilisateurs</t>
        </is>
      </c>
      <c r="D43" s="50">
        <f>ROUND($B$4*$B$9*$B$12*$B$15*$B$17*$B$20*$B$22,0)</f>
        <v/>
      </c>
      <c r="E43" s="50">
        <f>ROUND($B$4*$B$9*$B$12*$B$15*$B$17*$B$20*$B$23,0)</f>
        <v/>
      </c>
      <c r="F43" s="50">
        <f>ROUND($B$4*$B$9*$B$12*$B$15*$B$17*$B$21*$B$22,0)</f>
        <v/>
      </c>
      <c r="G43" s="50">
        <f>ROUND($B$4*$B$9*$B$12*$B$15*$B$17*$B$21*$B$23,0)</f>
        <v/>
      </c>
      <c r="H43" s="50">
        <f>ROUND($B$4*$B$9*$B$12*$B$15*$B$18*$B$20*$B$22,0)</f>
        <v/>
      </c>
      <c r="I43" s="50">
        <f>ROUND($B$4*$B$9*$B$12*$B$15*$B$18*$B$20*$B$23,0)</f>
        <v/>
      </c>
      <c r="J43" s="50">
        <f>ROUND($B$4*$B$9*$B$12*$B$15*$B$18*$B$21*$B$22,0)</f>
        <v/>
      </c>
      <c r="K43" s="50">
        <f>ROUND($B$4*$B$9*$B$12*$B$15*$B$18*$B$21*$B$23,0)</f>
        <v/>
      </c>
      <c r="L43" s="50">
        <f>ROUND($B$4*$B$9*$B$12*$B$15*$B$19*$B$20*$B$22,0)</f>
        <v/>
      </c>
      <c r="M43" s="50">
        <f>ROUND($B$4*$B$9*$B$12*$B$15*$B$19*$B$20*$B$23,0)</f>
        <v/>
      </c>
      <c r="N43" s="50">
        <f>ROUND($B$4*$B$9*$B$12*$B$15*$B$19*$B$21*$B$22,0)</f>
        <v/>
      </c>
      <c r="O43" s="50">
        <f>ROUND($B$4*$B$9*$B$12*$B$15*$B$19*$B$21*$B$23,0)</f>
        <v/>
      </c>
      <c r="P43" s="53">
        <f>ROUND($B$5*$B$9*$B$12*$B$15*$B$17*$B$20*$B$22,0)</f>
        <v/>
      </c>
      <c r="Q43" s="53">
        <f>ROUND($B$5*$B$9*$B$12*$B$15*$B$17*$B$20*$B$23,0)</f>
        <v/>
      </c>
      <c r="R43" s="53">
        <f>ROUND($B$5*$B$9*$B$12*$B$15*$B$17*$B$21*$B$22,0)</f>
        <v/>
      </c>
      <c r="S43" s="53">
        <f>ROUND($B$5*$B$9*$B$12*$B$15*$B$17*$B$21*$B$23,0)</f>
        <v/>
      </c>
      <c r="T43" s="53">
        <f>ROUND($B$5*$B$9*$B$12*$B$15*$B$18*$B$20*$B$22,0)</f>
        <v/>
      </c>
      <c r="U43" s="53">
        <f>ROUND($B$5*$B$9*$B$12*$B$15*$B$18*$B$20*$B$23,0)</f>
        <v/>
      </c>
      <c r="V43" s="53">
        <f>ROUND($B$5*$B$9*$B$12*$B$15*$B$18*$B$21*$B$22,0)</f>
        <v/>
      </c>
      <c r="W43" s="53">
        <f>ROUND($B$5*$B$9*$B$12*$B$15*$B$18*$B$21*$B$23,0)</f>
        <v/>
      </c>
      <c r="X43" s="53">
        <f>ROUND($B$5*$B$9*$B$12*$B$15*$B$19*$B$20*$B$22,0)</f>
        <v/>
      </c>
      <c r="Y43" s="53">
        <f>ROUND($B$5*$B$9*$B$12*$B$15*$B$19*$B$20*$B$23,0)</f>
        <v/>
      </c>
      <c r="Z43" s="53">
        <f>ROUND($B$5*$B$9*$B$12*$B$15*$B$19*$B$21*$B$22,0)</f>
        <v/>
      </c>
      <c r="AA43" s="53">
        <f>ROUND($B$5*$B$9*$B$12*$B$15*$B$19*$B$21*$B$23,0)</f>
        <v/>
      </c>
      <c r="AB43" s="53">
        <f>ROUND($B$6*$B$9*$B$12*$B$15*$B$17*$B$20*$B$22,0)</f>
        <v/>
      </c>
      <c r="AC43" s="53">
        <f>ROUND($B$6*$B$9*$B$12*$B$15*$B$17*$B$20*$B$23,0)</f>
        <v/>
      </c>
      <c r="AD43" s="53">
        <f>ROUND($B$6*$B$9*$B$12*$B$15*$B$17*$B$21*$B$22,0)</f>
        <v/>
      </c>
      <c r="AE43" s="53">
        <f>ROUND($B$6*$B$9*$B$12*$B$15*$B$17*$B$21*$B$23,0)</f>
        <v/>
      </c>
      <c r="AF43" s="53">
        <f>ROUND($B$6*$B$9*$B$12*$B$15*$B$18*$B$20*$B$22,0)</f>
        <v/>
      </c>
      <c r="AG43" s="53">
        <f>ROUND($B$6*$B$9*$B$12*$B$15*$B$18*$B$20*$B$23,0)</f>
        <v/>
      </c>
      <c r="AH43" s="53">
        <f>ROUND($B$6*$B$9*$B$12*$B$15*$B$18*$B$21*$B$22,0)</f>
        <v/>
      </c>
      <c r="AI43" s="53">
        <f>ROUND($B$6*$B$9*$B$12*$B$15*$B$18*$B$21*$B$23,0)</f>
        <v/>
      </c>
      <c r="AJ43" s="53">
        <f>ROUND($B$6*$B$9*$B$12*$B$15*$B$19*$B$20*$B$22,0)</f>
        <v/>
      </c>
      <c r="AK43" s="53">
        <f>ROUND($B$6*$B$9*$B$12*$B$15*$B$19*$B$20*$B$23,0)</f>
        <v/>
      </c>
      <c r="AL43" s="53">
        <f>ROUND($B$6*$B$9*$B$12*$B$15*$B$19*$B$21*$B$22,0)</f>
        <v/>
      </c>
      <c r="AM43" s="53">
        <f>ROUND($B$6*$B$9*$B$12*$B$15*$B$19*$B$21*$B$23,0)</f>
        <v/>
      </c>
    </row>
    <row r="44" ht="20.1" customHeight="1" s="62">
      <c r="A44" s="104" t="n"/>
      <c r="B44" s="59" t="n"/>
      <c r="C44" s="51" t="inlineStr">
        <is>
          <t>21+ utilisateurs</t>
        </is>
      </c>
      <c r="D44" s="50">
        <f>ROUND($B$4*$B$9*$B$12*$B$16*$B$17*$B$20*$B$22,0)</f>
        <v/>
      </c>
      <c r="E44" s="50">
        <f>ROUND($B$4*$B$9*$B$12*$B$16*$B$17*$B$20*$B$23,0)</f>
        <v/>
      </c>
      <c r="F44" s="50">
        <f>ROUND($B$4*$B$9*$B$12*$B$16*$B$17*$B$21*$B$22,0)</f>
        <v/>
      </c>
      <c r="G44" s="50">
        <f>ROUND($B$4*$B$9*$B$12*$B$16*$B$17*$B$21*$B$23,0)</f>
        <v/>
      </c>
      <c r="H44" s="50">
        <f>ROUND($B$4*$B$9*$B$12*$B$16*$B$18*$B$20*$B$22,0)</f>
        <v/>
      </c>
      <c r="I44" s="50">
        <f>ROUND($B$4*$B$9*$B$12*$B$16*$B$18*$B$20*$B$23,0)</f>
        <v/>
      </c>
      <c r="J44" s="50">
        <f>ROUND($B$4*$B$9*$B$12*$B$16*$B$18*$B$21*$B$22,0)</f>
        <v/>
      </c>
      <c r="K44" s="50">
        <f>ROUND($B$4*$B$9*$B$12*$B$16*$B$18*$B$21*$B$23,0)</f>
        <v/>
      </c>
      <c r="L44" s="50">
        <f>ROUND($B$4*$B$9*$B$12*$B$16*$B$19*$B$20*$B$22,0)</f>
        <v/>
      </c>
      <c r="M44" s="50">
        <f>ROUND($B$4*$B$9*$B$12*$B$16*$B$19*$B$20*$B$23,0)</f>
        <v/>
      </c>
      <c r="N44" s="50">
        <f>ROUND($B$4*$B$9*$B$12*$B$16*$B$19*$B$21*$B$22,0)</f>
        <v/>
      </c>
      <c r="O44" s="50">
        <f>ROUND($B$4*$B$9*$B$12*$B$16*$B$19*$B$21*$B$23,0)</f>
        <v/>
      </c>
      <c r="P44" s="53">
        <f>ROUND($B$5*$B$9*$B$12*$B$16*$B$17*$B$20*$B$22,0)</f>
        <v/>
      </c>
      <c r="Q44" s="53">
        <f>ROUND($B$5*$B$9*$B$12*$B$16*$B$17*$B$20*$B$23,0)</f>
        <v/>
      </c>
      <c r="R44" s="53">
        <f>ROUND($B$5*$B$9*$B$12*$B$16*$B$17*$B$21*$B$22,0)</f>
        <v/>
      </c>
      <c r="S44" s="53">
        <f>ROUND($B$5*$B$9*$B$12*$B$16*$B$17*$B$21*$B$23,0)</f>
        <v/>
      </c>
      <c r="T44" s="53">
        <f>ROUND($B$5*$B$9*$B$12*$B$16*$B$18*$B$20*$B$22,0)</f>
        <v/>
      </c>
      <c r="U44" s="53">
        <f>ROUND($B$5*$B$9*$B$12*$B$16*$B$18*$B$20*$B$23,0)</f>
        <v/>
      </c>
      <c r="V44" s="53">
        <f>ROUND($B$5*$B$9*$B$12*$B$16*$B$18*$B$21*$B$22,0)</f>
        <v/>
      </c>
      <c r="W44" s="53">
        <f>ROUND($B$5*$B$9*$B$12*$B$16*$B$18*$B$21*$B$23,0)</f>
        <v/>
      </c>
      <c r="X44" s="53">
        <f>ROUND($B$5*$B$9*$B$12*$B$16*$B$19*$B$20*$B$22,0)</f>
        <v/>
      </c>
      <c r="Y44" s="53">
        <f>ROUND($B$5*$B$9*$B$12*$B$16*$B$19*$B$20*$B$23,0)</f>
        <v/>
      </c>
      <c r="Z44" s="53">
        <f>ROUND($B$5*$B$9*$B$12*$B$16*$B$19*$B$21*$B$22,0)</f>
        <v/>
      </c>
      <c r="AA44" s="53">
        <f>ROUND($B$5*$B$9*$B$12*$B$16*$B$19*$B$21*$B$23,0)</f>
        <v/>
      </c>
      <c r="AB44" s="53">
        <f>ROUND($B$6*$B$9*$B$12*$B$16*$B$17*$B$20*$B$22,0)</f>
        <v/>
      </c>
      <c r="AC44" s="53">
        <f>ROUND($B$6*$B$9*$B$12*$B$16*$B$17*$B$20*$B$23,0)</f>
        <v/>
      </c>
      <c r="AD44" s="53">
        <f>ROUND($B$6*$B$9*$B$12*$B$16*$B$17*$B$21*$B$22,0)</f>
        <v/>
      </c>
      <c r="AE44" s="53">
        <f>ROUND($B$6*$B$9*$B$12*$B$16*$B$17*$B$21*$B$23,0)</f>
        <v/>
      </c>
      <c r="AF44" s="53">
        <f>ROUND($B$6*$B$9*$B$12*$B$16*$B$18*$B$20*$B$22,0)</f>
        <v/>
      </c>
      <c r="AG44" s="53">
        <f>ROUND($B$6*$B$9*$B$12*$B$16*$B$18*$B$20*$B$23,0)</f>
        <v/>
      </c>
      <c r="AH44" s="53">
        <f>ROUND($B$6*$B$9*$B$12*$B$16*$B$18*$B$21*$B$22,0)</f>
        <v/>
      </c>
      <c r="AI44" s="53">
        <f>ROUND($B$6*$B$9*$B$12*$B$16*$B$18*$B$21*$B$23,0)</f>
        <v/>
      </c>
      <c r="AJ44" s="53">
        <f>ROUND($B$6*$B$9*$B$12*$B$16*$B$19*$B$20*$B$22,0)</f>
        <v/>
      </c>
      <c r="AK44" s="53">
        <f>ROUND($B$6*$B$9*$B$12*$B$16*$B$19*$B$20*$B$23,0)</f>
        <v/>
      </c>
      <c r="AL44" s="53">
        <f>ROUND($B$6*$B$9*$B$12*$B$16*$B$19*$B$21*$B$22,0)</f>
        <v/>
      </c>
      <c r="AM44" s="53">
        <f>ROUND($B$6*$B$9*$B$12*$B$16*$B$19*$B$21*$B$23,0)</f>
        <v/>
      </c>
    </row>
    <row r="45" ht="20.1" customHeight="1" s="62">
      <c r="A45" s="104" t="n"/>
      <c r="B45" s="101" t="inlineStr">
        <is>
          <t>Volume élevé (20+/mois)</t>
        </is>
      </c>
      <c r="C45" s="49" t="inlineStr">
        <is>
          <t>1-5 utilisateurs</t>
        </is>
      </c>
      <c r="D45" s="50">
        <f>ROUND($B$4*$B$9*$B$13*$B$14*$B$17*$B$20*$B$22,0)</f>
        <v/>
      </c>
      <c r="E45" s="50">
        <f>ROUND($B$4*$B$9*$B$13*$B$14*$B$17*$B$20*$B$23,0)</f>
        <v/>
      </c>
      <c r="F45" s="50">
        <f>ROUND($B$4*$B$9*$B$13*$B$14*$B$17*$B$21*$B$22,0)</f>
        <v/>
      </c>
      <c r="G45" s="50">
        <f>ROUND($B$4*$B$9*$B$13*$B$14*$B$17*$B$21*$B$23,0)</f>
        <v/>
      </c>
      <c r="H45" s="50">
        <f>ROUND($B$4*$B$9*$B$13*$B$14*$B$18*$B$20*$B$22,0)</f>
        <v/>
      </c>
      <c r="I45" s="50">
        <f>ROUND($B$4*$B$9*$B$13*$B$14*$B$18*$B$20*$B$23,0)</f>
        <v/>
      </c>
      <c r="J45" s="50">
        <f>ROUND($B$4*$B$9*$B$13*$B$14*$B$18*$B$21*$B$22,0)</f>
        <v/>
      </c>
      <c r="K45" s="50">
        <f>ROUND($B$4*$B$9*$B$13*$B$14*$B$18*$B$21*$B$23,0)</f>
        <v/>
      </c>
      <c r="L45" s="50">
        <f>ROUND($B$4*$B$9*$B$13*$B$14*$B$19*$B$20*$B$22,0)</f>
        <v/>
      </c>
      <c r="M45" s="50">
        <f>ROUND($B$4*$B$9*$B$13*$B$14*$B$19*$B$20*$B$23,0)</f>
        <v/>
      </c>
      <c r="N45" s="50">
        <f>ROUND($B$4*$B$9*$B$13*$B$14*$B$19*$B$21*$B$22,0)</f>
        <v/>
      </c>
      <c r="O45" s="50">
        <f>ROUND($B$4*$B$9*$B$13*$B$14*$B$19*$B$21*$B$23,0)</f>
        <v/>
      </c>
      <c r="P45" s="53">
        <f>ROUND($B$5*$B$9*$B$13*$B$14*$B$17*$B$20*$B$22,0)</f>
        <v/>
      </c>
      <c r="Q45" s="53">
        <f>ROUND($B$5*$B$9*$B$13*$B$14*$B$17*$B$20*$B$23,0)</f>
        <v/>
      </c>
      <c r="R45" s="53">
        <f>ROUND($B$5*$B$9*$B$13*$B$14*$B$17*$B$21*$B$22,0)</f>
        <v/>
      </c>
      <c r="S45" s="53">
        <f>ROUND($B$5*$B$9*$B$13*$B$14*$B$17*$B$21*$B$23,0)</f>
        <v/>
      </c>
      <c r="T45" s="53">
        <f>ROUND($B$5*$B$9*$B$13*$B$14*$B$18*$B$20*$B$22,0)</f>
        <v/>
      </c>
      <c r="U45" s="53">
        <f>ROUND($B$5*$B$9*$B$13*$B$14*$B$18*$B$20*$B$23,0)</f>
        <v/>
      </c>
      <c r="V45" s="53">
        <f>ROUND($B$5*$B$9*$B$13*$B$14*$B$18*$B$21*$B$22,0)</f>
        <v/>
      </c>
      <c r="W45" s="53">
        <f>ROUND($B$5*$B$9*$B$13*$B$14*$B$18*$B$21*$B$23,0)</f>
        <v/>
      </c>
      <c r="X45" s="53">
        <f>ROUND($B$5*$B$9*$B$13*$B$14*$B$19*$B$20*$B$22,0)</f>
        <v/>
      </c>
      <c r="Y45" s="53">
        <f>ROUND($B$5*$B$9*$B$13*$B$14*$B$19*$B$20*$B$23,0)</f>
        <v/>
      </c>
      <c r="Z45" s="53">
        <f>ROUND($B$5*$B$9*$B$13*$B$14*$B$19*$B$21*$B$22,0)</f>
        <v/>
      </c>
      <c r="AA45" s="53">
        <f>ROUND($B$5*$B$9*$B$13*$B$14*$B$19*$B$21*$B$23,0)</f>
        <v/>
      </c>
      <c r="AB45" s="53">
        <f>ROUND($B$6*$B$9*$B$13*$B$14*$B$17*$B$20*$B$22,0)</f>
        <v/>
      </c>
      <c r="AC45" s="53">
        <f>ROUND($B$6*$B$9*$B$13*$B$14*$B$17*$B$20*$B$23,0)</f>
        <v/>
      </c>
      <c r="AD45" s="53">
        <f>ROUND($B$6*$B$9*$B$13*$B$14*$B$17*$B$21*$B$22,0)</f>
        <v/>
      </c>
      <c r="AE45" s="53">
        <f>ROUND($B$6*$B$9*$B$13*$B$14*$B$17*$B$21*$B$23,0)</f>
        <v/>
      </c>
      <c r="AF45" s="53">
        <f>ROUND($B$6*$B$9*$B$13*$B$14*$B$18*$B$20*$B$22,0)</f>
        <v/>
      </c>
      <c r="AG45" s="53">
        <f>ROUND($B$6*$B$9*$B$13*$B$14*$B$18*$B$20*$B$23,0)</f>
        <v/>
      </c>
      <c r="AH45" s="53">
        <f>ROUND($B$6*$B$9*$B$13*$B$14*$B$18*$B$21*$B$22,0)</f>
        <v/>
      </c>
      <c r="AI45" s="53">
        <f>ROUND($B$6*$B$9*$B$13*$B$14*$B$18*$B$21*$B$23,0)</f>
        <v/>
      </c>
      <c r="AJ45" s="53">
        <f>ROUND($B$6*$B$9*$B$13*$B$14*$B$19*$B$20*$B$22,0)</f>
        <v/>
      </c>
      <c r="AK45" s="53">
        <f>ROUND($B$6*$B$9*$B$13*$B$14*$B$19*$B$20*$B$23,0)</f>
        <v/>
      </c>
      <c r="AL45" s="53">
        <f>ROUND($B$6*$B$9*$B$13*$B$14*$B$19*$B$21*$B$22,0)</f>
        <v/>
      </c>
      <c r="AM45" s="53">
        <f>ROUND($B$6*$B$9*$B$13*$B$14*$B$19*$B$21*$B$23,0)</f>
        <v/>
      </c>
    </row>
    <row r="46" ht="20.1" customHeight="1" s="62">
      <c r="A46" s="104" t="n"/>
      <c r="B46" s="58" t="n"/>
      <c r="C46" s="101" t="inlineStr">
        <is>
          <t>6-20 utilisateurs</t>
        </is>
      </c>
      <c r="D46" s="50">
        <f>ROUND($B$4*$B$9*$B$13*$B$15*$B$17*$B$20*$B$22,0)</f>
        <v/>
      </c>
      <c r="E46" s="50">
        <f>ROUND($B$4*$B$9*$B$13*$B$15*$B$17*$B$20*$B$23,0)</f>
        <v/>
      </c>
      <c r="F46" s="50">
        <f>ROUND($B$4*$B$9*$B$13*$B$15*$B$17*$B$21*$B$22,0)</f>
        <v/>
      </c>
      <c r="G46" s="50">
        <f>ROUND($B$4*$B$9*$B$13*$B$15*$B$17*$B$21*$B$23,0)</f>
        <v/>
      </c>
      <c r="H46" s="50">
        <f>ROUND($B$4*$B$9*$B$13*$B$15*$B$18*$B$20*$B$22,0)</f>
        <v/>
      </c>
      <c r="I46" s="50">
        <f>ROUND($B$4*$B$9*$B$13*$B$15*$B$18*$B$20*$B$23,0)</f>
        <v/>
      </c>
      <c r="J46" s="50">
        <f>ROUND($B$4*$B$9*$B$13*$B$15*$B$18*$B$21*$B$22,0)</f>
        <v/>
      </c>
      <c r="K46" s="50">
        <f>ROUND($B$4*$B$9*$B$13*$B$15*$B$18*$B$21*$B$23,0)</f>
        <v/>
      </c>
      <c r="L46" s="50">
        <f>ROUND($B$4*$B$9*$B$13*$B$15*$B$19*$B$20*$B$22,0)</f>
        <v/>
      </c>
      <c r="M46" s="50">
        <f>ROUND($B$4*$B$9*$B$13*$B$15*$B$19*$B$20*$B$23,0)</f>
        <v/>
      </c>
      <c r="N46" s="50">
        <f>ROUND($B$4*$B$9*$B$13*$B$15*$B$19*$B$21*$B$22,0)</f>
        <v/>
      </c>
      <c r="O46" s="50">
        <f>ROUND($B$4*$B$9*$B$13*$B$15*$B$19*$B$21*$B$23,0)</f>
        <v/>
      </c>
      <c r="P46" s="53">
        <f>ROUND($B$5*$B$9*$B$13*$B$15*$B$17*$B$20*$B$22,0)</f>
        <v/>
      </c>
      <c r="Q46" s="53">
        <f>ROUND($B$5*$B$9*$B$13*$B$15*$B$17*$B$20*$B$23,0)</f>
        <v/>
      </c>
      <c r="R46" s="53">
        <f>ROUND($B$5*$B$9*$B$13*$B$15*$B$17*$B$21*$B$22,0)</f>
        <v/>
      </c>
      <c r="S46" s="53">
        <f>ROUND($B$5*$B$9*$B$13*$B$15*$B$17*$B$21*$B$23,0)</f>
        <v/>
      </c>
      <c r="T46" s="53">
        <f>ROUND($B$5*$B$9*$B$13*$B$15*$B$18*$B$20*$B$22,0)</f>
        <v/>
      </c>
      <c r="U46" s="53">
        <f>ROUND($B$5*$B$9*$B$13*$B$15*$B$18*$B$20*$B$23,0)</f>
        <v/>
      </c>
      <c r="V46" s="53">
        <f>ROUND($B$5*$B$9*$B$13*$B$15*$B$18*$B$21*$B$22,0)</f>
        <v/>
      </c>
      <c r="W46" s="53">
        <f>ROUND($B$5*$B$9*$B$13*$B$15*$B$18*$B$21*$B$23,0)</f>
        <v/>
      </c>
      <c r="X46" s="53">
        <f>ROUND($B$5*$B$9*$B$13*$B$15*$B$19*$B$20*$B$22,0)</f>
        <v/>
      </c>
      <c r="Y46" s="53">
        <f>ROUND($B$5*$B$9*$B$13*$B$15*$B$19*$B$20*$B$23,0)</f>
        <v/>
      </c>
      <c r="Z46" s="53">
        <f>ROUND($B$5*$B$9*$B$13*$B$15*$B$19*$B$21*$B$22,0)</f>
        <v/>
      </c>
      <c r="AA46" s="53">
        <f>ROUND($B$5*$B$9*$B$13*$B$15*$B$19*$B$21*$B$23,0)</f>
        <v/>
      </c>
      <c r="AB46" s="53">
        <f>ROUND($B$6*$B$9*$B$13*$B$15*$B$17*$B$20*$B$22,0)</f>
        <v/>
      </c>
      <c r="AC46" s="53">
        <f>ROUND($B$6*$B$9*$B$13*$B$15*$B$17*$B$20*$B$23,0)</f>
        <v/>
      </c>
      <c r="AD46" s="53">
        <f>ROUND($B$6*$B$9*$B$13*$B$15*$B$17*$B$21*$B$22,0)</f>
        <v/>
      </c>
      <c r="AE46" s="53">
        <f>ROUND($B$6*$B$9*$B$13*$B$15*$B$17*$B$21*$B$23,0)</f>
        <v/>
      </c>
      <c r="AF46" s="53">
        <f>ROUND($B$6*$B$9*$B$13*$B$15*$B$18*$B$20*$B$22,0)</f>
        <v/>
      </c>
      <c r="AG46" s="53">
        <f>ROUND($B$6*$B$9*$B$13*$B$15*$B$18*$B$20*$B$23,0)</f>
        <v/>
      </c>
      <c r="AH46" s="53">
        <f>ROUND($B$6*$B$9*$B$13*$B$15*$B$18*$B$21*$B$22,0)</f>
        <v/>
      </c>
      <c r="AI46" s="53">
        <f>ROUND($B$6*$B$9*$B$13*$B$15*$B$18*$B$21*$B$23,0)</f>
        <v/>
      </c>
      <c r="AJ46" s="53">
        <f>ROUND($B$6*$B$9*$B$13*$B$15*$B$19*$B$20*$B$22,0)</f>
        <v/>
      </c>
      <c r="AK46" s="53">
        <f>ROUND($B$6*$B$9*$B$13*$B$15*$B$19*$B$20*$B$23,0)</f>
        <v/>
      </c>
      <c r="AL46" s="53">
        <f>ROUND($B$6*$B$9*$B$13*$B$15*$B$19*$B$21*$B$22,0)</f>
        <v/>
      </c>
      <c r="AM46" s="53">
        <f>ROUND($B$6*$B$9*$B$13*$B$15*$B$19*$B$21*$B$23,0)</f>
        <v/>
      </c>
    </row>
    <row r="47" ht="20.1" customHeight="1" s="62">
      <c r="A47" s="105" t="n"/>
      <c r="B47" s="59" t="n"/>
      <c r="C47" s="51" t="inlineStr">
        <is>
          <t>21+ utilisateurs</t>
        </is>
      </c>
      <c r="D47" s="50">
        <f>ROUND($B$4*$B$9*$B$13*$B$16*$B$17*$B$20*$B$22,0)</f>
        <v/>
      </c>
      <c r="E47" s="50">
        <f>ROUND($B$4*$B$9*$B$13*$B$16*$B$17*$B$20*$B$23,0)</f>
        <v/>
      </c>
      <c r="F47" s="50">
        <f>ROUND($B$4*$B$9*$B$13*$B$16*$B$17*$B$21*$B$22,0)</f>
        <v/>
      </c>
      <c r="G47" s="50">
        <f>ROUND($B$4*$B$9*$B$13*$B$16*$B$17*$B$21*$B$23,0)</f>
        <v/>
      </c>
      <c r="H47" s="50">
        <f>ROUND($B$4*$B$9*$B$13*$B$16*$B$18*$B$20*$B$22,0)</f>
        <v/>
      </c>
      <c r="I47" s="50">
        <f>ROUND($B$4*$B$9*$B$13*$B$16*$B$18*$B$20*$B$23,0)</f>
        <v/>
      </c>
      <c r="J47" s="50">
        <f>ROUND($B$4*$B$9*$B$13*$B$16*$B$18*$B$21*$B$22,0)</f>
        <v/>
      </c>
      <c r="K47" s="50">
        <f>ROUND($B$4*$B$9*$B$13*$B$16*$B$18*$B$21*$B$23,0)</f>
        <v/>
      </c>
      <c r="L47" s="50">
        <f>ROUND($B$4*$B$9*$B$13*$B$16*$B$19*$B$20*$B$22,0)</f>
        <v/>
      </c>
      <c r="M47" s="50">
        <f>ROUND($B$4*$B$9*$B$13*$B$16*$B$19*$B$20*$B$23,0)</f>
        <v/>
      </c>
      <c r="N47" s="50">
        <f>ROUND($B$4*$B$9*$B$13*$B$16*$B$19*$B$21*$B$22,0)</f>
        <v/>
      </c>
      <c r="O47" s="50">
        <f>ROUND($B$4*$B$9*$B$13*$B$16*$B$19*$B$21*$B$23,0)</f>
        <v/>
      </c>
      <c r="P47" s="53">
        <f>ROUND($B$5*$B$9*$B$13*$B$16*$B$17*$B$20*$B$22,0)</f>
        <v/>
      </c>
      <c r="Q47" s="53">
        <f>ROUND($B$5*$B$9*$B$13*$B$16*$B$17*$B$20*$B$23,0)</f>
        <v/>
      </c>
      <c r="R47" s="53">
        <f>ROUND($B$5*$B$9*$B$13*$B$16*$B$17*$B$21*$B$22,0)</f>
        <v/>
      </c>
      <c r="S47" s="53">
        <f>ROUND($B$5*$B$9*$B$13*$B$16*$B$17*$B$21*$B$23,0)</f>
        <v/>
      </c>
      <c r="T47" s="53">
        <f>ROUND($B$5*$B$9*$B$13*$B$16*$B$18*$B$20*$B$22,0)</f>
        <v/>
      </c>
      <c r="U47" s="53">
        <f>ROUND($B$5*$B$9*$B$13*$B$16*$B$18*$B$20*$B$23,0)</f>
        <v/>
      </c>
      <c r="V47" s="53">
        <f>ROUND($B$5*$B$9*$B$13*$B$16*$B$18*$B$21*$B$22,0)</f>
        <v/>
      </c>
      <c r="W47" s="53">
        <f>ROUND($B$5*$B$9*$B$13*$B$16*$B$18*$B$21*$B$23,0)</f>
        <v/>
      </c>
      <c r="X47" s="53">
        <f>ROUND($B$5*$B$9*$B$13*$B$16*$B$19*$B$20*$B$22,0)</f>
        <v/>
      </c>
      <c r="Y47" s="53">
        <f>ROUND($B$5*$B$9*$B$13*$B$16*$B$19*$B$20*$B$23,0)</f>
        <v/>
      </c>
      <c r="Z47" s="53">
        <f>ROUND($B$5*$B$9*$B$13*$B$16*$B$19*$B$21*$B$22,0)</f>
        <v/>
      </c>
      <c r="AA47" s="53">
        <f>ROUND($B$5*$B$9*$B$13*$B$16*$B$19*$B$21*$B$23,0)</f>
        <v/>
      </c>
      <c r="AB47" s="53">
        <f>ROUND($B$6*$B$9*$B$13*$B$16*$B$17*$B$20*$B$22,0)</f>
        <v/>
      </c>
      <c r="AC47" s="53">
        <f>ROUND($B$6*$B$9*$B$13*$B$16*$B$17*$B$20*$B$23,0)</f>
        <v/>
      </c>
      <c r="AD47" s="53">
        <f>ROUND($B$6*$B$9*$B$13*$B$16*$B$17*$B$21*$B$22,0)</f>
        <v/>
      </c>
      <c r="AE47" s="53">
        <f>ROUND($B$6*$B$9*$B$13*$B$16*$B$17*$B$21*$B$23,0)</f>
        <v/>
      </c>
      <c r="AF47" s="53">
        <f>ROUND($B$6*$B$9*$B$13*$B$16*$B$18*$B$20*$B$22,0)</f>
        <v/>
      </c>
      <c r="AG47" s="53">
        <f>ROUND($B$6*$B$9*$B$13*$B$16*$B$18*$B$20*$B$23,0)</f>
        <v/>
      </c>
      <c r="AH47" s="53">
        <f>ROUND($B$6*$B$9*$B$13*$B$16*$B$18*$B$21*$B$22,0)</f>
        <v/>
      </c>
      <c r="AI47" s="53">
        <f>ROUND($B$6*$B$9*$B$13*$B$16*$B$18*$B$21*$B$23,0)</f>
        <v/>
      </c>
      <c r="AJ47" s="53">
        <f>ROUND($B$6*$B$9*$B$13*$B$16*$B$19*$B$20*$B$22,0)</f>
        <v/>
      </c>
      <c r="AK47" s="53">
        <f>ROUND($B$6*$B$9*$B$13*$B$16*$B$19*$B$20*$B$23,0)</f>
        <v/>
      </c>
      <c r="AL47" s="53">
        <f>ROUND($B$6*$B$9*$B$13*$B$16*$B$19*$B$21*$B$22,0)</f>
        <v/>
      </c>
      <c r="AM47" s="53">
        <f>ROUND($B$6*$B$9*$B$13*$B$16*$B$19*$B$21*$B$23,0)</f>
        <v/>
      </c>
    </row>
    <row r="48" ht="20.1" customHeight="1" s="62">
      <c r="A48" s="103" t="inlineStr">
        <is>
          <t>Niveau avancé</t>
        </is>
      </c>
      <c r="B48" s="101" t="inlineStr">
        <is>
          <t>Volume faible (&lt; 5/mois)</t>
        </is>
      </c>
      <c r="C48" s="49" t="inlineStr">
        <is>
          <t>1-5 utilisateurs</t>
        </is>
      </c>
      <c r="D48" s="50">
        <f>ROUND($B$4*$B$10*$B$11*$B$14*$B$17*$B$20*$B$22,0)</f>
        <v/>
      </c>
      <c r="E48" s="50">
        <f>ROUND($B$4*$B$10*$B$11*$B$14*$B$17*$B$20*$B$23,0)</f>
        <v/>
      </c>
      <c r="F48" s="50">
        <f>ROUND($B$4*$B$10*$B$11*$B$14*$B$17*$B$21*$B$22,0)</f>
        <v/>
      </c>
      <c r="G48" s="50">
        <f>ROUND($B$4*$B$10*$B$11*$B$14*$B$17*$B$21*$B$23,0)</f>
        <v/>
      </c>
      <c r="H48" s="50">
        <f>ROUND($B$4*$B$10*$B$11*$B$14*$B$18*$B$20*$B$22,0)</f>
        <v/>
      </c>
      <c r="I48" s="50">
        <f>ROUND($B$4*$B$10*$B$11*$B$14*$B$18*$B$20*$B$23,0)</f>
        <v/>
      </c>
      <c r="J48" s="50">
        <f>ROUND($B$4*$B$10*$B$11*$B$14*$B$18*$B$21*$B$22,0)</f>
        <v/>
      </c>
      <c r="K48" s="50">
        <f>ROUND($B$4*$B$10*$B$11*$B$14*$B$18*$B$21*$B$23,0)</f>
        <v/>
      </c>
      <c r="L48" s="50">
        <f>ROUND($B$4*$B$10*$B$11*$B$14*$B$19*$B$20*$B$22,0)</f>
        <v/>
      </c>
      <c r="M48" s="50">
        <f>ROUND($B$4*$B$10*$B$11*$B$14*$B$19*$B$20*$B$23,0)</f>
        <v/>
      </c>
      <c r="N48" s="50">
        <f>ROUND($B$4*$B$10*$B$11*$B$14*$B$19*$B$21*$B$22,0)</f>
        <v/>
      </c>
      <c r="O48" s="50">
        <f>ROUND($B$4*$B$10*$B$11*$B$14*$B$19*$B$21*$B$23,0)</f>
        <v/>
      </c>
      <c r="P48" s="53">
        <f>ROUND($B$5*$B$10*$B$11*$B$14*$B$17*$B$20*$B$22,0)</f>
        <v/>
      </c>
      <c r="Q48" s="53">
        <f>ROUND($B$5*$B$10*$B$11*$B$14*$B$17*$B$20*$B$23,0)</f>
        <v/>
      </c>
      <c r="R48" s="53">
        <f>ROUND($B$5*$B$10*$B$11*$B$14*$B$17*$B$21*$B$22,0)</f>
        <v/>
      </c>
      <c r="S48" s="53">
        <f>ROUND($B$5*$B$10*$B$11*$B$14*$B$17*$B$21*$B$23,0)</f>
        <v/>
      </c>
      <c r="T48" s="53">
        <f>ROUND($B$5*$B$10*$B$11*$B$14*$B$18*$B$20*$B$22,0)</f>
        <v/>
      </c>
      <c r="U48" s="53">
        <f>ROUND($B$5*$B$10*$B$11*$B$14*$B$18*$B$20*$B$23,0)</f>
        <v/>
      </c>
      <c r="V48" s="53">
        <f>ROUND($B$5*$B$10*$B$11*$B$14*$B$18*$B$21*$B$22,0)</f>
        <v/>
      </c>
      <c r="W48" s="53">
        <f>ROUND($B$5*$B$10*$B$11*$B$14*$B$18*$B$21*$B$23,0)</f>
        <v/>
      </c>
      <c r="X48" s="53">
        <f>ROUND($B$5*$B$10*$B$11*$B$14*$B$19*$B$20*$B$22,0)</f>
        <v/>
      </c>
      <c r="Y48" s="53">
        <f>ROUND($B$5*$B$10*$B$11*$B$14*$B$19*$B$20*$B$23,0)</f>
        <v/>
      </c>
      <c r="Z48" s="53">
        <f>ROUND($B$5*$B$10*$B$11*$B$14*$B$19*$B$21*$B$22,0)</f>
        <v/>
      </c>
      <c r="AA48" s="53">
        <f>ROUND($B$5*$B$10*$B$11*$B$14*$B$19*$B$21*$B$23,0)</f>
        <v/>
      </c>
      <c r="AB48" s="53">
        <f>ROUND($B$6*$B$10*$B$11*$B$14*$B$17*$B$20*$B$22,0)</f>
        <v/>
      </c>
      <c r="AC48" s="53">
        <f>ROUND($B$6*$B$10*$B$11*$B$14*$B$17*$B$20*$B$23,0)</f>
        <v/>
      </c>
      <c r="AD48" s="53">
        <f>ROUND($B$6*$B$10*$B$11*$B$14*$B$17*$B$21*$B$22,0)</f>
        <v/>
      </c>
      <c r="AE48" s="53">
        <f>ROUND($B$6*$B$10*$B$11*$B$14*$B$17*$B$21*$B$23,0)</f>
        <v/>
      </c>
      <c r="AF48" s="53">
        <f>ROUND($B$6*$B$10*$B$11*$B$14*$B$18*$B$20*$B$22,0)</f>
        <v/>
      </c>
      <c r="AG48" s="53">
        <f>ROUND($B$6*$B$10*$B$11*$B$14*$B$18*$B$20*$B$23,0)</f>
        <v/>
      </c>
      <c r="AH48" s="53">
        <f>ROUND($B$6*$B$10*$B$11*$B$14*$B$18*$B$21*$B$22,0)</f>
        <v/>
      </c>
      <c r="AI48" s="53">
        <f>ROUND($B$6*$B$10*$B$11*$B$14*$B$18*$B$21*$B$23,0)</f>
        <v/>
      </c>
      <c r="AJ48" s="53">
        <f>ROUND($B$6*$B$10*$B$11*$B$14*$B$19*$B$20*$B$22,0)</f>
        <v/>
      </c>
      <c r="AK48" s="53">
        <f>ROUND($B$6*$B$10*$B$11*$B$14*$B$19*$B$20*$B$23,0)</f>
        <v/>
      </c>
      <c r="AL48" s="53">
        <f>ROUND($B$6*$B$10*$B$11*$B$14*$B$19*$B$21*$B$22,0)</f>
        <v/>
      </c>
      <c r="AM48" s="53">
        <f>ROUND($B$6*$B$10*$B$11*$B$14*$B$19*$B$21*$B$23,0)</f>
        <v/>
      </c>
    </row>
    <row r="49" ht="20.1" customHeight="1" s="62">
      <c r="A49" s="104" t="n"/>
      <c r="B49" s="58" t="n"/>
      <c r="C49" s="101" t="inlineStr">
        <is>
          <t>6-20 utilisateurs</t>
        </is>
      </c>
      <c r="D49" s="50">
        <f>ROUND($B$4*$B$10*$B$11*$B$15*$B$17*$B$20*$B$22,0)</f>
        <v/>
      </c>
      <c r="E49" s="50">
        <f>ROUND($B$4*$B$10*$B$11*$B$15*$B$17*$B$20*$B$23,0)</f>
        <v/>
      </c>
      <c r="F49" s="50">
        <f>ROUND($B$4*$B$10*$B$11*$B$15*$B$17*$B$21*$B$22,0)</f>
        <v/>
      </c>
      <c r="G49" s="50">
        <f>ROUND($B$4*$B$10*$B$11*$B$15*$B$17*$B$21*$B$23,0)</f>
        <v/>
      </c>
      <c r="H49" s="50">
        <f>ROUND($B$4*$B$10*$B$11*$B$15*$B$18*$B$20*$B$22,0)</f>
        <v/>
      </c>
      <c r="I49" s="50">
        <f>ROUND($B$4*$B$10*$B$11*$B$15*$B$18*$B$20*$B$23,0)</f>
        <v/>
      </c>
      <c r="J49" s="50">
        <f>ROUND($B$4*$B$10*$B$11*$B$15*$B$18*$B$21*$B$22,0)</f>
        <v/>
      </c>
      <c r="K49" s="50">
        <f>ROUND($B$4*$B$10*$B$11*$B$15*$B$18*$B$21*$B$23,0)</f>
        <v/>
      </c>
      <c r="L49" s="50">
        <f>ROUND($B$4*$B$10*$B$11*$B$15*$B$19*$B$20*$B$22,0)</f>
        <v/>
      </c>
      <c r="M49" s="50">
        <f>ROUND($B$4*$B$10*$B$11*$B$15*$B$19*$B$20*$B$23,0)</f>
        <v/>
      </c>
      <c r="N49" s="50">
        <f>ROUND($B$4*$B$10*$B$11*$B$15*$B$19*$B$21*$B$22,0)</f>
        <v/>
      </c>
      <c r="O49" s="50">
        <f>ROUND($B$4*$B$10*$B$11*$B$15*$B$19*$B$21*$B$23,0)</f>
        <v/>
      </c>
      <c r="P49" s="53">
        <f>ROUND($B$5*$B$10*$B$11*$B$15*$B$17*$B$20*$B$22,0)</f>
        <v/>
      </c>
      <c r="Q49" s="53">
        <f>ROUND($B$5*$B$10*$B$11*$B$15*$B$17*$B$20*$B$23,0)</f>
        <v/>
      </c>
      <c r="R49" s="53">
        <f>ROUND($B$5*$B$10*$B$11*$B$15*$B$17*$B$21*$B$22,0)</f>
        <v/>
      </c>
      <c r="S49" s="53">
        <f>ROUND($B$5*$B$10*$B$11*$B$15*$B$17*$B$21*$B$23,0)</f>
        <v/>
      </c>
      <c r="T49" s="53">
        <f>ROUND($B$5*$B$10*$B$11*$B$15*$B$18*$B$20*$B$22,0)</f>
        <v/>
      </c>
      <c r="U49" s="53">
        <f>ROUND($B$5*$B$10*$B$11*$B$15*$B$18*$B$20*$B$23,0)</f>
        <v/>
      </c>
      <c r="V49" s="53">
        <f>ROUND($B$5*$B$10*$B$11*$B$15*$B$18*$B$21*$B$22,0)</f>
        <v/>
      </c>
      <c r="W49" s="53">
        <f>ROUND($B$5*$B$10*$B$11*$B$15*$B$18*$B$21*$B$23,0)</f>
        <v/>
      </c>
      <c r="X49" s="53">
        <f>ROUND($B$5*$B$10*$B$11*$B$15*$B$19*$B$20*$B$22,0)</f>
        <v/>
      </c>
      <c r="Y49" s="53">
        <f>ROUND($B$5*$B$10*$B$11*$B$15*$B$19*$B$20*$B$23,0)</f>
        <v/>
      </c>
      <c r="Z49" s="53">
        <f>ROUND($B$5*$B$10*$B$11*$B$15*$B$19*$B$21*$B$22,0)</f>
        <v/>
      </c>
      <c r="AA49" s="53">
        <f>ROUND($B$5*$B$10*$B$11*$B$15*$B$19*$B$21*$B$23,0)</f>
        <v/>
      </c>
      <c r="AB49" s="53">
        <f>ROUND($B$6*$B$10*$B$11*$B$15*$B$17*$B$20*$B$22,0)</f>
        <v/>
      </c>
      <c r="AC49" s="53">
        <f>ROUND($B$6*$B$10*$B$11*$B$15*$B$17*$B$20*$B$23,0)</f>
        <v/>
      </c>
      <c r="AD49" s="53">
        <f>ROUND($B$6*$B$10*$B$11*$B$15*$B$17*$B$21*$B$22,0)</f>
        <v/>
      </c>
      <c r="AE49" s="53">
        <f>ROUND($B$6*$B$10*$B$11*$B$15*$B$17*$B$21*$B$23,0)</f>
        <v/>
      </c>
      <c r="AF49" s="53">
        <f>ROUND($B$6*$B$10*$B$11*$B$15*$B$18*$B$20*$B$22,0)</f>
        <v/>
      </c>
      <c r="AG49" s="53">
        <f>ROUND($B$6*$B$10*$B$11*$B$15*$B$18*$B$20*$B$23,0)</f>
        <v/>
      </c>
      <c r="AH49" s="53">
        <f>ROUND($B$6*$B$10*$B$11*$B$15*$B$18*$B$21*$B$22,0)</f>
        <v/>
      </c>
      <c r="AI49" s="53">
        <f>ROUND($B$6*$B$10*$B$11*$B$15*$B$18*$B$21*$B$23,0)</f>
        <v/>
      </c>
      <c r="AJ49" s="53">
        <f>ROUND($B$6*$B$10*$B$11*$B$15*$B$19*$B$20*$B$22,0)</f>
        <v/>
      </c>
      <c r="AK49" s="53">
        <f>ROUND($B$6*$B$10*$B$11*$B$15*$B$19*$B$20*$B$23,0)</f>
        <v/>
      </c>
      <c r="AL49" s="53">
        <f>ROUND($B$6*$B$10*$B$11*$B$15*$B$19*$B$21*$B$22,0)</f>
        <v/>
      </c>
      <c r="AM49" s="53">
        <f>ROUND($B$6*$B$10*$B$11*$B$15*$B$19*$B$21*$B$23,0)</f>
        <v/>
      </c>
    </row>
    <row r="50" ht="20.1" customHeight="1" s="62">
      <c r="A50" s="104" t="n"/>
      <c r="B50" s="59" t="n"/>
      <c r="C50" s="51" t="inlineStr">
        <is>
          <t>21+ utilisateurs</t>
        </is>
      </c>
      <c r="D50" s="50">
        <f>ROUND($B$4*$B$10*$B$11*$B$16*$B$17*$B$20*$B$22,0)</f>
        <v/>
      </c>
      <c r="E50" s="50">
        <f>ROUND($B$4*$B$10*$B$11*$B$16*$B$17*$B$20*$B$23,0)</f>
        <v/>
      </c>
      <c r="F50" s="50">
        <f>ROUND($B$4*$B$10*$B$11*$B$16*$B$17*$B$21*$B$22,0)</f>
        <v/>
      </c>
      <c r="G50" s="50">
        <f>ROUND($B$4*$B$10*$B$11*$B$16*$B$17*$B$21*$B$23,0)</f>
        <v/>
      </c>
      <c r="H50" s="50">
        <f>ROUND($B$4*$B$10*$B$11*$B$16*$B$18*$B$20*$B$22,0)</f>
        <v/>
      </c>
      <c r="I50" s="50">
        <f>ROUND($B$4*$B$10*$B$11*$B$16*$B$18*$B$20*$B$23,0)</f>
        <v/>
      </c>
      <c r="J50" s="50">
        <f>ROUND($B$4*$B$10*$B$11*$B$16*$B$18*$B$21*$B$22,0)</f>
        <v/>
      </c>
      <c r="K50" s="50">
        <f>ROUND($B$4*$B$10*$B$11*$B$16*$B$18*$B$21*$B$23,0)</f>
        <v/>
      </c>
      <c r="L50" s="50">
        <f>ROUND($B$4*$B$10*$B$11*$B$16*$B$19*$B$20*$B$22,0)</f>
        <v/>
      </c>
      <c r="M50" s="50">
        <f>ROUND($B$4*$B$10*$B$11*$B$16*$B$19*$B$20*$B$23,0)</f>
        <v/>
      </c>
      <c r="N50" s="50">
        <f>ROUND($B$4*$B$10*$B$11*$B$16*$B$19*$B$21*$B$22,0)</f>
        <v/>
      </c>
      <c r="O50" s="50">
        <f>ROUND($B$4*$B$10*$B$11*$B$16*$B$19*$B$21*$B$23,0)</f>
        <v/>
      </c>
      <c r="P50" s="53">
        <f>ROUND($B$5*$B$10*$B$11*$B$16*$B$17*$B$20*$B$22,0)</f>
        <v/>
      </c>
      <c r="Q50" s="53">
        <f>ROUND($B$5*$B$10*$B$11*$B$16*$B$17*$B$20*$B$23,0)</f>
        <v/>
      </c>
      <c r="R50" s="53">
        <f>ROUND($B$5*$B$10*$B$11*$B$16*$B$17*$B$21*$B$22,0)</f>
        <v/>
      </c>
      <c r="S50" s="53">
        <f>ROUND($B$5*$B$10*$B$11*$B$16*$B$17*$B$21*$B$23,0)</f>
        <v/>
      </c>
      <c r="T50" s="53">
        <f>ROUND($B$5*$B$10*$B$11*$B$16*$B$18*$B$20*$B$22,0)</f>
        <v/>
      </c>
      <c r="U50" s="53">
        <f>ROUND($B$5*$B$10*$B$11*$B$16*$B$18*$B$20*$B$23,0)</f>
        <v/>
      </c>
      <c r="V50" s="53">
        <f>ROUND($B$5*$B$10*$B$11*$B$16*$B$18*$B$21*$B$22,0)</f>
        <v/>
      </c>
      <c r="W50" s="53">
        <f>ROUND($B$5*$B$10*$B$11*$B$16*$B$18*$B$21*$B$23,0)</f>
        <v/>
      </c>
      <c r="X50" s="53">
        <f>ROUND($B$5*$B$10*$B$11*$B$16*$B$19*$B$20*$B$22,0)</f>
        <v/>
      </c>
      <c r="Y50" s="53">
        <f>ROUND($B$5*$B$10*$B$11*$B$16*$B$19*$B$20*$B$23,0)</f>
        <v/>
      </c>
      <c r="Z50" s="53">
        <f>ROUND($B$5*$B$10*$B$11*$B$16*$B$19*$B$21*$B$22,0)</f>
        <v/>
      </c>
      <c r="AA50" s="53">
        <f>ROUND($B$5*$B$10*$B$11*$B$16*$B$19*$B$21*$B$23,0)</f>
        <v/>
      </c>
      <c r="AB50" s="53">
        <f>ROUND($B$6*$B$10*$B$11*$B$16*$B$17*$B$20*$B$22,0)</f>
        <v/>
      </c>
      <c r="AC50" s="53">
        <f>ROUND($B$6*$B$10*$B$11*$B$16*$B$17*$B$20*$B$23,0)</f>
        <v/>
      </c>
      <c r="AD50" s="53">
        <f>ROUND($B$6*$B$10*$B$11*$B$16*$B$17*$B$21*$B$22,0)</f>
        <v/>
      </c>
      <c r="AE50" s="53">
        <f>ROUND($B$6*$B$10*$B$11*$B$16*$B$17*$B$21*$B$23,0)</f>
        <v/>
      </c>
      <c r="AF50" s="53">
        <f>ROUND($B$6*$B$10*$B$11*$B$16*$B$18*$B$20*$B$22,0)</f>
        <v/>
      </c>
      <c r="AG50" s="53">
        <f>ROUND($B$6*$B$10*$B$11*$B$16*$B$18*$B$20*$B$23,0)</f>
        <v/>
      </c>
      <c r="AH50" s="53">
        <f>ROUND($B$6*$B$10*$B$11*$B$16*$B$18*$B$21*$B$22,0)</f>
        <v/>
      </c>
      <c r="AI50" s="53">
        <f>ROUND($B$6*$B$10*$B$11*$B$16*$B$18*$B$21*$B$23,0)</f>
        <v/>
      </c>
      <c r="AJ50" s="53">
        <f>ROUND($B$6*$B$10*$B$11*$B$16*$B$19*$B$20*$B$22,0)</f>
        <v/>
      </c>
      <c r="AK50" s="53">
        <f>ROUND($B$6*$B$10*$B$11*$B$16*$B$19*$B$20*$B$23,0)</f>
        <v/>
      </c>
      <c r="AL50" s="53">
        <f>ROUND($B$6*$B$10*$B$11*$B$16*$B$19*$B$21*$B$22,0)</f>
        <v/>
      </c>
      <c r="AM50" s="53">
        <f>ROUND($B$6*$B$10*$B$11*$B$16*$B$19*$B$21*$B$23,0)</f>
        <v/>
      </c>
    </row>
    <row r="51" ht="20.1" customHeight="1" s="62">
      <c r="A51" s="104" t="n"/>
      <c r="B51" s="101" t="inlineStr">
        <is>
          <t>Volume moyen (5-20/mois)</t>
        </is>
      </c>
      <c r="C51" s="49" t="inlineStr">
        <is>
          <t>1-5 utilisateurs</t>
        </is>
      </c>
      <c r="D51" s="50">
        <f>ROUND($B$4*$B$10*$B$12*$B$14*$B$17*$B$20*$B$22,0)</f>
        <v/>
      </c>
      <c r="E51" s="50">
        <f>ROUND($B$4*$B$10*$B$12*$B$14*$B$17*$B$20*$B$23,0)</f>
        <v/>
      </c>
      <c r="F51" s="50">
        <f>ROUND($B$4*$B$10*$B$12*$B$14*$B$17*$B$21*$B$22,0)</f>
        <v/>
      </c>
      <c r="G51" s="50">
        <f>ROUND($B$4*$B$10*$B$12*$B$14*$B$17*$B$21*$B$23,0)</f>
        <v/>
      </c>
      <c r="H51" s="50">
        <f>ROUND($B$4*$B$10*$B$12*$B$14*$B$18*$B$20*$B$22,0)</f>
        <v/>
      </c>
      <c r="I51" s="50">
        <f>ROUND($B$4*$B$10*$B$12*$B$14*$B$18*$B$20*$B$23,0)</f>
        <v/>
      </c>
      <c r="J51" s="50">
        <f>ROUND($B$4*$B$10*$B$12*$B$14*$B$18*$B$21*$B$22,0)</f>
        <v/>
      </c>
      <c r="K51" s="50">
        <f>ROUND($B$4*$B$10*$B$12*$B$14*$B$18*$B$21*$B$23,0)</f>
        <v/>
      </c>
      <c r="L51" s="50">
        <f>ROUND($B$4*$B$10*$B$12*$B$14*$B$19*$B$20*$B$22,0)</f>
        <v/>
      </c>
      <c r="M51" s="50">
        <f>ROUND($B$4*$B$10*$B$12*$B$14*$B$19*$B$20*$B$23,0)</f>
        <v/>
      </c>
      <c r="N51" s="50">
        <f>ROUND($B$4*$B$10*$B$12*$B$14*$B$19*$B$21*$B$22,0)</f>
        <v/>
      </c>
      <c r="O51" s="50">
        <f>ROUND($B$4*$B$10*$B$12*$B$14*$B$19*$B$21*$B$23,0)</f>
        <v/>
      </c>
      <c r="P51" s="53">
        <f>ROUND($B$5*$B$10*$B$12*$B$14*$B$17*$B$20*$B$22,0)</f>
        <v/>
      </c>
      <c r="Q51" s="53">
        <f>ROUND($B$5*$B$10*$B$12*$B$14*$B$17*$B$20*$B$23,0)</f>
        <v/>
      </c>
      <c r="R51" s="53">
        <f>ROUND($B$5*$B$10*$B$12*$B$14*$B$17*$B$21*$B$22,0)</f>
        <v/>
      </c>
      <c r="S51" s="53">
        <f>ROUND($B$5*$B$10*$B$12*$B$14*$B$17*$B$21*$B$23,0)</f>
        <v/>
      </c>
      <c r="T51" s="53">
        <f>ROUND($B$5*$B$10*$B$12*$B$14*$B$18*$B$20*$B$22,0)</f>
        <v/>
      </c>
      <c r="U51" s="53">
        <f>ROUND($B$5*$B$10*$B$12*$B$14*$B$18*$B$20*$B$23,0)</f>
        <v/>
      </c>
      <c r="V51" s="53">
        <f>ROUND($B$5*$B$10*$B$12*$B$14*$B$18*$B$21*$B$22,0)</f>
        <v/>
      </c>
      <c r="W51" s="53">
        <f>ROUND($B$5*$B$10*$B$12*$B$14*$B$18*$B$21*$B$23,0)</f>
        <v/>
      </c>
      <c r="X51" s="53">
        <f>ROUND($B$5*$B$10*$B$12*$B$14*$B$19*$B$20*$B$22,0)</f>
        <v/>
      </c>
      <c r="Y51" s="53">
        <f>ROUND($B$5*$B$10*$B$12*$B$14*$B$19*$B$20*$B$23,0)</f>
        <v/>
      </c>
      <c r="Z51" s="53">
        <f>ROUND($B$5*$B$10*$B$12*$B$14*$B$19*$B$21*$B$22,0)</f>
        <v/>
      </c>
      <c r="AA51" s="53">
        <f>ROUND($B$5*$B$10*$B$12*$B$14*$B$19*$B$21*$B$23,0)</f>
        <v/>
      </c>
      <c r="AB51" s="53">
        <f>ROUND($B$6*$B$10*$B$12*$B$14*$B$17*$B$20*$B$22,0)</f>
        <v/>
      </c>
      <c r="AC51" s="53">
        <f>ROUND($B$6*$B$10*$B$12*$B$14*$B$17*$B$20*$B$23,0)</f>
        <v/>
      </c>
      <c r="AD51" s="53">
        <f>ROUND($B$6*$B$10*$B$12*$B$14*$B$17*$B$21*$B$22,0)</f>
        <v/>
      </c>
      <c r="AE51" s="53">
        <f>ROUND($B$6*$B$10*$B$12*$B$14*$B$17*$B$21*$B$23,0)</f>
        <v/>
      </c>
      <c r="AF51" s="53">
        <f>ROUND($B$6*$B$10*$B$12*$B$14*$B$18*$B$20*$B$22,0)</f>
        <v/>
      </c>
      <c r="AG51" s="53">
        <f>ROUND($B$6*$B$10*$B$12*$B$14*$B$18*$B$20*$B$23,0)</f>
        <v/>
      </c>
      <c r="AH51" s="53">
        <f>ROUND($B$6*$B$10*$B$12*$B$14*$B$18*$B$21*$B$22,0)</f>
        <v/>
      </c>
      <c r="AI51" s="53">
        <f>ROUND($B$6*$B$10*$B$12*$B$14*$B$18*$B$21*$B$23,0)</f>
        <v/>
      </c>
      <c r="AJ51" s="53">
        <f>ROUND($B$6*$B$10*$B$12*$B$14*$B$19*$B$20*$B$22,0)</f>
        <v/>
      </c>
      <c r="AK51" s="53">
        <f>ROUND($B$6*$B$10*$B$12*$B$14*$B$19*$B$20*$B$23,0)</f>
        <v/>
      </c>
      <c r="AL51" s="53">
        <f>ROUND($B$6*$B$10*$B$12*$B$14*$B$19*$B$21*$B$22,0)</f>
        <v/>
      </c>
      <c r="AM51" s="53">
        <f>ROUND($B$6*$B$10*$B$12*$B$14*$B$19*$B$21*$B$23,0)</f>
        <v/>
      </c>
    </row>
    <row r="52" ht="20.1" customHeight="1" s="62">
      <c r="A52" s="104" t="n"/>
      <c r="B52" s="58" t="n"/>
      <c r="C52" s="101" t="inlineStr">
        <is>
          <t>6-20 utilisateurs</t>
        </is>
      </c>
      <c r="D52" s="50">
        <f>ROUND($B$4*$B$10*$B$12*$B$15*$B$17*$B$20*$B$22,0)</f>
        <v/>
      </c>
      <c r="E52" s="50">
        <f>ROUND($B$4*$B$10*$B$12*$B$15*$B$17*$B$20*$B$23,0)</f>
        <v/>
      </c>
      <c r="F52" s="50">
        <f>ROUND($B$4*$B$10*$B$12*$B$15*$B$17*$B$21*$B$22,0)</f>
        <v/>
      </c>
      <c r="G52" s="50">
        <f>ROUND($B$4*$B$10*$B$12*$B$15*$B$17*$B$21*$B$23,0)</f>
        <v/>
      </c>
      <c r="H52" s="50">
        <f>ROUND($B$4*$B$10*$B$12*$B$15*$B$18*$B$20*$B$22,0)</f>
        <v/>
      </c>
      <c r="I52" s="50">
        <f>ROUND($B$4*$B$10*$B$12*$B$15*$B$18*$B$20*$B$23,0)</f>
        <v/>
      </c>
      <c r="J52" s="50">
        <f>ROUND($B$4*$B$10*$B$12*$B$15*$B$18*$B$21*$B$22,0)</f>
        <v/>
      </c>
      <c r="K52" s="50">
        <f>ROUND($B$4*$B$10*$B$12*$B$15*$B$18*$B$21*$B$23,0)</f>
        <v/>
      </c>
      <c r="L52" s="50">
        <f>ROUND($B$4*$B$10*$B$12*$B$15*$B$19*$B$20*$B$22,0)</f>
        <v/>
      </c>
      <c r="M52" s="50">
        <f>ROUND($B$4*$B$10*$B$12*$B$15*$B$19*$B$20*$B$23,0)</f>
        <v/>
      </c>
      <c r="N52" s="50">
        <f>ROUND($B$4*$B$10*$B$12*$B$15*$B$19*$B$21*$B$22,0)</f>
        <v/>
      </c>
      <c r="O52" s="50">
        <f>ROUND($B$4*$B$10*$B$12*$B$15*$B$19*$B$21*$B$23,0)</f>
        <v/>
      </c>
      <c r="P52" s="53">
        <f>ROUND($B$5*$B$10*$B$12*$B$15*$B$17*$B$20*$B$22,0)</f>
        <v/>
      </c>
      <c r="Q52" s="53">
        <f>ROUND($B$5*$B$10*$B$12*$B$15*$B$17*$B$20*$B$23,0)</f>
        <v/>
      </c>
      <c r="R52" s="53">
        <f>ROUND($B$5*$B$10*$B$12*$B$15*$B$17*$B$21*$B$22,0)</f>
        <v/>
      </c>
      <c r="S52" s="53">
        <f>ROUND($B$5*$B$10*$B$12*$B$15*$B$17*$B$21*$B$23,0)</f>
        <v/>
      </c>
      <c r="T52" s="53">
        <f>ROUND($B$5*$B$10*$B$12*$B$15*$B$18*$B$20*$B$22,0)</f>
        <v/>
      </c>
      <c r="U52" s="53">
        <f>ROUND($B$5*$B$10*$B$12*$B$15*$B$18*$B$20*$B$23,0)</f>
        <v/>
      </c>
      <c r="V52" s="53">
        <f>ROUND($B$5*$B$10*$B$12*$B$15*$B$18*$B$21*$B$22,0)</f>
        <v/>
      </c>
      <c r="W52" s="53">
        <f>ROUND($B$5*$B$10*$B$12*$B$15*$B$18*$B$21*$B$23,0)</f>
        <v/>
      </c>
      <c r="X52" s="53">
        <f>ROUND($B$5*$B$10*$B$12*$B$15*$B$19*$B$20*$B$22,0)</f>
        <v/>
      </c>
      <c r="Y52" s="53">
        <f>ROUND($B$5*$B$10*$B$12*$B$15*$B$19*$B$20*$B$23,0)</f>
        <v/>
      </c>
      <c r="Z52" s="53">
        <f>ROUND($B$5*$B$10*$B$12*$B$15*$B$19*$B$21*$B$22,0)</f>
        <v/>
      </c>
      <c r="AA52" s="53">
        <f>ROUND($B$5*$B$10*$B$12*$B$15*$B$19*$B$21*$B$23,0)</f>
        <v/>
      </c>
      <c r="AB52" s="53">
        <f>ROUND($B$6*$B$10*$B$12*$B$15*$B$17*$B$20*$B$22,0)</f>
        <v/>
      </c>
      <c r="AC52" s="53">
        <f>ROUND($B$6*$B$10*$B$12*$B$15*$B$17*$B$20*$B$23,0)</f>
        <v/>
      </c>
      <c r="AD52" s="53">
        <f>ROUND($B$6*$B$10*$B$12*$B$15*$B$17*$B$21*$B$22,0)</f>
        <v/>
      </c>
      <c r="AE52" s="53">
        <f>ROUND($B$6*$B$10*$B$12*$B$15*$B$17*$B$21*$B$23,0)</f>
        <v/>
      </c>
      <c r="AF52" s="53">
        <f>ROUND($B$6*$B$10*$B$12*$B$15*$B$18*$B$20*$B$22,0)</f>
        <v/>
      </c>
      <c r="AG52" s="53">
        <f>ROUND($B$6*$B$10*$B$12*$B$15*$B$18*$B$20*$B$23,0)</f>
        <v/>
      </c>
      <c r="AH52" s="53">
        <f>ROUND($B$6*$B$10*$B$12*$B$15*$B$18*$B$21*$B$22,0)</f>
        <v/>
      </c>
      <c r="AI52" s="53">
        <f>ROUND($B$6*$B$10*$B$12*$B$15*$B$18*$B$21*$B$23,0)</f>
        <v/>
      </c>
      <c r="AJ52" s="53">
        <f>ROUND($B$6*$B$10*$B$12*$B$15*$B$19*$B$20*$B$22,0)</f>
        <v/>
      </c>
      <c r="AK52" s="53">
        <f>ROUND($B$6*$B$10*$B$12*$B$15*$B$19*$B$20*$B$23,0)</f>
        <v/>
      </c>
      <c r="AL52" s="53">
        <f>ROUND($B$6*$B$10*$B$12*$B$15*$B$19*$B$21*$B$22,0)</f>
        <v/>
      </c>
      <c r="AM52" s="53">
        <f>ROUND($B$6*$B$10*$B$12*$B$15*$B$19*$B$21*$B$23,0)</f>
        <v/>
      </c>
    </row>
    <row r="53" ht="20.1" customHeight="1" s="62">
      <c r="A53" s="104" t="n"/>
      <c r="B53" s="59" t="n"/>
      <c r="C53" s="51" t="inlineStr">
        <is>
          <t>21+ utilisateurs</t>
        </is>
      </c>
      <c r="D53" s="50">
        <f>ROUND($B$4*$B$10*$B$12*$B$16*$B$17*$B$20*$B$22,0)</f>
        <v/>
      </c>
      <c r="E53" s="50">
        <f>ROUND($B$4*$B$10*$B$12*$B$16*$B$17*$B$20*$B$23,0)</f>
        <v/>
      </c>
      <c r="F53" s="50">
        <f>ROUND($B$4*$B$10*$B$12*$B$16*$B$17*$B$21*$B$22,0)</f>
        <v/>
      </c>
      <c r="G53" s="50">
        <f>ROUND($B$4*$B$10*$B$12*$B$16*$B$17*$B$21*$B$23,0)</f>
        <v/>
      </c>
      <c r="H53" s="50">
        <f>ROUND($B$4*$B$10*$B$12*$B$16*$B$18*$B$20*$B$22,0)</f>
        <v/>
      </c>
      <c r="I53" s="50">
        <f>ROUND($B$4*$B$10*$B$12*$B$16*$B$18*$B$20*$B$23,0)</f>
        <v/>
      </c>
      <c r="J53" s="50">
        <f>ROUND($B$4*$B$10*$B$12*$B$16*$B$18*$B$21*$B$22,0)</f>
        <v/>
      </c>
      <c r="K53" s="50">
        <f>ROUND($B$4*$B$10*$B$12*$B$16*$B$18*$B$21*$B$23,0)</f>
        <v/>
      </c>
      <c r="L53" s="50">
        <f>ROUND($B$4*$B$10*$B$12*$B$16*$B$19*$B$20*$B$22,0)</f>
        <v/>
      </c>
      <c r="M53" s="50">
        <f>ROUND($B$4*$B$10*$B$12*$B$16*$B$19*$B$20*$B$23,0)</f>
        <v/>
      </c>
      <c r="N53" s="50">
        <f>ROUND($B$4*$B$10*$B$12*$B$16*$B$19*$B$21*$B$22,0)</f>
        <v/>
      </c>
      <c r="O53" s="50">
        <f>ROUND($B$4*$B$10*$B$12*$B$16*$B$19*$B$21*$B$23,0)</f>
        <v/>
      </c>
      <c r="P53" s="53">
        <f>ROUND($B$5*$B$10*$B$12*$B$16*$B$17*$B$20*$B$22,0)</f>
        <v/>
      </c>
      <c r="Q53" s="53">
        <f>ROUND($B$5*$B$10*$B$12*$B$16*$B$17*$B$20*$B$23,0)</f>
        <v/>
      </c>
      <c r="R53" s="53">
        <f>ROUND($B$5*$B$10*$B$12*$B$16*$B$17*$B$21*$B$22,0)</f>
        <v/>
      </c>
      <c r="S53" s="53">
        <f>ROUND($B$5*$B$10*$B$12*$B$16*$B$17*$B$21*$B$23,0)</f>
        <v/>
      </c>
      <c r="T53" s="53">
        <f>ROUND($B$5*$B$10*$B$12*$B$16*$B$18*$B$20*$B$22,0)</f>
        <v/>
      </c>
      <c r="U53" s="53">
        <f>ROUND($B$5*$B$10*$B$12*$B$16*$B$18*$B$20*$B$23,0)</f>
        <v/>
      </c>
      <c r="V53" s="53">
        <f>ROUND($B$5*$B$10*$B$12*$B$16*$B$18*$B$21*$B$22,0)</f>
        <v/>
      </c>
      <c r="W53" s="53">
        <f>ROUND($B$5*$B$10*$B$12*$B$16*$B$18*$B$21*$B$23,0)</f>
        <v/>
      </c>
      <c r="X53" s="53">
        <f>ROUND($B$5*$B$10*$B$12*$B$16*$B$19*$B$20*$B$22,0)</f>
        <v/>
      </c>
      <c r="Y53" s="53">
        <f>ROUND($B$5*$B$10*$B$12*$B$16*$B$19*$B$20*$B$23,0)</f>
        <v/>
      </c>
      <c r="Z53" s="53">
        <f>ROUND($B$5*$B$10*$B$12*$B$16*$B$19*$B$21*$B$22,0)</f>
        <v/>
      </c>
      <c r="AA53" s="53">
        <f>ROUND($B$5*$B$10*$B$12*$B$16*$B$19*$B$21*$B$23,0)</f>
        <v/>
      </c>
      <c r="AB53" s="53">
        <f>ROUND($B$6*$B$10*$B$12*$B$16*$B$17*$B$20*$B$22,0)</f>
        <v/>
      </c>
      <c r="AC53" s="53">
        <f>ROUND($B$6*$B$10*$B$12*$B$16*$B$17*$B$20*$B$23,0)</f>
        <v/>
      </c>
      <c r="AD53" s="53">
        <f>ROUND($B$6*$B$10*$B$12*$B$16*$B$17*$B$21*$B$22,0)</f>
        <v/>
      </c>
      <c r="AE53" s="53">
        <f>ROUND($B$6*$B$10*$B$12*$B$16*$B$17*$B$21*$B$23,0)</f>
        <v/>
      </c>
      <c r="AF53" s="53">
        <f>ROUND($B$6*$B$10*$B$12*$B$16*$B$18*$B$20*$B$22,0)</f>
        <v/>
      </c>
      <c r="AG53" s="53">
        <f>ROUND($B$6*$B$10*$B$12*$B$16*$B$18*$B$20*$B$23,0)</f>
        <v/>
      </c>
      <c r="AH53" s="53">
        <f>ROUND($B$6*$B$10*$B$12*$B$16*$B$18*$B$21*$B$22,0)</f>
        <v/>
      </c>
      <c r="AI53" s="53">
        <f>ROUND($B$6*$B$10*$B$12*$B$16*$B$18*$B$21*$B$23,0)</f>
        <v/>
      </c>
      <c r="AJ53" s="53">
        <f>ROUND($B$6*$B$10*$B$12*$B$16*$B$19*$B$20*$B$22,0)</f>
        <v/>
      </c>
      <c r="AK53" s="53">
        <f>ROUND($B$6*$B$10*$B$12*$B$16*$B$19*$B$20*$B$23,0)</f>
        <v/>
      </c>
      <c r="AL53" s="53">
        <f>ROUND($B$6*$B$10*$B$12*$B$16*$B$19*$B$21*$B$22,0)</f>
        <v/>
      </c>
      <c r="AM53" s="53">
        <f>ROUND($B$6*$B$10*$B$12*$B$16*$B$19*$B$21*$B$23,0)</f>
        <v/>
      </c>
    </row>
    <row r="54" ht="20.1" customHeight="1" s="62">
      <c r="A54" s="104" t="n"/>
      <c r="B54" s="101" t="inlineStr">
        <is>
          <t>Volume élevé (20+/mois)</t>
        </is>
      </c>
      <c r="C54" s="49" t="inlineStr">
        <is>
          <t>1-5 utilisateurs</t>
        </is>
      </c>
      <c r="D54" s="50">
        <f>ROUND($B$4*$B$10*$B$13*$B$14*$B$17*$B$20*$B$22,0)</f>
        <v/>
      </c>
      <c r="E54" s="50">
        <f>ROUND($B$4*$B$10*$B$13*$B$14*$B$17*$B$20*$B$23,0)</f>
        <v/>
      </c>
      <c r="F54" s="50">
        <f>ROUND($B$4*$B$10*$B$13*$B$14*$B$17*$B$21*$B$22,0)</f>
        <v/>
      </c>
      <c r="G54" s="50">
        <f>ROUND($B$4*$B$10*$B$13*$B$14*$B$17*$B$21*$B$23,0)</f>
        <v/>
      </c>
      <c r="H54" s="50">
        <f>ROUND($B$4*$B$10*$B$13*$B$14*$B$18*$B$20*$B$22,0)</f>
        <v/>
      </c>
      <c r="I54" s="50">
        <f>ROUND($B$4*$B$10*$B$13*$B$14*$B$18*$B$20*$B$23,0)</f>
        <v/>
      </c>
      <c r="J54" s="50">
        <f>ROUND($B$4*$B$10*$B$13*$B$14*$B$18*$B$21*$B$22,0)</f>
        <v/>
      </c>
      <c r="K54" s="50">
        <f>ROUND($B$4*$B$10*$B$13*$B$14*$B$18*$B$21*$B$23,0)</f>
        <v/>
      </c>
      <c r="L54" s="50">
        <f>ROUND($B$4*$B$10*$B$13*$B$14*$B$19*$B$20*$B$22,0)</f>
        <v/>
      </c>
      <c r="M54" s="50">
        <f>ROUND($B$4*$B$10*$B$13*$B$14*$B$19*$B$20*$B$23,0)</f>
        <v/>
      </c>
      <c r="N54" s="50">
        <f>ROUND($B$4*$B$10*$B$13*$B$14*$B$19*$B$21*$B$22,0)</f>
        <v/>
      </c>
      <c r="O54" s="50">
        <f>ROUND($B$4*$B$10*$B$13*$B$14*$B$19*$B$21*$B$23,0)</f>
        <v/>
      </c>
      <c r="P54" s="53">
        <f>ROUND($B$5*$B$10*$B$13*$B$14*$B$17*$B$20*$B$22,0)</f>
        <v/>
      </c>
      <c r="Q54" s="53">
        <f>ROUND($B$5*$B$10*$B$13*$B$14*$B$17*$B$20*$B$23,0)</f>
        <v/>
      </c>
      <c r="R54" s="53">
        <f>ROUND($B$5*$B$10*$B$13*$B$14*$B$17*$B$21*$B$22,0)</f>
        <v/>
      </c>
      <c r="S54" s="53">
        <f>ROUND($B$5*$B$10*$B$13*$B$14*$B$17*$B$21*$B$23,0)</f>
        <v/>
      </c>
      <c r="T54" s="53">
        <f>ROUND($B$5*$B$10*$B$13*$B$14*$B$18*$B$20*$B$22,0)</f>
        <v/>
      </c>
      <c r="U54" s="53">
        <f>ROUND($B$5*$B$10*$B$13*$B$14*$B$18*$B$20*$B$23,0)</f>
        <v/>
      </c>
      <c r="V54" s="53">
        <f>ROUND($B$5*$B$10*$B$13*$B$14*$B$18*$B$21*$B$22,0)</f>
        <v/>
      </c>
      <c r="W54" s="53">
        <f>ROUND($B$5*$B$10*$B$13*$B$14*$B$18*$B$21*$B$23,0)</f>
        <v/>
      </c>
      <c r="X54" s="53">
        <f>ROUND($B$5*$B$10*$B$13*$B$14*$B$19*$B$20*$B$22,0)</f>
        <v/>
      </c>
      <c r="Y54" s="53">
        <f>ROUND($B$5*$B$10*$B$13*$B$14*$B$19*$B$20*$B$23,0)</f>
        <v/>
      </c>
      <c r="Z54" s="53">
        <f>ROUND($B$5*$B$10*$B$13*$B$14*$B$19*$B$21*$B$22,0)</f>
        <v/>
      </c>
      <c r="AA54" s="53">
        <f>ROUND($B$5*$B$10*$B$13*$B$14*$B$19*$B$21*$B$23,0)</f>
        <v/>
      </c>
      <c r="AB54" s="53">
        <f>ROUND($B$6*$B$10*$B$13*$B$14*$B$17*$B$20*$B$22,0)</f>
        <v/>
      </c>
      <c r="AC54" s="53">
        <f>ROUND($B$6*$B$10*$B$13*$B$14*$B$17*$B$20*$B$23,0)</f>
        <v/>
      </c>
      <c r="AD54" s="53">
        <f>ROUND($B$6*$B$10*$B$13*$B$14*$B$17*$B$21*$B$22,0)</f>
        <v/>
      </c>
      <c r="AE54" s="53">
        <f>ROUND($B$6*$B$10*$B$13*$B$14*$B$17*$B$21*$B$23,0)</f>
        <v/>
      </c>
      <c r="AF54" s="53">
        <f>ROUND($B$6*$B$10*$B$13*$B$14*$B$18*$B$20*$B$22,0)</f>
        <v/>
      </c>
      <c r="AG54" s="53">
        <f>ROUND($B$6*$B$10*$B$13*$B$14*$B$18*$B$20*$B$23,0)</f>
        <v/>
      </c>
      <c r="AH54" s="53">
        <f>ROUND($B$6*$B$10*$B$13*$B$14*$B$18*$B$21*$B$22,0)</f>
        <v/>
      </c>
      <c r="AI54" s="53">
        <f>ROUND($B$6*$B$10*$B$13*$B$14*$B$18*$B$21*$B$23,0)</f>
        <v/>
      </c>
      <c r="AJ54" s="53">
        <f>ROUND($B$6*$B$10*$B$13*$B$14*$B$19*$B$20*$B$22,0)</f>
        <v/>
      </c>
      <c r="AK54" s="53">
        <f>ROUND($B$6*$B$10*$B$13*$B$14*$B$19*$B$20*$B$23,0)</f>
        <v/>
      </c>
      <c r="AL54" s="53">
        <f>ROUND($B$6*$B$10*$B$13*$B$14*$B$19*$B$21*$B$22,0)</f>
        <v/>
      </c>
      <c r="AM54" s="53">
        <f>ROUND($B$6*$B$10*$B$13*$B$14*$B$19*$B$21*$B$23,0)</f>
        <v/>
      </c>
    </row>
    <row r="55" ht="20.1" customHeight="1" s="62">
      <c r="A55" s="104" t="n"/>
      <c r="B55" s="58" t="n"/>
      <c r="C55" s="101" t="inlineStr">
        <is>
          <t>6-20 utilisateurs</t>
        </is>
      </c>
      <c r="D55" s="50">
        <f>ROUND($B$4*$B$10*$B$13*$B$15*$B$17*$B$20*$B$22,0)</f>
        <v/>
      </c>
      <c r="E55" s="50">
        <f>ROUND($B$4*$B$10*$B$13*$B$15*$B$17*$B$20*$B$23,0)</f>
        <v/>
      </c>
      <c r="F55" s="50">
        <f>ROUND($B$4*$B$10*$B$13*$B$15*$B$17*$B$21*$B$22,0)</f>
        <v/>
      </c>
      <c r="G55" s="50">
        <f>ROUND($B$4*$B$10*$B$13*$B$15*$B$17*$B$21*$B$23,0)</f>
        <v/>
      </c>
      <c r="H55" s="50">
        <f>ROUND($B$4*$B$10*$B$13*$B$15*$B$18*$B$20*$B$22,0)</f>
        <v/>
      </c>
      <c r="I55" s="50">
        <f>ROUND($B$4*$B$10*$B$13*$B$15*$B$18*$B$20*$B$23,0)</f>
        <v/>
      </c>
      <c r="J55" s="50">
        <f>ROUND($B$4*$B$10*$B$13*$B$15*$B$18*$B$21*$B$22,0)</f>
        <v/>
      </c>
      <c r="K55" s="50">
        <f>ROUND($B$4*$B$10*$B$13*$B$15*$B$18*$B$21*$B$23,0)</f>
        <v/>
      </c>
      <c r="L55" s="50">
        <f>ROUND($B$4*$B$10*$B$13*$B$15*$B$19*$B$20*$B$22,0)</f>
        <v/>
      </c>
      <c r="M55" s="50">
        <f>ROUND($B$4*$B$10*$B$13*$B$15*$B$19*$B$20*$B$23,0)</f>
        <v/>
      </c>
      <c r="N55" s="50">
        <f>ROUND($B$4*$B$10*$B$13*$B$15*$B$19*$B$21*$B$22,0)</f>
        <v/>
      </c>
      <c r="O55" s="50">
        <f>ROUND($B$4*$B$10*$B$13*$B$15*$B$19*$B$21*$B$23,0)</f>
        <v/>
      </c>
      <c r="P55" s="53">
        <f>ROUND($B$5*$B$10*$B$13*$B$15*$B$17*$B$20*$B$22,0)</f>
        <v/>
      </c>
      <c r="Q55" s="53">
        <f>ROUND($B$5*$B$10*$B$13*$B$15*$B$17*$B$20*$B$23,0)</f>
        <v/>
      </c>
      <c r="R55" s="53">
        <f>ROUND($B$5*$B$10*$B$13*$B$15*$B$17*$B$21*$B$22,0)</f>
        <v/>
      </c>
      <c r="S55" s="53">
        <f>ROUND($B$5*$B$10*$B$13*$B$15*$B$17*$B$21*$B$23,0)</f>
        <v/>
      </c>
      <c r="T55" s="53">
        <f>ROUND($B$5*$B$10*$B$13*$B$15*$B$18*$B$20*$B$22,0)</f>
        <v/>
      </c>
      <c r="U55" s="53">
        <f>ROUND($B$5*$B$10*$B$13*$B$15*$B$18*$B$20*$B$23,0)</f>
        <v/>
      </c>
      <c r="V55" s="53">
        <f>ROUND($B$5*$B$10*$B$13*$B$15*$B$18*$B$21*$B$22,0)</f>
        <v/>
      </c>
      <c r="W55" s="53">
        <f>ROUND($B$5*$B$10*$B$13*$B$15*$B$18*$B$21*$B$23,0)</f>
        <v/>
      </c>
      <c r="X55" s="53">
        <f>ROUND($B$5*$B$10*$B$13*$B$15*$B$19*$B$20*$B$22,0)</f>
        <v/>
      </c>
      <c r="Y55" s="53">
        <f>ROUND($B$5*$B$10*$B$13*$B$15*$B$19*$B$20*$B$23,0)</f>
        <v/>
      </c>
      <c r="Z55" s="53">
        <f>ROUND($B$5*$B$10*$B$13*$B$15*$B$19*$B$21*$B$22,0)</f>
        <v/>
      </c>
      <c r="AA55" s="53">
        <f>ROUND($B$5*$B$10*$B$13*$B$15*$B$19*$B$21*$B$23,0)</f>
        <v/>
      </c>
      <c r="AB55" s="53">
        <f>ROUND($B$6*$B$10*$B$13*$B$15*$B$17*$B$20*$B$22,0)</f>
        <v/>
      </c>
      <c r="AC55" s="53">
        <f>ROUND($B$6*$B$10*$B$13*$B$15*$B$17*$B$20*$B$23,0)</f>
        <v/>
      </c>
      <c r="AD55" s="53">
        <f>ROUND($B$6*$B$10*$B$13*$B$15*$B$17*$B$21*$B$22,0)</f>
        <v/>
      </c>
      <c r="AE55" s="53">
        <f>ROUND($B$6*$B$10*$B$13*$B$15*$B$17*$B$21*$B$23,0)</f>
        <v/>
      </c>
      <c r="AF55" s="53">
        <f>ROUND($B$6*$B$10*$B$13*$B$15*$B$18*$B$20*$B$22,0)</f>
        <v/>
      </c>
      <c r="AG55" s="53">
        <f>ROUND($B$6*$B$10*$B$13*$B$15*$B$18*$B$20*$B$23,0)</f>
        <v/>
      </c>
      <c r="AH55" s="53">
        <f>ROUND($B$6*$B$10*$B$13*$B$15*$B$18*$B$21*$B$22,0)</f>
        <v/>
      </c>
      <c r="AI55" s="53">
        <f>ROUND($B$6*$B$10*$B$13*$B$15*$B$18*$B$21*$B$23,0)</f>
        <v/>
      </c>
      <c r="AJ55" s="53">
        <f>ROUND($B$6*$B$10*$B$13*$B$15*$B$19*$B$20*$B$22,0)</f>
        <v/>
      </c>
      <c r="AK55" s="53">
        <f>ROUND($B$6*$B$10*$B$13*$B$15*$B$19*$B$20*$B$23,0)</f>
        <v/>
      </c>
      <c r="AL55" s="53">
        <f>ROUND($B$6*$B$10*$B$13*$B$15*$B$19*$B$21*$B$22,0)</f>
        <v/>
      </c>
      <c r="AM55" s="53">
        <f>ROUND($B$6*$B$10*$B$13*$B$15*$B$19*$B$21*$B$23,0)</f>
        <v/>
      </c>
    </row>
    <row r="56" ht="20.1" customHeight="1" s="62">
      <c r="A56" s="105" t="n"/>
      <c r="B56" s="59" t="n"/>
      <c r="C56" s="51" t="inlineStr">
        <is>
          <t>21+ utilisateurs</t>
        </is>
      </c>
      <c r="D56" s="50">
        <f>ROUND($B$4*$B$10*$B$13*$B$16*$B$17*$B$20*$B$22,0)</f>
        <v/>
      </c>
      <c r="E56" s="50">
        <f>ROUND($B$4*$B$10*$B$13*$B$16*$B$17*$B$20*$B$23,0)</f>
        <v/>
      </c>
      <c r="F56" s="50">
        <f>ROUND($B$4*$B$10*$B$13*$B$16*$B$17*$B$21*$B$22,0)</f>
        <v/>
      </c>
      <c r="G56" s="50">
        <f>ROUND($B$4*$B$10*$B$13*$B$16*$B$17*$B$21*$B$23,0)</f>
        <v/>
      </c>
      <c r="H56" s="50">
        <f>ROUND($B$4*$B$10*$B$13*$B$16*$B$18*$B$20*$B$22,0)</f>
        <v/>
      </c>
      <c r="I56" s="50">
        <f>ROUND($B$4*$B$10*$B$13*$B$16*$B$18*$B$20*$B$23,0)</f>
        <v/>
      </c>
      <c r="J56" s="50">
        <f>ROUND($B$4*$B$10*$B$13*$B$16*$B$18*$B$21*$B$22,0)</f>
        <v/>
      </c>
      <c r="K56" s="50">
        <f>ROUND($B$4*$B$10*$B$13*$B$16*$B$18*$B$21*$B$23,0)</f>
        <v/>
      </c>
      <c r="L56" s="50">
        <f>ROUND($B$4*$B$10*$B$13*$B$16*$B$19*$B$20*$B$22,0)</f>
        <v/>
      </c>
      <c r="M56" s="50">
        <f>ROUND($B$4*$B$10*$B$13*$B$16*$B$19*$B$20*$B$23,0)</f>
        <v/>
      </c>
      <c r="N56" s="50">
        <f>ROUND($B$4*$B$10*$B$13*$B$16*$B$19*$B$21*$B$22,0)</f>
        <v/>
      </c>
      <c r="O56" s="50">
        <f>ROUND($B$4*$B$10*$B$13*$B$16*$B$19*$B$21*$B$23,0)</f>
        <v/>
      </c>
      <c r="P56" s="53">
        <f>ROUND($B$5*$B$10*$B$13*$B$16*$B$17*$B$20*$B$22,0)</f>
        <v/>
      </c>
      <c r="Q56" s="53">
        <f>ROUND($B$5*$B$10*$B$13*$B$16*$B$17*$B$20*$B$23,0)</f>
        <v/>
      </c>
      <c r="R56" s="53">
        <f>ROUND($B$5*$B$10*$B$13*$B$16*$B$17*$B$21*$B$22,0)</f>
        <v/>
      </c>
      <c r="S56" s="53">
        <f>ROUND($B$5*$B$10*$B$13*$B$16*$B$17*$B$21*$B$23,0)</f>
        <v/>
      </c>
      <c r="T56" s="53">
        <f>ROUND($B$5*$B$10*$B$13*$B$16*$B$18*$B$20*$B$22,0)</f>
        <v/>
      </c>
      <c r="U56" s="53">
        <f>ROUND($B$5*$B$10*$B$13*$B$16*$B$18*$B$20*$B$23,0)</f>
        <v/>
      </c>
      <c r="V56" s="53">
        <f>ROUND($B$5*$B$10*$B$13*$B$16*$B$18*$B$21*$B$22,0)</f>
        <v/>
      </c>
      <c r="W56" s="53">
        <f>ROUND($B$5*$B$10*$B$13*$B$16*$B$18*$B$21*$B$23,0)</f>
        <v/>
      </c>
      <c r="X56" s="53">
        <f>ROUND($B$5*$B$10*$B$13*$B$16*$B$19*$B$20*$B$22,0)</f>
        <v/>
      </c>
      <c r="Y56" s="53">
        <f>ROUND($B$5*$B$10*$B$13*$B$16*$B$19*$B$20*$B$23,0)</f>
        <v/>
      </c>
      <c r="Z56" s="53">
        <f>ROUND($B$5*$B$10*$B$13*$B$16*$B$19*$B$21*$B$22,0)</f>
        <v/>
      </c>
      <c r="AA56" s="53">
        <f>ROUND($B$5*$B$10*$B$13*$B$16*$B$19*$B$21*$B$23,0)</f>
        <v/>
      </c>
      <c r="AB56" s="53">
        <f>ROUND($B$6*$B$10*$B$13*$B$16*$B$17*$B$20*$B$22,0)</f>
        <v/>
      </c>
      <c r="AC56" s="53">
        <f>ROUND($B$6*$B$10*$B$13*$B$16*$B$17*$B$20*$B$23,0)</f>
        <v/>
      </c>
      <c r="AD56" s="53">
        <f>ROUND($B$6*$B$10*$B$13*$B$16*$B$17*$B$21*$B$22,0)</f>
        <v/>
      </c>
      <c r="AE56" s="53">
        <f>ROUND($B$6*$B$10*$B$13*$B$16*$B$17*$B$21*$B$23,0)</f>
        <v/>
      </c>
      <c r="AF56" s="53">
        <f>ROUND($B$6*$B$10*$B$13*$B$16*$B$18*$B$20*$B$22,0)</f>
        <v/>
      </c>
      <c r="AG56" s="53">
        <f>ROUND($B$6*$B$10*$B$13*$B$16*$B$18*$B$20*$B$23,0)</f>
        <v/>
      </c>
      <c r="AH56" s="53">
        <f>ROUND($B$6*$B$10*$B$13*$B$16*$B$18*$B$21*$B$22,0)</f>
        <v/>
      </c>
      <c r="AI56" s="53">
        <f>ROUND($B$6*$B$10*$B$13*$B$16*$B$18*$B$21*$B$23,0)</f>
        <v/>
      </c>
      <c r="AJ56" s="53">
        <f>ROUND($B$6*$B$10*$B$13*$B$16*$B$19*$B$20*$B$22,0)</f>
        <v/>
      </c>
      <c r="AK56" s="53">
        <f>ROUND($B$6*$B$10*$B$13*$B$16*$B$19*$B$20*$B$23,0)</f>
        <v/>
      </c>
      <c r="AL56" s="53">
        <f>ROUND($B$6*$B$10*$B$13*$B$16*$B$19*$B$21*$B$22,0)</f>
        <v/>
      </c>
      <c r="AM56" s="53">
        <f>ROUND($B$6*$B$10*$B$13*$B$16*$B$19*$B$21*$B$23,0)</f>
        <v/>
      </c>
    </row>
  </sheetData>
  <mergeCells count="50">
    <mergeCell ref="A1:AM1"/>
    <mergeCell ref="H27:K27"/>
    <mergeCell ref="B30:B32"/>
    <mergeCell ref="C26:C29"/>
    <mergeCell ref="B33:B35"/>
    <mergeCell ref="R28:S28"/>
    <mergeCell ref="A7:AM7"/>
    <mergeCell ref="J28:K28"/>
    <mergeCell ref="L28:M28"/>
    <mergeCell ref="B36:B38"/>
    <mergeCell ref="L27:O27"/>
    <mergeCell ref="B54:B56"/>
    <mergeCell ref="B45:B47"/>
    <mergeCell ref="T27:W27"/>
    <mergeCell ref="X27:AA27"/>
    <mergeCell ref="B51:B53"/>
    <mergeCell ref="V28:W28"/>
    <mergeCell ref="AF27:AI27"/>
    <mergeCell ref="X28:Y28"/>
    <mergeCell ref="AD28:AE28"/>
    <mergeCell ref="A3:AM3"/>
    <mergeCell ref="A24:AM24"/>
    <mergeCell ref="AJ28:AK28"/>
    <mergeCell ref="A2:AM2"/>
    <mergeCell ref="AL28:AM28"/>
    <mergeCell ref="AJ27:AM27"/>
    <mergeCell ref="A26:A29"/>
    <mergeCell ref="N28:O28"/>
    <mergeCell ref="A39:A47"/>
    <mergeCell ref="D28:E28"/>
    <mergeCell ref="F28:G28"/>
    <mergeCell ref="P28:Q28"/>
    <mergeCell ref="H28:I28"/>
    <mergeCell ref="D26:O26"/>
    <mergeCell ref="D27:G27"/>
    <mergeCell ref="B42:B44"/>
    <mergeCell ref="A48:A56"/>
    <mergeCell ref="P26:AA26"/>
    <mergeCell ref="P27:S27"/>
    <mergeCell ref="A30:A38"/>
    <mergeCell ref="B39:B41"/>
    <mergeCell ref="B48:B50"/>
    <mergeCell ref="AB27:AE27"/>
    <mergeCell ref="Z28:AA28"/>
    <mergeCell ref="B26:B29"/>
    <mergeCell ref="AB28:AC28"/>
    <mergeCell ref="T28:U28"/>
    <mergeCell ref="AF28:AG28"/>
    <mergeCell ref="AH28:AI28"/>
    <mergeCell ref="AB26:AM2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1C3557"/>
    <outlinePr summaryBelow="1" summaryRight="1"/>
    <pageSetUpPr/>
  </sheetPr>
  <dimension ref="A1:AA55"/>
  <sheetViews>
    <sheetView workbookViewId="0">
      <pane xSplit="3" topLeftCell="D1" activePane="topRight" state="frozen"/>
      <selection pane="topRight" activeCell="A23" sqref="A23:AA23"/>
    </sheetView>
  </sheetViews>
  <sheetFormatPr baseColWidth="10" defaultColWidth="9.140625" defaultRowHeight="15"/>
  <cols>
    <col width="22" customWidth="1" style="62" min="1" max="2"/>
    <col width="20" customWidth="1" style="62" min="3" max="3"/>
    <col width="13" customWidth="1" style="62" min="4" max="27"/>
  </cols>
  <sheetData>
    <row r="1" ht="33.95" customHeight="1" s="62">
      <c r="A1" s="97" t="inlineStr">
        <is>
          <t>GRILLE TARIFAIRE — Debug (sites, logiciels, serveurs)</t>
        </is>
      </c>
    </row>
    <row r="2" ht="26.1" customHeight="1" s="62">
      <c r="A2" s="107" t="inlineStr">
        <is>
          <t>⚙  ZONE DE PARAMÉTRAGE — Remplissez uniquement les cases jaunes. Le tableau se calcule automatiquement.</t>
        </is>
      </c>
    </row>
    <row r="3" ht="21.95" customHeight="1" s="62">
      <c r="A3" s="106" t="inlineStr">
        <is>
          <t>TARIFS DE BASE  —  Par niveau de prestation</t>
        </is>
      </c>
    </row>
    <row r="4" ht="21.95" customHeight="1" s="62">
      <c r="A4" s="43" t="inlineStr">
        <is>
          <t>Tarif de base — Debug simple</t>
        </is>
      </c>
      <c r="B4" s="44" t="n">
        <v>650</v>
      </c>
      <c r="C4" s="45" t="inlineStr">
        <is>
          <t>Fourchette : 300 – 1 000 €</t>
        </is>
      </c>
    </row>
    <row r="5" ht="21.95" customHeight="1" s="62">
      <c r="A5" s="43" t="inlineStr">
        <is>
          <t>Tarif de base — Debug complexe</t>
        </is>
      </c>
      <c r="B5" s="44" t="n">
        <v>2000</v>
      </c>
      <c r="C5" s="45" t="inlineStr">
        <is>
          <t>Fourchette : 1 000 – 3 000 €</t>
        </is>
      </c>
    </row>
    <row r="6" ht="21.95" customHeight="1" s="62">
      <c r="A6" s="43" t="inlineStr">
        <is>
          <t>Tarif de base — Debug critique</t>
        </is>
      </c>
      <c r="B6" s="44" t="n">
        <v>6500</v>
      </c>
      <c r="C6" s="45" t="inlineStr">
        <is>
          <t>Fourchette : 3 000 – 10 000 €+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complexité — Simple</t>
        </is>
      </c>
      <c r="B8" s="46" t="n">
        <v>0.9</v>
      </c>
      <c r="C8" s="47" t="inlineStr">
        <is>
          <t>Problème identifiable rapidement</t>
        </is>
      </c>
    </row>
    <row r="9" ht="20.1" customHeight="1" s="62">
      <c r="A9" s="19" t="inlineStr">
        <is>
          <t>Coeff. complexité — Modérée</t>
        </is>
      </c>
      <c r="B9" s="46" t="n">
        <v>1</v>
      </c>
      <c r="C9" s="47" t="inlineStr">
        <is>
          <t>Référence</t>
        </is>
      </c>
    </row>
    <row r="10" ht="20.1" customHeight="1" s="62">
      <c r="A10" s="19" t="inlineStr">
        <is>
          <t>Coeff. complexité — Complexe / obscure</t>
        </is>
      </c>
      <c r="B10" s="46" t="n">
        <v>1.55</v>
      </c>
      <c r="C10" s="47" t="inlineStr">
        <is>
          <t>Cause racine difficile à trouver</t>
        </is>
      </c>
    </row>
    <row r="11" ht="20.1" customHeight="1" s="62">
      <c r="A11" s="19" t="inlineStr">
        <is>
          <t>Coeff. système — Site web</t>
        </is>
      </c>
      <c r="B11" s="46" t="n">
        <v>1</v>
      </c>
      <c r="C11" s="47" t="inlineStr">
        <is>
          <t>Référence</t>
        </is>
      </c>
    </row>
    <row r="12" ht="20.1" customHeight="1" s="62">
      <c r="A12" s="19" t="inlineStr">
        <is>
          <t>Coeff. système — Logiciel</t>
        </is>
      </c>
      <c r="B12" s="46" t="n">
        <v>1.2</v>
      </c>
      <c r="C12" s="47" t="inlineStr">
        <is>
          <t>Environnement applicatif</t>
        </is>
      </c>
    </row>
    <row r="13" ht="20.1" customHeight="1" s="62">
      <c r="A13" s="19" t="inlineStr">
        <is>
          <t>Coeff. système — Serveur / infra</t>
        </is>
      </c>
      <c r="B13" s="46" t="n">
        <v>1.45</v>
      </c>
      <c r="C13" s="47" t="inlineStr">
        <is>
          <t>Infrastructure critique</t>
        </is>
      </c>
    </row>
    <row r="14" ht="20.1" customHeight="1" s="62">
      <c r="A14" s="19" t="inlineStr">
        <is>
          <t>Coeff. criticité — Faible</t>
        </is>
      </c>
      <c r="B14" s="46" t="n">
        <v>0.9</v>
      </c>
      <c r="C14" s="47" t="inlineStr">
        <is>
          <t>Impact limité</t>
        </is>
      </c>
    </row>
    <row r="15" ht="20.1" customHeight="1" s="62">
      <c r="A15" s="19" t="inlineStr">
        <is>
          <t>Coeff. criticité — Modérée</t>
        </is>
      </c>
      <c r="B15" s="46" t="n">
        <v>1</v>
      </c>
      <c r="C15" s="47" t="inlineStr">
        <is>
          <t>Référence</t>
        </is>
      </c>
    </row>
    <row r="16" ht="20.1" customHeight="1" s="62">
      <c r="A16" s="19" t="inlineStr">
        <is>
          <t>Coeff. criticité — Critique (bloquant)</t>
        </is>
      </c>
      <c r="B16" s="46" t="n">
        <v>1.5</v>
      </c>
      <c r="C16" s="47" t="inlineStr">
        <is>
          <t>Activité arrêtée</t>
        </is>
      </c>
    </row>
    <row r="17" ht="20.1" customHeight="1" s="62">
      <c r="A17" s="19" t="inlineStr">
        <is>
          <t>Coeff. urgence — Standard</t>
        </is>
      </c>
      <c r="B17" s="46" t="n">
        <v>1</v>
      </c>
      <c r="C17" s="47" t="inlineStr">
        <is>
          <t>Référence</t>
        </is>
      </c>
    </row>
    <row r="18" ht="20.1" customHeight="1" s="62">
      <c r="A18" s="19" t="inlineStr">
        <is>
          <t>Coeff. urgence — Urgente (&lt; 24h)</t>
        </is>
      </c>
      <c r="B18" s="46" t="n">
        <v>1.55</v>
      </c>
      <c r="C18" s="47" t="inlineStr">
        <is>
          <t>Intervention prioritaire</t>
        </is>
      </c>
    </row>
    <row r="19" ht="20.1" customHeight="1" s="62">
      <c r="A19" s="19" t="inlineStr">
        <is>
          <t>Coeff. env. — Standard</t>
        </is>
      </c>
      <c r="B19" s="46" t="n">
        <v>1</v>
      </c>
      <c r="C19" s="47" t="inlineStr">
        <is>
          <t>Référence</t>
        </is>
      </c>
    </row>
    <row r="20" ht="20.1" customHeight="1" s="62">
      <c r="A20" s="19" t="inlineStr">
        <is>
          <t>Coeff. env. — Sécurisé / Réglementé</t>
        </is>
      </c>
      <c r="B20" s="46" t="n">
        <v>1.35</v>
      </c>
      <c r="C20" s="47" t="inlineStr">
        <is>
          <t>Accès restreints, protocoles</t>
        </is>
      </c>
    </row>
    <row r="21" ht="20.1" customHeight="1" s="62">
      <c r="A21" s="19" t="inlineStr">
        <is>
          <t>Coeff. mode — Distanciel</t>
        </is>
      </c>
      <c r="B21" s="46" t="n">
        <v>1</v>
      </c>
      <c r="C21" s="47" t="inlineStr">
        <is>
          <t>Référence</t>
        </is>
      </c>
    </row>
    <row r="22" ht="20.1" customHeight="1" s="62">
      <c r="A22" s="19" t="inlineStr">
        <is>
          <t>Coeff. mode — Présentiel</t>
        </is>
      </c>
      <c r="B22" s="46" t="n">
        <v>1.3</v>
      </c>
      <c r="C22" s="47" t="inlineStr">
        <is>
          <t>Déplacement sur site</t>
        </is>
      </c>
    </row>
    <row r="23" ht="24" customHeight="1" s="62">
      <c r="A23" s="102" t="inlineStr">
        <is>
          <t>▼  GRILLE TARIFAIRE CALCULÉE AUTOMATIQUEMENT  — Les cellules bleues sont en lecture seule (formules).</t>
        </is>
      </c>
    </row>
    <row r="24" ht="6" customHeight="1" s="62"/>
    <row r="25" ht="38.1" customHeight="1" s="62">
      <c r="A25" s="100" t="inlineStr">
        <is>
          <t>Complexité du problème</t>
        </is>
      </c>
      <c r="B25" s="99" t="inlineStr">
        <is>
          <t>Type de système</t>
        </is>
      </c>
      <c r="C25" s="98" t="inlineStr">
        <is>
          <t>Niveau de criticité</t>
        </is>
      </c>
      <c r="D25" s="100" t="inlineStr">
        <is>
          <t>Debug simple</t>
        </is>
      </c>
      <c r="E25" s="55" t="n"/>
      <c r="F25" s="55" t="n"/>
      <c r="G25" s="55" t="n"/>
      <c r="H25" s="55" t="n"/>
      <c r="I25" s="55" t="n"/>
      <c r="J25" s="55" t="n"/>
      <c r="K25" s="56" t="n"/>
      <c r="L25" s="100" t="inlineStr">
        <is>
          <t>Debug complexe</t>
        </is>
      </c>
      <c r="M25" s="55" t="n"/>
      <c r="N25" s="55" t="n"/>
      <c r="O25" s="55" t="n"/>
      <c r="P25" s="55" t="n"/>
      <c r="Q25" s="55" t="n"/>
      <c r="R25" s="55" t="n"/>
      <c r="S25" s="56" t="n"/>
      <c r="T25" s="100" t="inlineStr">
        <is>
          <t>Debug critique</t>
        </is>
      </c>
      <c r="U25" s="55" t="n"/>
      <c r="V25" s="55" t="n"/>
      <c r="W25" s="55" t="n"/>
      <c r="X25" s="55" t="n"/>
      <c r="Y25" s="55" t="n"/>
      <c r="Z25" s="55" t="n"/>
      <c r="AA25" s="56" t="n"/>
    </row>
    <row r="26" ht="38.1" customHeight="1" s="62">
      <c r="A26" s="64" t="n"/>
      <c r="B26" s="64" t="n"/>
      <c r="C26" s="64" t="n"/>
      <c r="D26" s="99" t="inlineStr">
        <is>
          <t>Urgence standard</t>
        </is>
      </c>
      <c r="E26" s="55" t="n"/>
      <c r="F26" s="55" t="n"/>
      <c r="G26" s="56" t="n"/>
      <c r="H26" s="99" t="inlineStr">
        <is>
          <t>Urgence &lt; 24h</t>
        </is>
      </c>
      <c r="I26" s="55" t="n"/>
      <c r="J26" s="55" t="n"/>
      <c r="K26" s="56" t="n"/>
      <c r="L26" s="99" t="inlineStr">
        <is>
          <t>Urgence standard</t>
        </is>
      </c>
      <c r="M26" s="55" t="n"/>
      <c r="N26" s="55" t="n"/>
      <c r="O26" s="56" t="n"/>
      <c r="P26" s="99" t="inlineStr">
        <is>
          <t>Urgence &lt; 24h</t>
        </is>
      </c>
      <c r="Q26" s="55" t="n"/>
      <c r="R26" s="55" t="n"/>
      <c r="S26" s="56" t="n"/>
      <c r="T26" s="99" t="inlineStr">
        <is>
          <t>Urgence standard</t>
        </is>
      </c>
      <c r="U26" s="55" t="n"/>
      <c r="V26" s="55" t="n"/>
      <c r="W26" s="56" t="n"/>
      <c r="X26" s="99" t="inlineStr">
        <is>
          <t>Urgence &lt; 24h</t>
        </is>
      </c>
      <c r="Y26" s="55" t="n"/>
      <c r="Z26" s="55" t="n"/>
      <c r="AA26" s="56" t="n"/>
    </row>
    <row r="27" ht="38.1" customHeight="1" s="62">
      <c r="A27" s="64" t="n"/>
      <c r="B27" s="64" t="n"/>
      <c r="C27" s="64" t="n"/>
      <c r="D27" s="98" t="inlineStr">
        <is>
          <t>Environnement standard</t>
        </is>
      </c>
      <c r="E27" s="56" t="n"/>
      <c r="F27" s="98" t="inlineStr">
        <is>
          <t>Environnement sécurisé</t>
        </is>
      </c>
      <c r="G27" s="56" t="n"/>
      <c r="H27" s="98" t="inlineStr">
        <is>
          <t>Environnement standard</t>
        </is>
      </c>
      <c r="I27" s="56" t="n"/>
      <c r="J27" s="98" t="inlineStr">
        <is>
          <t>Environnement sécurisé</t>
        </is>
      </c>
      <c r="K27" s="56" t="n"/>
      <c r="L27" s="98" t="inlineStr">
        <is>
          <t>Environnement standard</t>
        </is>
      </c>
      <c r="M27" s="56" t="n"/>
      <c r="N27" s="98" t="inlineStr">
        <is>
          <t>Environnement sécurisé</t>
        </is>
      </c>
      <c r="O27" s="56" t="n"/>
      <c r="P27" s="98" t="inlineStr">
        <is>
          <t>Environnement standard</t>
        </is>
      </c>
      <c r="Q27" s="56" t="n"/>
      <c r="R27" s="98" t="inlineStr">
        <is>
          <t>Environnement sécurisé</t>
        </is>
      </c>
      <c r="S27" s="56" t="n"/>
      <c r="T27" s="98" t="inlineStr">
        <is>
          <t>Environnement standard</t>
        </is>
      </c>
      <c r="U27" s="56" t="n"/>
      <c r="V27" s="98" t="inlineStr">
        <is>
          <t>Environnement sécurisé</t>
        </is>
      </c>
      <c r="W27" s="56" t="n"/>
      <c r="X27" s="98" t="inlineStr">
        <is>
          <t>Environnement standard</t>
        </is>
      </c>
      <c r="Y27" s="56" t="n"/>
      <c r="Z27" s="98" t="inlineStr">
        <is>
          <t>Environnement sécurisé</t>
        </is>
      </c>
      <c r="AA27" s="56" t="n"/>
    </row>
    <row r="28" ht="38.1" customHeight="1" s="62">
      <c r="A28" s="65" t="n"/>
      <c r="B28" s="65" t="n"/>
      <c r="C28" s="65" t="n"/>
      <c r="D28" s="22" t="inlineStr">
        <is>
          <t>Distanciel</t>
        </is>
      </c>
      <c r="E28" s="22" t="inlineStr">
        <is>
          <t>Présentiel</t>
        </is>
      </c>
      <c r="F28" s="22" t="inlineStr">
        <is>
          <t>Distanciel</t>
        </is>
      </c>
      <c r="G28" s="22" t="inlineStr">
        <is>
          <t>Présentiel</t>
        </is>
      </c>
      <c r="H28" s="22" t="inlineStr">
        <is>
          <t>Distanciel</t>
        </is>
      </c>
      <c r="I28" s="22" t="inlineStr">
        <is>
          <t>Présentiel</t>
        </is>
      </c>
      <c r="J28" s="22" t="inlineStr">
        <is>
          <t>Distanciel</t>
        </is>
      </c>
      <c r="K28" s="22" t="inlineStr">
        <is>
          <t>Présentiel</t>
        </is>
      </c>
      <c r="L28" s="22" t="inlineStr">
        <is>
          <t>Distanciel</t>
        </is>
      </c>
      <c r="M28" s="22" t="inlineStr">
        <is>
          <t>Présentiel</t>
        </is>
      </c>
      <c r="N28" s="22" t="inlineStr">
        <is>
          <t>Distanciel</t>
        </is>
      </c>
      <c r="O28" s="22" t="inlineStr">
        <is>
          <t>Présentiel</t>
        </is>
      </c>
      <c r="P28" s="22" t="inlineStr">
        <is>
          <t>Distanciel</t>
        </is>
      </c>
      <c r="Q28" s="22" t="inlineStr">
        <is>
          <t>Présentiel</t>
        </is>
      </c>
      <c r="R28" s="22" t="inlineStr">
        <is>
          <t>Distanciel</t>
        </is>
      </c>
      <c r="S28" s="22" t="inlineStr">
        <is>
          <t>Présentiel</t>
        </is>
      </c>
      <c r="T28" s="22" t="inlineStr">
        <is>
          <t>Distanciel</t>
        </is>
      </c>
      <c r="U28" s="22" t="inlineStr">
        <is>
          <t>Présentiel</t>
        </is>
      </c>
      <c r="V28" s="22" t="inlineStr">
        <is>
          <t>Distanciel</t>
        </is>
      </c>
      <c r="W28" s="22" t="inlineStr">
        <is>
          <t>Présentiel</t>
        </is>
      </c>
      <c r="X28" s="22" t="inlineStr">
        <is>
          <t>Distanciel</t>
        </is>
      </c>
      <c r="Y28" s="22" t="inlineStr">
        <is>
          <t>Présentiel</t>
        </is>
      </c>
      <c r="Z28" s="22" t="inlineStr">
        <is>
          <t>Distanciel</t>
        </is>
      </c>
      <c r="AA28" s="22" t="inlineStr">
        <is>
          <t>Présentiel</t>
        </is>
      </c>
    </row>
    <row r="29" ht="20.1" customHeight="1" s="62">
      <c r="A29" s="103" t="inlineStr">
        <is>
          <t>Complexité simple</t>
        </is>
      </c>
      <c r="B29" s="101" t="inlineStr">
        <is>
          <t>Site web</t>
        </is>
      </c>
      <c r="C29" s="49" t="inlineStr">
        <is>
          <t>Criticité faible</t>
        </is>
      </c>
      <c r="D29" s="50">
        <f>ROUND($B$4*$B$8*$B$11*$B$14*$B$17*$B$19*$B$21,0)</f>
        <v/>
      </c>
      <c r="E29" s="50">
        <f>ROUND($B$4*$B$8*$B$11*$B$14*$B$17*$B$19*$B$22,0)</f>
        <v/>
      </c>
      <c r="F29" s="50">
        <f>ROUND($B$4*$B$8*$B$11*$B$14*$B$17*$B$20*$B$21,0)</f>
        <v/>
      </c>
      <c r="G29" s="50">
        <f>ROUND($B$4*$B$8*$B$11*$B$14*$B$17*$B$20*$B$22,0)</f>
        <v/>
      </c>
      <c r="H29" s="50">
        <f>ROUND($B$4*$B$8*$B$11*$B$14*$B$18*$B$19*$B$21,0)</f>
        <v/>
      </c>
      <c r="I29" s="50">
        <f>ROUND($B$4*$B$8*$B$11*$B$14*$B$18*$B$19*$B$22,0)</f>
        <v/>
      </c>
      <c r="J29" s="50">
        <f>ROUND($B$4*$B$8*$B$11*$B$14*$B$18*$B$20*$B$21,0)</f>
        <v/>
      </c>
      <c r="K29" s="50">
        <f>ROUND($B$4*$B$8*$B$11*$B$14*$B$18*$B$20*$B$22,0)</f>
        <v/>
      </c>
      <c r="L29" s="50">
        <f>ROUND($B$5*$B$8*$B$11*$B$14*$B$17*$B$19*$B$21,0)</f>
        <v/>
      </c>
      <c r="M29" s="50">
        <f>ROUND($B$5*$B$8*$B$11*$B$14*$B$17*$B$19*$B$22,0)</f>
        <v/>
      </c>
      <c r="N29" s="50">
        <f>ROUND($B$5*$B$8*$B$11*$B$14*$B$17*$B$20*$B$21,0)</f>
        <v/>
      </c>
      <c r="O29" s="50">
        <f>ROUND($B$5*$B$8*$B$11*$B$14*$B$17*$B$20*$B$22,0)</f>
        <v/>
      </c>
      <c r="P29" s="50">
        <f>ROUND($B$5*$B$8*$B$11*$B$14*$B$18*$B$19*$B$21,0)</f>
        <v/>
      </c>
      <c r="Q29" s="50">
        <f>ROUND($B$5*$B$8*$B$11*$B$14*$B$18*$B$19*$B$22,0)</f>
        <v/>
      </c>
      <c r="R29" s="50">
        <f>ROUND($B$5*$B$8*$B$11*$B$14*$B$18*$B$20*$B$21,0)</f>
        <v/>
      </c>
      <c r="S29" s="50">
        <f>ROUND($B$5*$B$8*$B$11*$B$14*$B$18*$B$20*$B$22,0)</f>
        <v/>
      </c>
      <c r="T29" s="50">
        <f>ROUND($B$6*$B$8*$B$11*$B$14*$B$17*$B$19*$B$21,0)</f>
        <v/>
      </c>
      <c r="U29" s="50">
        <f>ROUND($B$6*$B$8*$B$11*$B$14*$B$17*$B$19*$B$22,0)</f>
        <v/>
      </c>
      <c r="V29" s="50">
        <f>ROUND($B$6*$B$8*$B$11*$B$14*$B$17*$B$20*$B$21,0)</f>
        <v/>
      </c>
      <c r="W29" s="50">
        <f>ROUND($B$6*$B$8*$B$11*$B$14*$B$17*$B$20*$B$22,0)</f>
        <v/>
      </c>
      <c r="X29" s="50">
        <f>ROUND($B$6*$B$8*$B$11*$B$14*$B$18*$B$19*$B$21,0)</f>
        <v/>
      </c>
      <c r="Y29" s="50">
        <f>ROUND($B$6*$B$8*$B$11*$B$14*$B$18*$B$19*$B$22,0)</f>
        <v/>
      </c>
      <c r="Z29" s="50">
        <f>ROUND($B$6*$B$8*$B$11*$B$14*$B$18*$B$20*$B$21,0)</f>
        <v/>
      </c>
      <c r="AA29" s="50">
        <f>ROUND($B$6*$B$8*$B$11*$B$14*$B$18*$B$20*$B$22,0)</f>
        <v/>
      </c>
    </row>
    <row r="30" ht="20.1" customHeight="1" s="62">
      <c r="A30" s="104" t="n"/>
      <c r="B30" s="58" t="n"/>
      <c r="C30" s="101" t="inlineStr">
        <is>
          <t>Criticité modérée</t>
        </is>
      </c>
      <c r="D30" s="50">
        <f>ROUND($B$4*$B$8*$B$11*$B$15*$B$17*$B$19*$B$21,0)</f>
        <v/>
      </c>
      <c r="E30" s="50">
        <f>ROUND($B$4*$B$8*$B$11*$B$15*$B$17*$B$19*$B$22,0)</f>
        <v/>
      </c>
      <c r="F30" s="50">
        <f>ROUND($B$4*$B$8*$B$11*$B$15*$B$17*$B$20*$B$21,0)</f>
        <v/>
      </c>
      <c r="G30" s="50">
        <f>ROUND($B$4*$B$8*$B$11*$B$15*$B$17*$B$20*$B$22,0)</f>
        <v/>
      </c>
      <c r="H30" s="50">
        <f>ROUND($B$4*$B$8*$B$11*$B$15*$B$18*$B$19*$B$21,0)</f>
        <v/>
      </c>
      <c r="I30" s="50">
        <f>ROUND($B$4*$B$8*$B$11*$B$15*$B$18*$B$19*$B$22,0)</f>
        <v/>
      </c>
      <c r="J30" s="50">
        <f>ROUND($B$4*$B$8*$B$11*$B$15*$B$18*$B$20*$B$21,0)</f>
        <v/>
      </c>
      <c r="K30" s="50">
        <f>ROUND($B$4*$B$8*$B$11*$B$15*$B$18*$B$20*$B$22,0)</f>
        <v/>
      </c>
      <c r="L30" s="50">
        <f>ROUND($B$5*$B$8*$B$11*$B$15*$B$17*$B$19*$B$21,0)</f>
        <v/>
      </c>
      <c r="M30" s="50">
        <f>ROUND($B$5*$B$8*$B$11*$B$15*$B$17*$B$19*$B$22,0)</f>
        <v/>
      </c>
      <c r="N30" s="50">
        <f>ROUND($B$5*$B$8*$B$11*$B$15*$B$17*$B$20*$B$21,0)</f>
        <v/>
      </c>
      <c r="O30" s="50">
        <f>ROUND($B$5*$B$8*$B$11*$B$15*$B$17*$B$20*$B$22,0)</f>
        <v/>
      </c>
      <c r="P30" s="50">
        <f>ROUND($B$5*$B$8*$B$11*$B$15*$B$18*$B$19*$B$21,0)</f>
        <v/>
      </c>
      <c r="Q30" s="50">
        <f>ROUND($B$5*$B$8*$B$11*$B$15*$B$18*$B$19*$B$22,0)</f>
        <v/>
      </c>
      <c r="R30" s="50">
        <f>ROUND($B$5*$B$8*$B$11*$B$15*$B$18*$B$20*$B$21,0)</f>
        <v/>
      </c>
      <c r="S30" s="50">
        <f>ROUND($B$5*$B$8*$B$11*$B$15*$B$18*$B$20*$B$22,0)</f>
        <v/>
      </c>
      <c r="T30" s="50">
        <f>ROUND($B$6*$B$8*$B$11*$B$15*$B$17*$B$19*$B$21,0)</f>
        <v/>
      </c>
      <c r="U30" s="50">
        <f>ROUND($B$6*$B$8*$B$11*$B$15*$B$17*$B$19*$B$22,0)</f>
        <v/>
      </c>
      <c r="V30" s="50">
        <f>ROUND($B$6*$B$8*$B$11*$B$15*$B$17*$B$20*$B$21,0)</f>
        <v/>
      </c>
      <c r="W30" s="50">
        <f>ROUND($B$6*$B$8*$B$11*$B$15*$B$17*$B$20*$B$22,0)</f>
        <v/>
      </c>
      <c r="X30" s="50">
        <f>ROUND($B$6*$B$8*$B$11*$B$15*$B$18*$B$19*$B$21,0)</f>
        <v/>
      </c>
      <c r="Y30" s="50">
        <f>ROUND($B$6*$B$8*$B$11*$B$15*$B$18*$B$19*$B$22,0)</f>
        <v/>
      </c>
      <c r="Z30" s="50">
        <f>ROUND($B$6*$B$8*$B$11*$B$15*$B$18*$B$20*$B$21,0)</f>
        <v/>
      </c>
      <c r="AA30" s="50">
        <f>ROUND($B$6*$B$8*$B$11*$B$15*$B$18*$B$20*$B$22,0)</f>
        <v/>
      </c>
    </row>
    <row r="31" ht="20.1" customHeight="1" s="62">
      <c r="A31" s="104" t="n"/>
      <c r="B31" s="59" t="n"/>
      <c r="C31" s="51" t="inlineStr">
        <is>
          <t>Criticité critique</t>
        </is>
      </c>
      <c r="D31" s="50">
        <f>ROUND($B$4*$B$8*$B$11*$B$16*$B$17*$B$19*$B$21,0)</f>
        <v/>
      </c>
      <c r="E31" s="50">
        <f>ROUND($B$4*$B$8*$B$11*$B$16*$B$17*$B$19*$B$22,0)</f>
        <v/>
      </c>
      <c r="F31" s="50">
        <f>ROUND($B$4*$B$8*$B$11*$B$16*$B$17*$B$20*$B$21,0)</f>
        <v/>
      </c>
      <c r="G31" s="50">
        <f>ROUND($B$4*$B$8*$B$11*$B$16*$B$17*$B$20*$B$22,0)</f>
        <v/>
      </c>
      <c r="H31" s="50">
        <f>ROUND($B$4*$B$8*$B$11*$B$16*$B$18*$B$19*$B$21,0)</f>
        <v/>
      </c>
      <c r="I31" s="50">
        <f>ROUND($B$4*$B$8*$B$11*$B$16*$B$18*$B$19*$B$22,0)</f>
        <v/>
      </c>
      <c r="J31" s="50">
        <f>ROUND($B$4*$B$8*$B$11*$B$16*$B$18*$B$20*$B$21,0)</f>
        <v/>
      </c>
      <c r="K31" s="50">
        <f>ROUND($B$4*$B$8*$B$11*$B$16*$B$18*$B$20*$B$22,0)</f>
        <v/>
      </c>
      <c r="L31" s="50">
        <f>ROUND($B$5*$B$8*$B$11*$B$16*$B$17*$B$19*$B$21,0)</f>
        <v/>
      </c>
      <c r="M31" s="50">
        <f>ROUND($B$5*$B$8*$B$11*$B$16*$B$17*$B$19*$B$22,0)</f>
        <v/>
      </c>
      <c r="N31" s="50">
        <f>ROUND($B$5*$B$8*$B$11*$B$16*$B$17*$B$20*$B$21,0)</f>
        <v/>
      </c>
      <c r="O31" s="50">
        <f>ROUND($B$5*$B$8*$B$11*$B$16*$B$17*$B$20*$B$22,0)</f>
        <v/>
      </c>
      <c r="P31" s="50">
        <f>ROUND($B$5*$B$8*$B$11*$B$16*$B$18*$B$19*$B$21,0)</f>
        <v/>
      </c>
      <c r="Q31" s="50">
        <f>ROUND($B$5*$B$8*$B$11*$B$16*$B$18*$B$19*$B$22,0)</f>
        <v/>
      </c>
      <c r="R31" s="50">
        <f>ROUND($B$5*$B$8*$B$11*$B$16*$B$18*$B$20*$B$21,0)</f>
        <v/>
      </c>
      <c r="S31" s="50">
        <f>ROUND($B$5*$B$8*$B$11*$B$16*$B$18*$B$20*$B$22,0)</f>
        <v/>
      </c>
      <c r="T31" s="50">
        <f>ROUND($B$6*$B$8*$B$11*$B$16*$B$17*$B$19*$B$21,0)</f>
        <v/>
      </c>
      <c r="U31" s="50">
        <f>ROUND($B$6*$B$8*$B$11*$B$16*$B$17*$B$19*$B$22,0)</f>
        <v/>
      </c>
      <c r="V31" s="50">
        <f>ROUND($B$6*$B$8*$B$11*$B$16*$B$17*$B$20*$B$21,0)</f>
        <v/>
      </c>
      <c r="W31" s="50">
        <f>ROUND($B$6*$B$8*$B$11*$B$16*$B$17*$B$20*$B$22,0)</f>
        <v/>
      </c>
      <c r="X31" s="50">
        <f>ROUND($B$6*$B$8*$B$11*$B$16*$B$18*$B$19*$B$21,0)</f>
        <v/>
      </c>
      <c r="Y31" s="50">
        <f>ROUND($B$6*$B$8*$B$11*$B$16*$B$18*$B$19*$B$22,0)</f>
        <v/>
      </c>
      <c r="Z31" s="50">
        <f>ROUND($B$6*$B$8*$B$11*$B$16*$B$18*$B$20*$B$21,0)</f>
        <v/>
      </c>
      <c r="AA31" s="50">
        <f>ROUND($B$6*$B$8*$B$11*$B$16*$B$18*$B$20*$B$22,0)</f>
        <v/>
      </c>
    </row>
    <row r="32" ht="20.1" customHeight="1" s="62">
      <c r="A32" s="104" t="n"/>
      <c r="B32" s="101" t="inlineStr">
        <is>
          <t>Logiciel</t>
        </is>
      </c>
      <c r="C32" s="49" t="inlineStr">
        <is>
          <t>Criticité faible</t>
        </is>
      </c>
      <c r="D32" s="50">
        <f>ROUND($B$4*$B$8*$B$12*$B$14*$B$17*$B$19*$B$21,0)</f>
        <v/>
      </c>
      <c r="E32" s="50">
        <f>ROUND($B$4*$B$8*$B$12*$B$14*$B$17*$B$19*$B$22,0)</f>
        <v/>
      </c>
      <c r="F32" s="50">
        <f>ROUND($B$4*$B$8*$B$12*$B$14*$B$17*$B$20*$B$21,0)</f>
        <v/>
      </c>
      <c r="G32" s="50">
        <f>ROUND($B$4*$B$8*$B$12*$B$14*$B$17*$B$20*$B$22,0)</f>
        <v/>
      </c>
      <c r="H32" s="50">
        <f>ROUND($B$4*$B$8*$B$12*$B$14*$B$18*$B$19*$B$21,0)</f>
        <v/>
      </c>
      <c r="I32" s="50">
        <f>ROUND($B$4*$B$8*$B$12*$B$14*$B$18*$B$19*$B$22,0)</f>
        <v/>
      </c>
      <c r="J32" s="50">
        <f>ROUND($B$4*$B$8*$B$12*$B$14*$B$18*$B$20*$B$21,0)</f>
        <v/>
      </c>
      <c r="K32" s="50">
        <f>ROUND($B$4*$B$8*$B$12*$B$14*$B$18*$B$20*$B$22,0)</f>
        <v/>
      </c>
      <c r="L32" s="50">
        <f>ROUND($B$5*$B$8*$B$12*$B$14*$B$17*$B$19*$B$21,0)</f>
        <v/>
      </c>
      <c r="M32" s="50">
        <f>ROUND($B$5*$B$8*$B$12*$B$14*$B$17*$B$19*$B$22,0)</f>
        <v/>
      </c>
      <c r="N32" s="50">
        <f>ROUND($B$5*$B$8*$B$12*$B$14*$B$17*$B$20*$B$21,0)</f>
        <v/>
      </c>
      <c r="O32" s="50">
        <f>ROUND($B$5*$B$8*$B$12*$B$14*$B$17*$B$20*$B$22,0)</f>
        <v/>
      </c>
      <c r="P32" s="50">
        <f>ROUND($B$5*$B$8*$B$12*$B$14*$B$18*$B$19*$B$21,0)</f>
        <v/>
      </c>
      <c r="Q32" s="50">
        <f>ROUND($B$5*$B$8*$B$12*$B$14*$B$18*$B$19*$B$22,0)</f>
        <v/>
      </c>
      <c r="R32" s="50">
        <f>ROUND($B$5*$B$8*$B$12*$B$14*$B$18*$B$20*$B$21,0)</f>
        <v/>
      </c>
      <c r="S32" s="50">
        <f>ROUND($B$5*$B$8*$B$12*$B$14*$B$18*$B$20*$B$22,0)</f>
        <v/>
      </c>
      <c r="T32" s="50">
        <f>ROUND($B$6*$B$8*$B$12*$B$14*$B$17*$B$19*$B$21,0)</f>
        <v/>
      </c>
      <c r="U32" s="50">
        <f>ROUND($B$6*$B$8*$B$12*$B$14*$B$17*$B$19*$B$22,0)</f>
        <v/>
      </c>
      <c r="V32" s="50">
        <f>ROUND($B$6*$B$8*$B$12*$B$14*$B$17*$B$20*$B$21,0)</f>
        <v/>
      </c>
      <c r="W32" s="50">
        <f>ROUND($B$6*$B$8*$B$12*$B$14*$B$17*$B$20*$B$22,0)</f>
        <v/>
      </c>
      <c r="X32" s="50">
        <f>ROUND($B$6*$B$8*$B$12*$B$14*$B$18*$B$19*$B$21,0)</f>
        <v/>
      </c>
      <c r="Y32" s="50">
        <f>ROUND($B$6*$B$8*$B$12*$B$14*$B$18*$B$19*$B$22,0)</f>
        <v/>
      </c>
      <c r="Z32" s="50">
        <f>ROUND($B$6*$B$8*$B$12*$B$14*$B$18*$B$20*$B$21,0)</f>
        <v/>
      </c>
      <c r="AA32" s="50">
        <f>ROUND($B$6*$B$8*$B$12*$B$14*$B$18*$B$20*$B$22,0)</f>
        <v/>
      </c>
    </row>
    <row r="33" ht="20.1" customHeight="1" s="62">
      <c r="A33" s="104" t="n"/>
      <c r="B33" s="58" t="n"/>
      <c r="C33" s="101" t="inlineStr">
        <is>
          <t>Criticité modérée</t>
        </is>
      </c>
      <c r="D33" s="50">
        <f>ROUND($B$4*$B$8*$B$12*$B$15*$B$17*$B$19*$B$21,0)</f>
        <v/>
      </c>
      <c r="E33" s="50">
        <f>ROUND($B$4*$B$8*$B$12*$B$15*$B$17*$B$19*$B$22,0)</f>
        <v/>
      </c>
      <c r="F33" s="50">
        <f>ROUND($B$4*$B$8*$B$12*$B$15*$B$17*$B$20*$B$21,0)</f>
        <v/>
      </c>
      <c r="G33" s="50">
        <f>ROUND($B$4*$B$8*$B$12*$B$15*$B$17*$B$20*$B$22,0)</f>
        <v/>
      </c>
      <c r="H33" s="50">
        <f>ROUND($B$4*$B$8*$B$12*$B$15*$B$18*$B$19*$B$21,0)</f>
        <v/>
      </c>
      <c r="I33" s="50">
        <f>ROUND($B$4*$B$8*$B$12*$B$15*$B$18*$B$19*$B$22,0)</f>
        <v/>
      </c>
      <c r="J33" s="50">
        <f>ROUND($B$4*$B$8*$B$12*$B$15*$B$18*$B$20*$B$21,0)</f>
        <v/>
      </c>
      <c r="K33" s="50">
        <f>ROUND($B$4*$B$8*$B$12*$B$15*$B$18*$B$20*$B$22,0)</f>
        <v/>
      </c>
      <c r="L33" s="50">
        <f>ROUND($B$5*$B$8*$B$12*$B$15*$B$17*$B$19*$B$21,0)</f>
        <v/>
      </c>
      <c r="M33" s="50">
        <f>ROUND($B$5*$B$8*$B$12*$B$15*$B$17*$B$19*$B$22,0)</f>
        <v/>
      </c>
      <c r="N33" s="50">
        <f>ROUND($B$5*$B$8*$B$12*$B$15*$B$17*$B$20*$B$21,0)</f>
        <v/>
      </c>
      <c r="O33" s="50">
        <f>ROUND($B$5*$B$8*$B$12*$B$15*$B$17*$B$20*$B$22,0)</f>
        <v/>
      </c>
      <c r="P33" s="50">
        <f>ROUND($B$5*$B$8*$B$12*$B$15*$B$18*$B$19*$B$21,0)</f>
        <v/>
      </c>
      <c r="Q33" s="50">
        <f>ROUND($B$5*$B$8*$B$12*$B$15*$B$18*$B$19*$B$22,0)</f>
        <v/>
      </c>
      <c r="R33" s="50">
        <f>ROUND($B$5*$B$8*$B$12*$B$15*$B$18*$B$20*$B$21,0)</f>
        <v/>
      </c>
      <c r="S33" s="50">
        <f>ROUND($B$5*$B$8*$B$12*$B$15*$B$18*$B$20*$B$22,0)</f>
        <v/>
      </c>
      <c r="T33" s="50">
        <f>ROUND($B$6*$B$8*$B$12*$B$15*$B$17*$B$19*$B$21,0)</f>
        <v/>
      </c>
      <c r="U33" s="50">
        <f>ROUND($B$6*$B$8*$B$12*$B$15*$B$17*$B$19*$B$22,0)</f>
        <v/>
      </c>
      <c r="V33" s="50">
        <f>ROUND($B$6*$B$8*$B$12*$B$15*$B$17*$B$20*$B$21,0)</f>
        <v/>
      </c>
      <c r="W33" s="50">
        <f>ROUND($B$6*$B$8*$B$12*$B$15*$B$17*$B$20*$B$22,0)</f>
        <v/>
      </c>
      <c r="X33" s="50">
        <f>ROUND($B$6*$B$8*$B$12*$B$15*$B$18*$B$19*$B$21,0)</f>
        <v/>
      </c>
      <c r="Y33" s="50">
        <f>ROUND($B$6*$B$8*$B$12*$B$15*$B$18*$B$19*$B$22,0)</f>
        <v/>
      </c>
      <c r="Z33" s="50">
        <f>ROUND($B$6*$B$8*$B$12*$B$15*$B$18*$B$20*$B$21,0)</f>
        <v/>
      </c>
      <c r="AA33" s="50">
        <f>ROUND($B$6*$B$8*$B$12*$B$15*$B$18*$B$20*$B$22,0)</f>
        <v/>
      </c>
    </row>
    <row r="34" ht="20.1" customHeight="1" s="62">
      <c r="A34" s="104" t="n"/>
      <c r="B34" s="59" t="n"/>
      <c r="C34" s="51" t="inlineStr">
        <is>
          <t>Criticité critique</t>
        </is>
      </c>
      <c r="D34" s="50">
        <f>ROUND($B$4*$B$8*$B$12*$B$16*$B$17*$B$19*$B$21,0)</f>
        <v/>
      </c>
      <c r="E34" s="50">
        <f>ROUND($B$4*$B$8*$B$12*$B$16*$B$17*$B$19*$B$22,0)</f>
        <v/>
      </c>
      <c r="F34" s="50">
        <f>ROUND($B$4*$B$8*$B$12*$B$16*$B$17*$B$20*$B$21,0)</f>
        <v/>
      </c>
      <c r="G34" s="50">
        <f>ROUND($B$4*$B$8*$B$12*$B$16*$B$17*$B$20*$B$22,0)</f>
        <v/>
      </c>
      <c r="H34" s="50">
        <f>ROUND($B$4*$B$8*$B$12*$B$16*$B$18*$B$19*$B$21,0)</f>
        <v/>
      </c>
      <c r="I34" s="50">
        <f>ROUND($B$4*$B$8*$B$12*$B$16*$B$18*$B$19*$B$22,0)</f>
        <v/>
      </c>
      <c r="J34" s="50">
        <f>ROUND($B$4*$B$8*$B$12*$B$16*$B$18*$B$20*$B$21,0)</f>
        <v/>
      </c>
      <c r="K34" s="50">
        <f>ROUND($B$4*$B$8*$B$12*$B$16*$B$18*$B$20*$B$22,0)</f>
        <v/>
      </c>
      <c r="L34" s="50">
        <f>ROUND($B$5*$B$8*$B$12*$B$16*$B$17*$B$19*$B$21,0)</f>
        <v/>
      </c>
      <c r="M34" s="50">
        <f>ROUND($B$5*$B$8*$B$12*$B$16*$B$17*$B$19*$B$22,0)</f>
        <v/>
      </c>
      <c r="N34" s="50">
        <f>ROUND($B$5*$B$8*$B$12*$B$16*$B$17*$B$20*$B$21,0)</f>
        <v/>
      </c>
      <c r="O34" s="50">
        <f>ROUND($B$5*$B$8*$B$12*$B$16*$B$17*$B$20*$B$22,0)</f>
        <v/>
      </c>
      <c r="P34" s="50">
        <f>ROUND($B$5*$B$8*$B$12*$B$16*$B$18*$B$19*$B$21,0)</f>
        <v/>
      </c>
      <c r="Q34" s="50">
        <f>ROUND($B$5*$B$8*$B$12*$B$16*$B$18*$B$19*$B$22,0)</f>
        <v/>
      </c>
      <c r="R34" s="50">
        <f>ROUND($B$5*$B$8*$B$12*$B$16*$B$18*$B$20*$B$21,0)</f>
        <v/>
      </c>
      <c r="S34" s="50">
        <f>ROUND($B$5*$B$8*$B$12*$B$16*$B$18*$B$20*$B$22,0)</f>
        <v/>
      </c>
      <c r="T34" s="50">
        <f>ROUND($B$6*$B$8*$B$12*$B$16*$B$17*$B$19*$B$21,0)</f>
        <v/>
      </c>
      <c r="U34" s="50">
        <f>ROUND($B$6*$B$8*$B$12*$B$16*$B$17*$B$19*$B$22,0)</f>
        <v/>
      </c>
      <c r="V34" s="50">
        <f>ROUND($B$6*$B$8*$B$12*$B$16*$B$17*$B$20*$B$21,0)</f>
        <v/>
      </c>
      <c r="W34" s="50">
        <f>ROUND($B$6*$B$8*$B$12*$B$16*$B$17*$B$20*$B$22,0)</f>
        <v/>
      </c>
      <c r="X34" s="50">
        <f>ROUND($B$6*$B$8*$B$12*$B$16*$B$18*$B$19*$B$21,0)</f>
        <v/>
      </c>
      <c r="Y34" s="50">
        <f>ROUND($B$6*$B$8*$B$12*$B$16*$B$18*$B$19*$B$22,0)</f>
        <v/>
      </c>
      <c r="Z34" s="50">
        <f>ROUND($B$6*$B$8*$B$12*$B$16*$B$18*$B$20*$B$21,0)</f>
        <v/>
      </c>
      <c r="AA34" s="50">
        <f>ROUND($B$6*$B$8*$B$12*$B$16*$B$18*$B$20*$B$22,0)</f>
        <v/>
      </c>
    </row>
    <row r="35" ht="20.1" customHeight="1" s="62">
      <c r="A35" s="104" t="n"/>
      <c r="B35" s="101" t="inlineStr">
        <is>
          <t>Serveur / infra</t>
        </is>
      </c>
      <c r="C35" s="49" t="inlineStr">
        <is>
          <t>Criticité faible</t>
        </is>
      </c>
      <c r="D35" s="50">
        <f>ROUND($B$4*$B$8*$B$13*$B$14*$B$17*$B$19*$B$21,0)</f>
        <v/>
      </c>
      <c r="E35" s="50">
        <f>ROUND($B$4*$B$8*$B$13*$B$14*$B$17*$B$19*$B$22,0)</f>
        <v/>
      </c>
      <c r="F35" s="50">
        <f>ROUND($B$4*$B$8*$B$13*$B$14*$B$17*$B$20*$B$21,0)</f>
        <v/>
      </c>
      <c r="G35" s="50">
        <f>ROUND($B$4*$B$8*$B$13*$B$14*$B$17*$B$20*$B$22,0)</f>
        <v/>
      </c>
      <c r="H35" s="50">
        <f>ROUND($B$4*$B$8*$B$13*$B$14*$B$18*$B$19*$B$21,0)</f>
        <v/>
      </c>
      <c r="I35" s="50">
        <f>ROUND($B$4*$B$8*$B$13*$B$14*$B$18*$B$19*$B$22,0)</f>
        <v/>
      </c>
      <c r="J35" s="50">
        <f>ROUND($B$4*$B$8*$B$13*$B$14*$B$18*$B$20*$B$21,0)</f>
        <v/>
      </c>
      <c r="K35" s="50">
        <f>ROUND($B$4*$B$8*$B$13*$B$14*$B$18*$B$20*$B$22,0)</f>
        <v/>
      </c>
      <c r="L35" s="50">
        <f>ROUND($B$5*$B$8*$B$13*$B$14*$B$17*$B$19*$B$21,0)</f>
        <v/>
      </c>
      <c r="M35" s="50">
        <f>ROUND($B$5*$B$8*$B$13*$B$14*$B$17*$B$19*$B$22,0)</f>
        <v/>
      </c>
      <c r="N35" s="50">
        <f>ROUND($B$5*$B$8*$B$13*$B$14*$B$17*$B$20*$B$21,0)</f>
        <v/>
      </c>
      <c r="O35" s="50">
        <f>ROUND($B$5*$B$8*$B$13*$B$14*$B$17*$B$20*$B$22,0)</f>
        <v/>
      </c>
      <c r="P35" s="50">
        <f>ROUND($B$5*$B$8*$B$13*$B$14*$B$18*$B$19*$B$21,0)</f>
        <v/>
      </c>
      <c r="Q35" s="50">
        <f>ROUND($B$5*$B$8*$B$13*$B$14*$B$18*$B$19*$B$22,0)</f>
        <v/>
      </c>
      <c r="R35" s="50">
        <f>ROUND($B$5*$B$8*$B$13*$B$14*$B$18*$B$20*$B$21,0)</f>
        <v/>
      </c>
      <c r="S35" s="50">
        <f>ROUND($B$5*$B$8*$B$13*$B$14*$B$18*$B$20*$B$22,0)</f>
        <v/>
      </c>
      <c r="T35" s="50">
        <f>ROUND($B$6*$B$8*$B$13*$B$14*$B$17*$B$19*$B$21,0)</f>
        <v/>
      </c>
      <c r="U35" s="50">
        <f>ROUND($B$6*$B$8*$B$13*$B$14*$B$17*$B$19*$B$22,0)</f>
        <v/>
      </c>
      <c r="V35" s="50">
        <f>ROUND($B$6*$B$8*$B$13*$B$14*$B$17*$B$20*$B$21,0)</f>
        <v/>
      </c>
      <c r="W35" s="50">
        <f>ROUND($B$6*$B$8*$B$13*$B$14*$B$17*$B$20*$B$22,0)</f>
        <v/>
      </c>
      <c r="X35" s="50">
        <f>ROUND($B$6*$B$8*$B$13*$B$14*$B$18*$B$19*$B$21,0)</f>
        <v/>
      </c>
      <c r="Y35" s="50">
        <f>ROUND($B$6*$B$8*$B$13*$B$14*$B$18*$B$19*$B$22,0)</f>
        <v/>
      </c>
      <c r="Z35" s="50">
        <f>ROUND($B$6*$B$8*$B$13*$B$14*$B$18*$B$20*$B$21,0)</f>
        <v/>
      </c>
      <c r="AA35" s="50">
        <f>ROUND($B$6*$B$8*$B$13*$B$14*$B$18*$B$20*$B$22,0)</f>
        <v/>
      </c>
    </row>
    <row r="36" ht="20.1" customHeight="1" s="62">
      <c r="A36" s="104" t="n"/>
      <c r="B36" s="58" t="n"/>
      <c r="C36" s="101" t="inlineStr">
        <is>
          <t>Criticité modérée</t>
        </is>
      </c>
      <c r="D36" s="50">
        <f>ROUND($B$4*$B$8*$B$13*$B$15*$B$17*$B$19*$B$21,0)</f>
        <v/>
      </c>
      <c r="E36" s="50">
        <f>ROUND($B$4*$B$8*$B$13*$B$15*$B$17*$B$19*$B$22,0)</f>
        <v/>
      </c>
      <c r="F36" s="50">
        <f>ROUND($B$4*$B$8*$B$13*$B$15*$B$17*$B$20*$B$21,0)</f>
        <v/>
      </c>
      <c r="G36" s="50">
        <f>ROUND($B$4*$B$8*$B$13*$B$15*$B$17*$B$20*$B$22,0)</f>
        <v/>
      </c>
      <c r="H36" s="50">
        <f>ROUND($B$4*$B$8*$B$13*$B$15*$B$18*$B$19*$B$21,0)</f>
        <v/>
      </c>
      <c r="I36" s="50">
        <f>ROUND($B$4*$B$8*$B$13*$B$15*$B$18*$B$19*$B$22,0)</f>
        <v/>
      </c>
      <c r="J36" s="50">
        <f>ROUND($B$4*$B$8*$B$13*$B$15*$B$18*$B$20*$B$21,0)</f>
        <v/>
      </c>
      <c r="K36" s="50">
        <f>ROUND($B$4*$B$8*$B$13*$B$15*$B$18*$B$20*$B$22,0)</f>
        <v/>
      </c>
      <c r="L36" s="50">
        <f>ROUND($B$5*$B$8*$B$13*$B$15*$B$17*$B$19*$B$21,0)</f>
        <v/>
      </c>
      <c r="M36" s="50">
        <f>ROUND($B$5*$B$8*$B$13*$B$15*$B$17*$B$19*$B$22,0)</f>
        <v/>
      </c>
      <c r="N36" s="50">
        <f>ROUND($B$5*$B$8*$B$13*$B$15*$B$17*$B$20*$B$21,0)</f>
        <v/>
      </c>
      <c r="O36" s="50">
        <f>ROUND($B$5*$B$8*$B$13*$B$15*$B$17*$B$20*$B$22,0)</f>
        <v/>
      </c>
      <c r="P36" s="50">
        <f>ROUND($B$5*$B$8*$B$13*$B$15*$B$18*$B$19*$B$21,0)</f>
        <v/>
      </c>
      <c r="Q36" s="50">
        <f>ROUND($B$5*$B$8*$B$13*$B$15*$B$18*$B$19*$B$22,0)</f>
        <v/>
      </c>
      <c r="R36" s="50">
        <f>ROUND($B$5*$B$8*$B$13*$B$15*$B$18*$B$20*$B$21,0)</f>
        <v/>
      </c>
      <c r="S36" s="50">
        <f>ROUND($B$5*$B$8*$B$13*$B$15*$B$18*$B$20*$B$22,0)</f>
        <v/>
      </c>
      <c r="T36" s="50">
        <f>ROUND($B$6*$B$8*$B$13*$B$15*$B$17*$B$19*$B$21,0)</f>
        <v/>
      </c>
      <c r="U36" s="50">
        <f>ROUND($B$6*$B$8*$B$13*$B$15*$B$17*$B$19*$B$22,0)</f>
        <v/>
      </c>
      <c r="V36" s="50">
        <f>ROUND($B$6*$B$8*$B$13*$B$15*$B$17*$B$20*$B$21,0)</f>
        <v/>
      </c>
      <c r="W36" s="50">
        <f>ROUND($B$6*$B$8*$B$13*$B$15*$B$17*$B$20*$B$22,0)</f>
        <v/>
      </c>
      <c r="X36" s="50">
        <f>ROUND($B$6*$B$8*$B$13*$B$15*$B$18*$B$19*$B$21,0)</f>
        <v/>
      </c>
      <c r="Y36" s="50">
        <f>ROUND($B$6*$B$8*$B$13*$B$15*$B$18*$B$19*$B$22,0)</f>
        <v/>
      </c>
      <c r="Z36" s="50">
        <f>ROUND($B$6*$B$8*$B$13*$B$15*$B$18*$B$20*$B$21,0)</f>
        <v/>
      </c>
      <c r="AA36" s="50">
        <f>ROUND($B$6*$B$8*$B$13*$B$15*$B$18*$B$20*$B$22,0)</f>
        <v/>
      </c>
    </row>
    <row r="37" ht="20.1" customHeight="1" s="62">
      <c r="A37" s="105" t="n"/>
      <c r="B37" s="59" t="n"/>
      <c r="C37" s="51" t="inlineStr">
        <is>
          <t>Criticité critique</t>
        </is>
      </c>
      <c r="D37" s="50">
        <f>ROUND($B$4*$B$8*$B$13*$B$16*$B$17*$B$19*$B$21,0)</f>
        <v/>
      </c>
      <c r="E37" s="50">
        <f>ROUND($B$4*$B$8*$B$13*$B$16*$B$17*$B$19*$B$22,0)</f>
        <v/>
      </c>
      <c r="F37" s="50">
        <f>ROUND($B$4*$B$8*$B$13*$B$16*$B$17*$B$20*$B$21,0)</f>
        <v/>
      </c>
      <c r="G37" s="50">
        <f>ROUND($B$4*$B$8*$B$13*$B$16*$B$17*$B$20*$B$22,0)</f>
        <v/>
      </c>
      <c r="H37" s="50">
        <f>ROUND($B$4*$B$8*$B$13*$B$16*$B$18*$B$19*$B$21,0)</f>
        <v/>
      </c>
      <c r="I37" s="50">
        <f>ROUND($B$4*$B$8*$B$13*$B$16*$B$18*$B$19*$B$22,0)</f>
        <v/>
      </c>
      <c r="J37" s="50">
        <f>ROUND($B$4*$B$8*$B$13*$B$16*$B$18*$B$20*$B$21,0)</f>
        <v/>
      </c>
      <c r="K37" s="50">
        <f>ROUND($B$4*$B$8*$B$13*$B$16*$B$18*$B$20*$B$22,0)</f>
        <v/>
      </c>
      <c r="L37" s="50">
        <f>ROUND($B$5*$B$8*$B$13*$B$16*$B$17*$B$19*$B$21,0)</f>
        <v/>
      </c>
      <c r="M37" s="50">
        <f>ROUND($B$5*$B$8*$B$13*$B$16*$B$17*$B$19*$B$22,0)</f>
        <v/>
      </c>
      <c r="N37" s="50">
        <f>ROUND($B$5*$B$8*$B$13*$B$16*$B$17*$B$20*$B$21,0)</f>
        <v/>
      </c>
      <c r="O37" s="50">
        <f>ROUND($B$5*$B$8*$B$13*$B$16*$B$17*$B$20*$B$22,0)</f>
        <v/>
      </c>
      <c r="P37" s="50">
        <f>ROUND($B$5*$B$8*$B$13*$B$16*$B$18*$B$19*$B$21,0)</f>
        <v/>
      </c>
      <c r="Q37" s="50">
        <f>ROUND($B$5*$B$8*$B$13*$B$16*$B$18*$B$19*$B$22,0)</f>
        <v/>
      </c>
      <c r="R37" s="50">
        <f>ROUND($B$5*$B$8*$B$13*$B$16*$B$18*$B$20*$B$21,0)</f>
        <v/>
      </c>
      <c r="S37" s="50">
        <f>ROUND($B$5*$B$8*$B$13*$B$16*$B$18*$B$20*$B$22,0)</f>
        <v/>
      </c>
      <c r="T37" s="50">
        <f>ROUND($B$6*$B$8*$B$13*$B$16*$B$17*$B$19*$B$21,0)</f>
        <v/>
      </c>
      <c r="U37" s="50">
        <f>ROUND($B$6*$B$8*$B$13*$B$16*$B$17*$B$19*$B$22,0)</f>
        <v/>
      </c>
      <c r="V37" s="50">
        <f>ROUND($B$6*$B$8*$B$13*$B$16*$B$17*$B$20*$B$21,0)</f>
        <v/>
      </c>
      <c r="W37" s="50">
        <f>ROUND($B$6*$B$8*$B$13*$B$16*$B$17*$B$20*$B$22,0)</f>
        <v/>
      </c>
      <c r="X37" s="50">
        <f>ROUND($B$6*$B$8*$B$13*$B$16*$B$18*$B$19*$B$21,0)</f>
        <v/>
      </c>
      <c r="Y37" s="50">
        <f>ROUND($B$6*$B$8*$B$13*$B$16*$B$18*$B$19*$B$22,0)</f>
        <v/>
      </c>
      <c r="Z37" s="50">
        <f>ROUND($B$6*$B$8*$B$13*$B$16*$B$18*$B$20*$B$21,0)</f>
        <v/>
      </c>
      <c r="AA37" s="50">
        <f>ROUND($B$6*$B$8*$B$13*$B$16*$B$18*$B$20*$B$22,0)</f>
        <v/>
      </c>
    </row>
    <row r="38" ht="20.1" customHeight="1" s="62">
      <c r="A38" s="103" t="inlineStr">
        <is>
          <t>Complexité modérée</t>
        </is>
      </c>
      <c r="B38" s="101" t="inlineStr">
        <is>
          <t>Site web</t>
        </is>
      </c>
      <c r="C38" s="49" t="inlineStr">
        <is>
          <t>Criticité faible</t>
        </is>
      </c>
      <c r="D38" s="50">
        <f>ROUND($B$4*$B$9*$B$11*$B$14*$B$17*$B$19*$B$21,0)</f>
        <v/>
      </c>
      <c r="E38" s="50">
        <f>ROUND($B$4*$B$9*$B$11*$B$14*$B$17*$B$19*$B$22,0)</f>
        <v/>
      </c>
      <c r="F38" s="50">
        <f>ROUND($B$4*$B$9*$B$11*$B$14*$B$17*$B$20*$B$21,0)</f>
        <v/>
      </c>
      <c r="G38" s="50">
        <f>ROUND($B$4*$B$9*$B$11*$B$14*$B$17*$B$20*$B$22,0)</f>
        <v/>
      </c>
      <c r="H38" s="50">
        <f>ROUND($B$4*$B$9*$B$11*$B$14*$B$18*$B$19*$B$21,0)</f>
        <v/>
      </c>
      <c r="I38" s="50">
        <f>ROUND($B$4*$B$9*$B$11*$B$14*$B$18*$B$19*$B$22,0)</f>
        <v/>
      </c>
      <c r="J38" s="50">
        <f>ROUND($B$4*$B$9*$B$11*$B$14*$B$18*$B$20*$B$21,0)</f>
        <v/>
      </c>
      <c r="K38" s="50">
        <f>ROUND($B$4*$B$9*$B$11*$B$14*$B$18*$B$20*$B$22,0)</f>
        <v/>
      </c>
      <c r="L38" s="50">
        <f>ROUND($B$5*$B$9*$B$11*$B$14*$B$17*$B$19*$B$21,0)</f>
        <v/>
      </c>
      <c r="M38" s="50">
        <f>ROUND($B$5*$B$9*$B$11*$B$14*$B$17*$B$19*$B$22,0)</f>
        <v/>
      </c>
      <c r="N38" s="50">
        <f>ROUND($B$5*$B$9*$B$11*$B$14*$B$17*$B$20*$B$21,0)</f>
        <v/>
      </c>
      <c r="O38" s="50">
        <f>ROUND($B$5*$B$9*$B$11*$B$14*$B$17*$B$20*$B$22,0)</f>
        <v/>
      </c>
      <c r="P38" s="50">
        <f>ROUND($B$5*$B$9*$B$11*$B$14*$B$18*$B$19*$B$21,0)</f>
        <v/>
      </c>
      <c r="Q38" s="50">
        <f>ROUND($B$5*$B$9*$B$11*$B$14*$B$18*$B$19*$B$22,0)</f>
        <v/>
      </c>
      <c r="R38" s="50">
        <f>ROUND($B$5*$B$9*$B$11*$B$14*$B$18*$B$20*$B$21,0)</f>
        <v/>
      </c>
      <c r="S38" s="50">
        <f>ROUND($B$5*$B$9*$B$11*$B$14*$B$18*$B$20*$B$22,0)</f>
        <v/>
      </c>
      <c r="T38" s="50">
        <f>ROUND($B$6*$B$9*$B$11*$B$14*$B$17*$B$19*$B$21,0)</f>
        <v/>
      </c>
      <c r="U38" s="50">
        <f>ROUND($B$6*$B$9*$B$11*$B$14*$B$17*$B$19*$B$22,0)</f>
        <v/>
      </c>
      <c r="V38" s="50">
        <f>ROUND($B$6*$B$9*$B$11*$B$14*$B$17*$B$20*$B$21,0)</f>
        <v/>
      </c>
      <c r="W38" s="50">
        <f>ROUND($B$6*$B$9*$B$11*$B$14*$B$17*$B$20*$B$22,0)</f>
        <v/>
      </c>
      <c r="X38" s="50">
        <f>ROUND($B$6*$B$9*$B$11*$B$14*$B$18*$B$19*$B$21,0)</f>
        <v/>
      </c>
      <c r="Y38" s="50">
        <f>ROUND($B$6*$B$9*$B$11*$B$14*$B$18*$B$19*$B$22,0)</f>
        <v/>
      </c>
      <c r="Z38" s="50">
        <f>ROUND($B$6*$B$9*$B$11*$B$14*$B$18*$B$20*$B$21,0)</f>
        <v/>
      </c>
      <c r="AA38" s="50">
        <f>ROUND($B$6*$B$9*$B$11*$B$14*$B$18*$B$20*$B$22,0)</f>
        <v/>
      </c>
    </row>
    <row r="39" ht="20.1" customHeight="1" s="62">
      <c r="A39" s="104" t="n"/>
      <c r="B39" s="58" t="n"/>
      <c r="C39" s="101" t="inlineStr">
        <is>
          <t>Criticité modérée</t>
        </is>
      </c>
      <c r="D39" s="50">
        <f>ROUND($B$4*$B$9*$B$11*$B$15*$B$17*$B$19*$B$21,0)</f>
        <v/>
      </c>
      <c r="E39" s="50">
        <f>ROUND($B$4*$B$9*$B$11*$B$15*$B$17*$B$19*$B$22,0)</f>
        <v/>
      </c>
      <c r="F39" s="50">
        <f>ROUND($B$4*$B$9*$B$11*$B$15*$B$17*$B$20*$B$21,0)</f>
        <v/>
      </c>
      <c r="G39" s="50">
        <f>ROUND($B$4*$B$9*$B$11*$B$15*$B$17*$B$20*$B$22,0)</f>
        <v/>
      </c>
      <c r="H39" s="50">
        <f>ROUND($B$4*$B$9*$B$11*$B$15*$B$18*$B$19*$B$21,0)</f>
        <v/>
      </c>
      <c r="I39" s="50">
        <f>ROUND($B$4*$B$9*$B$11*$B$15*$B$18*$B$19*$B$22,0)</f>
        <v/>
      </c>
      <c r="J39" s="50">
        <f>ROUND($B$4*$B$9*$B$11*$B$15*$B$18*$B$20*$B$21,0)</f>
        <v/>
      </c>
      <c r="K39" s="50">
        <f>ROUND($B$4*$B$9*$B$11*$B$15*$B$18*$B$20*$B$22,0)</f>
        <v/>
      </c>
      <c r="L39" s="50">
        <f>ROUND($B$5*$B$9*$B$11*$B$15*$B$17*$B$19*$B$21,0)</f>
        <v/>
      </c>
      <c r="M39" s="50">
        <f>ROUND($B$5*$B$9*$B$11*$B$15*$B$17*$B$19*$B$22,0)</f>
        <v/>
      </c>
      <c r="N39" s="50">
        <f>ROUND($B$5*$B$9*$B$11*$B$15*$B$17*$B$20*$B$21,0)</f>
        <v/>
      </c>
      <c r="O39" s="50">
        <f>ROUND($B$5*$B$9*$B$11*$B$15*$B$17*$B$20*$B$22,0)</f>
        <v/>
      </c>
      <c r="P39" s="50">
        <f>ROUND($B$5*$B$9*$B$11*$B$15*$B$18*$B$19*$B$21,0)</f>
        <v/>
      </c>
      <c r="Q39" s="50">
        <f>ROUND($B$5*$B$9*$B$11*$B$15*$B$18*$B$19*$B$22,0)</f>
        <v/>
      </c>
      <c r="R39" s="50">
        <f>ROUND($B$5*$B$9*$B$11*$B$15*$B$18*$B$20*$B$21,0)</f>
        <v/>
      </c>
      <c r="S39" s="50">
        <f>ROUND($B$5*$B$9*$B$11*$B$15*$B$18*$B$20*$B$22,0)</f>
        <v/>
      </c>
      <c r="T39" s="50">
        <f>ROUND($B$6*$B$9*$B$11*$B$15*$B$17*$B$19*$B$21,0)</f>
        <v/>
      </c>
      <c r="U39" s="50">
        <f>ROUND($B$6*$B$9*$B$11*$B$15*$B$17*$B$19*$B$22,0)</f>
        <v/>
      </c>
      <c r="V39" s="50">
        <f>ROUND($B$6*$B$9*$B$11*$B$15*$B$17*$B$20*$B$21,0)</f>
        <v/>
      </c>
      <c r="W39" s="50">
        <f>ROUND($B$6*$B$9*$B$11*$B$15*$B$17*$B$20*$B$22,0)</f>
        <v/>
      </c>
      <c r="X39" s="50">
        <f>ROUND($B$6*$B$9*$B$11*$B$15*$B$18*$B$19*$B$21,0)</f>
        <v/>
      </c>
      <c r="Y39" s="50">
        <f>ROUND($B$6*$B$9*$B$11*$B$15*$B$18*$B$19*$B$22,0)</f>
        <v/>
      </c>
      <c r="Z39" s="50">
        <f>ROUND($B$6*$B$9*$B$11*$B$15*$B$18*$B$20*$B$21,0)</f>
        <v/>
      </c>
      <c r="AA39" s="50">
        <f>ROUND($B$6*$B$9*$B$11*$B$15*$B$18*$B$20*$B$22,0)</f>
        <v/>
      </c>
    </row>
    <row r="40" ht="20.1" customHeight="1" s="62">
      <c r="A40" s="104" t="n"/>
      <c r="B40" s="59" t="n"/>
      <c r="C40" s="51" t="inlineStr">
        <is>
          <t>Criticité critique</t>
        </is>
      </c>
      <c r="D40" s="50">
        <f>ROUND($B$4*$B$9*$B$11*$B$16*$B$17*$B$19*$B$21,0)</f>
        <v/>
      </c>
      <c r="E40" s="50">
        <f>ROUND($B$4*$B$9*$B$11*$B$16*$B$17*$B$19*$B$22,0)</f>
        <v/>
      </c>
      <c r="F40" s="50">
        <f>ROUND($B$4*$B$9*$B$11*$B$16*$B$17*$B$20*$B$21,0)</f>
        <v/>
      </c>
      <c r="G40" s="50">
        <f>ROUND($B$4*$B$9*$B$11*$B$16*$B$17*$B$20*$B$22,0)</f>
        <v/>
      </c>
      <c r="H40" s="50">
        <f>ROUND($B$4*$B$9*$B$11*$B$16*$B$18*$B$19*$B$21,0)</f>
        <v/>
      </c>
      <c r="I40" s="50">
        <f>ROUND($B$4*$B$9*$B$11*$B$16*$B$18*$B$19*$B$22,0)</f>
        <v/>
      </c>
      <c r="J40" s="50">
        <f>ROUND($B$4*$B$9*$B$11*$B$16*$B$18*$B$20*$B$21,0)</f>
        <v/>
      </c>
      <c r="K40" s="50">
        <f>ROUND($B$4*$B$9*$B$11*$B$16*$B$18*$B$20*$B$22,0)</f>
        <v/>
      </c>
      <c r="L40" s="50">
        <f>ROUND($B$5*$B$9*$B$11*$B$16*$B$17*$B$19*$B$21,0)</f>
        <v/>
      </c>
      <c r="M40" s="50">
        <f>ROUND($B$5*$B$9*$B$11*$B$16*$B$17*$B$19*$B$22,0)</f>
        <v/>
      </c>
      <c r="N40" s="50">
        <f>ROUND($B$5*$B$9*$B$11*$B$16*$B$17*$B$20*$B$21,0)</f>
        <v/>
      </c>
      <c r="O40" s="50">
        <f>ROUND($B$5*$B$9*$B$11*$B$16*$B$17*$B$20*$B$22,0)</f>
        <v/>
      </c>
      <c r="P40" s="50">
        <f>ROUND($B$5*$B$9*$B$11*$B$16*$B$18*$B$19*$B$21,0)</f>
        <v/>
      </c>
      <c r="Q40" s="50">
        <f>ROUND($B$5*$B$9*$B$11*$B$16*$B$18*$B$19*$B$22,0)</f>
        <v/>
      </c>
      <c r="R40" s="50">
        <f>ROUND($B$5*$B$9*$B$11*$B$16*$B$18*$B$20*$B$21,0)</f>
        <v/>
      </c>
      <c r="S40" s="50">
        <f>ROUND($B$5*$B$9*$B$11*$B$16*$B$18*$B$20*$B$22,0)</f>
        <v/>
      </c>
      <c r="T40" s="50">
        <f>ROUND($B$6*$B$9*$B$11*$B$16*$B$17*$B$19*$B$21,0)</f>
        <v/>
      </c>
      <c r="U40" s="50">
        <f>ROUND($B$6*$B$9*$B$11*$B$16*$B$17*$B$19*$B$22,0)</f>
        <v/>
      </c>
      <c r="V40" s="50">
        <f>ROUND($B$6*$B$9*$B$11*$B$16*$B$17*$B$20*$B$21,0)</f>
        <v/>
      </c>
      <c r="W40" s="50">
        <f>ROUND($B$6*$B$9*$B$11*$B$16*$B$17*$B$20*$B$22,0)</f>
        <v/>
      </c>
      <c r="X40" s="50">
        <f>ROUND($B$6*$B$9*$B$11*$B$16*$B$18*$B$19*$B$21,0)</f>
        <v/>
      </c>
      <c r="Y40" s="50">
        <f>ROUND($B$6*$B$9*$B$11*$B$16*$B$18*$B$19*$B$22,0)</f>
        <v/>
      </c>
      <c r="Z40" s="50">
        <f>ROUND($B$6*$B$9*$B$11*$B$16*$B$18*$B$20*$B$21,0)</f>
        <v/>
      </c>
      <c r="AA40" s="50">
        <f>ROUND($B$6*$B$9*$B$11*$B$16*$B$18*$B$20*$B$22,0)</f>
        <v/>
      </c>
    </row>
    <row r="41" ht="20.1" customHeight="1" s="62">
      <c r="A41" s="104" t="n"/>
      <c r="B41" s="101" t="inlineStr">
        <is>
          <t>Logiciel</t>
        </is>
      </c>
      <c r="C41" s="49" t="inlineStr">
        <is>
          <t>Criticité faible</t>
        </is>
      </c>
      <c r="D41" s="50">
        <f>ROUND($B$4*$B$9*$B$12*$B$14*$B$17*$B$19*$B$21,0)</f>
        <v/>
      </c>
      <c r="E41" s="50">
        <f>ROUND($B$4*$B$9*$B$12*$B$14*$B$17*$B$19*$B$22,0)</f>
        <v/>
      </c>
      <c r="F41" s="50">
        <f>ROUND($B$4*$B$9*$B$12*$B$14*$B$17*$B$20*$B$21,0)</f>
        <v/>
      </c>
      <c r="G41" s="50">
        <f>ROUND($B$4*$B$9*$B$12*$B$14*$B$17*$B$20*$B$22,0)</f>
        <v/>
      </c>
      <c r="H41" s="50">
        <f>ROUND($B$4*$B$9*$B$12*$B$14*$B$18*$B$19*$B$21,0)</f>
        <v/>
      </c>
      <c r="I41" s="50">
        <f>ROUND($B$4*$B$9*$B$12*$B$14*$B$18*$B$19*$B$22,0)</f>
        <v/>
      </c>
      <c r="J41" s="50">
        <f>ROUND($B$4*$B$9*$B$12*$B$14*$B$18*$B$20*$B$21,0)</f>
        <v/>
      </c>
      <c r="K41" s="50">
        <f>ROUND($B$4*$B$9*$B$12*$B$14*$B$18*$B$20*$B$22,0)</f>
        <v/>
      </c>
      <c r="L41" s="50">
        <f>ROUND($B$5*$B$9*$B$12*$B$14*$B$17*$B$19*$B$21,0)</f>
        <v/>
      </c>
      <c r="M41" s="50">
        <f>ROUND($B$5*$B$9*$B$12*$B$14*$B$17*$B$19*$B$22,0)</f>
        <v/>
      </c>
      <c r="N41" s="50">
        <f>ROUND($B$5*$B$9*$B$12*$B$14*$B$17*$B$20*$B$21,0)</f>
        <v/>
      </c>
      <c r="O41" s="50">
        <f>ROUND($B$5*$B$9*$B$12*$B$14*$B$17*$B$20*$B$22,0)</f>
        <v/>
      </c>
      <c r="P41" s="50">
        <f>ROUND($B$5*$B$9*$B$12*$B$14*$B$18*$B$19*$B$21,0)</f>
        <v/>
      </c>
      <c r="Q41" s="50">
        <f>ROUND($B$5*$B$9*$B$12*$B$14*$B$18*$B$19*$B$22,0)</f>
        <v/>
      </c>
      <c r="R41" s="50">
        <f>ROUND($B$5*$B$9*$B$12*$B$14*$B$18*$B$20*$B$21,0)</f>
        <v/>
      </c>
      <c r="S41" s="50">
        <f>ROUND($B$5*$B$9*$B$12*$B$14*$B$18*$B$20*$B$22,0)</f>
        <v/>
      </c>
      <c r="T41" s="50">
        <f>ROUND($B$6*$B$9*$B$12*$B$14*$B$17*$B$19*$B$21,0)</f>
        <v/>
      </c>
      <c r="U41" s="50">
        <f>ROUND($B$6*$B$9*$B$12*$B$14*$B$17*$B$19*$B$22,0)</f>
        <v/>
      </c>
      <c r="V41" s="50">
        <f>ROUND($B$6*$B$9*$B$12*$B$14*$B$17*$B$20*$B$21,0)</f>
        <v/>
      </c>
      <c r="W41" s="50">
        <f>ROUND($B$6*$B$9*$B$12*$B$14*$B$17*$B$20*$B$22,0)</f>
        <v/>
      </c>
      <c r="X41" s="50">
        <f>ROUND($B$6*$B$9*$B$12*$B$14*$B$18*$B$19*$B$21,0)</f>
        <v/>
      </c>
      <c r="Y41" s="50">
        <f>ROUND($B$6*$B$9*$B$12*$B$14*$B$18*$B$19*$B$22,0)</f>
        <v/>
      </c>
      <c r="Z41" s="50">
        <f>ROUND($B$6*$B$9*$B$12*$B$14*$B$18*$B$20*$B$21,0)</f>
        <v/>
      </c>
      <c r="AA41" s="50">
        <f>ROUND($B$6*$B$9*$B$12*$B$14*$B$18*$B$20*$B$22,0)</f>
        <v/>
      </c>
    </row>
    <row r="42" ht="20.1" customHeight="1" s="62">
      <c r="A42" s="104" t="n"/>
      <c r="B42" s="58" t="n"/>
      <c r="C42" s="101" t="inlineStr">
        <is>
          <t>Criticité modérée</t>
        </is>
      </c>
      <c r="D42" s="50">
        <f>ROUND($B$4*$B$9*$B$12*$B$15*$B$17*$B$19*$B$21,0)</f>
        <v/>
      </c>
      <c r="E42" s="50">
        <f>ROUND($B$4*$B$9*$B$12*$B$15*$B$17*$B$19*$B$22,0)</f>
        <v/>
      </c>
      <c r="F42" s="50">
        <f>ROUND($B$4*$B$9*$B$12*$B$15*$B$17*$B$20*$B$21,0)</f>
        <v/>
      </c>
      <c r="G42" s="50">
        <f>ROUND($B$4*$B$9*$B$12*$B$15*$B$17*$B$20*$B$22,0)</f>
        <v/>
      </c>
      <c r="H42" s="50">
        <f>ROUND($B$4*$B$9*$B$12*$B$15*$B$18*$B$19*$B$21,0)</f>
        <v/>
      </c>
      <c r="I42" s="50">
        <f>ROUND($B$4*$B$9*$B$12*$B$15*$B$18*$B$19*$B$22,0)</f>
        <v/>
      </c>
      <c r="J42" s="50">
        <f>ROUND($B$4*$B$9*$B$12*$B$15*$B$18*$B$20*$B$21,0)</f>
        <v/>
      </c>
      <c r="K42" s="50">
        <f>ROUND($B$4*$B$9*$B$12*$B$15*$B$18*$B$20*$B$22,0)</f>
        <v/>
      </c>
      <c r="L42" s="50">
        <f>ROUND($B$5*$B$9*$B$12*$B$15*$B$17*$B$19*$B$21,0)</f>
        <v/>
      </c>
      <c r="M42" s="50">
        <f>ROUND($B$5*$B$9*$B$12*$B$15*$B$17*$B$19*$B$22,0)</f>
        <v/>
      </c>
      <c r="N42" s="50">
        <f>ROUND($B$5*$B$9*$B$12*$B$15*$B$17*$B$20*$B$21,0)</f>
        <v/>
      </c>
      <c r="O42" s="50">
        <f>ROUND($B$5*$B$9*$B$12*$B$15*$B$17*$B$20*$B$22,0)</f>
        <v/>
      </c>
      <c r="P42" s="50">
        <f>ROUND($B$5*$B$9*$B$12*$B$15*$B$18*$B$19*$B$21,0)</f>
        <v/>
      </c>
      <c r="Q42" s="50">
        <f>ROUND($B$5*$B$9*$B$12*$B$15*$B$18*$B$19*$B$22,0)</f>
        <v/>
      </c>
      <c r="R42" s="50">
        <f>ROUND($B$5*$B$9*$B$12*$B$15*$B$18*$B$20*$B$21,0)</f>
        <v/>
      </c>
      <c r="S42" s="50">
        <f>ROUND($B$5*$B$9*$B$12*$B$15*$B$18*$B$20*$B$22,0)</f>
        <v/>
      </c>
      <c r="T42" s="50">
        <f>ROUND($B$6*$B$9*$B$12*$B$15*$B$17*$B$19*$B$21,0)</f>
        <v/>
      </c>
      <c r="U42" s="50">
        <f>ROUND($B$6*$B$9*$B$12*$B$15*$B$17*$B$19*$B$22,0)</f>
        <v/>
      </c>
      <c r="V42" s="50">
        <f>ROUND($B$6*$B$9*$B$12*$B$15*$B$17*$B$20*$B$21,0)</f>
        <v/>
      </c>
      <c r="W42" s="50">
        <f>ROUND($B$6*$B$9*$B$12*$B$15*$B$17*$B$20*$B$22,0)</f>
        <v/>
      </c>
      <c r="X42" s="50">
        <f>ROUND($B$6*$B$9*$B$12*$B$15*$B$18*$B$19*$B$21,0)</f>
        <v/>
      </c>
      <c r="Y42" s="50">
        <f>ROUND($B$6*$B$9*$B$12*$B$15*$B$18*$B$19*$B$22,0)</f>
        <v/>
      </c>
      <c r="Z42" s="50">
        <f>ROUND($B$6*$B$9*$B$12*$B$15*$B$18*$B$20*$B$21,0)</f>
        <v/>
      </c>
      <c r="AA42" s="50">
        <f>ROUND($B$6*$B$9*$B$12*$B$15*$B$18*$B$20*$B$22,0)</f>
        <v/>
      </c>
    </row>
    <row r="43" ht="20.1" customHeight="1" s="62">
      <c r="A43" s="104" t="n"/>
      <c r="B43" s="59" t="n"/>
      <c r="C43" s="51" t="inlineStr">
        <is>
          <t>Criticité critique</t>
        </is>
      </c>
      <c r="D43" s="50">
        <f>ROUND($B$4*$B$9*$B$12*$B$16*$B$17*$B$19*$B$21,0)</f>
        <v/>
      </c>
      <c r="E43" s="50">
        <f>ROUND($B$4*$B$9*$B$12*$B$16*$B$17*$B$19*$B$22,0)</f>
        <v/>
      </c>
      <c r="F43" s="50">
        <f>ROUND($B$4*$B$9*$B$12*$B$16*$B$17*$B$20*$B$21,0)</f>
        <v/>
      </c>
      <c r="G43" s="50">
        <f>ROUND($B$4*$B$9*$B$12*$B$16*$B$17*$B$20*$B$22,0)</f>
        <v/>
      </c>
      <c r="H43" s="50">
        <f>ROUND($B$4*$B$9*$B$12*$B$16*$B$18*$B$19*$B$21,0)</f>
        <v/>
      </c>
      <c r="I43" s="50">
        <f>ROUND($B$4*$B$9*$B$12*$B$16*$B$18*$B$19*$B$22,0)</f>
        <v/>
      </c>
      <c r="J43" s="50">
        <f>ROUND($B$4*$B$9*$B$12*$B$16*$B$18*$B$20*$B$21,0)</f>
        <v/>
      </c>
      <c r="K43" s="50">
        <f>ROUND($B$4*$B$9*$B$12*$B$16*$B$18*$B$20*$B$22,0)</f>
        <v/>
      </c>
      <c r="L43" s="50">
        <f>ROUND($B$5*$B$9*$B$12*$B$16*$B$17*$B$19*$B$21,0)</f>
        <v/>
      </c>
      <c r="M43" s="50">
        <f>ROUND($B$5*$B$9*$B$12*$B$16*$B$17*$B$19*$B$22,0)</f>
        <v/>
      </c>
      <c r="N43" s="50">
        <f>ROUND($B$5*$B$9*$B$12*$B$16*$B$17*$B$20*$B$21,0)</f>
        <v/>
      </c>
      <c r="O43" s="50">
        <f>ROUND($B$5*$B$9*$B$12*$B$16*$B$17*$B$20*$B$22,0)</f>
        <v/>
      </c>
      <c r="P43" s="50">
        <f>ROUND($B$5*$B$9*$B$12*$B$16*$B$18*$B$19*$B$21,0)</f>
        <v/>
      </c>
      <c r="Q43" s="50">
        <f>ROUND($B$5*$B$9*$B$12*$B$16*$B$18*$B$19*$B$22,0)</f>
        <v/>
      </c>
      <c r="R43" s="50">
        <f>ROUND($B$5*$B$9*$B$12*$B$16*$B$18*$B$20*$B$21,0)</f>
        <v/>
      </c>
      <c r="S43" s="50">
        <f>ROUND($B$5*$B$9*$B$12*$B$16*$B$18*$B$20*$B$22,0)</f>
        <v/>
      </c>
      <c r="T43" s="50">
        <f>ROUND($B$6*$B$9*$B$12*$B$16*$B$17*$B$19*$B$21,0)</f>
        <v/>
      </c>
      <c r="U43" s="50">
        <f>ROUND($B$6*$B$9*$B$12*$B$16*$B$17*$B$19*$B$22,0)</f>
        <v/>
      </c>
      <c r="V43" s="50">
        <f>ROUND($B$6*$B$9*$B$12*$B$16*$B$17*$B$20*$B$21,0)</f>
        <v/>
      </c>
      <c r="W43" s="50">
        <f>ROUND($B$6*$B$9*$B$12*$B$16*$B$17*$B$20*$B$22,0)</f>
        <v/>
      </c>
      <c r="X43" s="50">
        <f>ROUND($B$6*$B$9*$B$12*$B$16*$B$18*$B$19*$B$21,0)</f>
        <v/>
      </c>
      <c r="Y43" s="50">
        <f>ROUND($B$6*$B$9*$B$12*$B$16*$B$18*$B$19*$B$22,0)</f>
        <v/>
      </c>
      <c r="Z43" s="50">
        <f>ROUND($B$6*$B$9*$B$12*$B$16*$B$18*$B$20*$B$21,0)</f>
        <v/>
      </c>
      <c r="AA43" s="50">
        <f>ROUND($B$6*$B$9*$B$12*$B$16*$B$18*$B$20*$B$22,0)</f>
        <v/>
      </c>
    </row>
    <row r="44" ht="20.1" customHeight="1" s="62">
      <c r="A44" s="104" t="n"/>
      <c r="B44" s="101" t="inlineStr">
        <is>
          <t>Serveur / infra</t>
        </is>
      </c>
      <c r="C44" s="49" t="inlineStr">
        <is>
          <t>Criticité faible</t>
        </is>
      </c>
      <c r="D44" s="50">
        <f>ROUND($B$4*$B$9*$B$13*$B$14*$B$17*$B$19*$B$21,0)</f>
        <v/>
      </c>
      <c r="E44" s="50">
        <f>ROUND($B$4*$B$9*$B$13*$B$14*$B$17*$B$19*$B$22,0)</f>
        <v/>
      </c>
      <c r="F44" s="50">
        <f>ROUND($B$4*$B$9*$B$13*$B$14*$B$17*$B$20*$B$21,0)</f>
        <v/>
      </c>
      <c r="G44" s="50">
        <f>ROUND($B$4*$B$9*$B$13*$B$14*$B$17*$B$20*$B$22,0)</f>
        <v/>
      </c>
      <c r="H44" s="50">
        <f>ROUND($B$4*$B$9*$B$13*$B$14*$B$18*$B$19*$B$21,0)</f>
        <v/>
      </c>
      <c r="I44" s="50">
        <f>ROUND($B$4*$B$9*$B$13*$B$14*$B$18*$B$19*$B$22,0)</f>
        <v/>
      </c>
      <c r="J44" s="50">
        <f>ROUND($B$4*$B$9*$B$13*$B$14*$B$18*$B$20*$B$21,0)</f>
        <v/>
      </c>
      <c r="K44" s="50">
        <f>ROUND($B$4*$B$9*$B$13*$B$14*$B$18*$B$20*$B$22,0)</f>
        <v/>
      </c>
      <c r="L44" s="50">
        <f>ROUND($B$5*$B$9*$B$13*$B$14*$B$17*$B$19*$B$21,0)</f>
        <v/>
      </c>
      <c r="M44" s="50">
        <f>ROUND($B$5*$B$9*$B$13*$B$14*$B$17*$B$19*$B$22,0)</f>
        <v/>
      </c>
      <c r="N44" s="50">
        <f>ROUND($B$5*$B$9*$B$13*$B$14*$B$17*$B$20*$B$21,0)</f>
        <v/>
      </c>
      <c r="O44" s="50">
        <f>ROUND($B$5*$B$9*$B$13*$B$14*$B$17*$B$20*$B$22,0)</f>
        <v/>
      </c>
      <c r="P44" s="50">
        <f>ROUND($B$5*$B$9*$B$13*$B$14*$B$18*$B$19*$B$21,0)</f>
        <v/>
      </c>
      <c r="Q44" s="50">
        <f>ROUND($B$5*$B$9*$B$13*$B$14*$B$18*$B$19*$B$22,0)</f>
        <v/>
      </c>
      <c r="R44" s="50">
        <f>ROUND($B$5*$B$9*$B$13*$B$14*$B$18*$B$20*$B$21,0)</f>
        <v/>
      </c>
      <c r="S44" s="50">
        <f>ROUND($B$5*$B$9*$B$13*$B$14*$B$18*$B$20*$B$22,0)</f>
        <v/>
      </c>
      <c r="T44" s="50">
        <f>ROUND($B$6*$B$9*$B$13*$B$14*$B$17*$B$19*$B$21,0)</f>
        <v/>
      </c>
      <c r="U44" s="50">
        <f>ROUND($B$6*$B$9*$B$13*$B$14*$B$17*$B$19*$B$22,0)</f>
        <v/>
      </c>
      <c r="V44" s="50">
        <f>ROUND($B$6*$B$9*$B$13*$B$14*$B$17*$B$20*$B$21,0)</f>
        <v/>
      </c>
      <c r="W44" s="50">
        <f>ROUND($B$6*$B$9*$B$13*$B$14*$B$17*$B$20*$B$22,0)</f>
        <v/>
      </c>
      <c r="X44" s="50">
        <f>ROUND($B$6*$B$9*$B$13*$B$14*$B$18*$B$19*$B$21,0)</f>
        <v/>
      </c>
      <c r="Y44" s="50">
        <f>ROUND($B$6*$B$9*$B$13*$B$14*$B$18*$B$19*$B$22,0)</f>
        <v/>
      </c>
      <c r="Z44" s="50">
        <f>ROUND($B$6*$B$9*$B$13*$B$14*$B$18*$B$20*$B$21,0)</f>
        <v/>
      </c>
      <c r="AA44" s="50">
        <f>ROUND($B$6*$B$9*$B$13*$B$14*$B$18*$B$20*$B$22,0)</f>
        <v/>
      </c>
    </row>
    <row r="45" ht="20.1" customHeight="1" s="62">
      <c r="A45" s="104" t="n"/>
      <c r="B45" s="58" t="n"/>
      <c r="C45" s="101" t="inlineStr">
        <is>
          <t>Criticité modérée</t>
        </is>
      </c>
      <c r="D45" s="50">
        <f>ROUND($B$4*$B$9*$B$13*$B$15*$B$17*$B$19*$B$21,0)</f>
        <v/>
      </c>
      <c r="E45" s="50">
        <f>ROUND($B$4*$B$9*$B$13*$B$15*$B$17*$B$19*$B$22,0)</f>
        <v/>
      </c>
      <c r="F45" s="50">
        <f>ROUND($B$4*$B$9*$B$13*$B$15*$B$17*$B$20*$B$21,0)</f>
        <v/>
      </c>
      <c r="G45" s="50">
        <f>ROUND($B$4*$B$9*$B$13*$B$15*$B$17*$B$20*$B$22,0)</f>
        <v/>
      </c>
      <c r="H45" s="50">
        <f>ROUND($B$4*$B$9*$B$13*$B$15*$B$18*$B$19*$B$21,0)</f>
        <v/>
      </c>
      <c r="I45" s="50">
        <f>ROUND($B$4*$B$9*$B$13*$B$15*$B$18*$B$19*$B$22,0)</f>
        <v/>
      </c>
      <c r="J45" s="50">
        <f>ROUND($B$4*$B$9*$B$13*$B$15*$B$18*$B$20*$B$21,0)</f>
        <v/>
      </c>
      <c r="K45" s="50">
        <f>ROUND($B$4*$B$9*$B$13*$B$15*$B$18*$B$20*$B$22,0)</f>
        <v/>
      </c>
      <c r="L45" s="50">
        <f>ROUND($B$5*$B$9*$B$13*$B$15*$B$17*$B$19*$B$21,0)</f>
        <v/>
      </c>
      <c r="M45" s="50">
        <f>ROUND($B$5*$B$9*$B$13*$B$15*$B$17*$B$19*$B$22,0)</f>
        <v/>
      </c>
      <c r="N45" s="50">
        <f>ROUND($B$5*$B$9*$B$13*$B$15*$B$17*$B$20*$B$21,0)</f>
        <v/>
      </c>
      <c r="O45" s="50">
        <f>ROUND($B$5*$B$9*$B$13*$B$15*$B$17*$B$20*$B$22,0)</f>
        <v/>
      </c>
      <c r="P45" s="50">
        <f>ROUND($B$5*$B$9*$B$13*$B$15*$B$18*$B$19*$B$21,0)</f>
        <v/>
      </c>
      <c r="Q45" s="50">
        <f>ROUND($B$5*$B$9*$B$13*$B$15*$B$18*$B$19*$B$22,0)</f>
        <v/>
      </c>
      <c r="R45" s="50">
        <f>ROUND($B$5*$B$9*$B$13*$B$15*$B$18*$B$20*$B$21,0)</f>
        <v/>
      </c>
      <c r="S45" s="50">
        <f>ROUND($B$5*$B$9*$B$13*$B$15*$B$18*$B$20*$B$22,0)</f>
        <v/>
      </c>
      <c r="T45" s="50">
        <f>ROUND($B$6*$B$9*$B$13*$B$15*$B$17*$B$19*$B$21,0)</f>
        <v/>
      </c>
      <c r="U45" s="50">
        <f>ROUND($B$6*$B$9*$B$13*$B$15*$B$17*$B$19*$B$22,0)</f>
        <v/>
      </c>
      <c r="V45" s="50">
        <f>ROUND($B$6*$B$9*$B$13*$B$15*$B$17*$B$20*$B$21,0)</f>
        <v/>
      </c>
      <c r="W45" s="50">
        <f>ROUND($B$6*$B$9*$B$13*$B$15*$B$17*$B$20*$B$22,0)</f>
        <v/>
      </c>
      <c r="X45" s="50">
        <f>ROUND($B$6*$B$9*$B$13*$B$15*$B$18*$B$19*$B$21,0)</f>
        <v/>
      </c>
      <c r="Y45" s="50">
        <f>ROUND($B$6*$B$9*$B$13*$B$15*$B$18*$B$19*$B$22,0)</f>
        <v/>
      </c>
      <c r="Z45" s="50">
        <f>ROUND($B$6*$B$9*$B$13*$B$15*$B$18*$B$20*$B$21,0)</f>
        <v/>
      </c>
      <c r="AA45" s="50">
        <f>ROUND($B$6*$B$9*$B$13*$B$15*$B$18*$B$20*$B$22,0)</f>
        <v/>
      </c>
    </row>
    <row r="46" ht="20.1" customHeight="1" s="62">
      <c r="A46" s="105" t="n"/>
      <c r="B46" s="59" t="n"/>
      <c r="C46" s="51" t="inlineStr">
        <is>
          <t>Criticité critique</t>
        </is>
      </c>
      <c r="D46" s="50">
        <f>ROUND($B$4*$B$9*$B$13*$B$16*$B$17*$B$19*$B$21,0)</f>
        <v/>
      </c>
      <c r="E46" s="50">
        <f>ROUND($B$4*$B$9*$B$13*$B$16*$B$17*$B$19*$B$22,0)</f>
        <v/>
      </c>
      <c r="F46" s="50">
        <f>ROUND($B$4*$B$9*$B$13*$B$16*$B$17*$B$20*$B$21,0)</f>
        <v/>
      </c>
      <c r="G46" s="50">
        <f>ROUND($B$4*$B$9*$B$13*$B$16*$B$17*$B$20*$B$22,0)</f>
        <v/>
      </c>
      <c r="H46" s="50">
        <f>ROUND($B$4*$B$9*$B$13*$B$16*$B$18*$B$19*$B$21,0)</f>
        <v/>
      </c>
      <c r="I46" s="50">
        <f>ROUND($B$4*$B$9*$B$13*$B$16*$B$18*$B$19*$B$22,0)</f>
        <v/>
      </c>
      <c r="J46" s="50">
        <f>ROUND($B$4*$B$9*$B$13*$B$16*$B$18*$B$20*$B$21,0)</f>
        <v/>
      </c>
      <c r="K46" s="50">
        <f>ROUND($B$4*$B$9*$B$13*$B$16*$B$18*$B$20*$B$22,0)</f>
        <v/>
      </c>
      <c r="L46" s="50">
        <f>ROUND($B$5*$B$9*$B$13*$B$16*$B$17*$B$19*$B$21,0)</f>
        <v/>
      </c>
      <c r="M46" s="50">
        <f>ROUND($B$5*$B$9*$B$13*$B$16*$B$17*$B$19*$B$22,0)</f>
        <v/>
      </c>
      <c r="N46" s="50">
        <f>ROUND($B$5*$B$9*$B$13*$B$16*$B$17*$B$20*$B$21,0)</f>
        <v/>
      </c>
      <c r="O46" s="50">
        <f>ROUND($B$5*$B$9*$B$13*$B$16*$B$17*$B$20*$B$22,0)</f>
        <v/>
      </c>
      <c r="P46" s="50">
        <f>ROUND($B$5*$B$9*$B$13*$B$16*$B$18*$B$19*$B$21,0)</f>
        <v/>
      </c>
      <c r="Q46" s="50">
        <f>ROUND($B$5*$B$9*$B$13*$B$16*$B$18*$B$19*$B$22,0)</f>
        <v/>
      </c>
      <c r="R46" s="50">
        <f>ROUND($B$5*$B$9*$B$13*$B$16*$B$18*$B$20*$B$21,0)</f>
        <v/>
      </c>
      <c r="S46" s="50">
        <f>ROUND($B$5*$B$9*$B$13*$B$16*$B$18*$B$20*$B$22,0)</f>
        <v/>
      </c>
      <c r="T46" s="50">
        <f>ROUND($B$6*$B$9*$B$13*$B$16*$B$17*$B$19*$B$21,0)</f>
        <v/>
      </c>
      <c r="U46" s="50">
        <f>ROUND($B$6*$B$9*$B$13*$B$16*$B$17*$B$19*$B$22,0)</f>
        <v/>
      </c>
      <c r="V46" s="50">
        <f>ROUND($B$6*$B$9*$B$13*$B$16*$B$17*$B$20*$B$21,0)</f>
        <v/>
      </c>
      <c r="W46" s="50">
        <f>ROUND($B$6*$B$9*$B$13*$B$16*$B$17*$B$20*$B$22,0)</f>
        <v/>
      </c>
      <c r="X46" s="50">
        <f>ROUND($B$6*$B$9*$B$13*$B$16*$B$18*$B$19*$B$21,0)</f>
        <v/>
      </c>
      <c r="Y46" s="50">
        <f>ROUND($B$6*$B$9*$B$13*$B$16*$B$18*$B$19*$B$22,0)</f>
        <v/>
      </c>
      <c r="Z46" s="50">
        <f>ROUND($B$6*$B$9*$B$13*$B$16*$B$18*$B$20*$B$21,0)</f>
        <v/>
      </c>
      <c r="AA46" s="50">
        <f>ROUND($B$6*$B$9*$B$13*$B$16*$B$18*$B$20*$B$22,0)</f>
        <v/>
      </c>
    </row>
    <row r="47" ht="20.1" customHeight="1" s="62">
      <c r="A47" s="103" t="inlineStr">
        <is>
          <t>Complexité complexe</t>
        </is>
      </c>
      <c r="B47" s="101" t="inlineStr">
        <is>
          <t>Site web</t>
        </is>
      </c>
      <c r="C47" s="49" t="inlineStr">
        <is>
          <t>Criticité faible</t>
        </is>
      </c>
      <c r="D47" s="50">
        <f>ROUND($B$4*$B$10*$B$11*$B$14*$B$17*$B$19*$B$21,0)</f>
        <v/>
      </c>
      <c r="E47" s="50">
        <f>ROUND($B$4*$B$10*$B$11*$B$14*$B$17*$B$19*$B$22,0)</f>
        <v/>
      </c>
      <c r="F47" s="50">
        <f>ROUND($B$4*$B$10*$B$11*$B$14*$B$17*$B$20*$B$21,0)</f>
        <v/>
      </c>
      <c r="G47" s="50">
        <f>ROUND($B$4*$B$10*$B$11*$B$14*$B$17*$B$20*$B$22,0)</f>
        <v/>
      </c>
      <c r="H47" s="50">
        <f>ROUND($B$4*$B$10*$B$11*$B$14*$B$18*$B$19*$B$21,0)</f>
        <v/>
      </c>
      <c r="I47" s="50">
        <f>ROUND($B$4*$B$10*$B$11*$B$14*$B$18*$B$19*$B$22,0)</f>
        <v/>
      </c>
      <c r="J47" s="50">
        <f>ROUND($B$4*$B$10*$B$11*$B$14*$B$18*$B$20*$B$21,0)</f>
        <v/>
      </c>
      <c r="K47" s="50">
        <f>ROUND($B$4*$B$10*$B$11*$B$14*$B$18*$B$20*$B$22,0)</f>
        <v/>
      </c>
      <c r="L47" s="50">
        <f>ROUND($B$5*$B$10*$B$11*$B$14*$B$17*$B$19*$B$21,0)</f>
        <v/>
      </c>
      <c r="M47" s="50">
        <f>ROUND($B$5*$B$10*$B$11*$B$14*$B$17*$B$19*$B$22,0)</f>
        <v/>
      </c>
      <c r="N47" s="50">
        <f>ROUND($B$5*$B$10*$B$11*$B$14*$B$17*$B$20*$B$21,0)</f>
        <v/>
      </c>
      <c r="O47" s="50">
        <f>ROUND($B$5*$B$10*$B$11*$B$14*$B$17*$B$20*$B$22,0)</f>
        <v/>
      </c>
      <c r="P47" s="50">
        <f>ROUND($B$5*$B$10*$B$11*$B$14*$B$18*$B$19*$B$21,0)</f>
        <v/>
      </c>
      <c r="Q47" s="50">
        <f>ROUND($B$5*$B$10*$B$11*$B$14*$B$18*$B$19*$B$22,0)</f>
        <v/>
      </c>
      <c r="R47" s="50">
        <f>ROUND($B$5*$B$10*$B$11*$B$14*$B$18*$B$20*$B$21,0)</f>
        <v/>
      </c>
      <c r="S47" s="50">
        <f>ROUND($B$5*$B$10*$B$11*$B$14*$B$18*$B$20*$B$22,0)</f>
        <v/>
      </c>
      <c r="T47" s="50">
        <f>ROUND($B$6*$B$10*$B$11*$B$14*$B$17*$B$19*$B$21,0)</f>
        <v/>
      </c>
      <c r="U47" s="50">
        <f>ROUND($B$6*$B$10*$B$11*$B$14*$B$17*$B$19*$B$22,0)</f>
        <v/>
      </c>
      <c r="V47" s="50">
        <f>ROUND($B$6*$B$10*$B$11*$B$14*$B$17*$B$20*$B$21,0)</f>
        <v/>
      </c>
      <c r="W47" s="50">
        <f>ROUND($B$6*$B$10*$B$11*$B$14*$B$17*$B$20*$B$22,0)</f>
        <v/>
      </c>
      <c r="X47" s="50">
        <f>ROUND($B$6*$B$10*$B$11*$B$14*$B$18*$B$19*$B$21,0)</f>
        <v/>
      </c>
      <c r="Y47" s="50">
        <f>ROUND($B$6*$B$10*$B$11*$B$14*$B$18*$B$19*$B$22,0)</f>
        <v/>
      </c>
      <c r="Z47" s="50">
        <f>ROUND($B$6*$B$10*$B$11*$B$14*$B$18*$B$20*$B$21,0)</f>
        <v/>
      </c>
      <c r="AA47" s="50">
        <f>ROUND($B$6*$B$10*$B$11*$B$14*$B$18*$B$20*$B$22,0)</f>
        <v/>
      </c>
    </row>
    <row r="48" ht="20.1" customHeight="1" s="62">
      <c r="A48" s="104" t="n"/>
      <c r="B48" s="58" t="n"/>
      <c r="C48" s="101" t="inlineStr">
        <is>
          <t>Criticité modérée</t>
        </is>
      </c>
      <c r="D48" s="50">
        <f>ROUND($B$4*$B$10*$B$11*$B$15*$B$17*$B$19*$B$21,0)</f>
        <v/>
      </c>
      <c r="E48" s="50">
        <f>ROUND($B$4*$B$10*$B$11*$B$15*$B$17*$B$19*$B$22,0)</f>
        <v/>
      </c>
      <c r="F48" s="50">
        <f>ROUND($B$4*$B$10*$B$11*$B$15*$B$17*$B$20*$B$21,0)</f>
        <v/>
      </c>
      <c r="G48" s="50">
        <f>ROUND($B$4*$B$10*$B$11*$B$15*$B$17*$B$20*$B$22,0)</f>
        <v/>
      </c>
      <c r="H48" s="50">
        <f>ROUND($B$4*$B$10*$B$11*$B$15*$B$18*$B$19*$B$21,0)</f>
        <v/>
      </c>
      <c r="I48" s="50">
        <f>ROUND($B$4*$B$10*$B$11*$B$15*$B$18*$B$19*$B$22,0)</f>
        <v/>
      </c>
      <c r="J48" s="50">
        <f>ROUND($B$4*$B$10*$B$11*$B$15*$B$18*$B$20*$B$21,0)</f>
        <v/>
      </c>
      <c r="K48" s="50">
        <f>ROUND($B$4*$B$10*$B$11*$B$15*$B$18*$B$20*$B$22,0)</f>
        <v/>
      </c>
      <c r="L48" s="50">
        <f>ROUND($B$5*$B$10*$B$11*$B$15*$B$17*$B$19*$B$21,0)</f>
        <v/>
      </c>
      <c r="M48" s="50">
        <f>ROUND($B$5*$B$10*$B$11*$B$15*$B$17*$B$19*$B$22,0)</f>
        <v/>
      </c>
      <c r="N48" s="50">
        <f>ROUND($B$5*$B$10*$B$11*$B$15*$B$17*$B$20*$B$21,0)</f>
        <v/>
      </c>
      <c r="O48" s="50">
        <f>ROUND($B$5*$B$10*$B$11*$B$15*$B$17*$B$20*$B$22,0)</f>
        <v/>
      </c>
      <c r="P48" s="50">
        <f>ROUND($B$5*$B$10*$B$11*$B$15*$B$18*$B$19*$B$21,0)</f>
        <v/>
      </c>
      <c r="Q48" s="50">
        <f>ROUND($B$5*$B$10*$B$11*$B$15*$B$18*$B$19*$B$22,0)</f>
        <v/>
      </c>
      <c r="R48" s="50">
        <f>ROUND($B$5*$B$10*$B$11*$B$15*$B$18*$B$20*$B$21,0)</f>
        <v/>
      </c>
      <c r="S48" s="50">
        <f>ROUND($B$5*$B$10*$B$11*$B$15*$B$18*$B$20*$B$22,0)</f>
        <v/>
      </c>
      <c r="T48" s="50">
        <f>ROUND($B$6*$B$10*$B$11*$B$15*$B$17*$B$19*$B$21,0)</f>
        <v/>
      </c>
      <c r="U48" s="50">
        <f>ROUND($B$6*$B$10*$B$11*$B$15*$B$17*$B$19*$B$22,0)</f>
        <v/>
      </c>
      <c r="V48" s="50">
        <f>ROUND($B$6*$B$10*$B$11*$B$15*$B$17*$B$20*$B$21,0)</f>
        <v/>
      </c>
      <c r="W48" s="50">
        <f>ROUND($B$6*$B$10*$B$11*$B$15*$B$17*$B$20*$B$22,0)</f>
        <v/>
      </c>
      <c r="X48" s="50">
        <f>ROUND($B$6*$B$10*$B$11*$B$15*$B$18*$B$19*$B$21,0)</f>
        <v/>
      </c>
      <c r="Y48" s="50">
        <f>ROUND($B$6*$B$10*$B$11*$B$15*$B$18*$B$19*$B$22,0)</f>
        <v/>
      </c>
      <c r="Z48" s="50">
        <f>ROUND($B$6*$B$10*$B$11*$B$15*$B$18*$B$20*$B$21,0)</f>
        <v/>
      </c>
      <c r="AA48" s="50">
        <f>ROUND($B$6*$B$10*$B$11*$B$15*$B$18*$B$20*$B$22,0)</f>
        <v/>
      </c>
    </row>
    <row r="49" ht="20.1" customHeight="1" s="62">
      <c r="A49" s="104" t="n"/>
      <c r="B49" s="59" t="n"/>
      <c r="C49" s="51" t="inlineStr">
        <is>
          <t>Criticité critique</t>
        </is>
      </c>
      <c r="D49" s="50">
        <f>ROUND($B$4*$B$10*$B$11*$B$16*$B$17*$B$19*$B$21,0)</f>
        <v/>
      </c>
      <c r="E49" s="50">
        <f>ROUND($B$4*$B$10*$B$11*$B$16*$B$17*$B$19*$B$22,0)</f>
        <v/>
      </c>
      <c r="F49" s="50">
        <f>ROUND($B$4*$B$10*$B$11*$B$16*$B$17*$B$20*$B$21,0)</f>
        <v/>
      </c>
      <c r="G49" s="50">
        <f>ROUND($B$4*$B$10*$B$11*$B$16*$B$17*$B$20*$B$22,0)</f>
        <v/>
      </c>
      <c r="H49" s="50">
        <f>ROUND($B$4*$B$10*$B$11*$B$16*$B$18*$B$19*$B$21,0)</f>
        <v/>
      </c>
      <c r="I49" s="50">
        <f>ROUND($B$4*$B$10*$B$11*$B$16*$B$18*$B$19*$B$22,0)</f>
        <v/>
      </c>
      <c r="J49" s="50">
        <f>ROUND($B$4*$B$10*$B$11*$B$16*$B$18*$B$20*$B$21,0)</f>
        <v/>
      </c>
      <c r="K49" s="50">
        <f>ROUND($B$4*$B$10*$B$11*$B$16*$B$18*$B$20*$B$22,0)</f>
        <v/>
      </c>
      <c r="L49" s="50">
        <f>ROUND($B$5*$B$10*$B$11*$B$16*$B$17*$B$19*$B$21,0)</f>
        <v/>
      </c>
      <c r="M49" s="50">
        <f>ROUND($B$5*$B$10*$B$11*$B$16*$B$17*$B$19*$B$22,0)</f>
        <v/>
      </c>
      <c r="N49" s="50">
        <f>ROUND($B$5*$B$10*$B$11*$B$16*$B$17*$B$20*$B$21,0)</f>
        <v/>
      </c>
      <c r="O49" s="50">
        <f>ROUND($B$5*$B$10*$B$11*$B$16*$B$17*$B$20*$B$22,0)</f>
        <v/>
      </c>
      <c r="P49" s="50">
        <f>ROUND($B$5*$B$10*$B$11*$B$16*$B$18*$B$19*$B$21,0)</f>
        <v/>
      </c>
      <c r="Q49" s="50">
        <f>ROUND($B$5*$B$10*$B$11*$B$16*$B$18*$B$19*$B$22,0)</f>
        <v/>
      </c>
      <c r="R49" s="50">
        <f>ROUND($B$5*$B$10*$B$11*$B$16*$B$18*$B$20*$B$21,0)</f>
        <v/>
      </c>
      <c r="S49" s="50">
        <f>ROUND($B$5*$B$10*$B$11*$B$16*$B$18*$B$20*$B$22,0)</f>
        <v/>
      </c>
      <c r="T49" s="50">
        <f>ROUND($B$6*$B$10*$B$11*$B$16*$B$17*$B$19*$B$21,0)</f>
        <v/>
      </c>
      <c r="U49" s="50">
        <f>ROUND($B$6*$B$10*$B$11*$B$16*$B$17*$B$19*$B$22,0)</f>
        <v/>
      </c>
      <c r="V49" s="50">
        <f>ROUND($B$6*$B$10*$B$11*$B$16*$B$17*$B$20*$B$21,0)</f>
        <v/>
      </c>
      <c r="W49" s="50">
        <f>ROUND($B$6*$B$10*$B$11*$B$16*$B$17*$B$20*$B$22,0)</f>
        <v/>
      </c>
      <c r="X49" s="50">
        <f>ROUND($B$6*$B$10*$B$11*$B$16*$B$18*$B$19*$B$21,0)</f>
        <v/>
      </c>
      <c r="Y49" s="50">
        <f>ROUND($B$6*$B$10*$B$11*$B$16*$B$18*$B$19*$B$22,0)</f>
        <v/>
      </c>
      <c r="Z49" s="50">
        <f>ROUND($B$6*$B$10*$B$11*$B$16*$B$18*$B$20*$B$21,0)</f>
        <v/>
      </c>
      <c r="AA49" s="50">
        <f>ROUND($B$6*$B$10*$B$11*$B$16*$B$18*$B$20*$B$22,0)</f>
        <v/>
      </c>
    </row>
    <row r="50" ht="20.1" customHeight="1" s="62">
      <c r="A50" s="104" t="n"/>
      <c r="B50" s="101" t="inlineStr">
        <is>
          <t>Logiciel</t>
        </is>
      </c>
      <c r="C50" s="49" t="inlineStr">
        <is>
          <t>Criticité faible</t>
        </is>
      </c>
      <c r="D50" s="50">
        <f>ROUND($B$4*$B$10*$B$12*$B$14*$B$17*$B$19*$B$21,0)</f>
        <v/>
      </c>
      <c r="E50" s="50">
        <f>ROUND($B$4*$B$10*$B$12*$B$14*$B$17*$B$19*$B$22,0)</f>
        <v/>
      </c>
      <c r="F50" s="50">
        <f>ROUND($B$4*$B$10*$B$12*$B$14*$B$17*$B$20*$B$21,0)</f>
        <v/>
      </c>
      <c r="G50" s="50">
        <f>ROUND($B$4*$B$10*$B$12*$B$14*$B$17*$B$20*$B$22,0)</f>
        <v/>
      </c>
      <c r="H50" s="50">
        <f>ROUND($B$4*$B$10*$B$12*$B$14*$B$18*$B$19*$B$21,0)</f>
        <v/>
      </c>
      <c r="I50" s="50">
        <f>ROUND($B$4*$B$10*$B$12*$B$14*$B$18*$B$19*$B$22,0)</f>
        <v/>
      </c>
      <c r="J50" s="50">
        <f>ROUND($B$4*$B$10*$B$12*$B$14*$B$18*$B$20*$B$21,0)</f>
        <v/>
      </c>
      <c r="K50" s="50">
        <f>ROUND($B$4*$B$10*$B$12*$B$14*$B$18*$B$20*$B$22,0)</f>
        <v/>
      </c>
      <c r="L50" s="50">
        <f>ROUND($B$5*$B$10*$B$12*$B$14*$B$17*$B$19*$B$21,0)</f>
        <v/>
      </c>
      <c r="M50" s="50">
        <f>ROUND($B$5*$B$10*$B$12*$B$14*$B$17*$B$19*$B$22,0)</f>
        <v/>
      </c>
      <c r="N50" s="50">
        <f>ROUND($B$5*$B$10*$B$12*$B$14*$B$17*$B$20*$B$21,0)</f>
        <v/>
      </c>
      <c r="O50" s="50">
        <f>ROUND($B$5*$B$10*$B$12*$B$14*$B$17*$B$20*$B$22,0)</f>
        <v/>
      </c>
      <c r="P50" s="50">
        <f>ROUND($B$5*$B$10*$B$12*$B$14*$B$18*$B$19*$B$21,0)</f>
        <v/>
      </c>
      <c r="Q50" s="50">
        <f>ROUND($B$5*$B$10*$B$12*$B$14*$B$18*$B$19*$B$22,0)</f>
        <v/>
      </c>
      <c r="R50" s="50">
        <f>ROUND($B$5*$B$10*$B$12*$B$14*$B$18*$B$20*$B$21,0)</f>
        <v/>
      </c>
      <c r="S50" s="50">
        <f>ROUND($B$5*$B$10*$B$12*$B$14*$B$18*$B$20*$B$22,0)</f>
        <v/>
      </c>
      <c r="T50" s="50">
        <f>ROUND($B$6*$B$10*$B$12*$B$14*$B$17*$B$19*$B$21,0)</f>
        <v/>
      </c>
      <c r="U50" s="50">
        <f>ROUND($B$6*$B$10*$B$12*$B$14*$B$17*$B$19*$B$22,0)</f>
        <v/>
      </c>
      <c r="V50" s="50">
        <f>ROUND($B$6*$B$10*$B$12*$B$14*$B$17*$B$20*$B$21,0)</f>
        <v/>
      </c>
      <c r="W50" s="50">
        <f>ROUND($B$6*$B$10*$B$12*$B$14*$B$17*$B$20*$B$22,0)</f>
        <v/>
      </c>
      <c r="X50" s="50">
        <f>ROUND($B$6*$B$10*$B$12*$B$14*$B$18*$B$19*$B$21,0)</f>
        <v/>
      </c>
      <c r="Y50" s="50">
        <f>ROUND($B$6*$B$10*$B$12*$B$14*$B$18*$B$19*$B$22,0)</f>
        <v/>
      </c>
      <c r="Z50" s="50">
        <f>ROUND($B$6*$B$10*$B$12*$B$14*$B$18*$B$20*$B$21,0)</f>
        <v/>
      </c>
      <c r="AA50" s="50">
        <f>ROUND($B$6*$B$10*$B$12*$B$14*$B$18*$B$20*$B$22,0)</f>
        <v/>
      </c>
    </row>
    <row r="51" ht="20.1" customHeight="1" s="62">
      <c r="A51" s="104" t="n"/>
      <c r="B51" s="58" t="n"/>
      <c r="C51" s="101" t="inlineStr">
        <is>
          <t>Criticité modérée</t>
        </is>
      </c>
      <c r="D51" s="50">
        <f>ROUND($B$4*$B$10*$B$12*$B$15*$B$17*$B$19*$B$21,0)</f>
        <v/>
      </c>
      <c r="E51" s="50">
        <f>ROUND($B$4*$B$10*$B$12*$B$15*$B$17*$B$19*$B$22,0)</f>
        <v/>
      </c>
      <c r="F51" s="50">
        <f>ROUND($B$4*$B$10*$B$12*$B$15*$B$17*$B$20*$B$21,0)</f>
        <v/>
      </c>
      <c r="G51" s="50">
        <f>ROUND($B$4*$B$10*$B$12*$B$15*$B$17*$B$20*$B$22,0)</f>
        <v/>
      </c>
      <c r="H51" s="50">
        <f>ROUND($B$4*$B$10*$B$12*$B$15*$B$18*$B$19*$B$21,0)</f>
        <v/>
      </c>
      <c r="I51" s="50">
        <f>ROUND($B$4*$B$10*$B$12*$B$15*$B$18*$B$19*$B$22,0)</f>
        <v/>
      </c>
      <c r="J51" s="50">
        <f>ROUND($B$4*$B$10*$B$12*$B$15*$B$18*$B$20*$B$21,0)</f>
        <v/>
      </c>
      <c r="K51" s="50">
        <f>ROUND($B$4*$B$10*$B$12*$B$15*$B$18*$B$20*$B$22,0)</f>
        <v/>
      </c>
      <c r="L51" s="50">
        <f>ROUND($B$5*$B$10*$B$12*$B$15*$B$17*$B$19*$B$21,0)</f>
        <v/>
      </c>
      <c r="M51" s="50">
        <f>ROUND($B$5*$B$10*$B$12*$B$15*$B$17*$B$19*$B$22,0)</f>
        <v/>
      </c>
      <c r="N51" s="50">
        <f>ROUND($B$5*$B$10*$B$12*$B$15*$B$17*$B$20*$B$21,0)</f>
        <v/>
      </c>
      <c r="O51" s="50">
        <f>ROUND($B$5*$B$10*$B$12*$B$15*$B$17*$B$20*$B$22,0)</f>
        <v/>
      </c>
      <c r="P51" s="50">
        <f>ROUND($B$5*$B$10*$B$12*$B$15*$B$18*$B$19*$B$21,0)</f>
        <v/>
      </c>
      <c r="Q51" s="50">
        <f>ROUND($B$5*$B$10*$B$12*$B$15*$B$18*$B$19*$B$22,0)</f>
        <v/>
      </c>
      <c r="R51" s="50">
        <f>ROUND($B$5*$B$10*$B$12*$B$15*$B$18*$B$20*$B$21,0)</f>
        <v/>
      </c>
      <c r="S51" s="50">
        <f>ROUND($B$5*$B$10*$B$12*$B$15*$B$18*$B$20*$B$22,0)</f>
        <v/>
      </c>
      <c r="T51" s="50">
        <f>ROUND($B$6*$B$10*$B$12*$B$15*$B$17*$B$19*$B$21,0)</f>
        <v/>
      </c>
      <c r="U51" s="50">
        <f>ROUND($B$6*$B$10*$B$12*$B$15*$B$17*$B$19*$B$22,0)</f>
        <v/>
      </c>
      <c r="V51" s="50">
        <f>ROUND($B$6*$B$10*$B$12*$B$15*$B$17*$B$20*$B$21,0)</f>
        <v/>
      </c>
      <c r="W51" s="50">
        <f>ROUND($B$6*$B$10*$B$12*$B$15*$B$17*$B$20*$B$22,0)</f>
        <v/>
      </c>
      <c r="X51" s="50">
        <f>ROUND($B$6*$B$10*$B$12*$B$15*$B$18*$B$19*$B$21,0)</f>
        <v/>
      </c>
      <c r="Y51" s="50">
        <f>ROUND($B$6*$B$10*$B$12*$B$15*$B$18*$B$19*$B$22,0)</f>
        <v/>
      </c>
      <c r="Z51" s="50">
        <f>ROUND($B$6*$B$10*$B$12*$B$15*$B$18*$B$20*$B$21,0)</f>
        <v/>
      </c>
      <c r="AA51" s="50">
        <f>ROUND($B$6*$B$10*$B$12*$B$15*$B$18*$B$20*$B$22,0)</f>
        <v/>
      </c>
    </row>
    <row r="52" ht="20.1" customHeight="1" s="62">
      <c r="A52" s="104" t="n"/>
      <c r="B52" s="59" t="n"/>
      <c r="C52" s="51" t="inlineStr">
        <is>
          <t>Criticité critique</t>
        </is>
      </c>
      <c r="D52" s="50">
        <f>ROUND($B$4*$B$10*$B$12*$B$16*$B$17*$B$19*$B$21,0)</f>
        <v/>
      </c>
      <c r="E52" s="50">
        <f>ROUND($B$4*$B$10*$B$12*$B$16*$B$17*$B$19*$B$22,0)</f>
        <v/>
      </c>
      <c r="F52" s="50">
        <f>ROUND($B$4*$B$10*$B$12*$B$16*$B$17*$B$20*$B$21,0)</f>
        <v/>
      </c>
      <c r="G52" s="50">
        <f>ROUND($B$4*$B$10*$B$12*$B$16*$B$17*$B$20*$B$22,0)</f>
        <v/>
      </c>
      <c r="H52" s="50">
        <f>ROUND($B$4*$B$10*$B$12*$B$16*$B$18*$B$19*$B$21,0)</f>
        <v/>
      </c>
      <c r="I52" s="50">
        <f>ROUND($B$4*$B$10*$B$12*$B$16*$B$18*$B$19*$B$22,0)</f>
        <v/>
      </c>
      <c r="J52" s="50">
        <f>ROUND($B$4*$B$10*$B$12*$B$16*$B$18*$B$20*$B$21,0)</f>
        <v/>
      </c>
      <c r="K52" s="50">
        <f>ROUND($B$4*$B$10*$B$12*$B$16*$B$18*$B$20*$B$22,0)</f>
        <v/>
      </c>
      <c r="L52" s="50">
        <f>ROUND($B$5*$B$10*$B$12*$B$16*$B$17*$B$19*$B$21,0)</f>
        <v/>
      </c>
      <c r="M52" s="50">
        <f>ROUND($B$5*$B$10*$B$12*$B$16*$B$17*$B$19*$B$22,0)</f>
        <v/>
      </c>
      <c r="N52" s="50">
        <f>ROUND($B$5*$B$10*$B$12*$B$16*$B$17*$B$20*$B$21,0)</f>
        <v/>
      </c>
      <c r="O52" s="50">
        <f>ROUND($B$5*$B$10*$B$12*$B$16*$B$17*$B$20*$B$22,0)</f>
        <v/>
      </c>
      <c r="P52" s="50">
        <f>ROUND($B$5*$B$10*$B$12*$B$16*$B$18*$B$19*$B$21,0)</f>
        <v/>
      </c>
      <c r="Q52" s="50">
        <f>ROUND($B$5*$B$10*$B$12*$B$16*$B$18*$B$19*$B$22,0)</f>
        <v/>
      </c>
      <c r="R52" s="50">
        <f>ROUND($B$5*$B$10*$B$12*$B$16*$B$18*$B$20*$B$21,0)</f>
        <v/>
      </c>
      <c r="S52" s="50">
        <f>ROUND($B$5*$B$10*$B$12*$B$16*$B$18*$B$20*$B$22,0)</f>
        <v/>
      </c>
      <c r="T52" s="50">
        <f>ROUND($B$6*$B$10*$B$12*$B$16*$B$17*$B$19*$B$21,0)</f>
        <v/>
      </c>
      <c r="U52" s="50">
        <f>ROUND($B$6*$B$10*$B$12*$B$16*$B$17*$B$19*$B$22,0)</f>
        <v/>
      </c>
      <c r="V52" s="50">
        <f>ROUND($B$6*$B$10*$B$12*$B$16*$B$17*$B$20*$B$21,0)</f>
        <v/>
      </c>
      <c r="W52" s="50">
        <f>ROUND($B$6*$B$10*$B$12*$B$16*$B$17*$B$20*$B$22,0)</f>
        <v/>
      </c>
      <c r="X52" s="50">
        <f>ROUND($B$6*$B$10*$B$12*$B$16*$B$18*$B$19*$B$21,0)</f>
        <v/>
      </c>
      <c r="Y52" s="50">
        <f>ROUND($B$6*$B$10*$B$12*$B$16*$B$18*$B$19*$B$22,0)</f>
        <v/>
      </c>
      <c r="Z52" s="50">
        <f>ROUND($B$6*$B$10*$B$12*$B$16*$B$18*$B$20*$B$21,0)</f>
        <v/>
      </c>
      <c r="AA52" s="50">
        <f>ROUND($B$6*$B$10*$B$12*$B$16*$B$18*$B$20*$B$22,0)</f>
        <v/>
      </c>
    </row>
    <row r="53" ht="20.1" customHeight="1" s="62">
      <c r="A53" s="104" t="n"/>
      <c r="B53" s="101" t="inlineStr">
        <is>
          <t>Serveur / infra</t>
        </is>
      </c>
      <c r="C53" s="49" t="inlineStr">
        <is>
          <t>Criticité faible</t>
        </is>
      </c>
      <c r="D53" s="50">
        <f>ROUND($B$4*$B$10*$B$13*$B$14*$B$17*$B$19*$B$21,0)</f>
        <v/>
      </c>
      <c r="E53" s="50">
        <f>ROUND($B$4*$B$10*$B$13*$B$14*$B$17*$B$19*$B$22,0)</f>
        <v/>
      </c>
      <c r="F53" s="50">
        <f>ROUND($B$4*$B$10*$B$13*$B$14*$B$17*$B$20*$B$21,0)</f>
        <v/>
      </c>
      <c r="G53" s="50">
        <f>ROUND($B$4*$B$10*$B$13*$B$14*$B$17*$B$20*$B$22,0)</f>
        <v/>
      </c>
      <c r="H53" s="50">
        <f>ROUND($B$4*$B$10*$B$13*$B$14*$B$18*$B$19*$B$21,0)</f>
        <v/>
      </c>
      <c r="I53" s="50">
        <f>ROUND($B$4*$B$10*$B$13*$B$14*$B$18*$B$19*$B$22,0)</f>
        <v/>
      </c>
      <c r="J53" s="50">
        <f>ROUND($B$4*$B$10*$B$13*$B$14*$B$18*$B$20*$B$21,0)</f>
        <v/>
      </c>
      <c r="K53" s="50">
        <f>ROUND($B$4*$B$10*$B$13*$B$14*$B$18*$B$20*$B$22,0)</f>
        <v/>
      </c>
      <c r="L53" s="50">
        <f>ROUND($B$5*$B$10*$B$13*$B$14*$B$17*$B$19*$B$21,0)</f>
        <v/>
      </c>
      <c r="M53" s="50">
        <f>ROUND($B$5*$B$10*$B$13*$B$14*$B$17*$B$19*$B$22,0)</f>
        <v/>
      </c>
      <c r="N53" s="50">
        <f>ROUND($B$5*$B$10*$B$13*$B$14*$B$17*$B$20*$B$21,0)</f>
        <v/>
      </c>
      <c r="O53" s="50">
        <f>ROUND($B$5*$B$10*$B$13*$B$14*$B$17*$B$20*$B$22,0)</f>
        <v/>
      </c>
      <c r="P53" s="50">
        <f>ROUND($B$5*$B$10*$B$13*$B$14*$B$18*$B$19*$B$21,0)</f>
        <v/>
      </c>
      <c r="Q53" s="50">
        <f>ROUND($B$5*$B$10*$B$13*$B$14*$B$18*$B$19*$B$22,0)</f>
        <v/>
      </c>
      <c r="R53" s="50">
        <f>ROUND($B$5*$B$10*$B$13*$B$14*$B$18*$B$20*$B$21,0)</f>
        <v/>
      </c>
      <c r="S53" s="50">
        <f>ROUND($B$5*$B$10*$B$13*$B$14*$B$18*$B$20*$B$22,0)</f>
        <v/>
      </c>
      <c r="T53" s="50">
        <f>ROUND($B$6*$B$10*$B$13*$B$14*$B$17*$B$19*$B$21,0)</f>
        <v/>
      </c>
      <c r="U53" s="50">
        <f>ROUND($B$6*$B$10*$B$13*$B$14*$B$17*$B$19*$B$22,0)</f>
        <v/>
      </c>
      <c r="V53" s="50">
        <f>ROUND($B$6*$B$10*$B$13*$B$14*$B$17*$B$20*$B$21,0)</f>
        <v/>
      </c>
      <c r="W53" s="50">
        <f>ROUND($B$6*$B$10*$B$13*$B$14*$B$17*$B$20*$B$22,0)</f>
        <v/>
      </c>
      <c r="X53" s="50">
        <f>ROUND($B$6*$B$10*$B$13*$B$14*$B$18*$B$19*$B$21,0)</f>
        <v/>
      </c>
      <c r="Y53" s="50">
        <f>ROUND($B$6*$B$10*$B$13*$B$14*$B$18*$B$19*$B$22,0)</f>
        <v/>
      </c>
      <c r="Z53" s="50">
        <f>ROUND($B$6*$B$10*$B$13*$B$14*$B$18*$B$20*$B$21,0)</f>
        <v/>
      </c>
      <c r="AA53" s="50">
        <f>ROUND($B$6*$B$10*$B$13*$B$14*$B$18*$B$20*$B$22,0)</f>
        <v/>
      </c>
    </row>
    <row r="54" ht="20.1" customHeight="1" s="62">
      <c r="A54" s="104" t="n"/>
      <c r="B54" s="58" t="n"/>
      <c r="C54" s="101" t="inlineStr">
        <is>
          <t>Criticité modérée</t>
        </is>
      </c>
      <c r="D54" s="50">
        <f>ROUND($B$4*$B$10*$B$13*$B$15*$B$17*$B$19*$B$21,0)</f>
        <v/>
      </c>
      <c r="E54" s="50">
        <f>ROUND($B$4*$B$10*$B$13*$B$15*$B$17*$B$19*$B$22,0)</f>
        <v/>
      </c>
      <c r="F54" s="50">
        <f>ROUND($B$4*$B$10*$B$13*$B$15*$B$17*$B$20*$B$21,0)</f>
        <v/>
      </c>
      <c r="G54" s="50">
        <f>ROUND($B$4*$B$10*$B$13*$B$15*$B$17*$B$20*$B$22,0)</f>
        <v/>
      </c>
      <c r="H54" s="50">
        <f>ROUND($B$4*$B$10*$B$13*$B$15*$B$18*$B$19*$B$21,0)</f>
        <v/>
      </c>
      <c r="I54" s="50">
        <f>ROUND($B$4*$B$10*$B$13*$B$15*$B$18*$B$19*$B$22,0)</f>
        <v/>
      </c>
      <c r="J54" s="50">
        <f>ROUND($B$4*$B$10*$B$13*$B$15*$B$18*$B$20*$B$21,0)</f>
        <v/>
      </c>
      <c r="K54" s="50">
        <f>ROUND($B$4*$B$10*$B$13*$B$15*$B$18*$B$20*$B$22,0)</f>
        <v/>
      </c>
      <c r="L54" s="50">
        <f>ROUND($B$5*$B$10*$B$13*$B$15*$B$17*$B$19*$B$21,0)</f>
        <v/>
      </c>
      <c r="M54" s="50">
        <f>ROUND($B$5*$B$10*$B$13*$B$15*$B$17*$B$19*$B$22,0)</f>
        <v/>
      </c>
      <c r="N54" s="50">
        <f>ROUND($B$5*$B$10*$B$13*$B$15*$B$17*$B$20*$B$21,0)</f>
        <v/>
      </c>
      <c r="O54" s="50">
        <f>ROUND($B$5*$B$10*$B$13*$B$15*$B$17*$B$20*$B$22,0)</f>
        <v/>
      </c>
      <c r="P54" s="50">
        <f>ROUND($B$5*$B$10*$B$13*$B$15*$B$18*$B$19*$B$21,0)</f>
        <v/>
      </c>
      <c r="Q54" s="50">
        <f>ROUND($B$5*$B$10*$B$13*$B$15*$B$18*$B$19*$B$22,0)</f>
        <v/>
      </c>
      <c r="R54" s="50">
        <f>ROUND($B$5*$B$10*$B$13*$B$15*$B$18*$B$20*$B$21,0)</f>
        <v/>
      </c>
      <c r="S54" s="50">
        <f>ROUND($B$5*$B$10*$B$13*$B$15*$B$18*$B$20*$B$22,0)</f>
        <v/>
      </c>
      <c r="T54" s="50">
        <f>ROUND($B$6*$B$10*$B$13*$B$15*$B$17*$B$19*$B$21,0)</f>
        <v/>
      </c>
      <c r="U54" s="50">
        <f>ROUND($B$6*$B$10*$B$13*$B$15*$B$17*$B$19*$B$22,0)</f>
        <v/>
      </c>
      <c r="V54" s="50">
        <f>ROUND($B$6*$B$10*$B$13*$B$15*$B$17*$B$20*$B$21,0)</f>
        <v/>
      </c>
      <c r="W54" s="50">
        <f>ROUND($B$6*$B$10*$B$13*$B$15*$B$17*$B$20*$B$22,0)</f>
        <v/>
      </c>
      <c r="X54" s="50">
        <f>ROUND($B$6*$B$10*$B$13*$B$15*$B$18*$B$19*$B$21,0)</f>
        <v/>
      </c>
      <c r="Y54" s="50">
        <f>ROUND($B$6*$B$10*$B$13*$B$15*$B$18*$B$19*$B$22,0)</f>
        <v/>
      </c>
      <c r="Z54" s="50">
        <f>ROUND($B$6*$B$10*$B$13*$B$15*$B$18*$B$20*$B$21,0)</f>
        <v/>
      </c>
      <c r="AA54" s="50">
        <f>ROUND($B$6*$B$10*$B$13*$B$15*$B$18*$B$20*$B$22,0)</f>
        <v/>
      </c>
    </row>
    <row r="55" ht="20.1" customHeight="1" s="62">
      <c r="A55" s="105" t="n"/>
      <c r="B55" s="59" t="n"/>
      <c r="C55" s="51" t="inlineStr">
        <is>
          <t>Criticité critique</t>
        </is>
      </c>
      <c r="D55" s="50">
        <f>ROUND($B$4*$B$10*$B$13*$B$16*$B$17*$B$19*$B$21,0)</f>
        <v/>
      </c>
      <c r="E55" s="50">
        <f>ROUND($B$4*$B$10*$B$13*$B$16*$B$17*$B$19*$B$22,0)</f>
        <v/>
      </c>
      <c r="F55" s="50">
        <f>ROUND($B$4*$B$10*$B$13*$B$16*$B$17*$B$20*$B$21,0)</f>
        <v/>
      </c>
      <c r="G55" s="50">
        <f>ROUND($B$4*$B$10*$B$13*$B$16*$B$17*$B$20*$B$22,0)</f>
        <v/>
      </c>
      <c r="H55" s="50">
        <f>ROUND($B$4*$B$10*$B$13*$B$16*$B$18*$B$19*$B$21,0)</f>
        <v/>
      </c>
      <c r="I55" s="50">
        <f>ROUND($B$4*$B$10*$B$13*$B$16*$B$18*$B$19*$B$22,0)</f>
        <v/>
      </c>
      <c r="J55" s="50">
        <f>ROUND($B$4*$B$10*$B$13*$B$16*$B$18*$B$20*$B$21,0)</f>
        <v/>
      </c>
      <c r="K55" s="50">
        <f>ROUND($B$4*$B$10*$B$13*$B$16*$B$18*$B$20*$B$22,0)</f>
        <v/>
      </c>
      <c r="L55" s="50">
        <f>ROUND($B$5*$B$10*$B$13*$B$16*$B$17*$B$19*$B$21,0)</f>
        <v/>
      </c>
      <c r="M55" s="50">
        <f>ROUND($B$5*$B$10*$B$13*$B$16*$B$17*$B$19*$B$22,0)</f>
        <v/>
      </c>
      <c r="N55" s="50">
        <f>ROUND($B$5*$B$10*$B$13*$B$16*$B$17*$B$20*$B$21,0)</f>
        <v/>
      </c>
      <c r="O55" s="50">
        <f>ROUND($B$5*$B$10*$B$13*$B$16*$B$17*$B$20*$B$22,0)</f>
        <v/>
      </c>
      <c r="P55" s="50">
        <f>ROUND($B$5*$B$10*$B$13*$B$16*$B$18*$B$19*$B$21,0)</f>
        <v/>
      </c>
      <c r="Q55" s="50">
        <f>ROUND($B$5*$B$10*$B$13*$B$16*$B$18*$B$19*$B$22,0)</f>
        <v/>
      </c>
      <c r="R55" s="50">
        <f>ROUND($B$5*$B$10*$B$13*$B$16*$B$18*$B$20*$B$21,0)</f>
        <v/>
      </c>
      <c r="S55" s="50">
        <f>ROUND($B$5*$B$10*$B$13*$B$16*$B$18*$B$20*$B$22,0)</f>
        <v/>
      </c>
      <c r="T55" s="50">
        <f>ROUND($B$6*$B$10*$B$13*$B$16*$B$17*$B$19*$B$21,0)</f>
        <v/>
      </c>
      <c r="U55" s="50">
        <f>ROUND($B$6*$B$10*$B$13*$B$16*$B$17*$B$19*$B$22,0)</f>
        <v/>
      </c>
      <c r="V55" s="50">
        <f>ROUND($B$6*$B$10*$B$13*$B$16*$B$17*$B$20*$B$21,0)</f>
        <v/>
      </c>
      <c r="W55" s="50">
        <f>ROUND($B$6*$B$10*$B$13*$B$16*$B$17*$B$20*$B$22,0)</f>
        <v/>
      </c>
      <c r="X55" s="50">
        <f>ROUND($B$6*$B$10*$B$13*$B$16*$B$18*$B$19*$B$21,0)</f>
        <v/>
      </c>
      <c r="Y55" s="50">
        <f>ROUND($B$6*$B$10*$B$13*$B$16*$B$18*$B$19*$B$22,0)</f>
        <v/>
      </c>
      <c r="Z55" s="50">
        <f>ROUND($B$6*$B$10*$B$13*$B$16*$B$18*$B$20*$B$21,0)</f>
        <v/>
      </c>
      <c r="AA55" s="50">
        <f>ROUND($B$6*$B$10*$B$13*$B$16*$B$18*$B$20*$B$22,0)</f>
        <v/>
      </c>
    </row>
  </sheetData>
  <mergeCells count="41">
    <mergeCell ref="B53:B55"/>
    <mergeCell ref="X26:AA26"/>
    <mergeCell ref="A7:AA7"/>
    <mergeCell ref="Z27:AA27"/>
    <mergeCell ref="A25:A28"/>
    <mergeCell ref="D26:G26"/>
    <mergeCell ref="A3:AA3"/>
    <mergeCell ref="B35:B37"/>
    <mergeCell ref="H26:K26"/>
    <mergeCell ref="C25:C28"/>
    <mergeCell ref="D27:E27"/>
    <mergeCell ref="T25:AA25"/>
    <mergeCell ref="A2:AA2"/>
    <mergeCell ref="P26:S26"/>
    <mergeCell ref="N27:O27"/>
    <mergeCell ref="A29:A37"/>
    <mergeCell ref="J27:K27"/>
    <mergeCell ref="P27:Q27"/>
    <mergeCell ref="B41:B43"/>
    <mergeCell ref="B47:B49"/>
    <mergeCell ref="R27:S27"/>
    <mergeCell ref="B32:B34"/>
    <mergeCell ref="A23:AA23"/>
    <mergeCell ref="B50:B52"/>
    <mergeCell ref="A47:A55"/>
    <mergeCell ref="A38:A46"/>
    <mergeCell ref="V27:W27"/>
    <mergeCell ref="L25:S25"/>
    <mergeCell ref="F27:G27"/>
    <mergeCell ref="H27:I27"/>
    <mergeCell ref="D25:K25"/>
    <mergeCell ref="L26:O26"/>
    <mergeCell ref="B44:B46"/>
    <mergeCell ref="T26:W26"/>
    <mergeCell ref="B29:B31"/>
    <mergeCell ref="L27:M27"/>
    <mergeCell ref="B38:B40"/>
    <mergeCell ref="B25:B28"/>
    <mergeCell ref="T27:U27"/>
    <mergeCell ref="A1:AA1"/>
    <mergeCell ref="X27:Y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1C3557"/>
    <outlinePr summaryBelow="1" summaryRight="1"/>
    <pageSetUpPr/>
  </sheetPr>
  <dimension ref="A1:AM56"/>
  <sheetViews>
    <sheetView workbookViewId="0">
      <pane xSplit="3" topLeftCell="D1" activePane="topRight" state="frozen"/>
      <selection pane="topRight" activeCell="B20" sqref="B20"/>
    </sheetView>
  </sheetViews>
  <sheetFormatPr baseColWidth="10" defaultColWidth="9.140625" defaultRowHeight="15"/>
  <cols>
    <col width="22" customWidth="1" style="62" min="1" max="2"/>
    <col width="20" customWidth="1" style="62" min="3" max="3"/>
    <col width="13" customWidth="1" style="62" min="4" max="39"/>
  </cols>
  <sheetData>
    <row r="1" ht="33.95" customHeight="1" s="62">
      <c r="A1" s="97" t="inlineStr">
        <is>
          <t>GRILLE TARIFAIRE — Infogérance / Gestion serveurs</t>
        </is>
      </c>
    </row>
    <row r="2" ht="26.1" customHeight="1" s="62">
      <c r="A2" s="107" t="inlineStr">
        <is>
          <t>⚙  ZONE DE PARAMÉTRAGE — Remplissez uniquement les cases jaunes. Le tableau se calcule automatiquement.</t>
        </is>
      </c>
    </row>
    <row r="3" ht="21.95" customHeight="1" s="62">
      <c r="A3" s="106" t="inlineStr">
        <is>
          <t>TARIFS DE BASE  —  Par niveau de prestation</t>
        </is>
      </c>
    </row>
    <row r="4" ht="21.95" customHeight="1" s="62">
      <c r="A4" s="43" t="inlineStr">
        <is>
          <t>Tarif de base — Infogérance simple</t>
        </is>
      </c>
      <c r="B4" s="52" t="n">
        <v>500</v>
      </c>
      <c r="C4" s="45" t="inlineStr">
        <is>
          <t>Fourchette : 200 – 800 €/mois</t>
        </is>
      </c>
    </row>
    <row r="5" ht="21.95" customHeight="1" s="62">
      <c r="A5" s="43" t="inlineStr">
        <is>
          <t>Tarif de base — Infogérance standard</t>
        </is>
      </c>
      <c r="B5" s="52" t="n">
        <v>1400</v>
      </c>
      <c r="C5" s="45" t="inlineStr">
        <is>
          <t>Fourchette : 800 – 2 000 €/mois</t>
        </is>
      </c>
    </row>
    <row r="6" ht="21.95" customHeight="1" s="62">
      <c r="A6" s="43" t="inlineStr">
        <is>
          <t>Tarif de base — Infogérance avancée</t>
        </is>
      </c>
      <c r="B6" s="52" t="n">
        <v>3500</v>
      </c>
      <c r="C6" s="45" t="inlineStr">
        <is>
          <t>Fourchette : 2 000 – 5 000 €/mois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serveurs — 1 serveur</t>
        </is>
      </c>
      <c r="B8" s="46" t="n">
        <v>0.9</v>
      </c>
      <c r="C8" s="47" t="inlineStr">
        <is>
          <t>Périmètre minimal</t>
        </is>
      </c>
    </row>
    <row r="9" ht="20.1" customHeight="1" s="62">
      <c r="A9" s="19" t="inlineStr">
        <is>
          <t>Coeff. serveurs — 2-5 serveurs</t>
        </is>
      </c>
      <c r="B9" s="46" t="n">
        <v>1</v>
      </c>
      <c r="C9" s="47" t="inlineStr">
        <is>
          <t>Référence</t>
        </is>
      </c>
    </row>
    <row r="10" ht="20.1" customHeight="1" s="62">
      <c r="A10" s="19" t="inlineStr">
        <is>
          <t>Coeff. serveurs — 6+ serveurs</t>
        </is>
      </c>
      <c r="B10" s="46" t="n">
        <v>1.55</v>
      </c>
      <c r="C10" s="47" t="inlineStr">
        <is>
          <t>Infrastructure large</t>
        </is>
      </c>
    </row>
    <row r="11" ht="20.1" customHeight="1" s="62">
      <c r="A11" s="19" t="inlineStr">
        <is>
          <t>Coeff. infra — Mutualisée</t>
        </is>
      </c>
      <c r="B11" s="46" t="n">
        <v>0.9</v>
      </c>
      <c r="C11" s="47" t="inlineStr">
        <is>
          <t>Ressources partagées</t>
        </is>
      </c>
    </row>
    <row r="12" ht="20.1" customHeight="1" s="62">
      <c r="A12" s="19" t="inlineStr">
        <is>
          <t>Coeff. infra — Dédiée</t>
        </is>
      </c>
      <c r="B12" s="46" t="n">
        <v>1</v>
      </c>
      <c r="C12" s="47" t="inlineStr">
        <is>
          <t>Référence</t>
        </is>
      </c>
    </row>
    <row r="13" ht="20.1" customHeight="1" s="62">
      <c r="A13" s="19" t="inlineStr">
        <is>
          <t>Coeff. infra — Cloud / Hybride</t>
        </is>
      </c>
      <c r="B13" s="46" t="n">
        <v>1.3</v>
      </c>
      <c r="C13" s="47" t="inlineStr">
        <is>
          <t>Gestion multi-environnements</t>
        </is>
      </c>
    </row>
    <row r="14" ht="20.1" customHeight="1" s="62">
      <c r="A14" s="19" t="inlineStr">
        <is>
          <t>Coeff. sécurité — Standard</t>
        </is>
      </c>
      <c r="B14" s="46" t="n">
        <v>1</v>
      </c>
      <c r="C14" s="47" t="inlineStr">
        <is>
          <t>Référence</t>
        </is>
      </c>
    </row>
    <row r="15" ht="20.1" customHeight="1" s="62">
      <c r="A15" s="19" t="inlineStr">
        <is>
          <t>Coeff. sécurité — Renforcée</t>
        </is>
      </c>
      <c r="B15" s="46" t="n">
        <v>1.3</v>
      </c>
      <c r="C15" s="47" t="inlineStr">
        <is>
          <t>Chiffrement, accès restreints</t>
        </is>
      </c>
    </row>
    <row r="16" ht="20.1" customHeight="1" s="62">
      <c r="A16" s="19" t="inlineStr">
        <is>
          <t>Coeff. sécurité — Critique (santé, fin.)</t>
        </is>
      </c>
      <c r="B16" s="46" t="n">
        <v>1.6</v>
      </c>
      <c r="C16" s="47" t="inlineStr">
        <is>
          <t>Conformité réglementaire stricte</t>
        </is>
      </c>
    </row>
    <row r="17" ht="20.1" customHeight="1" s="62">
      <c r="A17" s="19" t="inlineStr">
        <is>
          <t>Coeff. dispo — Heures ouvrées</t>
        </is>
      </c>
      <c r="B17" s="46" t="n">
        <v>1</v>
      </c>
      <c r="C17" s="47" t="inlineStr">
        <is>
          <t>Référence</t>
        </is>
      </c>
    </row>
    <row r="18" ht="20.1" customHeight="1" s="62">
      <c r="A18" s="19" t="inlineStr">
        <is>
          <t>Coeff. dispo — 24/7</t>
        </is>
      </c>
      <c r="B18" s="46" t="n">
        <v>1.45</v>
      </c>
      <c r="C18" s="47" t="inlineStr">
        <is>
          <t>Astreinte permanente</t>
        </is>
      </c>
    </row>
    <row r="19" ht="20.1" customHeight="1" s="62">
      <c r="A19" s="19" t="inlineStr">
        <is>
          <t>Coeff. applis — 1-3 applis</t>
        </is>
      </c>
      <c r="B19" s="46" t="n">
        <v>0.9</v>
      </c>
      <c r="C19" s="47" t="inlineStr">
        <is>
          <t>Périmètre réduit</t>
        </is>
      </c>
    </row>
    <row r="20" ht="20.1" customHeight="1" s="62">
      <c r="A20" s="19" t="inlineStr">
        <is>
          <t>Coeff. applis — 4-10 applis</t>
        </is>
      </c>
      <c r="B20" s="46" t="n">
        <v>1</v>
      </c>
      <c r="C20" s="47" t="inlineStr">
        <is>
          <t>Référence</t>
        </is>
      </c>
    </row>
    <row r="21" ht="20.1" customHeight="1" s="62">
      <c r="A21" s="19" t="inlineStr">
        <is>
          <t>Coeff. applis — 11+ applis</t>
        </is>
      </c>
      <c r="B21" s="46" t="n">
        <v>1.4</v>
      </c>
      <c r="C21" s="47" t="inlineStr">
        <is>
          <t>Écosystème applicatif dense</t>
        </is>
      </c>
    </row>
    <row r="22" ht="20.1" customHeight="1" s="62">
      <c r="A22" s="19" t="inlineStr">
        <is>
          <t>Coeff. monitoring — Standard</t>
        </is>
      </c>
      <c r="B22" s="46" t="n">
        <v>1</v>
      </c>
      <c r="C22" s="47" t="inlineStr">
        <is>
          <t>Référence</t>
        </is>
      </c>
    </row>
    <row r="23" ht="20.1" customHeight="1" s="62">
      <c r="A23" s="19" t="inlineStr">
        <is>
          <t>Coeff. monitoring — Avancé (alertes)</t>
        </is>
      </c>
      <c r="B23" s="46" t="n">
        <v>1.3</v>
      </c>
      <c r="C23" s="47" t="inlineStr">
        <is>
          <t>Monitoring proactif</t>
        </is>
      </c>
    </row>
    <row r="24" ht="24" customHeight="1" s="62">
      <c r="A24" s="102" t="inlineStr">
        <is>
          <t>▼  GRILLE TARIFAIRE CALCULÉE AUTOMATIQUEMENT  — Les cellules bleues sont en lecture seule (formules).</t>
        </is>
      </c>
    </row>
    <row r="25" ht="6" customHeight="1" s="62"/>
    <row r="26" ht="38.1" customHeight="1" s="62">
      <c r="A26" s="100" t="inlineStr">
        <is>
          <t>Nombre de serveurs</t>
        </is>
      </c>
      <c r="B26" s="99" t="inlineStr">
        <is>
          <t>Type d'infrastructure</t>
        </is>
      </c>
      <c r="C26" s="98" t="inlineStr">
        <is>
          <t>Niveau de sécurité</t>
        </is>
      </c>
      <c r="D26" s="100" t="inlineStr">
        <is>
          <t>Infogérance simple</t>
        </is>
      </c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6" t="n"/>
      <c r="P26" s="100" t="inlineStr">
        <is>
          <t>Infogérance standard</t>
        </is>
      </c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6" t="n"/>
      <c r="AB26" s="100" t="inlineStr">
        <is>
          <t>Infogérance avancée</t>
        </is>
      </c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6" t="n"/>
    </row>
    <row r="27" ht="38.1" customHeight="1" s="62">
      <c r="A27" s="64" t="n"/>
      <c r="B27" s="64" t="n"/>
      <c r="C27" s="64" t="n"/>
      <c r="D27" s="99" t="inlineStr">
        <is>
          <t>Heures ouvrées</t>
        </is>
      </c>
      <c r="E27" s="55" t="n"/>
      <c r="F27" s="55" t="n"/>
      <c r="G27" s="55" t="n"/>
      <c r="H27" s="55" t="n"/>
      <c r="I27" s="56" t="n"/>
      <c r="J27" s="99" t="inlineStr">
        <is>
          <t>24/7</t>
        </is>
      </c>
      <c r="K27" s="55" t="n"/>
      <c r="L27" s="55" t="n"/>
      <c r="M27" s="55" t="n"/>
      <c r="N27" s="55" t="n"/>
      <c r="O27" s="56" t="n"/>
      <c r="P27" s="99" t="inlineStr">
        <is>
          <t>Heures ouvrées</t>
        </is>
      </c>
      <c r="Q27" s="55" t="n"/>
      <c r="R27" s="55" t="n"/>
      <c r="S27" s="55" t="n"/>
      <c r="T27" s="55" t="n"/>
      <c r="U27" s="56" t="n"/>
      <c r="V27" s="99" t="inlineStr">
        <is>
          <t>24/7</t>
        </is>
      </c>
      <c r="W27" s="55" t="n"/>
      <c r="X27" s="55" t="n"/>
      <c r="Y27" s="55" t="n"/>
      <c r="Z27" s="55" t="n"/>
      <c r="AA27" s="56" t="n"/>
      <c r="AB27" s="99" t="inlineStr">
        <is>
          <t>Heures ouvrées</t>
        </is>
      </c>
      <c r="AC27" s="55" t="n"/>
      <c r="AD27" s="55" t="n"/>
      <c r="AE27" s="55" t="n"/>
      <c r="AF27" s="55" t="n"/>
      <c r="AG27" s="56" t="n"/>
      <c r="AH27" s="99" t="inlineStr">
        <is>
          <t>24/7</t>
        </is>
      </c>
      <c r="AI27" s="55" t="n"/>
      <c r="AJ27" s="55" t="n"/>
      <c r="AK27" s="55" t="n"/>
      <c r="AL27" s="55" t="n"/>
      <c r="AM27" s="56" t="n"/>
    </row>
    <row r="28" ht="38.1" customHeight="1" s="62">
      <c r="A28" s="64" t="n"/>
      <c r="B28" s="64" t="n"/>
      <c r="C28" s="64" t="n"/>
      <c r="D28" s="98" t="inlineStr">
        <is>
          <t>1-3 applis</t>
        </is>
      </c>
      <c r="E28" s="56" t="n"/>
      <c r="F28" s="98" t="inlineStr">
        <is>
          <t>4-10 applis</t>
        </is>
      </c>
      <c r="G28" s="56" t="n"/>
      <c r="H28" s="98" t="inlineStr">
        <is>
          <t>11+ applis</t>
        </is>
      </c>
      <c r="I28" s="56" t="n"/>
      <c r="J28" s="98" t="inlineStr">
        <is>
          <t>1-3 applis</t>
        </is>
      </c>
      <c r="K28" s="56" t="n"/>
      <c r="L28" s="98" t="inlineStr">
        <is>
          <t>4-10 applis</t>
        </is>
      </c>
      <c r="M28" s="56" t="n"/>
      <c r="N28" s="98" t="inlineStr">
        <is>
          <t>11+ applis</t>
        </is>
      </c>
      <c r="O28" s="56" t="n"/>
      <c r="P28" s="98" t="inlineStr">
        <is>
          <t>1-3 applis</t>
        </is>
      </c>
      <c r="Q28" s="56" t="n"/>
      <c r="R28" s="98" t="inlineStr">
        <is>
          <t>4-10 applis</t>
        </is>
      </c>
      <c r="S28" s="56" t="n"/>
      <c r="T28" s="98" t="inlineStr">
        <is>
          <t>11+ applis</t>
        </is>
      </c>
      <c r="U28" s="56" t="n"/>
      <c r="V28" s="98" t="inlineStr">
        <is>
          <t>1-3 applis</t>
        </is>
      </c>
      <c r="W28" s="56" t="n"/>
      <c r="X28" s="98" t="inlineStr">
        <is>
          <t>4-10 applis</t>
        </is>
      </c>
      <c r="Y28" s="56" t="n"/>
      <c r="Z28" s="98" t="inlineStr">
        <is>
          <t>11+ applis</t>
        </is>
      </c>
      <c r="AA28" s="56" t="n"/>
      <c r="AB28" s="98" t="inlineStr">
        <is>
          <t>1-3 applis</t>
        </is>
      </c>
      <c r="AC28" s="56" t="n"/>
      <c r="AD28" s="98" t="inlineStr">
        <is>
          <t>4-10 applis</t>
        </is>
      </c>
      <c r="AE28" s="56" t="n"/>
      <c r="AF28" s="98" t="inlineStr">
        <is>
          <t>11+ applis</t>
        </is>
      </c>
      <c r="AG28" s="56" t="n"/>
      <c r="AH28" s="98" t="inlineStr">
        <is>
          <t>1-3 applis</t>
        </is>
      </c>
      <c r="AI28" s="56" t="n"/>
      <c r="AJ28" s="98" t="inlineStr">
        <is>
          <t>4-10 applis</t>
        </is>
      </c>
      <c r="AK28" s="56" t="n"/>
      <c r="AL28" s="98" t="inlineStr">
        <is>
          <t>11+ applis</t>
        </is>
      </c>
      <c r="AM28" s="56" t="n"/>
    </row>
    <row r="29" ht="38.1" customHeight="1" s="62">
      <c r="A29" s="65" t="n"/>
      <c r="B29" s="65" t="n"/>
      <c r="C29" s="65" t="n"/>
      <c r="D29" s="22" t="inlineStr">
        <is>
          <t>Monitoring standard</t>
        </is>
      </c>
      <c r="E29" s="22" t="inlineStr">
        <is>
          <t>Monitoring avancé</t>
        </is>
      </c>
      <c r="F29" s="22" t="inlineStr">
        <is>
          <t>Monitoring standard</t>
        </is>
      </c>
      <c r="G29" s="22" t="inlineStr">
        <is>
          <t>Monitoring avancé</t>
        </is>
      </c>
      <c r="H29" s="22" t="inlineStr">
        <is>
          <t>Monitoring standard</t>
        </is>
      </c>
      <c r="I29" s="22" t="inlineStr">
        <is>
          <t>Monitoring avancé</t>
        </is>
      </c>
      <c r="J29" s="22" t="inlineStr">
        <is>
          <t>Monitoring standard</t>
        </is>
      </c>
      <c r="K29" s="22" t="inlineStr">
        <is>
          <t>Monitoring avancé</t>
        </is>
      </c>
      <c r="L29" s="22" t="inlineStr">
        <is>
          <t>Monitoring standard</t>
        </is>
      </c>
      <c r="M29" s="22" t="inlineStr">
        <is>
          <t>Monitoring avancé</t>
        </is>
      </c>
      <c r="N29" s="22" t="inlineStr">
        <is>
          <t>Monitoring standard</t>
        </is>
      </c>
      <c r="O29" s="22" t="inlineStr">
        <is>
          <t>Monitoring avancé</t>
        </is>
      </c>
      <c r="P29" s="22" t="inlineStr">
        <is>
          <t>Monitoring standard</t>
        </is>
      </c>
      <c r="Q29" s="22" t="inlineStr">
        <is>
          <t>Monitoring avancé</t>
        </is>
      </c>
      <c r="R29" s="22" t="inlineStr">
        <is>
          <t>Monitoring standard</t>
        </is>
      </c>
      <c r="S29" s="22" t="inlineStr">
        <is>
          <t>Monitoring avancé</t>
        </is>
      </c>
      <c r="T29" s="22" t="inlineStr">
        <is>
          <t>Monitoring standard</t>
        </is>
      </c>
      <c r="U29" s="22" t="inlineStr">
        <is>
          <t>Monitoring avancé</t>
        </is>
      </c>
      <c r="V29" s="22" t="inlineStr">
        <is>
          <t>Monitoring standard</t>
        </is>
      </c>
      <c r="W29" s="22" t="inlineStr">
        <is>
          <t>Monitoring avancé</t>
        </is>
      </c>
      <c r="X29" s="22" t="inlineStr">
        <is>
          <t>Monitoring standard</t>
        </is>
      </c>
      <c r="Y29" s="22" t="inlineStr">
        <is>
          <t>Monitoring avancé</t>
        </is>
      </c>
      <c r="Z29" s="22" t="inlineStr">
        <is>
          <t>Monitoring standard</t>
        </is>
      </c>
      <c r="AA29" s="22" t="inlineStr">
        <is>
          <t>Monitoring avancé</t>
        </is>
      </c>
      <c r="AB29" s="22" t="inlineStr">
        <is>
          <t>Monitoring standard</t>
        </is>
      </c>
      <c r="AC29" s="22" t="inlineStr">
        <is>
          <t>Monitoring avancé</t>
        </is>
      </c>
      <c r="AD29" s="22" t="inlineStr">
        <is>
          <t>Monitoring standard</t>
        </is>
      </c>
      <c r="AE29" s="22" t="inlineStr">
        <is>
          <t>Monitoring avancé</t>
        </is>
      </c>
      <c r="AF29" s="22" t="inlineStr">
        <is>
          <t>Monitoring standard</t>
        </is>
      </c>
      <c r="AG29" s="22" t="inlineStr">
        <is>
          <t>Monitoring avancé</t>
        </is>
      </c>
      <c r="AH29" s="22" t="inlineStr">
        <is>
          <t>Monitoring standard</t>
        </is>
      </c>
      <c r="AI29" s="22" t="inlineStr">
        <is>
          <t>Monitoring avancé</t>
        </is>
      </c>
      <c r="AJ29" s="22" t="inlineStr">
        <is>
          <t>Monitoring standard</t>
        </is>
      </c>
      <c r="AK29" s="22" t="inlineStr">
        <is>
          <t>Monitoring avancé</t>
        </is>
      </c>
      <c r="AL29" s="22" t="inlineStr">
        <is>
          <t>Monitoring standard</t>
        </is>
      </c>
      <c r="AM29" s="22" t="inlineStr">
        <is>
          <t>Monitoring avancé</t>
        </is>
      </c>
    </row>
    <row r="30" ht="20.1" customHeight="1" s="62">
      <c r="A30" s="103" t="inlineStr">
        <is>
          <t>1 serveur</t>
        </is>
      </c>
      <c r="B30" s="101" t="inlineStr">
        <is>
          <t>Infrastructure mutualisée</t>
        </is>
      </c>
      <c r="C30" s="49" t="inlineStr">
        <is>
          <t>Sécurité standard</t>
        </is>
      </c>
      <c r="D30" s="53">
        <f>ROUND($B$4*$B$8*$B$11*$B$14*$B$17*$B$19*$B$22,0)</f>
        <v/>
      </c>
      <c r="E30" s="53">
        <f>ROUND($B$4*$B$8*$B$11*$B$14*$B$17*$B$19*$B$23,0)</f>
        <v/>
      </c>
      <c r="F30" s="53">
        <f>ROUND($B$4*$B$8*$B$11*$B$14*$B$17*$B$20*$B$22,0)</f>
        <v/>
      </c>
      <c r="G30" s="53">
        <f>ROUND($B$4*$B$8*$B$11*$B$14*$B$17*$B$20*$B$23,0)</f>
        <v/>
      </c>
      <c r="H30" s="53">
        <f>ROUND($B$4*$B$8*$B$11*$B$14*$B$17*$B$21*$B$22,0)</f>
        <v/>
      </c>
      <c r="I30" s="53">
        <f>ROUND($B$4*$B$8*$B$11*$B$14*$B$17*$B$21*$B$23,0)</f>
        <v/>
      </c>
      <c r="J30" s="53">
        <f>ROUND($B$4*$B$8*$B$11*$B$14*$B$18*$B$19*$B$22,0)</f>
        <v/>
      </c>
      <c r="K30" s="53">
        <f>ROUND($B$4*$B$8*$B$11*$B$14*$B$18*$B$19*$B$23,0)</f>
        <v/>
      </c>
      <c r="L30" s="53">
        <f>ROUND($B$4*$B$8*$B$11*$B$14*$B$18*$B$20*$B$22,0)</f>
        <v/>
      </c>
      <c r="M30" s="53">
        <f>ROUND($B$4*$B$8*$B$11*$B$14*$B$18*$B$20*$B$23,0)</f>
        <v/>
      </c>
      <c r="N30" s="53">
        <f>ROUND($B$4*$B$8*$B$11*$B$14*$B$18*$B$21*$B$22,0)</f>
        <v/>
      </c>
      <c r="O30" s="53">
        <f>ROUND($B$4*$B$8*$B$11*$B$14*$B$18*$B$21*$B$23,0)</f>
        <v/>
      </c>
      <c r="P30" s="53">
        <f>ROUND($B$5*$B$8*$B$11*$B$14*$B$17*$B$19*$B$22,0)</f>
        <v/>
      </c>
      <c r="Q30" s="53">
        <f>ROUND($B$5*$B$8*$B$11*$B$14*$B$17*$B$19*$B$23,0)</f>
        <v/>
      </c>
      <c r="R30" s="53">
        <f>ROUND($B$5*$B$8*$B$11*$B$14*$B$17*$B$20*$B$22,0)</f>
        <v/>
      </c>
      <c r="S30" s="53">
        <f>ROUND($B$5*$B$8*$B$11*$B$14*$B$17*$B$20*$B$23,0)</f>
        <v/>
      </c>
      <c r="T30" s="53">
        <f>ROUND($B$5*$B$8*$B$11*$B$14*$B$17*$B$21*$B$22,0)</f>
        <v/>
      </c>
      <c r="U30" s="53">
        <f>ROUND($B$5*$B$8*$B$11*$B$14*$B$17*$B$21*$B$23,0)</f>
        <v/>
      </c>
      <c r="V30" s="53">
        <f>ROUND($B$5*$B$8*$B$11*$B$14*$B$18*$B$19*$B$22,0)</f>
        <v/>
      </c>
      <c r="W30" s="53">
        <f>ROUND($B$5*$B$8*$B$11*$B$14*$B$18*$B$19*$B$23,0)</f>
        <v/>
      </c>
      <c r="X30" s="53">
        <f>ROUND($B$5*$B$8*$B$11*$B$14*$B$18*$B$20*$B$22,0)</f>
        <v/>
      </c>
      <c r="Y30" s="53">
        <f>ROUND($B$5*$B$8*$B$11*$B$14*$B$18*$B$20*$B$23,0)</f>
        <v/>
      </c>
      <c r="Z30" s="53">
        <f>ROUND($B$5*$B$8*$B$11*$B$14*$B$18*$B$21*$B$22,0)</f>
        <v/>
      </c>
      <c r="AA30" s="53">
        <f>ROUND($B$5*$B$8*$B$11*$B$14*$B$18*$B$21*$B$23,0)</f>
        <v/>
      </c>
      <c r="AB30" s="53">
        <f>ROUND($B$6*$B$8*$B$11*$B$14*$B$17*$B$19*$B$22,0)</f>
        <v/>
      </c>
      <c r="AC30" s="53">
        <f>ROUND($B$6*$B$8*$B$11*$B$14*$B$17*$B$19*$B$23,0)</f>
        <v/>
      </c>
      <c r="AD30" s="53">
        <f>ROUND($B$6*$B$8*$B$11*$B$14*$B$17*$B$20*$B$22,0)</f>
        <v/>
      </c>
      <c r="AE30" s="53">
        <f>ROUND($B$6*$B$8*$B$11*$B$14*$B$17*$B$20*$B$23,0)</f>
        <v/>
      </c>
      <c r="AF30" s="53">
        <f>ROUND($B$6*$B$8*$B$11*$B$14*$B$17*$B$21*$B$22,0)</f>
        <v/>
      </c>
      <c r="AG30" s="53">
        <f>ROUND($B$6*$B$8*$B$11*$B$14*$B$17*$B$21*$B$23,0)</f>
        <v/>
      </c>
      <c r="AH30" s="53">
        <f>ROUND($B$6*$B$8*$B$11*$B$14*$B$18*$B$19*$B$22,0)</f>
        <v/>
      </c>
      <c r="AI30" s="53">
        <f>ROUND($B$6*$B$8*$B$11*$B$14*$B$18*$B$19*$B$23,0)</f>
        <v/>
      </c>
      <c r="AJ30" s="53">
        <f>ROUND($B$6*$B$8*$B$11*$B$14*$B$18*$B$20*$B$22,0)</f>
        <v/>
      </c>
      <c r="AK30" s="53">
        <f>ROUND($B$6*$B$8*$B$11*$B$14*$B$18*$B$20*$B$23,0)</f>
        <v/>
      </c>
      <c r="AL30" s="53">
        <f>ROUND($B$6*$B$8*$B$11*$B$14*$B$18*$B$21*$B$22,0)</f>
        <v/>
      </c>
      <c r="AM30" s="53">
        <f>ROUND($B$6*$B$8*$B$11*$B$14*$B$18*$B$21*$B$23,0)</f>
        <v/>
      </c>
    </row>
    <row r="31" ht="20.1" customHeight="1" s="62">
      <c r="A31" s="104" t="n"/>
      <c r="B31" s="58" t="n"/>
      <c r="C31" s="101" t="inlineStr">
        <is>
          <t>Sécurité renforcée</t>
        </is>
      </c>
      <c r="D31" s="53">
        <f>ROUND($B$4*$B$8*$B$11*$B$15*$B$17*$B$19*$B$22,0)</f>
        <v/>
      </c>
      <c r="E31" s="53">
        <f>ROUND($B$4*$B$8*$B$11*$B$15*$B$17*$B$19*$B$23,0)</f>
        <v/>
      </c>
      <c r="F31" s="53">
        <f>ROUND($B$4*$B$8*$B$11*$B$15*$B$17*$B$20*$B$22,0)</f>
        <v/>
      </c>
      <c r="G31" s="53">
        <f>ROUND($B$4*$B$8*$B$11*$B$15*$B$17*$B$20*$B$23,0)</f>
        <v/>
      </c>
      <c r="H31" s="53">
        <f>ROUND($B$4*$B$8*$B$11*$B$15*$B$17*$B$21*$B$22,0)</f>
        <v/>
      </c>
      <c r="I31" s="53">
        <f>ROUND($B$4*$B$8*$B$11*$B$15*$B$17*$B$21*$B$23,0)</f>
        <v/>
      </c>
      <c r="J31" s="53">
        <f>ROUND($B$4*$B$8*$B$11*$B$15*$B$18*$B$19*$B$22,0)</f>
        <v/>
      </c>
      <c r="K31" s="53">
        <f>ROUND($B$4*$B$8*$B$11*$B$15*$B$18*$B$19*$B$23,0)</f>
        <v/>
      </c>
      <c r="L31" s="53">
        <f>ROUND($B$4*$B$8*$B$11*$B$15*$B$18*$B$20*$B$22,0)</f>
        <v/>
      </c>
      <c r="M31" s="53">
        <f>ROUND($B$4*$B$8*$B$11*$B$15*$B$18*$B$20*$B$23,0)</f>
        <v/>
      </c>
      <c r="N31" s="53">
        <f>ROUND($B$4*$B$8*$B$11*$B$15*$B$18*$B$21*$B$22,0)</f>
        <v/>
      </c>
      <c r="O31" s="53">
        <f>ROUND($B$4*$B$8*$B$11*$B$15*$B$18*$B$21*$B$23,0)</f>
        <v/>
      </c>
      <c r="P31" s="53">
        <f>ROUND($B$5*$B$8*$B$11*$B$15*$B$17*$B$19*$B$22,0)</f>
        <v/>
      </c>
      <c r="Q31" s="53">
        <f>ROUND($B$5*$B$8*$B$11*$B$15*$B$17*$B$19*$B$23,0)</f>
        <v/>
      </c>
      <c r="R31" s="53">
        <f>ROUND($B$5*$B$8*$B$11*$B$15*$B$17*$B$20*$B$22,0)</f>
        <v/>
      </c>
      <c r="S31" s="53">
        <f>ROUND($B$5*$B$8*$B$11*$B$15*$B$17*$B$20*$B$23,0)</f>
        <v/>
      </c>
      <c r="T31" s="53">
        <f>ROUND($B$5*$B$8*$B$11*$B$15*$B$17*$B$21*$B$22,0)</f>
        <v/>
      </c>
      <c r="U31" s="53">
        <f>ROUND($B$5*$B$8*$B$11*$B$15*$B$17*$B$21*$B$23,0)</f>
        <v/>
      </c>
      <c r="V31" s="53">
        <f>ROUND($B$5*$B$8*$B$11*$B$15*$B$18*$B$19*$B$22,0)</f>
        <v/>
      </c>
      <c r="W31" s="53">
        <f>ROUND($B$5*$B$8*$B$11*$B$15*$B$18*$B$19*$B$23,0)</f>
        <v/>
      </c>
      <c r="X31" s="53">
        <f>ROUND($B$5*$B$8*$B$11*$B$15*$B$18*$B$20*$B$22,0)</f>
        <v/>
      </c>
      <c r="Y31" s="53">
        <f>ROUND($B$5*$B$8*$B$11*$B$15*$B$18*$B$20*$B$23,0)</f>
        <v/>
      </c>
      <c r="Z31" s="53">
        <f>ROUND($B$5*$B$8*$B$11*$B$15*$B$18*$B$21*$B$22,0)</f>
        <v/>
      </c>
      <c r="AA31" s="53">
        <f>ROUND($B$5*$B$8*$B$11*$B$15*$B$18*$B$21*$B$23,0)</f>
        <v/>
      </c>
      <c r="AB31" s="53">
        <f>ROUND($B$6*$B$8*$B$11*$B$15*$B$17*$B$19*$B$22,0)</f>
        <v/>
      </c>
      <c r="AC31" s="53">
        <f>ROUND($B$6*$B$8*$B$11*$B$15*$B$17*$B$19*$B$23,0)</f>
        <v/>
      </c>
      <c r="AD31" s="53">
        <f>ROUND($B$6*$B$8*$B$11*$B$15*$B$17*$B$20*$B$22,0)</f>
        <v/>
      </c>
      <c r="AE31" s="53">
        <f>ROUND($B$6*$B$8*$B$11*$B$15*$B$17*$B$20*$B$23,0)</f>
        <v/>
      </c>
      <c r="AF31" s="53">
        <f>ROUND($B$6*$B$8*$B$11*$B$15*$B$17*$B$21*$B$22,0)</f>
        <v/>
      </c>
      <c r="AG31" s="53">
        <f>ROUND($B$6*$B$8*$B$11*$B$15*$B$17*$B$21*$B$23,0)</f>
        <v/>
      </c>
      <c r="AH31" s="53">
        <f>ROUND($B$6*$B$8*$B$11*$B$15*$B$18*$B$19*$B$22,0)</f>
        <v/>
      </c>
      <c r="AI31" s="53">
        <f>ROUND($B$6*$B$8*$B$11*$B$15*$B$18*$B$19*$B$23,0)</f>
        <v/>
      </c>
      <c r="AJ31" s="53">
        <f>ROUND($B$6*$B$8*$B$11*$B$15*$B$18*$B$20*$B$22,0)</f>
        <v/>
      </c>
      <c r="AK31" s="53">
        <f>ROUND($B$6*$B$8*$B$11*$B$15*$B$18*$B$20*$B$23,0)</f>
        <v/>
      </c>
      <c r="AL31" s="53">
        <f>ROUND($B$6*$B$8*$B$11*$B$15*$B$18*$B$21*$B$22,0)</f>
        <v/>
      </c>
      <c r="AM31" s="53">
        <f>ROUND($B$6*$B$8*$B$11*$B$15*$B$18*$B$21*$B$23,0)</f>
        <v/>
      </c>
    </row>
    <row r="32" ht="20.1" customHeight="1" s="62">
      <c r="A32" s="104" t="n"/>
      <c r="B32" s="59" t="n"/>
      <c r="C32" s="51" t="inlineStr">
        <is>
          <t>Sécurité critique</t>
        </is>
      </c>
      <c r="D32" s="53">
        <f>ROUND($B$4*$B$8*$B$11*$B$16*$B$17*$B$19*$B$22,0)</f>
        <v/>
      </c>
      <c r="E32" s="53">
        <f>ROUND($B$4*$B$8*$B$11*$B$16*$B$17*$B$19*$B$23,0)</f>
        <v/>
      </c>
      <c r="F32" s="53">
        <f>ROUND($B$4*$B$8*$B$11*$B$16*$B$17*$B$20*$B$22,0)</f>
        <v/>
      </c>
      <c r="G32" s="53">
        <f>ROUND($B$4*$B$8*$B$11*$B$16*$B$17*$B$20*$B$23,0)</f>
        <v/>
      </c>
      <c r="H32" s="53">
        <f>ROUND($B$4*$B$8*$B$11*$B$16*$B$17*$B$21*$B$22,0)</f>
        <v/>
      </c>
      <c r="I32" s="53">
        <f>ROUND($B$4*$B$8*$B$11*$B$16*$B$17*$B$21*$B$23,0)</f>
        <v/>
      </c>
      <c r="J32" s="53">
        <f>ROUND($B$4*$B$8*$B$11*$B$16*$B$18*$B$19*$B$22,0)</f>
        <v/>
      </c>
      <c r="K32" s="53">
        <f>ROUND($B$4*$B$8*$B$11*$B$16*$B$18*$B$19*$B$23,0)</f>
        <v/>
      </c>
      <c r="L32" s="53">
        <f>ROUND($B$4*$B$8*$B$11*$B$16*$B$18*$B$20*$B$22,0)</f>
        <v/>
      </c>
      <c r="M32" s="53">
        <f>ROUND($B$4*$B$8*$B$11*$B$16*$B$18*$B$20*$B$23,0)</f>
        <v/>
      </c>
      <c r="N32" s="53">
        <f>ROUND($B$4*$B$8*$B$11*$B$16*$B$18*$B$21*$B$22,0)</f>
        <v/>
      </c>
      <c r="O32" s="53">
        <f>ROUND($B$4*$B$8*$B$11*$B$16*$B$18*$B$21*$B$23,0)</f>
        <v/>
      </c>
      <c r="P32" s="53">
        <f>ROUND($B$5*$B$8*$B$11*$B$16*$B$17*$B$19*$B$22,0)</f>
        <v/>
      </c>
      <c r="Q32" s="53">
        <f>ROUND($B$5*$B$8*$B$11*$B$16*$B$17*$B$19*$B$23,0)</f>
        <v/>
      </c>
      <c r="R32" s="53">
        <f>ROUND($B$5*$B$8*$B$11*$B$16*$B$17*$B$20*$B$22,0)</f>
        <v/>
      </c>
      <c r="S32" s="53">
        <f>ROUND($B$5*$B$8*$B$11*$B$16*$B$17*$B$20*$B$23,0)</f>
        <v/>
      </c>
      <c r="T32" s="53">
        <f>ROUND($B$5*$B$8*$B$11*$B$16*$B$17*$B$21*$B$22,0)</f>
        <v/>
      </c>
      <c r="U32" s="53">
        <f>ROUND($B$5*$B$8*$B$11*$B$16*$B$17*$B$21*$B$23,0)</f>
        <v/>
      </c>
      <c r="V32" s="53">
        <f>ROUND($B$5*$B$8*$B$11*$B$16*$B$18*$B$19*$B$22,0)</f>
        <v/>
      </c>
      <c r="W32" s="53">
        <f>ROUND($B$5*$B$8*$B$11*$B$16*$B$18*$B$19*$B$23,0)</f>
        <v/>
      </c>
      <c r="X32" s="53">
        <f>ROUND($B$5*$B$8*$B$11*$B$16*$B$18*$B$20*$B$22,0)</f>
        <v/>
      </c>
      <c r="Y32" s="53">
        <f>ROUND($B$5*$B$8*$B$11*$B$16*$B$18*$B$20*$B$23,0)</f>
        <v/>
      </c>
      <c r="Z32" s="53">
        <f>ROUND($B$5*$B$8*$B$11*$B$16*$B$18*$B$21*$B$22,0)</f>
        <v/>
      </c>
      <c r="AA32" s="53">
        <f>ROUND($B$5*$B$8*$B$11*$B$16*$B$18*$B$21*$B$23,0)</f>
        <v/>
      </c>
      <c r="AB32" s="53">
        <f>ROUND($B$6*$B$8*$B$11*$B$16*$B$17*$B$19*$B$22,0)</f>
        <v/>
      </c>
      <c r="AC32" s="53">
        <f>ROUND($B$6*$B$8*$B$11*$B$16*$B$17*$B$19*$B$23,0)</f>
        <v/>
      </c>
      <c r="AD32" s="53">
        <f>ROUND($B$6*$B$8*$B$11*$B$16*$B$17*$B$20*$B$22,0)</f>
        <v/>
      </c>
      <c r="AE32" s="53">
        <f>ROUND($B$6*$B$8*$B$11*$B$16*$B$17*$B$20*$B$23,0)</f>
        <v/>
      </c>
      <c r="AF32" s="53">
        <f>ROUND($B$6*$B$8*$B$11*$B$16*$B$17*$B$21*$B$22,0)</f>
        <v/>
      </c>
      <c r="AG32" s="53">
        <f>ROUND($B$6*$B$8*$B$11*$B$16*$B$17*$B$21*$B$23,0)</f>
        <v/>
      </c>
      <c r="AH32" s="53">
        <f>ROUND($B$6*$B$8*$B$11*$B$16*$B$18*$B$19*$B$22,0)</f>
        <v/>
      </c>
      <c r="AI32" s="53">
        <f>ROUND($B$6*$B$8*$B$11*$B$16*$B$18*$B$19*$B$23,0)</f>
        <v/>
      </c>
      <c r="AJ32" s="53">
        <f>ROUND($B$6*$B$8*$B$11*$B$16*$B$18*$B$20*$B$22,0)</f>
        <v/>
      </c>
      <c r="AK32" s="53">
        <f>ROUND($B$6*$B$8*$B$11*$B$16*$B$18*$B$20*$B$23,0)</f>
        <v/>
      </c>
      <c r="AL32" s="53">
        <f>ROUND($B$6*$B$8*$B$11*$B$16*$B$18*$B$21*$B$22,0)</f>
        <v/>
      </c>
      <c r="AM32" s="53">
        <f>ROUND($B$6*$B$8*$B$11*$B$16*$B$18*$B$21*$B$23,0)</f>
        <v/>
      </c>
    </row>
    <row r="33" ht="20.1" customHeight="1" s="62">
      <c r="A33" s="104" t="n"/>
      <c r="B33" s="101" t="inlineStr">
        <is>
          <t>Infrastructure dédiée</t>
        </is>
      </c>
      <c r="C33" s="49" t="inlineStr">
        <is>
          <t>Sécurité standard</t>
        </is>
      </c>
      <c r="D33" s="53">
        <f>ROUND($B$4*$B$8*$B$12*$B$14*$B$17*$B$19*$B$22,0)</f>
        <v/>
      </c>
      <c r="E33" s="53">
        <f>ROUND($B$4*$B$8*$B$12*$B$14*$B$17*$B$19*$B$23,0)</f>
        <v/>
      </c>
      <c r="F33" s="53">
        <f>ROUND($B$4*$B$8*$B$12*$B$14*$B$17*$B$20*$B$22,0)</f>
        <v/>
      </c>
      <c r="G33" s="53">
        <f>ROUND($B$4*$B$8*$B$12*$B$14*$B$17*$B$20*$B$23,0)</f>
        <v/>
      </c>
      <c r="H33" s="53">
        <f>ROUND($B$4*$B$8*$B$12*$B$14*$B$17*$B$21*$B$22,0)</f>
        <v/>
      </c>
      <c r="I33" s="53">
        <f>ROUND($B$4*$B$8*$B$12*$B$14*$B$17*$B$21*$B$23,0)</f>
        <v/>
      </c>
      <c r="J33" s="53">
        <f>ROUND($B$4*$B$8*$B$12*$B$14*$B$18*$B$19*$B$22,0)</f>
        <v/>
      </c>
      <c r="K33" s="53">
        <f>ROUND($B$4*$B$8*$B$12*$B$14*$B$18*$B$19*$B$23,0)</f>
        <v/>
      </c>
      <c r="L33" s="53">
        <f>ROUND($B$4*$B$8*$B$12*$B$14*$B$18*$B$20*$B$22,0)</f>
        <v/>
      </c>
      <c r="M33" s="53">
        <f>ROUND($B$4*$B$8*$B$12*$B$14*$B$18*$B$20*$B$23,0)</f>
        <v/>
      </c>
      <c r="N33" s="53">
        <f>ROUND($B$4*$B$8*$B$12*$B$14*$B$18*$B$21*$B$22,0)</f>
        <v/>
      </c>
      <c r="O33" s="53">
        <f>ROUND($B$4*$B$8*$B$12*$B$14*$B$18*$B$21*$B$23,0)</f>
        <v/>
      </c>
      <c r="P33" s="53">
        <f>ROUND($B$5*$B$8*$B$12*$B$14*$B$17*$B$19*$B$22,0)</f>
        <v/>
      </c>
      <c r="Q33" s="53">
        <f>ROUND($B$5*$B$8*$B$12*$B$14*$B$17*$B$19*$B$23,0)</f>
        <v/>
      </c>
      <c r="R33" s="53">
        <f>ROUND($B$5*$B$8*$B$12*$B$14*$B$17*$B$20*$B$22,0)</f>
        <v/>
      </c>
      <c r="S33" s="53">
        <f>ROUND($B$5*$B$8*$B$12*$B$14*$B$17*$B$20*$B$23,0)</f>
        <v/>
      </c>
      <c r="T33" s="53">
        <f>ROUND($B$5*$B$8*$B$12*$B$14*$B$17*$B$21*$B$22,0)</f>
        <v/>
      </c>
      <c r="U33" s="53">
        <f>ROUND($B$5*$B$8*$B$12*$B$14*$B$17*$B$21*$B$23,0)</f>
        <v/>
      </c>
      <c r="V33" s="53">
        <f>ROUND($B$5*$B$8*$B$12*$B$14*$B$18*$B$19*$B$22,0)</f>
        <v/>
      </c>
      <c r="W33" s="53">
        <f>ROUND($B$5*$B$8*$B$12*$B$14*$B$18*$B$19*$B$23,0)</f>
        <v/>
      </c>
      <c r="X33" s="53">
        <f>ROUND($B$5*$B$8*$B$12*$B$14*$B$18*$B$20*$B$22,0)</f>
        <v/>
      </c>
      <c r="Y33" s="53">
        <f>ROUND($B$5*$B$8*$B$12*$B$14*$B$18*$B$20*$B$23,0)</f>
        <v/>
      </c>
      <c r="Z33" s="53">
        <f>ROUND($B$5*$B$8*$B$12*$B$14*$B$18*$B$21*$B$22,0)</f>
        <v/>
      </c>
      <c r="AA33" s="53">
        <f>ROUND($B$5*$B$8*$B$12*$B$14*$B$18*$B$21*$B$23,0)</f>
        <v/>
      </c>
      <c r="AB33" s="53">
        <f>ROUND($B$6*$B$8*$B$12*$B$14*$B$17*$B$19*$B$22,0)</f>
        <v/>
      </c>
      <c r="AC33" s="53">
        <f>ROUND($B$6*$B$8*$B$12*$B$14*$B$17*$B$19*$B$23,0)</f>
        <v/>
      </c>
      <c r="AD33" s="53">
        <f>ROUND($B$6*$B$8*$B$12*$B$14*$B$17*$B$20*$B$22,0)</f>
        <v/>
      </c>
      <c r="AE33" s="53">
        <f>ROUND($B$6*$B$8*$B$12*$B$14*$B$17*$B$20*$B$23,0)</f>
        <v/>
      </c>
      <c r="AF33" s="53">
        <f>ROUND($B$6*$B$8*$B$12*$B$14*$B$17*$B$21*$B$22,0)</f>
        <v/>
      </c>
      <c r="AG33" s="53">
        <f>ROUND($B$6*$B$8*$B$12*$B$14*$B$17*$B$21*$B$23,0)</f>
        <v/>
      </c>
      <c r="AH33" s="53">
        <f>ROUND($B$6*$B$8*$B$12*$B$14*$B$18*$B$19*$B$22,0)</f>
        <v/>
      </c>
      <c r="AI33" s="53">
        <f>ROUND($B$6*$B$8*$B$12*$B$14*$B$18*$B$19*$B$23,0)</f>
        <v/>
      </c>
      <c r="AJ33" s="53">
        <f>ROUND($B$6*$B$8*$B$12*$B$14*$B$18*$B$20*$B$22,0)</f>
        <v/>
      </c>
      <c r="AK33" s="53">
        <f>ROUND($B$6*$B$8*$B$12*$B$14*$B$18*$B$20*$B$23,0)</f>
        <v/>
      </c>
      <c r="AL33" s="53">
        <f>ROUND($B$6*$B$8*$B$12*$B$14*$B$18*$B$21*$B$22,0)</f>
        <v/>
      </c>
      <c r="AM33" s="53">
        <f>ROUND($B$6*$B$8*$B$12*$B$14*$B$18*$B$21*$B$23,0)</f>
        <v/>
      </c>
    </row>
    <row r="34" ht="20.1" customHeight="1" s="62">
      <c r="A34" s="104" t="n"/>
      <c r="B34" s="58" t="n"/>
      <c r="C34" s="101" t="inlineStr">
        <is>
          <t>Sécurité renforcée</t>
        </is>
      </c>
      <c r="D34" s="53">
        <f>ROUND($B$4*$B$8*$B$12*$B$15*$B$17*$B$19*$B$22,0)</f>
        <v/>
      </c>
      <c r="E34" s="53">
        <f>ROUND($B$4*$B$8*$B$12*$B$15*$B$17*$B$19*$B$23,0)</f>
        <v/>
      </c>
      <c r="F34" s="53">
        <f>ROUND($B$4*$B$8*$B$12*$B$15*$B$17*$B$20*$B$22,0)</f>
        <v/>
      </c>
      <c r="G34" s="53">
        <f>ROUND($B$4*$B$8*$B$12*$B$15*$B$17*$B$20*$B$23,0)</f>
        <v/>
      </c>
      <c r="H34" s="53">
        <f>ROUND($B$4*$B$8*$B$12*$B$15*$B$17*$B$21*$B$22,0)</f>
        <v/>
      </c>
      <c r="I34" s="53">
        <f>ROUND($B$4*$B$8*$B$12*$B$15*$B$17*$B$21*$B$23,0)</f>
        <v/>
      </c>
      <c r="J34" s="53">
        <f>ROUND($B$4*$B$8*$B$12*$B$15*$B$18*$B$19*$B$22,0)</f>
        <v/>
      </c>
      <c r="K34" s="53">
        <f>ROUND($B$4*$B$8*$B$12*$B$15*$B$18*$B$19*$B$23,0)</f>
        <v/>
      </c>
      <c r="L34" s="53">
        <f>ROUND($B$4*$B$8*$B$12*$B$15*$B$18*$B$20*$B$22,0)</f>
        <v/>
      </c>
      <c r="M34" s="53">
        <f>ROUND($B$4*$B$8*$B$12*$B$15*$B$18*$B$20*$B$23,0)</f>
        <v/>
      </c>
      <c r="N34" s="53">
        <f>ROUND($B$4*$B$8*$B$12*$B$15*$B$18*$B$21*$B$22,0)</f>
        <v/>
      </c>
      <c r="O34" s="53">
        <f>ROUND($B$4*$B$8*$B$12*$B$15*$B$18*$B$21*$B$23,0)</f>
        <v/>
      </c>
      <c r="P34" s="53">
        <f>ROUND($B$5*$B$8*$B$12*$B$15*$B$17*$B$19*$B$22,0)</f>
        <v/>
      </c>
      <c r="Q34" s="53">
        <f>ROUND($B$5*$B$8*$B$12*$B$15*$B$17*$B$19*$B$23,0)</f>
        <v/>
      </c>
      <c r="R34" s="53">
        <f>ROUND($B$5*$B$8*$B$12*$B$15*$B$17*$B$20*$B$22,0)</f>
        <v/>
      </c>
      <c r="S34" s="53">
        <f>ROUND($B$5*$B$8*$B$12*$B$15*$B$17*$B$20*$B$23,0)</f>
        <v/>
      </c>
      <c r="T34" s="53">
        <f>ROUND($B$5*$B$8*$B$12*$B$15*$B$17*$B$21*$B$22,0)</f>
        <v/>
      </c>
      <c r="U34" s="53">
        <f>ROUND($B$5*$B$8*$B$12*$B$15*$B$17*$B$21*$B$23,0)</f>
        <v/>
      </c>
      <c r="V34" s="53">
        <f>ROUND($B$5*$B$8*$B$12*$B$15*$B$18*$B$19*$B$22,0)</f>
        <v/>
      </c>
      <c r="W34" s="53">
        <f>ROUND($B$5*$B$8*$B$12*$B$15*$B$18*$B$19*$B$23,0)</f>
        <v/>
      </c>
      <c r="X34" s="53">
        <f>ROUND($B$5*$B$8*$B$12*$B$15*$B$18*$B$20*$B$22,0)</f>
        <v/>
      </c>
      <c r="Y34" s="53">
        <f>ROUND($B$5*$B$8*$B$12*$B$15*$B$18*$B$20*$B$23,0)</f>
        <v/>
      </c>
      <c r="Z34" s="53">
        <f>ROUND($B$5*$B$8*$B$12*$B$15*$B$18*$B$21*$B$22,0)</f>
        <v/>
      </c>
      <c r="AA34" s="53">
        <f>ROUND($B$5*$B$8*$B$12*$B$15*$B$18*$B$21*$B$23,0)</f>
        <v/>
      </c>
      <c r="AB34" s="53">
        <f>ROUND($B$6*$B$8*$B$12*$B$15*$B$17*$B$19*$B$22,0)</f>
        <v/>
      </c>
      <c r="AC34" s="53">
        <f>ROUND($B$6*$B$8*$B$12*$B$15*$B$17*$B$19*$B$23,0)</f>
        <v/>
      </c>
      <c r="AD34" s="53">
        <f>ROUND($B$6*$B$8*$B$12*$B$15*$B$17*$B$20*$B$22,0)</f>
        <v/>
      </c>
      <c r="AE34" s="53">
        <f>ROUND($B$6*$B$8*$B$12*$B$15*$B$17*$B$20*$B$23,0)</f>
        <v/>
      </c>
      <c r="AF34" s="53">
        <f>ROUND($B$6*$B$8*$B$12*$B$15*$B$17*$B$21*$B$22,0)</f>
        <v/>
      </c>
      <c r="AG34" s="53">
        <f>ROUND($B$6*$B$8*$B$12*$B$15*$B$17*$B$21*$B$23,0)</f>
        <v/>
      </c>
      <c r="AH34" s="53">
        <f>ROUND($B$6*$B$8*$B$12*$B$15*$B$18*$B$19*$B$22,0)</f>
        <v/>
      </c>
      <c r="AI34" s="53">
        <f>ROUND($B$6*$B$8*$B$12*$B$15*$B$18*$B$19*$B$23,0)</f>
        <v/>
      </c>
      <c r="AJ34" s="53">
        <f>ROUND($B$6*$B$8*$B$12*$B$15*$B$18*$B$20*$B$22,0)</f>
        <v/>
      </c>
      <c r="AK34" s="53">
        <f>ROUND($B$6*$B$8*$B$12*$B$15*$B$18*$B$20*$B$23,0)</f>
        <v/>
      </c>
      <c r="AL34" s="53">
        <f>ROUND($B$6*$B$8*$B$12*$B$15*$B$18*$B$21*$B$22,0)</f>
        <v/>
      </c>
      <c r="AM34" s="53">
        <f>ROUND($B$6*$B$8*$B$12*$B$15*$B$18*$B$21*$B$23,0)</f>
        <v/>
      </c>
    </row>
    <row r="35" ht="20.1" customHeight="1" s="62">
      <c r="A35" s="104" t="n"/>
      <c r="B35" s="59" t="n"/>
      <c r="C35" s="51" t="inlineStr">
        <is>
          <t>Sécurité critique</t>
        </is>
      </c>
      <c r="D35" s="53">
        <f>ROUND($B$4*$B$8*$B$12*$B$16*$B$17*$B$19*$B$22,0)</f>
        <v/>
      </c>
      <c r="E35" s="53">
        <f>ROUND($B$4*$B$8*$B$12*$B$16*$B$17*$B$19*$B$23,0)</f>
        <v/>
      </c>
      <c r="F35" s="53">
        <f>ROUND($B$4*$B$8*$B$12*$B$16*$B$17*$B$20*$B$22,0)</f>
        <v/>
      </c>
      <c r="G35" s="53">
        <f>ROUND($B$4*$B$8*$B$12*$B$16*$B$17*$B$20*$B$23,0)</f>
        <v/>
      </c>
      <c r="H35" s="53">
        <f>ROUND($B$4*$B$8*$B$12*$B$16*$B$17*$B$21*$B$22,0)</f>
        <v/>
      </c>
      <c r="I35" s="53">
        <f>ROUND($B$4*$B$8*$B$12*$B$16*$B$17*$B$21*$B$23,0)</f>
        <v/>
      </c>
      <c r="J35" s="53">
        <f>ROUND($B$4*$B$8*$B$12*$B$16*$B$18*$B$19*$B$22,0)</f>
        <v/>
      </c>
      <c r="K35" s="53">
        <f>ROUND($B$4*$B$8*$B$12*$B$16*$B$18*$B$19*$B$23,0)</f>
        <v/>
      </c>
      <c r="L35" s="53">
        <f>ROUND($B$4*$B$8*$B$12*$B$16*$B$18*$B$20*$B$22,0)</f>
        <v/>
      </c>
      <c r="M35" s="53">
        <f>ROUND($B$4*$B$8*$B$12*$B$16*$B$18*$B$20*$B$23,0)</f>
        <v/>
      </c>
      <c r="N35" s="53">
        <f>ROUND($B$4*$B$8*$B$12*$B$16*$B$18*$B$21*$B$22,0)</f>
        <v/>
      </c>
      <c r="O35" s="53">
        <f>ROUND($B$4*$B$8*$B$12*$B$16*$B$18*$B$21*$B$23,0)</f>
        <v/>
      </c>
      <c r="P35" s="53">
        <f>ROUND($B$5*$B$8*$B$12*$B$16*$B$17*$B$19*$B$22,0)</f>
        <v/>
      </c>
      <c r="Q35" s="53">
        <f>ROUND($B$5*$B$8*$B$12*$B$16*$B$17*$B$19*$B$23,0)</f>
        <v/>
      </c>
      <c r="R35" s="53">
        <f>ROUND($B$5*$B$8*$B$12*$B$16*$B$17*$B$20*$B$22,0)</f>
        <v/>
      </c>
      <c r="S35" s="53">
        <f>ROUND($B$5*$B$8*$B$12*$B$16*$B$17*$B$20*$B$23,0)</f>
        <v/>
      </c>
      <c r="T35" s="53">
        <f>ROUND($B$5*$B$8*$B$12*$B$16*$B$17*$B$21*$B$22,0)</f>
        <v/>
      </c>
      <c r="U35" s="53">
        <f>ROUND($B$5*$B$8*$B$12*$B$16*$B$17*$B$21*$B$23,0)</f>
        <v/>
      </c>
      <c r="V35" s="53">
        <f>ROUND($B$5*$B$8*$B$12*$B$16*$B$18*$B$19*$B$22,0)</f>
        <v/>
      </c>
      <c r="W35" s="53">
        <f>ROUND($B$5*$B$8*$B$12*$B$16*$B$18*$B$19*$B$23,0)</f>
        <v/>
      </c>
      <c r="X35" s="53">
        <f>ROUND($B$5*$B$8*$B$12*$B$16*$B$18*$B$20*$B$22,0)</f>
        <v/>
      </c>
      <c r="Y35" s="53">
        <f>ROUND($B$5*$B$8*$B$12*$B$16*$B$18*$B$20*$B$23,0)</f>
        <v/>
      </c>
      <c r="Z35" s="53">
        <f>ROUND($B$5*$B$8*$B$12*$B$16*$B$18*$B$21*$B$22,0)</f>
        <v/>
      </c>
      <c r="AA35" s="53">
        <f>ROUND($B$5*$B$8*$B$12*$B$16*$B$18*$B$21*$B$23,0)</f>
        <v/>
      </c>
      <c r="AB35" s="53">
        <f>ROUND($B$6*$B$8*$B$12*$B$16*$B$17*$B$19*$B$22,0)</f>
        <v/>
      </c>
      <c r="AC35" s="53">
        <f>ROUND($B$6*$B$8*$B$12*$B$16*$B$17*$B$19*$B$23,0)</f>
        <v/>
      </c>
      <c r="AD35" s="53">
        <f>ROUND($B$6*$B$8*$B$12*$B$16*$B$17*$B$20*$B$22,0)</f>
        <v/>
      </c>
      <c r="AE35" s="53">
        <f>ROUND($B$6*$B$8*$B$12*$B$16*$B$17*$B$20*$B$23,0)</f>
        <v/>
      </c>
      <c r="AF35" s="53">
        <f>ROUND($B$6*$B$8*$B$12*$B$16*$B$17*$B$21*$B$22,0)</f>
        <v/>
      </c>
      <c r="AG35" s="53">
        <f>ROUND($B$6*$B$8*$B$12*$B$16*$B$17*$B$21*$B$23,0)</f>
        <v/>
      </c>
      <c r="AH35" s="53">
        <f>ROUND($B$6*$B$8*$B$12*$B$16*$B$18*$B$19*$B$22,0)</f>
        <v/>
      </c>
      <c r="AI35" s="53">
        <f>ROUND($B$6*$B$8*$B$12*$B$16*$B$18*$B$19*$B$23,0)</f>
        <v/>
      </c>
      <c r="AJ35" s="53">
        <f>ROUND($B$6*$B$8*$B$12*$B$16*$B$18*$B$20*$B$22,0)</f>
        <v/>
      </c>
      <c r="AK35" s="53">
        <f>ROUND($B$6*$B$8*$B$12*$B$16*$B$18*$B$20*$B$23,0)</f>
        <v/>
      </c>
      <c r="AL35" s="53">
        <f>ROUND($B$6*$B$8*$B$12*$B$16*$B$18*$B$21*$B$22,0)</f>
        <v/>
      </c>
      <c r="AM35" s="53">
        <f>ROUND($B$6*$B$8*$B$12*$B$16*$B$18*$B$21*$B$23,0)</f>
        <v/>
      </c>
    </row>
    <row r="36" ht="20.1" customHeight="1" s="62">
      <c r="A36" s="104" t="n"/>
      <c r="B36" s="101" t="inlineStr">
        <is>
          <t>Cloud / Hybride</t>
        </is>
      </c>
      <c r="C36" s="49" t="inlineStr">
        <is>
          <t>Sécurité standard</t>
        </is>
      </c>
      <c r="D36" s="53">
        <f>ROUND($B$4*$B$8*$B$13*$B$14*$B$17*$B$19*$B$22,0)</f>
        <v/>
      </c>
      <c r="E36" s="53">
        <f>ROUND($B$4*$B$8*$B$13*$B$14*$B$17*$B$19*$B$23,0)</f>
        <v/>
      </c>
      <c r="F36" s="53">
        <f>ROUND($B$4*$B$8*$B$13*$B$14*$B$17*$B$20*$B$22,0)</f>
        <v/>
      </c>
      <c r="G36" s="53">
        <f>ROUND($B$4*$B$8*$B$13*$B$14*$B$17*$B$20*$B$23,0)</f>
        <v/>
      </c>
      <c r="H36" s="53">
        <f>ROUND($B$4*$B$8*$B$13*$B$14*$B$17*$B$21*$B$22,0)</f>
        <v/>
      </c>
      <c r="I36" s="53">
        <f>ROUND($B$4*$B$8*$B$13*$B$14*$B$17*$B$21*$B$23,0)</f>
        <v/>
      </c>
      <c r="J36" s="53">
        <f>ROUND($B$4*$B$8*$B$13*$B$14*$B$18*$B$19*$B$22,0)</f>
        <v/>
      </c>
      <c r="K36" s="53">
        <f>ROUND($B$4*$B$8*$B$13*$B$14*$B$18*$B$19*$B$23,0)</f>
        <v/>
      </c>
      <c r="L36" s="53">
        <f>ROUND($B$4*$B$8*$B$13*$B$14*$B$18*$B$20*$B$22,0)</f>
        <v/>
      </c>
      <c r="M36" s="53">
        <f>ROUND($B$4*$B$8*$B$13*$B$14*$B$18*$B$20*$B$23,0)</f>
        <v/>
      </c>
      <c r="N36" s="53">
        <f>ROUND($B$4*$B$8*$B$13*$B$14*$B$18*$B$21*$B$22,0)</f>
        <v/>
      </c>
      <c r="O36" s="53">
        <f>ROUND($B$4*$B$8*$B$13*$B$14*$B$18*$B$21*$B$23,0)</f>
        <v/>
      </c>
      <c r="P36" s="53">
        <f>ROUND($B$5*$B$8*$B$13*$B$14*$B$17*$B$19*$B$22,0)</f>
        <v/>
      </c>
      <c r="Q36" s="53">
        <f>ROUND($B$5*$B$8*$B$13*$B$14*$B$17*$B$19*$B$23,0)</f>
        <v/>
      </c>
      <c r="R36" s="53">
        <f>ROUND($B$5*$B$8*$B$13*$B$14*$B$17*$B$20*$B$22,0)</f>
        <v/>
      </c>
      <c r="S36" s="53">
        <f>ROUND($B$5*$B$8*$B$13*$B$14*$B$17*$B$20*$B$23,0)</f>
        <v/>
      </c>
      <c r="T36" s="53">
        <f>ROUND($B$5*$B$8*$B$13*$B$14*$B$17*$B$21*$B$22,0)</f>
        <v/>
      </c>
      <c r="U36" s="53">
        <f>ROUND($B$5*$B$8*$B$13*$B$14*$B$17*$B$21*$B$23,0)</f>
        <v/>
      </c>
      <c r="V36" s="53">
        <f>ROUND($B$5*$B$8*$B$13*$B$14*$B$18*$B$19*$B$22,0)</f>
        <v/>
      </c>
      <c r="W36" s="53">
        <f>ROUND($B$5*$B$8*$B$13*$B$14*$B$18*$B$19*$B$23,0)</f>
        <v/>
      </c>
      <c r="X36" s="53">
        <f>ROUND($B$5*$B$8*$B$13*$B$14*$B$18*$B$20*$B$22,0)</f>
        <v/>
      </c>
      <c r="Y36" s="53">
        <f>ROUND($B$5*$B$8*$B$13*$B$14*$B$18*$B$20*$B$23,0)</f>
        <v/>
      </c>
      <c r="Z36" s="53">
        <f>ROUND($B$5*$B$8*$B$13*$B$14*$B$18*$B$21*$B$22,0)</f>
        <v/>
      </c>
      <c r="AA36" s="53">
        <f>ROUND($B$5*$B$8*$B$13*$B$14*$B$18*$B$21*$B$23,0)</f>
        <v/>
      </c>
      <c r="AB36" s="53">
        <f>ROUND($B$6*$B$8*$B$13*$B$14*$B$17*$B$19*$B$22,0)</f>
        <v/>
      </c>
      <c r="AC36" s="53">
        <f>ROUND($B$6*$B$8*$B$13*$B$14*$B$17*$B$19*$B$23,0)</f>
        <v/>
      </c>
      <c r="AD36" s="53">
        <f>ROUND($B$6*$B$8*$B$13*$B$14*$B$17*$B$20*$B$22,0)</f>
        <v/>
      </c>
      <c r="AE36" s="53">
        <f>ROUND($B$6*$B$8*$B$13*$B$14*$B$17*$B$20*$B$23,0)</f>
        <v/>
      </c>
      <c r="AF36" s="53">
        <f>ROUND($B$6*$B$8*$B$13*$B$14*$B$17*$B$21*$B$22,0)</f>
        <v/>
      </c>
      <c r="AG36" s="53">
        <f>ROUND($B$6*$B$8*$B$13*$B$14*$B$17*$B$21*$B$23,0)</f>
        <v/>
      </c>
      <c r="AH36" s="53">
        <f>ROUND($B$6*$B$8*$B$13*$B$14*$B$18*$B$19*$B$22,0)</f>
        <v/>
      </c>
      <c r="AI36" s="53">
        <f>ROUND($B$6*$B$8*$B$13*$B$14*$B$18*$B$19*$B$23,0)</f>
        <v/>
      </c>
      <c r="AJ36" s="53">
        <f>ROUND($B$6*$B$8*$B$13*$B$14*$B$18*$B$20*$B$22,0)</f>
        <v/>
      </c>
      <c r="AK36" s="53">
        <f>ROUND($B$6*$B$8*$B$13*$B$14*$B$18*$B$20*$B$23,0)</f>
        <v/>
      </c>
      <c r="AL36" s="53">
        <f>ROUND($B$6*$B$8*$B$13*$B$14*$B$18*$B$21*$B$22,0)</f>
        <v/>
      </c>
      <c r="AM36" s="53">
        <f>ROUND($B$6*$B$8*$B$13*$B$14*$B$18*$B$21*$B$23,0)</f>
        <v/>
      </c>
    </row>
    <row r="37" ht="20.1" customHeight="1" s="62">
      <c r="A37" s="104" t="n"/>
      <c r="B37" s="58" t="n"/>
      <c r="C37" s="101" t="inlineStr">
        <is>
          <t>Sécurité renforcée</t>
        </is>
      </c>
      <c r="D37" s="53">
        <f>ROUND($B$4*$B$8*$B$13*$B$15*$B$17*$B$19*$B$22,0)</f>
        <v/>
      </c>
      <c r="E37" s="53">
        <f>ROUND($B$4*$B$8*$B$13*$B$15*$B$17*$B$19*$B$23,0)</f>
        <v/>
      </c>
      <c r="F37" s="53">
        <f>ROUND($B$4*$B$8*$B$13*$B$15*$B$17*$B$20*$B$22,0)</f>
        <v/>
      </c>
      <c r="G37" s="53">
        <f>ROUND($B$4*$B$8*$B$13*$B$15*$B$17*$B$20*$B$23,0)</f>
        <v/>
      </c>
      <c r="H37" s="53">
        <f>ROUND($B$4*$B$8*$B$13*$B$15*$B$17*$B$21*$B$22,0)</f>
        <v/>
      </c>
      <c r="I37" s="53">
        <f>ROUND($B$4*$B$8*$B$13*$B$15*$B$17*$B$21*$B$23,0)</f>
        <v/>
      </c>
      <c r="J37" s="53">
        <f>ROUND($B$4*$B$8*$B$13*$B$15*$B$18*$B$19*$B$22,0)</f>
        <v/>
      </c>
      <c r="K37" s="53">
        <f>ROUND($B$4*$B$8*$B$13*$B$15*$B$18*$B$19*$B$23,0)</f>
        <v/>
      </c>
      <c r="L37" s="53">
        <f>ROUND($B$4*$B$8*$B$13*$B$15*$B$18*$B$20*$B$22,0)</f>
        <v/>
      </c>
      <c r="M37" s="53">
        <f>ROUND($B$4*$B$8*$B$13*$B$15*$B$18*$B$20*$B$23,0)</f>
        <v/>
      </c>
      <c r="N37" s="53">
        <f>ROUND($B$4*$B$8*$B$13*$B$15*$B$18*$B$21*$B$22,0)</f>
        <v/>
      </c>
      <c r="O37" s="53">
        <f>ROUND($B$4*$B$8*$B$13*$B$15*$B$18*$B$21*$B$23,0)</f>
        <v/>
      </c>
      <c r="P37" s="53">
        <f>ROUND($B$5*$B$8*$B$13*$B$15*$B$17*$B$19*$B$22,0)</f>
        <v/>
      </c>
      <c r="Q37" s="53">
        <f>ROUND($B$5*$B$8*$B$13*$B$15*$B$17*$B$19*$B$23,0)</f>
        <v/>
      </c>
      <c r="R37" s="53">
        <f>ROUND($B$5*$B$8*$B$13*$B$15*$B$17*$B$20*$B$22,0)</f>
        <v/>
      </c>
      <c r="S37" s="53">
        <f>ROUND($B$5*$B$8*$B$13*$B$15*$B$17*$B$20*$B$23,0)</f>
        <v/>
      </c>
      <c r="T37" s="53">
        <f>ROUND($B$5*$B$8*$B$13*$B$15*$B$17*$B$21*$B$22,0)</f>
        <v/>
      </c>
      <c r="U37" s="53">
        <f>ROUND($B$5*$B$8*$B$13*$B$15*$B$17*$B$21*$B$23,0)</f>
        <v/>
      </c>
      <c r="V37" s="53">
        <f>ROUND($B$5*$B$8*$B$13*$B$15*$B$18*$B$19*$B$22,0)</f>
        <v/>
      </c>
      <c r="W37" s="53">
        <f>ROUND($B$5*$B$8*$B$13*$B$15*$B$18*$B$19*$B$23,0)</f>
        <v/>
      </c>
      <c r="X37" s="53">
        <f>ROUND($B$5*$B$8*$B$13*$B$15*$B$18*$B$20*$B$22,0)</f>
        <v/>
      </c>
      <c r="Y37" s="53">
        <f>ROUND($B$5*$B$8*$B$13*$B$15*$B$18*$B$20*$B$23,0)</f>
        <v/>
      </c>
      <c r="Z37" s="53">
        <f>ROUND($B$5*$B$8*$B$13*$B$15*$B$18*$B$21*$B$22,0)</f>
        <v/>
      </c>
      <c r="AA37" s="53">
        <f>ROUND($B$5*$B$8*$B$13*$B$15*$B$18*$B$21*$B$23,0)</f>
        <v/>
      </c>
      <c r="AB37" s="53">
        <f>ROUND($B$6*$B$8*$B$13*$B$15*$B$17*$B$19*$B$22,0)</f>
        <v/>
      </c>
      <c r="AC37" s="53">
        <f>ROUND($B$6*$B$8*$B$13*$B$15*$B$17*$B$19*$B$23,0)</f>
        <v/>
      </c>
      <c r="AD37" s="53">
        <f>ROUND($B$6*$B$8*$B$13*$B$15*$B$17*$B$20*$B$22,0)</f>
        <v/>
      </c>
      <c r="AE37" s="53">
        <f>ROUND($B$6*$B$8*$B$13*$B$15*$B$17*$B$20*$B$23,0)</f>
        <v/>
      </c>
      <c r="AF37" s="53">
        <f>ROUND($B$6*$B$8*$B$13*$B$15*$B$17*$B$21*$B$22,0)</f>
        <v/>
      </c>
      <c r="AG37" s="53">
        <f>ROUND($B$6*$B$8*$B$13*$B$15*$B$17*$B$21*$B$23,0)</f>
        <v/>
      </c>
      <c r="AH37" s="53">
        <f>ROUND($B$6*$B$8*$B$13*$B$15*$B$18*$B$19*$B$22,0)</f>
        <v/>
      </c>
      <c r="AI37" s="53">
        <f>ROUND($B$6*$B$8*$B$13*$B$15*$B$18*$B$19*$B$23,0)</f>
        <v/>
      </c>
      <c r="AJ37" s="53">
        <f>ROUND($B$6*$B$8*$B$13*$B$15*$B$18*$B$20*$B$22,0)</f>
        <v/>
      </c>
      <c r="AK37" s="53">
        <f>ROUND($B$6*$B$8*$B$13*$B$15*$B$18*$B$20*$B$23,0)</f>
        <v/>
      </c>
      <c r="AL37" s="53">
        <f>ROUND($B$6*$B$8*$B$13*$B$15*$B$18*$B$21*$B$22,0)</f>
        <v/>
      </c>
      <c r="AM37" s="53">
        <f>ROUND($B$6*$B$8*$B$13*$B$15*$B$18*$B$21*$B$23,0)</f>
        <v/>
      </c>
    </row>
    <row r="38" ht="20.1" customHeight="1" s="62">
      <c r="A38" s="105" t="n"/>
      <c r="B38" s="59" t="n"/>
      <c r="C38" s="51" t="inlineStr">
        <is>
          <t>Sécurité critique</t>
        </is>
      </c>
      <c r="D38" s="53">
        <f>ROUND($B$4*$B$8*$B$13*$B$16*$B$17*$B$19*$B$22,0)</f>
        <v/>
      </c>
      <c r="E38" s="53">
        <f>ROUND($B$4*$B$8*$B$13*$B$16*$B$17*$B$19*$B$23,0)</f>
        <v/>
      </c>
      <c r="F38" s="53">
        <f>ROUND($B$4*$B$8*$B$13*$B$16*$B$17*$B$20*$B$22,0)</f>
        <v/>
      </c>
      <c r="G38" s="53">
        <f>ROUND($B$4*$B$8*$B$13*$B$16*$B$17*$B$20*$B$23,0)</f>
        <v/>
      </c>
      <c r="H38" s="53">
        <f>ROUND($B$4*$B$8*$B$13*$B$16*$B$17*$B$21*$B$22,0)</f>
        <v/>
      </c>
      <c r="I38" s="53">
        <f>ROUND($B$4*$B$8*$B$13*$B$16*$B$17*$B$21*$B$23,0)</f>
        <v/>
      </c>
      <c r="J38" s="53">
        <f>ROUND($B$4*$B$8*$B$13*$B$16*$B$18*$B$19*$B$22,0)</f>
        <v/>
      </c>
      <c r="K38" s="53">
        <f>ROUND($B$4*$B$8*$B$13*$B$16*$B$18*$B$19*$B$23,0)</f>
        <v/>
      </c>
      <c r="L38" s="53">
        <f>ROUND($B$4*$B$8*$B$13*$B$16*$B$18*$B$20*$B$22,0)</f>
        <v/>
      </c>
      <c r="M38" s="53">
        <f>ROUND($B$4*$B$8*$B$13*$B$16*$B$18*$B$20*$B$23,0)</f>
        <v/>
      </c>
      <c r="N38" s="53">
        <f>ROUND($B$4*$B$8*$B$13*$B$16*$B$18*$B$21*$B$22,0)</f>
        <v/>
      </c>
      <c r="O38" s="53">
        <f>ROUND($B$4*$B$8*$B$13*$B$16*$B$18*$B$21*$B$23,0)</f>
        <v/>
      </c>
      <c r="P38" s="53">
        <f>ROUND($B$5*$B$8*$B$13*$B$16*$B$17*$B$19*$B$22,0)</f>
        <v/>
      </c>
      <c r="Q38" s="53">
        <f>ROUND($B$5*$B$8*$B$13*$B$16*$B$17*$B$19*$B$23,0)</f>
        <v/>
      </c>
      <c r="R38" s="53">
        <f>ROUND($B$5*$B$8*$B$13*$B$16*$B$17*$B$20*$B$22,0)</f>
        <v/>
      </c>
      <c r="S38" s="53">
        <f>ROUND($B$5*$B$8*$B$13*$B$16*$B$17*$B$20*$B$23,0)</f>
        <v/>
      </c>
      <c r="T38" s="53">
        <f>ROUND($B$5*$B$8*$B$13*$B$16*$B$17*$B$21*$B$22,0)</f>
        <v/>
      </c>
      <c r="U38" s="53">
        <f>ROUND($B$5*$B$8*$B$13*$B$16*$B$17*$B$21*$B$23,0)</f>
        <v/>
      </c>
      <c r="V38" s="53">
        <f>ROUND($B$5*$B$8*$B$13*$B$16*$B$18*$B$19*$B$22,0)</f>
        <v/>
      </c>
      <c r="W38" s="53">
        <f>ROUND($B$5*$B$8*$B$13*$B$16*$B$18*$B$19*$B$23,0)</f>
        <v/>
      </c>
      <c r="X38" s="53">
        <f>ROUND($B$5*$B$8*$B$13*$B$16*$B$18*$B$20*$B$22,0)</f>
        <v/>
      </c>
      <c r="Y38" s="53">
        <f>ROUND($B$5*$B$8*$B$13*$B$16*$B$18*$B$20*$B$23,0)</f>
        <v/>
      </c>
      <c r="Z38" s="53">
        <f>ROUND($B$5*$B$8*$B$13*$B$16*$B$18*$B$21*$B$22,0)</f>
        <v/>
      </c>
      <c r="AA38" s="53">
        <f>ROUND($B$5*$B$8*$B$13*$B$16*$B$18*$B$21*$B$23,0)</f>
        <v/>
      </c>
      <c r="AB38" s="53">
        <f>ROUND($B$6*$B$8*$B$13*$B$16*$B$17*$B$19*$B$22,0)</f>
        <v/>
      </c>
      <c r="AC38" s="53">
        <f>ROUND($B$6*$B$8*$B$13*$B$16*$B$17*$B$19*$B$23,0)</f>
        <v/>
      </c>
      <c r="AD38" s="53">
        <f>ROUND($B$6*$B$8*$B$13*$B$16*$B$17*$B$20*$B$22,0)</f>
        <v/>
      </c>
      <c r="AE38" s="53">
        <f>ROUND($B$6*$B$8*$B$13*$B$16*$B$17*$B$20*$B$23,0)</f>
        <v/>
      </c>
      <c r="AF38" s="53">
        <f>ROUND($B$6*$B$8*$B$13*$B$16*$B$17*$B$21*$B$22,0)</f>
        <v/>
      </c>
      <c r="AG38" s="53">
        <f>ROUND($B$6*$B$8*$B$13*$B$16*$B$17*$B$21*$B$23,0)</f>
        <v/>
      </c>
      <c r="AH38" s="53">
        <f>ROUND($B$6*$B$8*$B$13*$B$16*$B$18*$B$19*$B$22,0)</f>
        <v/>
      </c>
      <c r="AI38" s="53">
        <f>ROUND($B$6*$B$8*$B$13*$B$16*$B$18*$B$19*$B$23,0)</f>
        <v/>
      </c>
      <c r="AJ38" s="53">
        <f>ROUND($B$6*$B$8*$B$13*$B$16*$B$18*$B$20*$B$22,0)</f>
        <v/>
      </c>
      <c r="AK38" s="53">
        <f>ROUND($B$6*$B$8*$B$13*$B$16*$B$18*$B$20*$B$23,0)</f>
        <v/>
      </c>
      <c r="AL38" s="53">
        <f>ROUND($B$6*$B$8*$B$13*$B$16*$B$18*$B$21*$B$22,0)</f>
        <v/>
      </c>
      <c r="AM38" s="53">
        <f>ROUND($B$6*$B$8*$B$13*$B$16*$B$18*$B$21*$B$23,0)</f>
        <v/>
      </c>
    </row>
    <row r="39" ht="20.1" customHeight="1" s="62">
      <c r="A39" s="103" t="inlineStr">
        <is>
          <t>2-5 serveurs</t>
        </is>
      </c>
      <c r="B39" s="101" t="inlineStr">
        <is>
          <t>Infrastructure mutualisée</t>
        </is>
      </c>
      <c r="C39" s="49" t="inlineStr">
        <is>
          <t>Sécurité standard</t>
        </is>
      </c>
      <c r="D39" s="53">
        <f>ROUND($B$4*$B$9*$B$11*$B$14*$B$17*$B$19*$B$22,0)</f>
        <v/>
      </c>
      <c r="E39" s="53">
        <f>ROUND($B$4*$B$9*$B$11*$B$14*$B$17*$B$19*$B$23,0)</f>
        <v/>
      </c>
      <c r="F39" s="53">
        <f>ROUND($B$4*$B$9*$B$11*$B$14*$B$17*$B$20*$B$22,0)</f>
        <v/>
      </c>
      <c r="G39" s="53">
        <f>ROUND($B$4*$B$9*$B$11*$B$14*$B$17*$B$20*$B$23,0)</f>
        <v/>
      </c>
      <c r="H39" s="53">
        <f>ROUND($B$4*$B$9*$B$11*$B$14*$B$17*$B$21*$B$22,0)</f>
        <v/>
      </c>
      <c r="I39" s="53">
        <f>ROUND($B$4*$B$9*$B$11*$B$14*$B$17*$B$21*$B$23,0)</f>
        <v/>
      </c>
      <c r="J39" s="53">
        <f>ROUND($B$4*$B$9*$B$11*$B$14*$B$18*$B$19*$B$22,0)</f>
        <v/>
      </c>
      <c r="K39" s="53">
        <f>ROUND($B$4*$B$9*$B$11*$B$14*$B$18*$B$19*$B$23,0)</f>
        <v/>
      </c>
      <c r="L39" s="53">
        <f>ROUND($B$4*$B$9*$B$11*$B$14*$B$18*$B$20*$B$22,0)</f>
        <v/>
      </c>
      <c r="M39" s="53">
        <f>ROUND($B$4*$B$9*$B$11*$B$14*$B$18*$B$20*$B$23,0)</f>
        <v/>
      </c>
      <c r="N39" s="53">
        <f>ROUND($B$4*$B$9*$B$11*$B$14*$B$18*$B$21*$B$22,0)</f>
        <v/>
      </c>
      <c r="O39" s="53">
        <f>ROUND($B$4*$B$9*$B$11*$B$14*$B$18*$B$21*$B$23,0)</f>
        <v/>
      </c>
      <c r="P39" s="53">
        <f>ROUND($B$5*$B$9*$B$11*$B$14*$B$17*$B$19*$B$22,0)</f>
        <v/>
      </c>
      <c r="Q39" s="53">
        <f>ROUND($B$5*$B$9*$B$11*$B$14*$B$17*$B$19*$B$23,0)</f>
        <v/>
      </c>
      <c r="R39" s="53">
        <f>ROUND($B$5*$B$9*$B$11*$B$14*$B$17*$B$20*$B$22,0)</f>
        <v/>
      </c>
      <c r="S39" s="53">
        <f>ROUND($B$5*$B$9*$B$11*$B$14*$B$17*$B$20*$B$23,0)</f>
        <v/>
      </c>
      <c r="T39" s="53">
        <f>ROUND($B$5*$B$9*$B$11*$B$14*$B$17*$B$21*$B$22,0)</f>
        <v/>
      </c>
      <c r="U39" s="53">
        <f>ROUND($B$5*$B$9*$B$11*$B$14*$B$17*$B$21*$B$23,0)</f>
        <v/>
      </c>
      <c r="V39" s="53">
        <f>ROUND($B$5*$B$9*$B$11*$B$14*$B$18*$B$19*$B$22,0)</f>
        <v/>
      </c>
      <c r="W39" s="53">
        <f>ROUND($B$5*$B$9*$B$11*$B$14*$B$18*$B$19*$B$23,0)</f>
        <v/>
      </c>
      <c r="X39" s="53">
        <f>ROUND($B$5*$B$9*$B$11*$B$14*$B$18*$B$20*$B$22,0)</f>
        <v/>
      </c>
      <c r="Y39" s="53">
        <f>ROUND($B$5*$B$9*$B$11*$B$14*$B$18*$B$20*$B$23,0)</f>
        <v/>
      </c>
      <c r="Z39" s="53">
        <f>ROUND($B$5*$B$9*$B$11*$B$14*$B$18*$B$21*$B$22,0)</f>
        <v/>
      </c>
      <c r="AA39" s="53">
        <f>ROUND($B$5*$B$9*$B$11*$B$14*$B$18*$B$21*$B$23,0)</f>
        <v/>
      </c>
      <c r="AB39" s="53">
        <f>ROUND($B$6*$B$9*$B$11*$B$14*$B$17*$B$19*$B$22,0)</f>
        <v/>
      </c>
      <c r="AC39" s="53">
        <f>ROUND($B$6*$B$9*$B$11*$B$14*$B$17*$B$19*$B$23,0)</f>
        <v/>
      </c>
      <c r="AD39" s="53">
        <f>ROUND($B$6*$B$9*$B$11*$B$14*$B$17*$B$20*$B$22,0)</f>
        <v/>
      </c>
      <c r="AE39" s="53">
        <f>ROUND($B$6*$B$9*$B$11*$B$14*$B$17*$B$20*$B$23,0)</f>
        <v/>
      </c>
      <c r="AF39" s="53">
        <f>ROUND($B$6*$B$9*$B$11*$B$14*$B$17*$B$21*$B$22,0)</f>
        <v/>
      </c>
      <c r="AG39" s="53">
        <f>ROUND($B$6*$B$9*$B$11*$B$14*$B$17*$B$21*$B$23,0)</f>
        <v/>
      </c>
      <c r="AH39" s="53">
        <f>ROUND($B$6*$B$9*$B$11*$B$14*$B$18*$B$19*$B$22,0)</f>
        <v/>
      </c>
      <c r="AI39" s="53">
        <f>ROUND($B$6*$B$9*$B$11*$B$14*$B$18*$B$19*$B$23,0)</f>
        <v/>
      </c>
      <c r="AJ39" s="53">
        <f>ROUND($B$6*$B$9*$B$11*$B$14*$B$18*$B$20*$B$22,0)</f>
        <v/>
      </c>
      <c r="AK39" s="53">
        <f>ROUND($B$6*$B$9*$B$11*$B$14*$B$18*$B$20*$B$23,0)</f>
        <v/>
      </c>
      <c r="AL39" s="53">
        <f>ROUND($B$6*$B$9*$B$11*$B$14*$B$18*$B$21*$B$22,0)</f>
        <v/>
      </c>
      <c r="AM39" s="53">
        <f>ROUND($B$6*$B$9*$B$11*$B$14*$B$18*$B$21*$B$23,0)</f>
        <v/>
      </c>
    </row>
    <row r="40" ht="20.1" customHeight="1" s="62">
      <c r="A40" s="104" t="n"/>
      <c r="B40" s="58" t="n"/>
      <c r="C40" s="101" t="inlineStr">
        <is>
          <t>Sécurité renforcée</t>
        </is>
      </c>
      <c r="D40" s="53">
        <f>ROUND($B$4*$B$9*$B$11*$B$15*$B$17*$B$19*$B$22,0)</f>
        <v/>
      </c>
      <c r="E40" s="53">
        <f>ROUND($B$4*$B$9*$B$11*$B$15*$B$17*$B$19*$B$23,0)</f>
        <v/>
      </c>
      <c r="F40" s="53">
        <f>ROUND($B$4*$B$9*$B$11*$B$15*$B$17*$B$20*$B$22,0)</f>
        <v/>
      </c>
      <c r="G40" s="53">
        <f>ROUND($B$4*$B$9*$B$11*$B$15*$B$17*$B$20*$B$23,0)</f>
        <v/>
      </c>
      <c r="H40" s="53">
        <f>ROUND($B$4*$B$9*$B$11*$B$15*$B$17*$B$21*$B$22,0)</f>
        <v/>
      </c>
      <c r="I40" s="53">
        <f>ROUND($B$4*$B$9*$B$11*$B$15*$B$17*$B$21*$B$23,0)</f>
        <v/>
      </c>
      <c r="J40" s="53">
        <f>ROUND($B$4*$B$9*$B$11*$B$15*$B$18*$B$19*$B$22,0)</f>
        <v/>
      </c>
      <c r="K40" s="53">
        <f>ROUND($B$4*$B$9*$B$11*$B$15*$B$18*$B$19*$B$23,0)</f>
        <v/>
      </c>
      <c r="L40" s="53">
        <f>ROUND($B$4*$B$9*$B$11*$B$15*$B$18*$B$20*$B$22,0)</f>
        <v/>
      </c>
      <c r="M40" s="53">
        <f>ROUND($B$4*$B$9*$B$11*$B$15*$B$18*$B$20*$B$23,0)</f>
        <v/>
      </c>
      <c r="N40" s="53">
        <f>ROUND($B$4*$B$9*$B$11*$B$15*$B$18*$B$21*$B$22,0)</f>
        <v/>
      </c>
      <c r="O40" s="53">
        <f>ROUND($B$4*$B$9*$B$11*$B$15*$B$18*$B$21*$B$23,0)</f>
        <v/>
      </c>
      <c r="P40" s="53">
        <f>ROUND($B$5*$B$9*$B$11*$B$15*$B$17*$B$19*$B$22,0)</f>
        <v/>
      </c>
      <c r="Q40" s="53">
        <f>ROUND($B$5*$B$9*$B$11*$B$15*$B$17*$B$19*$B$23,0)</f>
        <v/>
      </c>
      <c r="R40" s="53">
        <f>ROUND($B$5*$B$9*$B$11*$B$15*$B$17*$B$20*$B$22,0)</f>
        <v/>
      </c>
      <c r="S40" s="53">
        <f>ROUND($B$5*$B$9*$B$11*$B$15*$B$17*$B$20*$B$23,0)</f>
        <v/>
      </c>
      <c r="T40" s="53">
        <f>ROUND($B$5*$B$9*$B$11*$B$15*$B$17*$B$21*$B$22,0)</f>
        <v/>
      </c>
      <c r="U40" s="53">
        <f>ROUND($B$5*$B$9*$B$11*$B$15*$B$17*$B$21*$B$23,0)</f>
        <v/>
      </c>
      <c r="V40" s="53">
        <f>ROUND($B$5*$B$9*$B$11*$B$15*$B$18*$B$19*$B$22,0)</f>
        <v/>
      </c>
      <c r="W40" s="53">
        <f>ROUND($B$5*$B$9*$B$11*$B$15*$B$18*$B$19*$B$23,0)</f>
        <v/>
      </c>
      <c r="X40" s="53">
        <f>ROUND($B$5*$B$9*$B$11*$B$15*$B$18*$B$20*$B$22,0)</f>
        <v/>
      </c>
      <c r="Y40" s="53">
        <f>ROUND($B$5*$B$9*$B$11*$B$15*$B$18*$B$20*$B$23,0)</f>
        <v/>
      </c>
      <c r="Z40" s="53">
        <f>ROUND($B$5*$B$9*$B$11*$B$15*$B$18*$B$21*$B$22,0)</f>
        <v/>
      </c>
      <c r="AA40" s="53">
        <f>ROUND($B$5*$B$9*$B$11*$B$15*$B$18*$B$21*$B$23,0)</f>
        <v/>
      </c>
      <c r="AB40" s="53">
        <f>ROUND($B$6*$B$9*$B$11*$B$15*$B$17*$B$19*$B$22,0)</f>
        <v/>
      </c>
      <c r="AC40" s="53">
        <f>ROUND($B$6*$B$9*$B$11*$B$15*$B$17*$B$19*$B$23,0)</f>
        <v/>
      </c>
      <c r="AD40" s="53">
        <f>ROUND($B$6*$B$9*$B$11*$B$15*$B$17*$B$20*$B$22,0)</f>
        <v/>
      </c>
      <c r="AE40" s="53">
        <f>ROUND($B$6*$B$9*$B$11*$B$15*$B$17*$B$20*$B$23,0)</f>
        <v/>
      </c>
      <c r="AF40" s="53">
        <f>ROUND($B$6*$B$9*$B$11*$B$15*$B$17*$B$21*$B$22,0)</f>
        <v/>
      </c>
      <c r="AG40" s="53">
        <f>ROUND($B$6*$B$9*$B$11*$B$15*$B$17*$B$21*$B$23,0)</f>
        <v/>
      </c>
      <c r="AH40" s="53">
        <f>ROUND($B$6*$B$9*$B$11*$B$15*$B$18*$B$19*$B$22,0)</f>
        <v/>
      </c>
      <c r="AI40" s="53">
        <f>ROUND($B$6*$B$9*$B$11*$B$15*$B$18*$B$19*$B$23,0)</f>
        <v/>
      </c>
      <c r="AJ40" s="53">
        <f>ROUND($B$6*$B$9*$B$11*$B$15*$B$18*$B$20*$B$22,0)</f>
        <v/>
      </c>
      <c r="AK40" s="53">
        <f>ROUND($B$6*$B$9*$B$11*$B$15*$B$18*$B$20*$B$23,0)</f>
        <v/>
      </c>
      <c r="AL40" s="53">
        <f>ROUND($B$6*$B$9*$B$11*$B$15*$B$18*$B$21*$B$22,0)</f>
        <v/>
      </c>
      <c r="AM40" s="53">
        <f>ROUND($B$6*$B$9*$B$11*$B$15*$B$18*$B$21*$B$23,0)</f>
        <v/>
      </c>
    </row>
    <row r="41" ht="20.1" customHeight="1" s="62">
      <c r="A41" s="104" t="n"/>
      <c r="B41" s="59" t="n"/>
      <c r="C41" s="51" t="inlineStr">
        <is>
          <t>Sécurité critique</t>
        </is>
      </c>
      <c r="D41" s="53">
        <f>ROUND($B$4*$B$9*$B$11*$B$16*$B$17*$B$19*$B$22,0)</f>
        <v/>
      </c>
      <c r="E41" s="53">
        <f>ROUND($B$4*$B$9*$B$11*$B$16*$B$17*$B$19*$B$23,0)</f>
        <v/>
      </c>
      <c r="F41" s="53">
        <f>ROUND($B$4*$B$9*$B$11*$B$16*$B$17*$B$20*$B$22,0)</f>
        <v/>
      </c>
      <c r="G41" s="53">
        <f>ROUND($B$4*$B$9*$B$11*$B$16*$B$17*$B$20*$B$23,0)</f>
        <v/>
      </c>
      <c r="H41" s="53">
        <f>ROUND($B$4*$B$9*$B$11*$B$16*$B$17*$B$21*$B$22,0)</f>
        <v/>
      </c>
      <c r="I41" s="53">
        <f>ROUND($B$4*$B$9*$B$11*$B$16*$B$17*$B$21*$B$23,0)</f>
        <v/>
      </c>
      <c r="J41" s="53">
        <f>ROUND($B$4*$B$9*$B$11*$B$16*$B$18*$B$19*$B$22,0)</f>
        <v/>
      </c>
      <c r="K41" s="53">
        <f>ROUND($B$4*$B$9*$B$11*$B$16*$B$18*$B$19*$B$23,0)</f>
        <v/>
      </c>
      <c r="L41" s="53">
        <f>ROUND($B$4*$B$9*$B$11*$B$16*$B$18*$B$20*$B$22,0)</f>
        <v/>
      </c>
      <c r="M41" s="53">
        <f>ROUND($B$4*$B$9*$B$11*$B$16*$B$18*$B$20*$B$23,0)</f>
        <v/>
      </c>
      <c r="N41" s="53">
        <f>ROUND($B$4*$B$9*$B$11*$B$16*$B$18*$B$21*$B$22,0)</f>
        <v/>
      </c>
      <c r="O41" s="53">
        <f>ROUND($B$4*$B$9*$B$11*$B$16*$B$18*$B$21*$B$23,0)</f>
        <v/>
      </c>
      <c r="P41" s="53">
        <f>ROUND($B$5*$B$9*$B$11*$B$16*$B$17*$B$19*$B$22,0)</f>
        <v/>
      </c>
      <c r="Q41" s="53">
        <f>ROUND($B$5*$B$9*$B$11*$B$16*$B$17*$B$19*$B$23,0)</f>
        <v/>
      </c>
      <c r="R41" s="53">
        <f>ROUND($B$5*$B$9*$B$11*$B$16*$B$17*$B$20*$B$22,0)</f>
        <v/>
      </c>
      <c r="S41" s="53">
        <f>ROUND($B$5*$B$9*$B$11*$B$16*$B$17*$B$20*$B$23,0)</f>
        <v/>
      </c>
      <c r="T41" s="53">
        <f>ROUND($B$5*$B$9*$B$11*$B$16*$B$17*$B$21*$B$22,0)</f>
        <v/>
      </c>
      <c r="U41" s="53">
        <f>ROUND($B$5*$B$9*$B$11*$B$16*$B$17*$B$21*$B$23,0)</f>
        <v/>
      </c>
      <c r="V41" s="53">
        <f>ROUND($B$5*$B$9*$B$11*$B$16*$B$18*$B$19*$B$22,0)</f>
        <v/>
      </c>
      <c r="W41" s="53">
        <f>ROUND($B$5*$B$9*$B$11*$B$16*$B$18*$B$19*$B$23,0)</f>
        <v/>
      </c>
      <c r="X41" s="53">
        <f>ROUND($B$5*$B$9*$B$11*$B$16*$B$18*$B$20*$B$22,0)</f>
        <v/>
      </c>
      <c r="Y41" s="53">
        <f>ROUND($B$5*$B$9*$B$11*$B$16*$B$18*$B$20*$B$23,0)</f>
        <v/>
      </c>
      <c r="Z41" s="53">
        <f>ROUND($B$5*$B$9*$B$11*$B$16*$B$18*$B$21*$B$22,0)</f>
        <v/>
      </c>
      <c r="AA41" s="53">
        <f>ROUND($B$5*$B$9*$B$11*$B$16*$B$18*$B$21*$B$23,0)</f>
        <v/>
      </c>
      <c r="AB41" s="53">
        <f>ROUND($B$6*$B$9*$B$11*$B$16*$B$17*$B$19*$B$22,0)</f>
        <v/>
      </c>
      <c r="AC41" s="53">
        <f>ROUND($B$6*$B$9*$B$11*$B$16*$B$17*$B$19*$B$23,0)</f>
        <v/>
      </c>
      <c r="AD41" s="53">
        <f>ROUND($B$6*$B$9*$B$11*$B$16*$B$17*$B$20*$B$22,0)</f>
        <v/>
      </c>
      <c r="AE41" s="53">
        <f>ROUND($B$6*$B$9*$B$11*$B$16*$B$17*$B$20*$B$23,0)</f>
        <v/>
      </c>
      <c r="AF41" s="53">
        <f>ROUND($B$6*$B$9*$B$11*$B$16*$B$17*$B$21*$B$22,0)</f>
        <v/>
      </c>
      <c r="AG41" s="53">
        <f>ROUND($B$6*$B$9*$B$11*$B$16*$B$17*$B$21*$B$23,0)</f>
        <v/>
      </c>
      <c r="AH41" s="53">
        <f>ROUND($B$6*$B$9*$B$11*$B$16*$B$18*$B$19*$B$22,0)</f>
        <v/>
      </c>
      <c r="AI41" s="53">
        <f>ROUND($B$6*$B$9*$B$11*$B$16*$B$18*$B$19*$B$23,0)</f>
        <v/>
      </c>
      <c r="AJ41" s="53">
        <f>ROUND($B$6*$B$9*$B$11*$B$16*$B$18*$B$20*$B$22,0)</f>
        <v/>
      </c>
      <c r="AK41" s="53">
        <f>ROUND($B$6*$B$9*$B$11*$B$16*$B$18*$B$20*$B$23,0)</f>
        <v/>
      </c>
      <c r="AL41" s="53">
        <f>ROUND($B$6*$B$9*$B$11*$B$16*$B$18*$B$21*$B$22,0)</f>
        <v/>
      </c>
      <c r="AM41" s="53">
        <f>ROUND($B$6*$B$9*$B$11*$B$16*$B$18*$B$21*$B$23,0)</f>
        <v/>
      </c>
    </row>
    <row r="42" ht="20.1" customHeight="1" s="62">
      <c r="A42" s="104" t="n"/>
      <c r="B42" s="101" t="inlineStr">
        <is>
          <t>Infrastructure dédiée</t>
        </is>
      </c>
      <c r="C42" s="49" t="inlineStr">
        <is>
          <t>Sécurité standard</t>
        </is>
      </c>
      <c r="D42" s="53">
        <f>ROUND($B$4*$B$9*$B$12*$B$14*$B$17*$B$19*$B$22,0)</f>
        <v/>
      </c>
      <c r="E42" s="53">
        <f>ROUND($B$4*$B$9*$B$12*$B$14*$B$17*$B$19*$B$23,0)</f>
        <v/>
      </c>
      <c r="F42" s="53">
        <f>ROUND($B$4*$B$9*$B$12*$B$14*$B$17*$B$20*$B$22,0)</f>
        <v/>
      </c>
      <c r="G42" s="53">
        <f>ROUND($B$4*$B$9*$B$12*$B$14*$B$17*$B$20*$B$23,0)</f>
        <v/>
      </c>
      <c r="H42" s="53">
        <f>ROUND($B$4*$B$9*$B$12*$B$14*$B$17*$B$21*$B$22,0)</f>
        <v/>
      </c>
      <c r="I42" s="53">
        <f>ROUND($B$4*$B$9*$B$12*$B$14*$B$17*$B$21*$B$23,0)</f>
        <v/>
      </c>
      <c r="J42" s="53">
        <f>ROUND($B$4*$B$9*$B$12*$B$14*$B$18*$B$19*$B$22,0)</f>
        <v/>
      </c>
      <c r="K42" s="53">
        <f>ROUND($B$4*$B$9*$B$12*$B$14*$B$18*$B$19*$B$23,0)</f>
        <v/>
      </c>
      <c r="L42" s="53">
        <f>ROUND($B$4*$B$9*$B$12*$B$14*$B$18*$B$20*$B$22,0)</f>
        <v/>
      </c>
      <c r="M42" s="53">
        <f>ROUND($B$4*$B$9*$B$12*$B$14*$B$18*$B$20*$B$23,0)</f>
        <v/>
      </c>
      <c r="N42" s="53">
        <f>ROUND($B$4*$B$9*$B$12*$B$14*$B$18*$B$21*$B$22,0)</f>
        <v/>
      </c>
      <c r="O42" s="53">
        <f>ROUND($B$4*$B$9*$B$12*$B$14*$B$18*$B$21*$B$23,0)</f>
        <v/>
      </c>
      <c r="P42" s="53">
        <f>ROUND($B$5*$B$9*$B$12*$B$14*$B$17*$B$19*$B$22,0)</f>
        <v/>
      </c>
      <c r="Q42" s="53">
        <f>ROUND($B$5*$B$9*$B$12*$B$14*$B$17*$B$19*$B$23,0)</f>
        <v/>
      </c>
      <c r="R42" s="53">
        <f>ROUND($B$5*$B$9*$B$12*$B$14*$B$17*$B$20*$B$22,0)</f>
        <v/>
      </c>
      <c r="S42" s="53">
        <f>ROUND($B$5*$B$9*$B$12*$B$14*$B$17*$B$20*$B$23,0)</f>
        <v/>
      </c>
      <c r="T42" s="53">
        <f>ROUND($B$5*$B$9*$B$12*$B$14*$B$17*$B$21*$B$22,0)</f>
        <v/>
      </c>
      <c r="U42" s="53">
        <f>ROUND($B$5*$B$9*$B$12*$B$14*$B$17*$B$21*$B$23,0)</f>
        <v/>
      </c>
      <c r="V42" s="53">
        <f>ROUND($B$5*$B$9*$B$12*$B$14*$B$18*$B$19*$B$22,0)</f>
        <v/>
      </c>
      <c r="W42" s="53">
        <f>ROUND($B$5*$B$9*$B$12*$B$14*$B$18*$B$19*$B$23,0)</f>
        <v/>
      </c>
      <c r="X42" s="53">
        <f>ROUND($B$5*$B$9*$B$12*$B$14*$B$18*$B$20*$B$22,0)</f>
        <v/>
      </c>
      <c r="Y42" s="53">
        <f>ROUND($B$5*$B$9*$B$12*$B$14*$B$18*$B$20*$B$23,0)</f>
        <v/>
      </c>
      <c r="Z42" s="53">
        <f>ROUND($B$5*$B$9*$B$12*$B$14*$B$18*$B$21*$B$22,0)</f>
        <v/>
      </c>
      <c r="AA42" s="53">
        <f>ROUND($B$5*$B$9*$B$12*$B$14*$B$18*$B$21*$B$23,0)</f>
        <v/>
      </c>
      <c r="AB42" s="53">
        <f>ROUND($B$6*$B$9*$B$12*$B$14*$B$17*$B$19*$B$22,0)</f>
        <v/>
      </c>
      <c r="AC42" s="53">
        <f>ROUND($B$6*$B$9*$B$12*$B$14*$B$17*$B$19*$B$23,0)</f>
        <v/>
      </c>
      <c r="AD42" s="53">
        <f>ROUND($B$6*$B$9*$B$12*$B$14*$B$17*$B$20*$B$22,0)</f>
        <v/>
      </c>
      <c r="AE42" s="53">
        <f>ROUND($B$6*$B$9*$B$12*$B$14*$B$17*$B$20*$B$23,0)</f>
        <v/>
      </c>
      <c r="AF42" s="53">
        <f>ROUND($B$6*$B$9*$B$12*$B$14*$B$17*$B$21*$B$22,0)</f>
        <v/>
      </c>
      <c r="AG42" s="53">
        <f>ROUND($B$6*$B$9*$B$12*$B$14*$B$17*$B$21*$B$23,0)</f>
        <v/>
      </c>
      <c r="AH42" s="53">
        <f>ROUND($B$6*$B$9*$B$12*$B$14*$B$18*$B$19*$B$22,0)</f>
        <v/>
      </c>
      <c r="AI42" s="53">
        <f>ROUND($B$6*$B$9*$B$12*$B$14*$B$18*$B$19*$B$23,0)</f>
        <v/>
      </c>
      <c r="AJ42" s="53">
        <f>ROUND($B$6*$B$9*$B$12*$B$14*$B$18*$B$20*$B$22,0)</f>
        <v/>
      </c>
      <c r="AK42" s="53">
        <f>ROUND($B$6*$B$9*$B$12*$B$14*$B$18*$B$20*$B$23,0)</f>
        <v/>
      </c>
      <c r="AL42" s="53">
        <f>ROUND($B$6*$B$9*$B$12*$B$14*$B$18*$B$21*$B$22,0)</f>
        <v/>
      </c>
      <c r="AM42" s="53">
        <f>ROUND($B$6*$B$9*$B$12*$B$14*$B$18*$B$21*$B$23,0)</f>
        <v/>
      </c>
    </row>
    <row r="43" ht="20.1" customHeight="1" s="62">
      <c r="A43" s="104" t="n"/>
      <c r="B43" s="58" t="n"/>
      <c r="C43" s="101" t="inlineStr">
        <is>
          <t>Sécurité renforcée</t>
        </is>
      </c>
      <c r="D43" s="53">
        <f>ROUND($B$4*$B$9*$B$12*$B$15*$B$17*$B$19*$B$22,0)</f>
        <v/>
      </c>
      <c r="E43" s="53">
        <f>ROUND($B$4*$B$9*$B$12*$B$15*$B$17*$B$19*$B$23,0)</f>
        <v/>
      </c>
      <c r="F43" s="53">
        <f>ROUND($B$4*$B$9*$B$12*$B$15*$B$17*$B$20*$B$22,0)</f>
        <v/>
      </c>
      <c r="G43" s="53">
        <f>ROUND($B$4*$B$9*$B$12*$B$15*$B$17*$B$20*$B$23,0)</f>
        <v/>
      </c>
      <c r="H43" s="53">
        <f>ROUND($B$4*$B$9*$B$12*$B$15*$B$17*$B$21*$B$22,0)</f>
        <v/>
      </c>
      <c r="I43" s="53">
        <f>ROUND($B$4*$B$9*$B$12*$B$15*$B$17*$B$21*$B$23,0)</f>
        <v/>
      </c>
      <c r="J43" s="53">
        <f>ROUND($B$4*$B$9*$B$12*$B$15*$B$18*$B$19*$B$22,0)</f>
        <v/>
      </c>
      <c r="K43" s="53">
        <f>ROUND($B$4*$B$9*$B$12*$B$15*$B$18*$B$19*$B$23,0)</f>
        <v/>
      </c>
      <c r="L43" s="53">
        <f>ROUND($B$4*$B$9*$B$12*$B$15*$B$18*$B$20*$B$22,0)</f>
        <v/>
      </c>
      <c r="M43" s="53">
        <f>ROUND($B$4*$B$9*$B$12*$B$15*$B$18*$B$20*$B$23,0)</f>
        <v/>
      </c>
      <c r="N43" s="53">
        <f>ROUND($B$4*$B$9*$B$12*$B$15*$B$18*$B$21*$B$22,0)</f>
        <v/>
      </c>
      <c r="O43" s="53">
        <f>ROUND($B$4*$B$9*$B$12*$B$15*$B$18*$B$21*$B$23,0)</f>
        <v/>
      </c>
      <c r="P43" s="53">
        <f>ROUND($B$5*$B$9*$B$12*$B$15*$B$17*$B$19*$B$22,0)</f>
        <v/>
      </c>
      <c r="Q43" s="53">
        <f>ROUND($B$5*$B$9*$B$12*$B$15*$B$17*$B$19*$B$23,0)</f>
        <v/>
      </c>
      <c r="R43" s="53">
        <f>ROUND($B$5*$B$9*$B$12*$B$15*$B$17*$B$20*$B$22,0)</f>
        <v/>
      </c>
      <c r="S43" s="53">
        <f>ROUND($B$5*$B$9*$B$12*$B$15*$B$17*$B$20*$B$23,0)</f>
        <v/>
      </c>
      <c r="T43" s="53">
        <f>ROUND($B$5*$B$9*$B$12*$B$15*$B$17*$B$21*$B$22,0)</f>
        <v/>
      </c>
      <c r="U43" s="53">
        <f>ROUND($B$5*$B$9*$B$12*$B$15*$B$17*$B$21*$B$23,0)</f>
        <v/>
      </c>
      <c r="V43" s="53">
        <f>ROUND($B$5*$B$9*$B$12*$B$15*$B$18*$B$19*$B$22,0)</f>
        <v/>
      </c>
      <c r="W43" s="53">
        <f>ROUND($B$5*$B$9*$B$12*$B$15*$B$18*$B$19*$B$23,0)</f>
        <v/>
      </c>
      <c r="X43" s="53">
        <f>ROUND($B$5*$B$9*$B$12*$B$15*$B$18*$B$20*$B$22,0)</f>
        <v/>
      </c>
      <c r="Y43" s="53">
        <f>ROUND($B$5*$B$9*$B$12*$B$15*$B$18*$B$20*$B$23,0)</f>
        <v/>
      </c>
      <c r="Z43" s="53">
        <f>ROUND($B$5*$B$9*$B$12*$B$15*$B$18*$B$21*$B$22,0)</f>
        <v/>
      </c>
      <c r="AA43" s="53">
        <f>ROUND($B$5*$B$9*$B$12*$B$15*$B$18*$B$21*$B$23,0)</f>
        <v/>
      </c>
      <c r="AB43" s="53">
        <f>ROUND($B$6*$B$9*$B$12*$B$15*$B$17*$B$19*$B$22,0)</f>
        <v/>
      </c>
      <c r="AC43" s="53">
        <f>ROUND($B$6*$B$9*$B$12*$B$15*$B$17*$B$19*$B$23,0)</f>
        <v/>
      </c>
      <c r="AD43" s="53">
        <f>ROUND($B$6*$B$9*$B$12*$B$15*$B$17*$B$20*$B$22,0)</f>
        <v/>
      </c>
      <c r="AE43" s="53">
        <f>ROUND($B$6*$B$9*$B$12*$B$15*$B$17*$B$20*$B$23,0)</f>
        <v/>
      </c>
      <c r="AF43" s="53">
        <f>ROUND($B$6*$B$9*$B$12*$B$15*$B$17*$B$21*$B$22,0)</f>
        <v/>
      </c>
      <c r="AG43" s="53">
        <f>ROUND($B$6*$B$9*$B$12*$B$15*$B$17*$B$21*$B$23,0)</f>
        <v/>
      </c>
      <c r="AH43" s="53">
        <f>ROUND($B$6*$B$9*$B$12*$B$15*$B$18*$B$19*$B$22,0)</f>
        <v/>
      </c>
      <c r="AI43" s="53">
        <f>ROUND($B$6*$B$9*$B$12*$B$15*$B$18*$B$19*$B$23,0)</f>
        <v/>
      </c>
      <c r="AJ43" s="53">
        <f>ROUND($B$6*$B$9*$B$12*$B$15*$B$18*$B$20*$B$22,0)</f>
        <v/>
      </c>
      <c r="AK43" s="53">
        <f>ROUND($B$6*$B$9*$B$12*$B$15*$B$18*$B$20*$B$23,0)</f>
        <v/>
      </c>
      <c r="AL43" s="53">
        <f>ROUND($B$6*$B$9*$B$12*$B$15*$B$18*$B$21*$B$22,0)</f>
        <v/>
      </c>
      <c r="AM43" s="53">
        <f>ROUND($B$6*$B$9*$B$12*$B$15*$B$18*$B$21*$B$23,0)</f>
        <v/>
      </c>
    </row>
    <row r="44" ht="20.1" customHeight="1" s="62">
      <c r="A44" s="104" t="n"/>
      <c r="B44" s="59" t="n"/>
      <c r="C44" s="51" t="inlineStr">
        <is>
          <t>Sécurité critique</t>
        </is>
      </c>
      <c r="D44" s="53">
        <f>ROUND($B$4*$B$9*$B$12*$B$16*$B$17*$B$19*$B$22,0)</f>
        <v/>
      </c>
      <c r="E44" s="53">
        <f>ROUND($B$4*$B$9*$B$12*$B$16*$B$17*$B$19*$B$23,0)</f>
        <v/>
      </c>
      <c r="F44" s="53">
        <f>ROUND($B$4*$B$9*$B$12*$B$16*$B$17*$B$20*$B$22,0)</f>
        <v/>
      </c>
      <c r="G44" s="53">
        <f>ROUND($B$4*$B$9*$B$12*$B$16*$B$17*$B$20*$B$23,0)</f>
        <v/>
      </c>
      <c r="H44" s="53">
        <f>ROUND($B$4*$B$9*$B$12*$B$16*$B$17*$B$21*$B$22,0)</f>
        <v/>
      </c>
      <c r="I44" s="53">
        <f>ROUND($B$4*$B$9*$B$12*$B$16*$B$17*$B$21*$B$23,0)</f>
        <v/>
      </c>
      <c r="J44" s="53">
        <f>ROUND($B$4*$B$9*$B$12*$B$16*$B$18*$B$19*$B$22,0)</f>
        <v/>
      </c>
      <c r="K44" s="53">
        <f>ROUND($B$4*$B$9*$B$12*$B$16*$B$18*$B$19*$B$23,0)</f>
        <v/>
      </c>
      <c r="L44" s="53">
        <f>ROUND($B$4*$B$9*$B$12*$B$16*$B$18*$B$20*$B$22,0)</f>
        <v/>
      </c>
      <c r="M44" s="53">
        <f>ROUND($B$4*$B$9*$B$12*$B$16*$B$18*$B$20*$B$23,0)</f>
        <v/>
      </c>
      <c r="N44" s="53">
        <f>ROUND($B$4*$B$9*$B$12*$B$16*$B$18*$B$21*$B$22,0)</f>
        <v/>
      </c>
      <c r="O44" s="53">
        <f>ROUND($B$4*$B$9*$B$12*$B$16*$B$18*$B$21*$B$23,0)</f>
        <v/>
      </c>
      <c r="P44" s="53">
        <f>ROUND($B$5*$B$9*$B$12*$B$16*$B$17*$B$19*$B$22,0)</f>
        <v/>
      </c>
      <c r="Q44" s="53">
        <f>ROUND($B$5*$B$9*$B$12*$B$16*$B$17*$B$19*$B$23,0)</f>
        <v/>
      </c>
      <c r="R44" s="53">
        <f>ROUND($B$5*$B$9*$B$12*$B$16*$B$17*$B$20*$B$22,0)</f>
        <v/>
      </c>
      <c r="S44" s="53">
        <f>ROUND($B$5*$B$9*$B$12*$B$16*$B$17*$B$20*$B$23,0)</f>
        <v/>
      </c>
      <c r="T44" s="53">
        <f>ROUND($B$5*$B$9*$B$12*$B$16*$B$17*$B$21*$B$22,0)</f>
        <v/>
      </c>
      <c r="U44" s="53">
        <f>ROUND($B$5*$B$9*$B$12*$B$16*$B$17*$B$21*$B$23,0)</f>
        <v/>
      </c>
      <c r="V44" s="53">
        <f>ROUND($B$5*$B$9*$B$12*$B$16*$B$18*$B$19*$B$22,0)</f>
        <v/>
      </c>
      <c r="W44" s="53">
        <f>ROUND($B$5*$B$9*$B$12*$B$16*$B$18*$B$19*$B$23,0)</f>
        <v/>
      </c>
      <c r="X44" s="53">
        <f>ROUND($B$5*$B$9*$B$12*$B$16*$B$18*$B$20*$B$22,0)</f>
        <v/>
      </c>
      <c r="Y44" s="53">
        <f>ROUND($B$5*$B$9*$B$12*$B$16*$B$18*$B$20*$B$23,0)</f>
        <v/>
      </c>
      <c r="Z44" s="53">
        <f>ROUND($B$5*$B$9*$B$12*$B$16*$B$18*$B$21*$B$22,0)</f>
        <v/>
      </c>
      <c r="AA44" s="53">
        <f>ROUND($B$5*$B$9*$B$12*$B$16*$B$18*$B$21*$B$23,0)</f>
        <v/>
      </c>
      <c r="AB44" s="53">
        <f>ROUND($B$6*$B$9*$B$12*$B$16*$B$17*$B$19*$B$22,0)</f>
        <v/>
      </c>
      <c r="AC44" s="53">
        <f>ROUND($B$6*$B$9*$B$12*$B$16*$B$17*$B$19*$B$23,0)</f>
        <v/>
      </c>
      <c r="AD44" s="53">
        <f>ROUND($B$6*$B$9*$B$12*$B$16*$B$17*$B$20*$B$22,0)</f>
        <v/>
      </c>
      <c r="AE44" s="53">
        <f>ROUND($B$6*$B$9*$B$12*$B$16*$B$17*$B$20*$B$23,0)</f>
        <v/>
      </c>
      <c r="AF44" s="53">
        <f>ROUND($B$6*$B$9*$B$12*$B$16*$B$17*$B$21*$B$22,0)</f>
        <v/>
      </c>
      <c r="AG44" s="53">
        <f>ROUND($B$6*$B$9*$B$12*$B$16*$B$17*$B$21*$B$23,0)</f>
        <v/>
      </c>
      <c r="AH44" s="53">
        <f>ROUND($B$6*$B$9*$B$12*$B$16*$B$18*$B$19*$B$22,0)</f>
        <v/>
      </c>
      <c r="AI44" s="53">
        <f>ROUND($B$6*$B$9*$B$12*$B$16*$B$18*$B$19*$B$23,0)</f>
        <v/>
      </c>
      <c r="AJ44" s="53">
        <f>ROUND($B$6*$B$9*$B$12*$B$16*$B$18*$B$20*$B$22,0)</f>
        <v/>
      </c>
      <c r="AK44" s="53">
        <f>ROUND($B$6*$B$9*$B$12*$B$16*$B$18*$B$20*$B$23,0)</f>
        <v/>
      </c>
      <c r="AL44" s="53">
        <f>ROUND($B$6*$B$9*$B$12*$B$16*$B$18*$B$21*$B$22,0)</f>
        <v/>
      </c>
      <c r="AM44" s="53">
        <f>ROUND($B$6*$B$9*$B$12*$B$16*$B$18*$B$21*$B$23,0)</f>
        <v/>
      </c>
    </row>
    <row r="45" ht="20.1" customHeight="1" s="62">
      <c r="A45" s="104" t="n"/>
      <c r="B45" s="101" t="inlineStr">
        <is>
          <t>Cloud / Hybride</t>
        </is>
      </c>
      <c r="C45" s="49" t="inlineStr">
        <is>
          <t>Sécurité standard</t>
        </is>
      </c>
      <c r="D45" s="53">
        <f>ROUND($B$4*$B$9*$B$13*$B$14*$B$17*$B$19*$B$22,0)</f>
        <v/>
      </c>
      <c r="E45" s="53">
        <f>ROUND($B$4*$B$9*$B$13*$B$14*$B$17*$B$19*$B$23,0)</f>
        <v/>
      </c>
      <c r="F45" s="53">
        <f>ROUND($B$4*$B$9*$B$13*$B$14*$B$17*$B$20*$B$22,0)</f>
        <v/>
      </c>
      <c r="G45" s="53">
        <f>ROUND($B$4*$B$9*$B$13*$B$14*$B$17*$B$20*$B$23,0)</f>
        <v/>
      </c>
      <c r="H45" s="53">
        <f>ROUND($B$4*$B$9*$B$13*$B$14*$B$17*$B$21*$B$22,0)</f>
        <v/>
      </c>
      <c r="I45" s="53">
        <f>ROUND($B$4*$B$9*$B$13*$B$14*$B$17*$B$21*$B$23,0)</f>
        <v/>
      </c>
      <c r="J45" s="53">
        <f>ROUND($B$4*$B$9*$B$13*$B$14*$B$18*$B$19*$B$22,0)</f>
        <v/>
      </c>
      <c r="K45" s="53">
        <f>ROUND($B$4*$B$9*$B$13*$B$14*$B$18*$B$19*$B$23,0)</f>
        <v/>
      </c>
      <c r="L45" s="53">
        <f>ROUND($B$4*$B$9*$B$13*$B$14*$B$18*$B$20*$B$22,0)</f>
        <v/>
      </c>
      <c r="M45" s="53">
        <f>ROUND($B$4*$B$9*$B$13*$B$14*$B$18*$B$20*$B$23,0)</f>
        <v/>
      </c>
      <c r="N45" s="53">
        <f>ROUND($B$4*$B$9*$B$13*$B$14*$B$18*$B$21*$B$22,0)</f>
        <v/>
      </c>
      <c r="O45" s="53">
        <f>ROUND($B$4*$B$9*$B$13*$B$14*$B$18*$B$21*$B$23,0)</f>
        <v/>
      </c>
      <c r="P45" s="53">
        <f>ROUND($B$5*$B$9*$B$13*$B$14*$B$17*$B$19*$B$22,0)</f>
        <v/>
      </c>
      <c r="Q45" s="53">
        <f>ROUND($B$5*$B$9*$B$13*$B$14*$B$17*$B$19*$B$23,0)</f>
        <v/>
      </c>
      <c r="R45" s="53">
        <f>ROUND($B$5*$B$9*$B$13*$B$14*$B$17*$B$20*$B$22,0)</f>
        <v/>
      </c>
      <c r="S45" s="53">
        <f>ROUND($B$5*$B$9*$B$13*$B$14*$B$17*$B$20*$B$23,0)</f>
        <v/>
      </c>
      <c r="T45" s="53">
        <f>ROUND($B$5*$B$9*$B$13*$B$14*$B$17*$B$21*$B$22,0)</f>
        <v/>
      </c>
      <c r="U45" s="53">
        <f>ROUND($B$5*$B$9*$B$13*$B$14*$B$17*$B$21*$B$23,0)</f>
        <v/>
      </c>
      <c r="V45" s="53">
        <f>ROUND($B$5*$B$9*$B$13*$B$14*$B$18*$B$19*$B$22,0)</f>
        <v/>
      </c>
      <c r="W45" s="53">
        <f>ROUND($B$5*$B$9*$B$13*$B$14*$B$18*$B$19*$B$23,0)</f>
        <v/>
      </c>
      <c r="X45" s="53">
        <f>ROUND($B$5*$B$9*$B$13*$B$14*$B$18*$B$20*$B$22,0)</f>
        <v/>
      </c>
      <c r="Y45" s="53">
        <f>ROUND($B$5*$B$9*$B$13*$B$14*$B$18*$B$20*$B$23,0)</f>
        <v/>
      </c>
      <c r="Z45" s="53">
        <f>ROUND($B$5*$B$9*$B$13*$B$14*$B$18*$B$21*$B$22,0)</f>
        <v/>
      </c>
      <c r="AA45" s="53">
        <f>ROUND($B$5*$B$9*$B$13*$B$14*$B$18*$B$21*$B$23,0)</f>
        <v/>
      </c>
      <c r="AB45" s="53">
        <f>ROUND($B$6*$B$9*$B$13*$B$14*$B$17*$B$19*$B$22,0)</f>
        <v/>
      </c>
      <c r="AC45" s="53">
        <f>ROUND($B$6*$B$9*$B$13*$B$14*$B$17*$B$19*$B$23,0)</f>
        <v/>
      </c>
      <c r="AD45" s="53">
        <f>ROUND($B$6*$B$9*$B$13*$B$14*$B$17*$B$20*$B$22,0)</f>
        <v/>
      </c>
      <c r="AE45" s="53">
        <f>ROUND($B$6*$B$9*$B$13*$B$14*$B$17*$B$20*$B$23,0)</f>
        <v/>
      </c>
      <c r="AF45" s="53">
        <f>ROUND($B$6*$B$9*$B$13*$B$14*$B$17*$B$21*$B$22,0)</f>
        <v/>
      </c>
      <c r="AG45" s="53">
        <f>ROUND($B$6*$B$9*$B$13*$B$14*$B$17*$B$21*$B$23,0)</f>
        <v/>
      </c>
      <c r="AH45" s="53">
        <f>ROUND($B$6*$B$9*$B$13*$B$14*$B$18*$B$19*$B$22,0)</f>
        <v/>
      </c>
      <c r="AI45" s="53">
        <f>ROUND($B$6*$B$9*$B$13*$B$14*$B$18*$B$19*$B$23,0)</f>
        <v/>
      </c>
      <c r="AJ45" s="53">
        <f>ROUND($B$6*$B$9*$B$13*$B$14*$B$18*$B$20*$B$22,0)</f>
        <v/>
      </c>
      <c r="AK45" s="53">
        <f>ROUND($B$6*$B$9*$B$13*$B$14*$B$18*$B$20*$B$23,0)</f>
        <v/>
      </c>
      <c r="AL45" s="53">
        <f>ROUND($B$6*$B$9*$B$13*$B$14*$B$18*$B$21*$B$22,0)</f>
        <v/>
      </c>
      <c r="AM45" s="53">
        <f>ROUND($B$6*$B$9*$B$13*$B$14*$B$18*$B$21*$B$23,0)</f>
        <v/>
      </c>
    </row>
    <row r="46" ht="20.1" customHeight="1" s="62">
      <c r="A46" s="104" t="n"/>
      <c r="B46" s="58" t="n"/>
      <c r="C46" s="101" t="inlineStr">
        <is>
          <t>Sécurité renforcée</t>
        </is>
      </c>
      <c r="D46" s="53">
        <f>ROUND($B$4*$B$9*$B$13*$B$15*$B$17*$B$19*$B$22,0)</f>
        <v/>
      </c>
      <c r="E46" s="53">
        <f>ROUND($B$4*$B$9*$B$13*$B$15*$B$17*$B$19*$B$23,0)</f>
        <v/>
      </c>
      <c r="F46" s="53">
        <f>ROUND($B$4*$B$9*$B$13*$B$15*$B$17*$B$20*$B$22,0)</f>
        <v/>
      </c>
      <c r="G46" s="53">
        <f>ROUND($B$4*$B$9*$B$13*$B$15*$B$17*$B$20*$B$23,0)</f>
        <v/>
      </c>
      <c r="H46" s="53">
        <f>ROUND($B$4*$B$9*$B$13*$B$15*$B$17*$B$21*$B$22,0)</f>
        <v/>
      </c>
      <c r="I46" s="53">
        <f>ROUND($B$4*$B$9*$B$13*$B$15*$B$17*$B$21*$B$23,0)</f>
        <v/>
      </c>
      <c r="J46" s="53">
        <f>ROUND($B$4*$B$9*$B$13*$B$15*$B$18*$B$19*$B$22,0)</f>
        <v/>
      </c>
      <c r="K46" s="53">
        <f>ROUND($B$4*$B$9*$B$13*$B$15*$B$18*$B$19*$B$23,0)</f>
        <v/>
      </c>
      <c r="L46" s="53">
        <f>ROUND($B$4*$B$9*$B$13*$B$15*$B$18*$B$20*$B$22,0)</f>
        <v/>
      </c>
      <c r="M46" s="53">
        <f>ROUND($B$4*$B$9*$B$13*$B$15*$B$18*$B$20*$B$23,0)</f>
        <v/>
      </c>
      <c r="N46" s="53">
        <f>ROUND($B$4*$B$9*$B$13*$B$15*$B$18*$B$21*$B$22,0)</f>
        <v/>
      </c>
      <c r="O46" s="53">
        <f>ROUND($B$4*$B$9*$B$13*$B$15*$B$18*$B$21*$B$23,0)</f>
        <v/>
      </c>
      <c r="P46" s="53">
        <f>ROUND($B$5*$B$9*$B$13*$B$15*$B$17*$B$19*$B$22,0)</f>
        <v/>
      </c>
      <c r="Q46" s="53">
        <f>ROUND($B$5*$B$9*$B$13*$B$15*$B$17*$B$19*$B$23,0)</f>
        <v/>
      </c>
      <c r="R46" s="53">
        <f>ROUND($B$5*$B$9*$B$13*$B$15*$B$17*$B$20*$B$22,0)</f>
        <v/>
      </c>
      <c r="S46" s="53">
        <f>ROUND($B$5*$B$9*$B$13*$B$15*$B$17*$B$20*$B$23,0)</f>
        <v/>
      </c>
      <c r="T46" s="53">
        <f>ROUND($B$5*$B$9*$B$13*$B$15*$B$17*$B$21*$B$22,0)</f>
        <v/>
      </c>
      <c r="U46" s="53">
        <f>ROUND($B$5*$B$9*$B$13*$B$15*$B$17*$B$21*$B$23,0)</f>
        <v/>
      </c>
      <c r="V46" s="53">
        <f>ROUND($B$5*$B$9*$B$13*$B$15*$B$18*$B$19*$B$22,0)</f>
        <v/>
      </c>
      <c r="W46" s="53">
        <f>ROUND($B$5*$B$9*$B$13*$B$15*$B$18*$B$19*$B$23,0)</f>
        <v/>
      </c>
      <c r="X46" s="53">
        <f>ROUND($B$5*$B$9*$B$13*$B$15*$B$18*$B$20*$B$22,0)</f>
        <v/>
      </c>
      <c r="Y46" s="53">
        <f>ROUND($B$5*$B$9*$B$13*$B$15*$B$18*$B$20*$B$23,0)</f>
        <v/>
      </c>
      <c r="Z46" s="53">
        <f>ROUND($B$5*$B$9*$B$13*$B$15*$B$18*$B$21*$B$22,0)</f>
        <v/>
      </c>
      <c r="AA46" s="53">
        <f>ROUND($B$5*$B$9*$B$13*$B$15*$B$18*$B$21*$B$23,0)</f>
        <v/>
      </c>
      <c r="AB46" s="53">
        <f>ROUND($B$6*$B$9*$B$13*$B$15*$B$17*$B$19*$B$22,0)</f>
        <v/>
      </c>
      <c r="AC46" s="53">
        <f>ROUND($B$6*$B$9*$B$13*$B$15*$B$17*$B$19*$B$23,0)</f>
        <v/>
      </c>
      <c r="AD46" s="53">
        <f>ROUND($B$6*$B$9*$B$13*$B$15*$B$17*$B$20*$B$22,0)</f>
        <v/>
      </c>
      <c r="AE46" s="53">
        <f>ROUND($B$6*$B$9*$B$13*$B$15*$B$17*$B$20*$B$23,0)</f>
        <v/>
      </c>
      <c r="AF46" s="53">
        <f>ROUND($B$6*$B$9*$B$13*$B$15*$B$17*$B$21*$B$22,0)</f>
        <v/>
      </c>
      <c r="AG46" s="53">
        <f>ROUND($B$6*$B$9*$B$13*$B$15*$B$17*$B$21*$B$23,0)</f>
        <v/>
      </c>
      <c r="AH46" s="53">
        <f>ROUND($B$6*$B$9*$B$13*$B$15*$B$18*$B$19*$B$22,0)</f>
        <v/>
      </c>
      <c r="AI46" s="53">
        <f>ROUND($B$6*$B$9*$B$13*$B$15*$B$18*$B$19*$B$23,0)</f>
        <v/>
      </c>
      <c r="AJ46" s="53">
        <f>ROUND($B$6*$B$9*$B$13*$B$15*$B$18*$B$20*$B$22,0)</f>
        <v/>
      </c>
      <c r="AK46" s="53">
        <f>ROUND($B$6*$B$9*$B$13*$B$15*$B$18*$B$20*$B$23,0)</f>
        <v/>
      </c>
      <c r="AL46" s="53">
        <f>ROUND($B$6*$B$9*$B$13*$B$15*$B$18*$B$21*$B$22,0)</f>
        <v/>
      </c>
      <c r="AM46" s="53">
        <f>ROUND($B$6*$B$9*$B$13*$B$15*$B$18*$B$21*$B$23,0)</f>
        <v/>
      </c>
    </row>
    <row r="47" ht="20.1" customHeight="1" s="62">
      <c r="A47" s="105" t="n"/>
      <c r="B47" s="59" t="n"/>
      <c r="C47" s="51" t="inlineStr">
        <is>
          <t>Sécurité critique</t>
        </is>
      </c>
      <c r="D47" s="53">
        <f>ROUND($B$4*$B$9*$B$13*$B$16*$B$17*$B$19*$B$22,0)</f>
        <v/>
      </c>
      <c r="E47" s="53">
        <f>ROUND($B$4*$B$9*$B$13*$B$16*$B$17*$B$19*$B$23,0)</f>
        <v/>
      </c>
      <c r="F47" s="53">
        <f>ROUND($B$4*$B$9*$B$13*$B$16*$B$17*$B$20*$B$22,0)</f>
        <v/>
      </c>
      <c r="G47" s="53">
        <f>ROUND($B$4*$B$9*$B$13*$B$16*$B$17*$B$20*$B$23,0)</f>
        <v/>
      </c>
      <c r="H47" s="53">
        <f>ROUND($B$4*$B$9*$B$13*$B$16*$B$17*$B$21*$B$22,0)</f>
        <v/>
      </c>
      <c r="I47" s="53">
        <f>ROUND($B$4*$B$9*$B$13*$B$16*$B$17*$B$21*$B$23,0)</f>
        <v/>
      </c>
      <c r="J47" s="53">
        <f>ROUND($B$4*$B$9*$B$13*$B$16*$B$18*$B$19*$B$22,0)</f>
        <v/>
      </c>
      <c r="K47" s="53">
        <f>ROUND($B$4*$B$9*$B$13*$B$16*$B$18*$B$19*$B$23,0)</f>
        <v/>
      </c>
      <c r="L47" s="53">
        <f>ROUND($B$4*$B$9*$B$13*$B$16*$B$18*$B$20*$B$22,0)</f>
        <v/>
      </c>
      <c r="M47" s="53">
        <f>ROUND($B$4*$B$9*$B$13*$B$16*$B$18*$B$20*$B$23,0)</f>
        <v/>
      </c>
      <c r="N47" s="53">
        <f>ROUND($B$4*$B$9*$B$13*$B$16*$B$18*$B$21*$B$22,0)</f>
        <v/>
      </c>
      <c r="O47" s="53">
        <f>ROUND($B$4*$B$9*$B$13*$B$16*$B$18*$B$21*$B$23,0)</f>
        <v/>
      </c>
      <c r="P47" s="53">
        <f>ROUND($B$5*$B$9*$B$13*$B$16*$B$17*$B$19*$B$22,0)</f>
        <v/>
      </c>
      <c r="Q47" s="53">
        <f>ROUND($B$5*$B$9*$B$13*$B$16*$B$17*$B$19*$B$23,0)</f>
        <v/>
      </c>
      <c r="R47" s="53">
        <f>ROUND($B$5*$B$9*$B$13*$B$16*$B$17*$B$20*$B$22,0)</f>
        <v/>
      </c>
      <c r="S47" s="53">
        <f>ROUND($B$5*$B$9*$B$13*$B$16*$B$17*$B$20*$B$23,0)</f>
        <v/>
      </c>
      <c r="T47" s="53">
        <f>ROUND($B$5*$B$9*$B$13*$B$16*$B$17*$B$21*$B$22,0)</f>
        <v/>
      </c>
      <c r="U47" s="53">
        <f>ROUND($B$5*$B$9*$B$13*$B$16*$B$17*$B$21*$B$23,0)</f>
        <v/>
      </c>
      <c r="V47" s="53">
        <f>ROUND($B$5*$B$9*$B$13*$B$16*$B$18*$B$19*$B$22,0)</f>
        <v/>
      </c>
      <c r="W47" s="53">
        <f>ROUND($B$5*$B$9*$B$13*$B$16*$B$18*$B$19*$B$23,0)</f>
        <v/>
      </c>
      <c r="X47" s="53">
        <f>ROUND($B$5*$B$9*$B$13*$B$16*$B$18*$B$20*$B$22,0)</f>
        <v/>
      </c>
      <c r="Y47" s="53">
        <f>ROUND($B$5*$B$9*$B$13*$B$16*$B$18*$B$20*$B$23,0)</f>
        <v/>
      </c>
      <c r="Z47" s="53">
        <f>ROUND($B$5*$B$9*$B$13*$B$16*$B$18*$B$21*$B$22,0)</f>
        <v/>
      </c>
      <c r="AA47" s="53">
        <f>ROUND($B$5*$B$9*$B$13*$B$16*$B$18*$B$21*$B$23,0)</f>
        <v/>
      </c>
      <c r="AB47" s="53">
        <f>ROUND($B$6*$B$9*$B$13*$B$16*$B$17*$B$19*$B$22,0)</f>
        <v/>
      </c>
      <c r="AC47" s="53">
        <f>ROUND($B$6*$B$9*$B$13*$B$16*$B$17*$B$19*$B$23,0)</f>
        <v/>
      </c>
      <c r="AD47" s="53">
        <f>ROUND($B$6*$B$9*$B$13*$B$16*$B$17*$B$20*$B$22,0)</f>
        <v/>
      </c>
      <c r="AE47" s="53">
        <f>ROUND($B$6*$B$9*$B$13*$B$16*$B$17*$B$20*$B$23,0)</f>
        <v/>
      </c>
      <c r="AF47" s="53">
        <f>ROUND($B$6*$B$9*$B$13*$B$16*$B$17*$B$21*$B$22,0)</f>
        <v/>
      </c>
      <c r="AG47" s="53">
        <f>ROUND($B$6*$B$9*$B$13*$B$16*$B$17*$B$21*$B$23,0)</f>
        <v/>
      </c>
      <c r="AH47" s="53">
        <f>ROUND($B$6*$B$9*$B$13*$B$16*$B$18*$B$19*$B$22,0)</f>
        <v/>
      </c>
      <c r="AI47" s="53">
        <f>ROUND($B$6*$B$9*$B$13*$B$16*$B$18*$B$19*$B$23,0)</f>
        <v/>
      </c>
      <c r="AJ47" s="53">
        <f>ROUND($B$6*$B$9*$B$13*$B$16*$B$18*$B$20*$B$22,0)</f>
        <v/>
      </c>
      <c r="AK47" s="53">
        <f>ROUND($B$6*$B$9*$B$13*$B$16*$B$18*$B$20*$B$23,0)</f>
        <v/>
      </c>
      <c r="AL47" s="53">
        <f>ROUND($B$6*$B$9*$B$13*$B$16*$B$18*$B$21*$B$22,0)</f>
        <v/>
      </c>
      <c r="AM47" s="53">
        <f>ROUND($B$6*$B$9*$B$13*$B$16*$B$18*$B$21*$B$23,0)</f>
        <v/>
      </c>
    </row>
    <row r="48" ht="20.1" customHeight="1" s="62">
      <c r="A48" s="103" t="inlineStr">
        <is>
          <t>6+ serveurs</t>
        </is>
      </c>
      <c r="B48" s="101" t="inlineStr">
        <is>
          <t>Infrastructure mutualisée</t>
        </is>
      </c>
      <c r="C48" s="49" t="inlineStr">
        <is>
          <t>Sécurité standard</t>
        </is>
      </c>
      <c r="D48" s="53">
        <f>ROUND($B$4*$B$10*$B$11*$B$14*$B$17*$B$19*$B$22,0)</f>
        <v/>
      </c>
      <c r="E48" s="53">
        <f>ROUND($B$4*$B$10*$B$11*$B$14*$B$17*$B$19*$B$23,0)</f>
        <v/>
      </c>
      <c r="F48" s="53">
        <f>ROUND($B$4*$B$10*$B$11*$B$14*$B$17*$B$20*$B$22,0)</f>
        <v/>
      </c>
      <c r="G48" s="53">
        <f>ROUND($B$4*$B$10*$B$11*$B$14*$B$17*$B$20*$B$23,0)</f>
        <v/>
      </c>
      <c r="H48" s="53">
        <f>ROUND($B$4*$B$10*$B$11*$B$14*$B$17*$B$21*$B$22,0)</f>
        <v/>
      </c>
      <c r="I48" s="53">
        <f>ROUND($B$4*$B$10*$B$11*$B$14*$B$17*$B$21*$B$23,0)</f>
        <v/>
      </c>
      <c r="J48" s="53">
        <f>ROUND($B$4*$B$10*$B$11*$B$14*$B$18*$B$19*$B$22,0)</f>
        <v/>
      </c>
      <c r="K48" s="53">
        <f>ROUND($B$4*$B$10*$B$11*$B$14*$B$18*$B$19*$B$23,0)</f>
        <v/>
      </c>
      <c r="L48" s="53">
        <f>ROUND($B$4*$B$10*$B$11*$B$14*$B$18*$B$20*$B$22,0)</f>
        <v/>
      </c>
      <c r="M48" s="53">
        <f>ROUND($B$4*$B$10*$B$11*$B$14*$B$18*$B$20*$B$23,0)</f>
        <v/>
      </c>
      <c r="N48" s="53">
        <f>ROUND($B$4*$B$10*$B$11*$B$14*$B$18*$B$21*$B$22,0)</f>
        <v/>
      </c>
      <c r="O48" s="53">
        <f>ROUND($B$4*$B$10*$B$11*$B$14*$B$18*$B$21*$B$23,0)</f>
        <v/>
      </c>
      <c r="P48" s="53">
        <f>ROUND($B$5*$B$10*$B$11*$B$14*$B$17*$B$19*$B$22,0)</f>
        <v/>
      </c>
      <c r="Q48" s="53">
        <f>ROUND($B$5*$B$10*$B$11*$B$14*$B$17*$B$19*$B$23,0)</f>
        <v/>
      </c>
      <c r="R48" s="53">
        <f>ROUND($B$5*$B$10*$B$11*$B$14*$B$17*$B$20*$B$22,0)</f>
        <v/>
      </c>
      <c r="S48" s="53">
        <f>ROUND($B$5*$B$10*$B$11*$B$14*$B$17*$B$20*$B$23,0)</f>
        <v/>
      </c>
      <c r="T48" s="53">
        <f>ROUND($B$5*$B$10*$B$11*$B$14*$B$17*$B$21*$B$22,0)</f>
        <v/>
      </c>
      <c r="U48" s="53">
        <f>ROUND($B$5*$B$10*$B$11*$B$14*$B$17*$B$21*$B$23,0)</f>
        <v/>
      </c>
      <c r="V48" s="53">
        <f>ROUND($B$5*$B$10*$B$11*$B$14*$B$18*$B$19*$B$22,0)</f>
        <v/>
      </c>
      <c r="W48" s="53">
        <f>ROUND($B$5*$B$10*$B$11*$B$14*$B$18*$B$19*$B$23,0)</f>
        <v/>
      </c>
      <c r="X48" s="53">
        <f>ROUND($B$5*$B$10*$B$11*$B$14*$B$18*$B$20*$B$22,0)</f>
        <v/>
      </c>
      <c r="Y48" s="53">
        <f>ROUND($B$5*$B$10*$B$11*$B$14*$B$18*$B$20*$B$23,0)</f>
        <v/>
      </c>
      <c r="Z48" s="53">
        <f>ROUND($B$5*$B$10*$B$11*$B$14*$B$18*$B$21*$B$22,0)</f>
        <v/>
      </c>
      <c r="AA48" s="53">
        <f>ROUND($B$5*$B$10*$B$11*$B$14*$B$18*$B$21*$B$23,0)</f>
        <v/>
      </c>
      <c r="AB48" s="53">
        <f>ROUND($B$6*$B$10*$B$11*$B$14*$B$17*$B$19*$B$22,0)</f>
        <v/>
      </c>
      <c r="AC48" s="53">
        <f>ROUND($B$6*$B$10*$B$11*$B$14*$B$17*$B$19*$B$23,0)</f>
        <v/>
      </c>
      <c r="AD48" s="53">
        <f>ROUND($B$6*$B$10*$B$11*$B$14*$B$17*$B$20*$B$22,0)</f>
        <v/>
      </c>
      <c r="AE48" s="53">
        <f>ROUND($B$6*$B$10*$B$11*$B$14*$B$17*$B$20*$B$23,0)</f>
        <v/>
      </c>
      <c r="AF48" s="53">
        <f>ROUND($B$6*$B$10*$B$11*$B$14*$B$17*$B$21*$B$22,0)</f>
        <v/>
      </c>
      <c r="AG48" s="53">
        <f>ROUND($B$6*$B$10*$B$11*$B$14*$B$17*$B$21*$B$23,0)</f>
        <v/>
      </c>
      <c r="AH48" s="53">
        <f>ROUND($B$6*$B$10*$B$11*$B$14*$B$18*$B$19*$B$22,0)</f>
        <v/>
      </c>
      <c r="AI48" s="53">
        <f>ROUND($B$6*$B$10*$B$11*$B$14*$B$18*$B$19*$B$23,0)</f>
        <v/>
      </c>
      <c r="AJ48" s="53">
        <f>ROUND($B$6*$B$10*$B$11*$B$14*$B$18*$B$20*$B$22,0)</f>
        <v/>
      </c>
      <c r="AK48" s="53">
        <f>ROUND($B$6*$B$10*$B$11*$B$14*$B$18*$B$20*$B$23,0)</f>
        <v/>
      </c>
      <c r="AL48" s="53">
        <f>ROUND($B$6*$B$10*$B$11*$B$14*$B$18*$B$21*$B$22,0)</f>
        <v/>
      </c>
      <c r="AM48" s="53">
        <f>ROUND($B$6*$B$10*$B$11*$B$14*$B$18*$B$21*$B$23,0)</f>
        <v/>
      </c>
    </row>
    <row r="49" ht="20.1" customHeight="1" s="62">
      <c r="A49" s="104" t="n"/>
      <c r="B49" s="58" t="n"/>
      <c r="C49" s="101" t="inlineStr">
        <is>
          <t>Sécurité renforcée</t>
        </is>
      </c>
      <c r="D49" s="53">
        <f>ROUND($B$4*$B$10*$B$11*$B$15*$B$17*$B$19*$B$22,0)</f>
        <v/>
      </c>
      <c r="E49" s="53">
        <f>ROUND($B$4*$B$10*$B$11*$B$15*$B$17*$B$19*$B$23,0)</f>
        <v/>
      </c>
      <c r="F49" s="53">
        <f>ROUND($B$4*$B$10*$B$11*$B$15*$B$17*$B$20*$B$22,0)</f>
        <v/>
      </c>
      <c r="G49" s="53">
        <f>ROUND($B$4*$B$10*$B$11*$B$15*$B$17*$B$20*$B$23,0)</f>
        <v/>
      </c>
      <c r="H49" s="53">
        <f>ROUND($B$4*$B$10*$B$11*$B$15*$B$17*$B$21*$B$22,0)</f>
        <v/>
      </c>
      <c r="I49" s="53">
        <f>ROUND($B$4*$B$10*$B$11*$B$15*$B$17*$B$21*$B$23,0)</f>
        <v/>
      </c>
      <c r="J49" s="53">
        <f>ROUND($B$4*$B$10*$B$11*$B$15*$B$18*$B$19*$B$22,0)</f>
        <v/>
      </c>
      <c r="K49" s="53">
        <f>ROUND($B$4*$B$10*$B$11*$B$15*$B$18*$B$19*$B$23,0)</f>
        <v/>
      </c>
      <c r="L49" s="53">
        <f>ROUND($B$4*$B$10*$B$11*$B$15*$B$18*$B$20*$B$22,0)</f>
        <v/>
      </c>
      <c r="M49" s="53">
        <f>ROUND($B$4*$B$10*$B$11*$B$15*$B$18*$B$20*$B$23,0)</f>
        <v/>
      </c>
      <c r="N49" s="53">
        <f>ROUND($B$4*$B$10*$B$11*$B$15*$B$18*$B$21*$B$22,0)</f>
        <v/>
      </c>
      <c r="O49" s="53">
        <f>ROUND($B$4*$B$10*$B$11*$B$15*$B$18*$B$21*$B$23,0)</f>
        <v/>
      </c>
      <c r="P49" s="53">
        <f>ROUND($B$5*$B$10*$B$11*$B$15*$B$17*$B$19*$B$22,0)</f>
        <v/>
      </c>
      <c r="Q49" s="53">
        <f>ROUND($B$5*$B$10*$B$11*$B$15*$B$17*$B$19*$B$23,0)</f>
        <v/>
      </c>
      <c r="R49" s="53">
        <f>ROUND($B$5*$B$10*$B$11*$B$15*$B$17*$B$20*$B$22,0)</f>
        <v/>
      </c>
      <c r="S49" s="53">
        <f>ROUND($B$5*$B$10*$B$11*$B$15*$B$17*$B$20*$B$23,0)</f>
        <v/>
      </c>
      <c r="T49" s="53">
        <f>ROUND($B$5*$B$10*$B$11*$B$15*$B$17*$B$21*$B$22,0)</f>
        <v/>
      </c>
      <c r="U49" s="53">
        <f>ROUND($B$5*$B$10*$B$11*$B$15*$B$17*$B$21*$B$23,0)</f>
        <v/>
      </c>
      <c r="V49" s="53">
        <f>ROUND($B$5*$B$10*$B$11*$B$15*$B$18*$B$19*$B$22,0)</f>
        <v/>
      </c>
      <c r="W49" s="53">
        <f>ROUND($B$5*$B$10*$B$11*$B$15*$B$18*$B$19*$B$23,0)</f>
        <v/>
      </c>
      <c r="X49" s="53">
        <f>ROUND($B$5*$B$10*$B$11*$B$15*$B$18*$B$20*$B$22,0)</f>
        <v/>
      </c>
      <c r="Y49" s="53">
        <f>ROUND($B$5*$B$10*$B$11*$B$15*$B$18*$B$20*$B$23,0)</f>
        <v/>
      </c>
      <c r="Z49" s="53">
        <f>ROUND($B$5*$B$10*$B$11*$B$15*$B$18*$B$21*$B$22,0)</f>
        <v/>
      </c>
      <c r="AA49" s="53">
        <f>ROUND($B$5*$B$10*$B$11*$B$15*$B$18*$B$21*$B$23,0)</f>
        <v/>
      </c>
      <c r="AB49" s="53">
        <f>ROUND($B$6*$B$10*$B$11*$B$15*$B$17*$B$19*$B$22,0)</f>
        <v/>
      </c>
      <c r="AC49" s="53">
        <f>ROUND($B$6*$B$10*$B$11*$B$15*$B$17*$B$19*$B$23,0)</f>
        <v/>
      </c>
      <c r="AD49" s="53">
        <f>ROUND($B$6*$B$10*$B$11*$B$15*$B$17*$B$20*$B$22,0)</f>
        <v/>
      </c>
      <c r="AE49" s="53">
        <f>ROUND($B$6*$B$10*$B$11*$B$15*$B$17*$B$20*$B$23,0)</f>
        <v/>
      </c>
      <c r="AF49" s="53">
        <f>ROUND($B$6*$B$10*$B$11*$B$15*$B$17*$B$21*$B$22,0)</f>
        <v/>
      </c>
      <c r="AG49" s="53">
        <f>ROUND($B$6*$B$10*$B$11*$B$15*$B$17*$B$21*$B$23,0)</f>
        <v/>
      </c>
      <c r="AH49" s="53">
        <f>ROUND($B$6*$B$10*$B$11*$B$15*$B$18*$B$19*$B$22,0)</f>
        <v/>
      </c>
      <c r="AI49" s="53">
        <f>ROUND($B$6*$B$10*$B$11*$B$15*$B$18*$B$19*$B$23,0)</f>
        <v/>
      </c>
      <c r="AJ49" s="53">
        <f>ROUND($B$6*$B$10*$B$11*$B$15*$B$18*$B$20*$B$22,0)</f>
        <v/>
      </c>
      <c r="AK49" s="53">
        <f>ROUND($B$6*$B$10*$B$11*$B$15*$B$18*$B$20*$B$23,0)</f>
        <v/>
      </c>
      <c r="AL49" s="53">
        <f>ROUND($B$6*$B$10*$B$11*$B$15*$B$18*$B$21*$B$22,0)</f>
        <v/>
      </c>
      <c r="AM49" s="53">
        <f>ROUND($B$6*$B$10*$B$11*$B$15*$B$18*$B$21*$B$23,0)</f>
        <v/>
      </c>
    </row>
    <row r="50" ht="20.1" customHeight="1" s="62">
      <c r="A50" s="104" t="n"/>
      <c r="B50" s="59" t="n"/>
      <c r="C50" s="51" t="inlineStr">
        <is>
          <t>Sécurité critique</t>
        </is>
      </c>
      <c r="D50" s="53">
        <f>ROUND($B$4*$B$10*$B$11*$B$16*$B$17*$B$19*$B$22,0)</f>
        <v/>
      </c>
      <c r="E50" s="53">
        <f>ROUND($B$4*$B$10*$B$11*$B$16*$B$17*$B$19*$B$23,0)</f>
        <v/>
      </c>
      <c r="F50" s="53">
        <f>ROUND($B$4*$B$10*$B$11*$B$16*$B$17*$B$20*$B$22,0)</f>
        <v/>
      </c>
      <c r="G50" s="53">
        <f>ROUND($B$4*$B$10*$B$11*$B$16*$B$17*$B$20*$B$23,0)</f>
        <v/>
      </c>
      <c r="H50" s="53">
        <f>ROUND($B$4*$B$10*$B$11*$B$16*$B$17*$B$21*$B$22,0)</f>
        <v/>
      </c>
      <c r="I50" s="53">
        <f>ROUND($B$4*$B$10*$B$11*$B$16*$B$17*$B$21*$B$23,0)</f>
        <v/>
      </c>
      <c r="J50" s="53">
        <f>ROUND($B$4*$B$10*$B$11*$B$16*$B$18*$B$19*$B$22,0)</f>
        <v/>
      </c>
      <c r="K50" s="53">
        <f>ROUND($B$4*$B$10*$B$11*$B$16*$B$18*$B$19*$B$23,0)</f>
        <v/>
      </c>
      <c r="L50" s="53">
        <f>ROUND($B$4*$B$10*$B$11*$B$16*$B$18*$B$20*$B$22,0)</f>
        <v/>
      </c>
      <c r="M50" s="53">
        <f>ROUND($B$4*$B$10*$B$11*$B$16*$B$18*$B$20*$B$23,0)</f>
        <v/>
      </c>
      <c r="N50" s="53">
        <f>ROUND($B$4*$B$10*$B$11*$B$16*$B$18*$B$21*$B$22,0)</f>
        <v/>
      </c>
      <c r="O50" s="53">
        <f>ROUND($B$4*$B$10*$B$11*$B$16*$B$18*$B$21*$B$23,0)</f>
        <v/>
      </c>
      <c r="P50" s="53">
        <f>ROUND($B$5*$B$10*$B$11*$B$16*$B$17*$B$19*$B$22,0)</f>
        <v/>
      </c>
      <c r="Q50" s="53">
        <f>ROUND($B$5*$B$10*$B$11*$B$16*$B$17*$B$19*$B$23,0)</f>
        <v/>
      </c>
      <c r="R50" s="53">
        <f>ROUND($B$5*$B$10*$B$11*$B$16*$B$17*$B$20*$B$22,0)</f>
        <v/>
      </c>
      <c r="S50" s="53">
        <f>ROUND($B$5*$B$10*$B$11*$B$16*$B$17*$B$20*$B$23,0)</f>
        <v/>
      </c>
      <c r="T50" s="53">
        <f>ROUND($B$5*$B$10*$B$11*$B$16*$B$17*$B$21*$B$22,0)</f>
        <v/>
      </c>
      <c r="U50" s="53">
        <f>ROUND($B$5*$B$10*$B$11*$B$16*$B$17*$B$21*$B$23,0)</f>
        <v/>
      </c>
      <c r="V50" s="53">
        <f>ROUND($B$5*$B$10*$B$11*$B$16*$B$18*$B$19*$B$22,0)</f>
        <v/>
      </c>
      <c r="W50" s="53">
        <f>ROUND($B$5*$B$10*$B$11*$B$16*$B$18*$B$19*$B$23,0)</f>
        <v/>
      </c>
      <c r="X50" s="53">
        <f>ROUND($B$5*$B$10*$B$11*$B$16*$B$18*$B$20*$B$22,0)</f>
        <v/>
      </c>
      <c r="Y50" s="53">
        <f>ROUND($B$5*$B$10*$B$11*$B$16*$B$18*$B$20*$B$23,0)</f>
        <v/>
      </c>
      <c r="Z50" s="53">
        <f>ROUND($B$5*$B$10*$B$11*$B$16*$B$18*$B$21*$B$22,0)</f>
        <v/>
      </c>
      <c r="AA50" s="53">
        <f>ROUND($B$5*$B$10*$B$11*$B$16*$B$18*$B$21*$B$23,0)</f>
        <v/>
      </c>
      <c r="AB50" s="53">
        <f>ROUND($B$6*$B$10*$B$11*$B$16*$B$17*$B$19*$B$22,0)</f>
        <v/>
      </c>
      <c r="AC50" s="53">
        <f>ROUND($B$6*$B$10*$B$11*$B$16*$B$17*$B$19*$B$23,0)</f>
        <v/>
      </c>
      <c r="AD50" s="53">
        <f>ROUND($B$6*$B$10*$B$11*$B$16*$B$17*$B$20*$B$22,0)</f>
        <v/>
      </c>
      <c r="AE50" s="53">
        <f>ROUND($B$6*$B$10*$B$11*$B$16*$B$17*$B$20*$B$23,0)</f>
        <v/>
      </c>
      <c r="AF50" s="53">
        <f>ROUND($B$6*$B$10*$B$11*$B$16*$B$17*$B$21*$B$22,0)</f>
        <v/>
      </c>
      <c r="AG50" s="53">
        <f>ROUND($B$6*$B$10*$B$11*$B$16*$B$17*$B$21*$B$23,0)</f>
        <v/>
      </c>
      <c r="AH50" s="53">
        <f>ROUND($B$6*$B$10*$B$11*$B$16*$B$18*$B$19*$B$22,0)</f>
        <v/>
      </c>
      <c r="AI50" s="53">
        <f>ROUND($B$6*$B$10*$B$11*$B$16*$B$18*$B$19*$B$23,0)</f>
        <v/>
      </c>
      <c r="AJ50" s="53">
        <f>ROUND($B$6*$B$10*$B$11*$B$16*$B$18*$B$20*$B$22,0)</f>
        <v/>
      </c>
      <c r="AK50" s="53">
        <f>ROUND($B$6*$B$10*$B$11*$B$16*$B$18*$B$20*$B$23,0)</f>
        <v/>
      </c>
      <c r="AL50" s="53">
        <f>ROUND($B$6*$B$10*$B$11*$B$16*$B$18*$B$21*$B$22,0)</f>
        <v/>
      </c>
      <c r="AM50" s="53">
        <f>ROUND($B$6*$B$10*$B$11*$B$16*$B$18*$B$21*$B$23,0)</f>
        <v/>
      </c>
    </row>
    <row r="51" ht="20.1" customHeight="1" s="62">
      <c r="A51" s="104" t="n"/>
      <c r="B51" s="101" t="inlineStr">
        <is>
          <t>Infrastructure dédiée</t>
        </is>
      </c>
      <c r="C51" s="49" t="inlineStr">
        <is>
          <t>Sécurité standard</t>
        </is>
      </c>
      <c r="D51" s="53">
        <f>ROUND($B$4*$B$10*$B$12*$B$14*$B$17*$B$19*$B$22,0)</f>
        <v/>
      </c>
      <c r="E51" s="53">
        <f>ROUND($B$4*$B$10*$B$12*$B$14*$B$17*$B$19*$B$23,0)</f>
        <v/>
      </c>
      <c r="F51" s="53">
        <f>ROUND($B$4*$B$10*$B$12*$B$14*$B$17*$B$20*$B$22,0)</f>
        <v/>
      </c>
      <c r="G51" s="53">
        <f>ROUND($B$4*$B$10*$B$12*$B$14*$B$17*$B$20*$B$23,0)</f>
        <v/>
      </c>
      <c r="H51" s="53">
        <f>ROUND($B$4*$B$10*$B$12*$B$14*$B$17*$B$21*$B$22,0)</f>
        <v/>
      </c>
      <c r="I51" s="53">
        <f>ROUND($B$4*$B$10*$B$12*$B$14*$B$17*$B$21*$B$23,0)</f>
        <v/>
      </c>
      <c r="J51" s="53">
        <f>ROUND($B$4*$B$10*$B$12*$B$14*$B$18*$B$19*$B$22,0)</f>
        <v/>
      </c>
      <c r="K51" s="53">
        <f>ROUND($B$4*$B$10*$B$12*$B$14*$B$18*$B$19*$B$23,0)</f>
        <v/>
      </c>
      <c r="L51" s="53">
        <f>ROUND($B$4*$B$10*$B$12*$B$14*$B$18*$B$20*$B$22,0)</f>
        <v/>
      </c>
      <c r="M51" s="53">
        <f>ROUND($B$4*$B$10*$B$12*$B$14*$B$18*$B$20*$B$23,0)</f>
        <v/>
      </c>
      <c r="N51" s="53">
        <f>ROUND($B$4*$B$10*$B$12*$B$14*$B$18*$B$21*$B$22,0)</f>
        <v/>
      </c>
      <c r="O51" s="53">
        <f>ROUND($B$4*$B$10*$B$12*$B$14*$B$18*$B$21*$B$23,0)</f>
        <v/>
      </c>
      <c r="P51" s="53">
        <f>ROUND($B$5*$B$10*$B$12*$B$14*$B$17*$B$19*$B$22,0)</f>
        <v/>
      </c>
      <c r="Q51" s="53">
        <f>ROUND($B$5*$B$10*$B$12*$B$14*$B$17*$B$19*$B$23,0)</f>
        <v/>
      </c>
      <c r="R51" s="53">
        <f>ROUND($B$5*$B$10*$B$12*$B$14*$B$17*$B$20*$B$22,0)</f>
        <v/>
      </c>
      <c r="S51" s="53">
        <f>ROUND($B$5*$B$10*$B$12*$B$14*$B$17*$B$20*$B$23,0)</f>
        <v/>
      </c>
      <c r="T51" s="53">
        <f>ROUND($B$5*$B$10*$B$12*$B$14*$B$17*$B$21*$B$22,0)</f>
        <v/>
      </c>
      <c r="U51" s="53">
        <f>ROUND($B$5*$B$10*$B$12*$B$14*$B$17*$B$21*$B$23,0)</f>
        <v/>
      </c>
      <c r="V51" s="53">
        <f>ROUND($B$5*$B$10*$B$12*$B$14*$B$18*$B$19*$B$22,0)</f>
        <v/>
      </c>
      <c r="W51" s="53">
        <f>ROUND($B$5*$B$10*$B$12*$B$14*$B$18*$B$19*$B$23,0)</f>
        <v/>
      </c>
      <c r="X51" s="53">
        <f>ROUND($B$5*$B$10*$B$12*$B$14*$B$18*$B$20*$B$22,0)</f>
        <v/>
      </c>
      <c r="Y51" s="53">
        <f>ROUND($B$5*$B$10*$B$12*$B$14*$B$18*$B$20*$B$23,0)</f>
        <v/>
      </c>
      <c r="Z51" s="53">
        <f>ROUND($B$5*$B$10*$B$12*$B$14*$B$18*$B$21*$B$22,0)</f>
        <v/>
      </c>
      <c r="AA51" s="53">
        <f>ROUND($B$5*$B$10*$B$12*$B$14*$B$18*$B$21*$B$23,0)</f>
        <v/>
      </c>
      <c r="AB51" s="53">
        <f>ROUND($B$6*$B$10*$B$12*$B$14*$B$17*$B$19*$B$22,0)</f>
        <v/>
      </c>
      <c r="AC51" s="53">
        <f>ROUND($B$6*$B$10*$B$12*$B$14*$B$17*$B$19*$B$23,0)</f>
        <v/>
      </c>
      <c r="AD51" s="53">
        <f>ROUND($B$6*$B$10*$B$12*$B$14*$B$17*$B$20*$B$22,0)</f>
        <v/>
      </c>
      <c r="AE51" s="53">
        <f>ROUND($B$6*$B$10*$B$12*$B$14*$B$17*$B$20*$B$23,0)</f>
        <v/>
      </c>
      <c r="AF51" s="53">
        <f>ROUND($B$6*$B$10*$B$12*$B$14*$B$17*$B$21*$B$22,0)</f>
        <v/>
      </c>
      <c r="AG51" s="53">
        <f>ROUND($B$6*$B$10*$B$12*$B$14*$B$17*$B$21*$B$23,0)</f>
        <v/>
      </c>
      <c r="AH51" s="53">
        <f>ROUND($B$6*$B$10*$B$12*$B$14*$B$18*$B$19*$B$22,0)</f>
        <v/>
      </c>
      <c r="AI51" s="53">
        <f>ROUND($B$6*$B$10*$B$12*$B$14*$B$18*$B$19*$B$23,0)</f>
        <v/>
      </c>
      <c r="AJ51" s="53">
        <f>ROUND($B$6*$B$10*$B$12*$B$14*$B$18*$B$20*$B$22,0)</f>
        <v/>
      </c>
      <c r="AK51" s="53">
        <f>ROUND($B$6*$B$10*$B$12*$B$14*$B$18*$B$20*$B$23,0)</f>
        <v/>
      </c>
      <c r="AL51" s="53">
        <f>ROUND($B$6*$B$10*$B$12*$B$14*$B$18*$B$21*$B$22,0)</f>
        <v/>
      </c>
      <c r="AM51" s="53">
        <f>ROUND($B$6*$B$10*$B$12*$B$14*$B$18*$B$21*$B$23,0)</f>
        <v/>
      </c>
    </row>
    <row r="52" ht="20.1" customHeight="1" s="62">
      <c r="A52" s="104" t="n"/>
      <c r="B52" s="58" t="n"/>
      <c r="C52" s="101" t="inlineStr">
        <is>
          <t>Sécurité renforcée</t>
        </is>
      </c>
      <c r="D52" s="53">
        <f>ROUND($B$4*$B$10*$B$12*$B$15*$B$17*$B$19*$B$22,0)</f>
        <v/>
      </c>
      <c r="E52" s="53">
        <f>ROUND($B$4*$B$10*$B$12*$B$15*$B$17*$B$19*$B$23,0)</f>
        <v/>
      </c>
      <c r="F52" s="53">
        <f>ROUND($B$4*$B$10*$B$12*$B$15*$B$17*$B$20*$B$22,0)</f>
        <v/>
      </c>
      <c r="G52" s="53">
        <f>ROUND($B$4*$B$10*$B$12*$B$15*$B$17*$B$20*$B$23,0)</f>
        <v/>
      </c>
      <c r="H52" s="53">
        <f>ROUND($B$4*$B$10*$B$12*$B$15*$B$17*$B$21*$B$22,0)</f>
        <v/>
      </c>
      <c r="I52" s="53">
        <f>ROUND($B$4*$B$10*$B$12*$B$15*$B$17*$B$21*$B$23,0)</f>
        <v/>
      </c>
      <c r="J52" s="53">
        <f>ROUND($B$4*$B$10*$B$12*$B$15*$B$18*$B$19*$B$22,0)</f>
        <v/>
      </c>
      <c r="K52" s="53">
        <f>ROUND($B$4*$B$10*$B$12*$B$15*$B$18*$B$19*$B$23,0)</f>
        <v/>
      </c>
      <c r="L52" s="53">
        <f>ROUND($B$4*$B$10*$B$12*$B$15*$B$18*$B$20*$B$22,0)</f>
        <v/>
      </c>
      <c r="M52" s="53">
        <f>ROUND($B$4*$B$10*$B$12*$B$15*$B$18*$B$20*$B$23,0)</f>
        <v/>
      </c>
      <c r="N52" s="53">
        <f>ROUND($B$4*$B$10*$B$12*$B$15*$B$18*$B$21*$B$22,0)</f>
        <v/>
      </c>
      <c r="O52" s="53">
        <f>ROUND($B$4*$B$10*$B$12*$B$15*$B$18*$B$21*$B$23,0)</f>
        <v/>
      </c>
      <c r="P52" s="53">
        <f>ROUND($B$5*$B$10*$B$12*$B$15*$B$17*$B$19*$B$22,0)</f>
        <v/>
      </c>
      <c r="Q52" s="53">
        <f>ROUND($B$5*$B$10*$B$12*$B$15*$B$17*$B$19*$B$23,0)</f>
        <v/>
      </c>
      <c r="R52" s="53">
        <f>ROUND($B$5*$B$10*$B$12*$B$15*$B$17*$B$20*$B$22,0)</f>
        <v/>
      </c>
      <c r="S52" s="53">
        <f>ROUND($B$5*$B$10*$B$12*$B$15*$B$17*$B$20*$B$23,0)</f>
        <v/>
      </c>
      <c r="T52" s="53">
        <f>ROUND($B$5*$B$10*$B$12*$B$15*$B$17*$B$21*$B$22,0)</f>
        <v/>
      </c>
      <c r="U52" s="53">
        <f>ROUND($B$5*$B$10*$B$12*$B$15*$B$17*$B$21*$B$23,0)</f>
        <v/>
      </c>
      <c r="V52" s="53">
        <f>ROUND($B$5*$B$10*$B$12*$B$15*$B$18*$B$19*$B$22,0)</f>
        <v/>
      </c>
      <c r="W52" s="53">
        <f>ROUND($B$5*$B$10*$B$12*$B$15*$B$18*$B$19*$B$23,0)</f>
        <v/>
      </c>
      <c r="X52" s="53">
        <f>ROUND($B$5*$B$10*$B$12*$B$15*$B$18*$B$20*$B$22,0)</f>
        <v/>
      </c>
      <c r="Y52" s="53">
        <f>ROUND($B$5*$B$10*$B$12*$B$15*$B$18*$B$20*$B$23,0)</f>
        <v/>
      </c>
      <c r="Z52" s="53">
        <f>ROUND($B$5*$B$10*$B$12*$B$15*$B$18*$B$21*$B$22,0)</f>
        <v/>
      </c>
      <c r="AA52" s="53">
        <f>ROUND($B$5*$B$10*$B$12*$B$15*$B$18*$B$21*$B$23,0)</f>
        <v/>
      </c>
      <c r="AB52" s="53">
        <f>ROUND($B$6*$B$10*$B$12*$B$15*$B$17*$B$19*$B$22,0)</f>
        <v/>
      </c>
      <c r="AC52" s="53">
        <f>ROUND($B$6*$B$10*$B$12*$B$15*$B$17*$B$19*$B$23,0)</f>
        <v/>
      </c>
      <c r="AD52" s="53">
        <f>ROUND($B$6*$B$10*$B$12*$B$15*$B$17*$B$20*$B$22,0)</f>
        <v/>
      </c>
      <c r="AE52" s="53">
        <f>ROUND($B$6*$B$10*$B$12*$B$15*$B$17*$B$20*$B$23,0)</f>
        <v/>
      </c>
      <c r="AF52" s="53">
        <f>ROUND($B$6*$B$10*$B$12*$B$15*$B$17*$B$21*$B$22,0)</f>
        <v/>
      </c>
      <c r="AG52" s="53">
        <f>ROUND($B$6*$B$10*$B$12*$B$15*$B$17*$B$21*$B$23,0)</f>
        <v/>
      </c>
      <c r="AH52" s="53">
        <f>ROUND($B$6*$B$10*$B$12*$B$15*$B$18*$B$19*$B$22,0)</f>
        <v/>
      </c>
      <c r="AI52" s="53">
        <f>ROUND($B$6*$B$10*$B$12*$B$15*$B$18*$B$19*$B$23,0)</f>
        <v/>
      </c>
      <c r="AJ52" s="53">
        <f>ROUND($B$6*$B$10*$B$12*$B$15*$B$18*$B$20*$B$22,0)</f>
        <v/>
      </c>
      <c r="AK52" s="53">
        <f>ROUND($B$6*$B$10*$B$12*$B$15*$B$18*$B$20*$B$23,0)</f>
        <v/>
      </c>
      <c r="AL52" s="53">
        <f>ROUND($B$6*$B$10*$B$12*$B$15*$B$18*$B$21*$B$22,0)</f>
        <v/>
      </c>
      <c r="AM52" s="53">
        <f>ROUND($B$6*$B$10*$B$12*$B$15*$B$18*$B$21*$B$23,0)</f>
        <v/>
      </c>
    </row>
    <row r="53" ht="20.1" customHeight="1" s="62">
      <c r="A53" s="104" t="n"/>
      <c r="B53" s="59" t="n"/>
      <c r="C53" s="51" t="inlineStr">
        <is>
          <t>Sécurité critique</t>
        </is>
      </c>
      <c r="D53" s="53">
        <f>ROUND($B$4*$B$10*$B$12*$B$16*$B$17*$B$19*$B$22,0)</f>
        <v/>
      </c>
      <c r="E53" s="53">
        <f>ROUND($B$4*$B$10*$B$12*$B$16*$B$17*$B$19*$B$23,0)</f>
        <v/>
      </c>
      <c r="F53" s="53">
        <f>ROUND($B$4*$B$10*$B$12*$B$16*$B$17*$B$20*$B$22,0)</f>
        <v/>
      </c>
      <c r="G53" s="53">
        <f>ROUND($B$4*$B$10*$B$12*$B$16*$B$17*$B$20*$B$23,0)</f>
        <v/>
      </c>
      <c r="H53" s="53">
        <f>ROUND($B$4*$B$10*$B$12*$B$16*$B$17*$B$21*$B$22,0)</f>
        <v/>
      </c>
      <c r="I53" s="53">
        <f>ROUND($B$4*$B$10*$B$12*$B$16*$B$17*$B$21*$B$23,0)</f>
        <v/>
      </c>
      <c r="J53" s="53">
        <f>ROUND($B$4*$B$10*$B$12*$B$16*$B$18*$B$19*$B$22,0)</f>
        <v/>
      </c>
      <c r="K53" s="53">
        <f>ROUND($B$4*$B$10*$B$12*$B$16*$B$18*$B$19*$B$23,0)</f>
        <v/>
      </c>
      <c r="L53" s="53">
        <f>ROUND($B$4*$B$10*$B$12*$B$16*$B$18*$B$20*$B$22,0)</f>
        <v/>
      </c>
      <c r="M53" s="53">
        <f>ROUND($B$4*$B$10*$B$12*$B$16*$B$18*$B$20*$B$23,0)</f>
        <v/>
      </c>
      <c r="N53" s="53">
        <f>ROUND($B$4*$B$10*$B$12*$B$16*$B$18*$B$21*$B$22,0)</f>
        <v/>
      </c>
      <c r="O53" s="53">
        <f>ROUND($B$4*$B$10*$B$12*$B$16*$B$18*$B$21*$B$23,0)</f>
        <v/>
      </c>
      <c r="P53" s="53">
        <f>ROUND($B$5*$B$10*$B$12*$B$16*$B$17*$B$19*$B$22,0)</f>
        <v/>
      </c>
      <c r="Q53" s="53">
        <f>ROUND($B$5*$B$10*$B$12*$B$16*$B$17*$B$19*$B$23,0)</f>
        <v/>
      </c>
      <c r="R53" s="53">
        <f>ROUND($B$5*$B$10*$B$12*$B$16*$B$17*$B$20*$B$22,0)</f>
        <v/>
      </c>
      <c r="S53" s="53">
        <f>ROUND($B$5*$B$10*$B$12*$B$16*$B$17*$B$20*$B$23,0)</f>
        <v/>
      </c>
      <c r="T53" s="53">
        <f>ROUND($B$5*$B$10*$B$12*$B$16*$B$17*$B$21*$B$22,0)</f>
        <v/>
      </c>
      <c r="U53" s="53">
        <f>ROUND($B$5*$B$10*$B$12*$B$16*$B$17*$B$21*$B$23,0)</f>
        <v/>
      </c>
      <c r="V53" s="53">
        <f>ROUND($B$5*$B$10*$B$12*$B$16*$B$18*$B$19*$B$22,0)</f>
        <v/>
      </c>
      <c r="W53" s="53">
        <f>ROUND($B$5*$B$10*$B$12*$B$16*$B$18*$B$19*$B$23,0)</f>
        <v/>
      </c>
      <c r="X53" s="53">
        <f>ROUND($B$5*$B$10*$B$12*$B$16*$B$18*$B$20*$B$22,0)</f>
        <v/>
      </c>
      <c r="Y53" s="53">
        <f>ROUND($B$5*$B$10*$B$12*$B$16*$B$18*$B$20*$B$23,0)</f>
        <v/>
      </c>
      <c r="Z53" s="53">
        <f>ROUND($B$5*$B$10*$B$12*$B$16*$B$18*$B$21*$B$22,0)</f>
        <v/>
      </c>
      <c r="AA53" s="53">
        <f>ROUND($B$5*$B$10*$B$12*$B$16*$B$18*$B$21*$B$23,0)</f>
        <v/>
      </c>
      <c r="AB53" s="53">
        <f>ROUND($B$6*$B$10*$B$12*$B$16*$B$17*$B$19*$B$22,0)</f>
        <v/>
      </c>
      <c r="AC53" s="53">
        <f>ROUND($B$6*$B$10*$B$12*$B$16*$B$17*$B$19*$B$23,0)</f>
        <v/>
      </c>
      <c r="AD53" s="53">
        <f>ROUND($B$6*$B$10*$B$12*$B$16*$B$17*$B$20*$B$22,0)</f>
        <v/>
      </c>
      <c r="AE53" s="53">
        <f>ROUND($B$6*$B$10*$B$12*$B$16*$B$17*$B$20*$B$23,0)</f>
        <v/>
      </c>
      <c r="AF53" s="53">
        <f>ROUND($B$6*$B$10*$B$12*$B$16*$B$17*$B$21*$B$22,0)</f>
        <v/>
      </c>
      <c r="AG53" s="53">
        <f>ROUND($B$6*$B$10*$B$12*$B$16*$B$17*$B$21*$B$23,0)</f>
        <v/>
      </c>
      <c r="AH53" s="53">
        <f>ROUND($B$6*$B$10*$B$12*$B$16*$B$18*$B$19*$B$22,0)</f>
        <v/>
      </c>
      <c r="AI53" s="53">
        <f>ROUND($B$6*$B$10*$B$12*$B$16*$B$18*$B$19*$B$23,0)</f>
        <v/>
      </c>
      <c r="AJ53" s="53">
        <f>ROUND($B$6*$B$10*$B$12*$B$16*$B$18*$B$20*$B$22,0)</f>
        <v/>
      </c>
      <c r="AK53" s="53">
        <f>ROUND($B$6*$B$10*$B$12*$B$16*$B$18*$B$20*$B$23,0)</f>
        <v/>
      </c>
      <c r="AL53" s="53">
        <f>ROUND($B$6*$B$10*$B$12*$B$16*$B$18*$B$21*$B$22,0)</f>
        <v/>
      </c>
      <c r="AM53" s="53">
        <f>ROUND($B$6*$B$10*$B$12*$B$16*$B$18*$B$21*$B$23,0)</f>
        <v/>
      </c>
    </row>
    <row r="54" ht="20.1" customHeight="1" s="62">
      <c r="A54" s="104" t="n"/>
      <c r="B54" s="101" t="inlineStr">
        <is>
          <t>Cloud / Hybride</t>
        </is>
      </c>
      <c r="C54" s="49" t="inlineStr">
        <is>
          <t>Sécurité standard</t>
        </is>
      </c>
      <c r="D54" s="53">
        <f>ROUND($B$4*$B$10*$B$13*$B$14*$B$17*$B$19*$B$22,0)</f>
        <v/>
      </c>
      <c r="E54" s="53">
        <f>ROUND($B$4*$B$10*$B$13*$B$14*$B$17*$B$19*$B$23,0)</f>
        <v/>
      </c>
      <c r="F54" s="53">
        <f>ROUND($B$4*$B$10*$B$13*$B$14*$B$17*$B$20*$B$22,0)</f>
        <v/>
      </c>
      <c r="G54" s="53">
        <f>ROUND($B$4*$B$10*$B$13*$B$14*$B$17*$B$20*$B$23,0)</f>
        <v/>
      </c>
      <c r="H54" s="53">
        <f>ROUND($B$4*$B$10*$B$13*$B$14*$B$17*$B$21*$B$22,0)</f>
        <v/>
      </c>
      <c r="I54" s="53">
        <f>ROUND($B$4*$B$10*$B$13*$B$14*$B$17*$B$21*$B$23,0)</f>
        <v/>
      </c>
      <c r="J54" s="53">
        <f>ROUND($B$4*$B$10*$B$13*$B$14*$B$18*$B$19*$B$22,0)</f>
        <v/>
      </c>
      <c r="K54" s="53">
        <f>ROUND($B$4*$B$10*$B$13*$B$14*$B$18*$B$19*$B$23,0)</f>
        <v/>
      </c>
      <c r="L54" s="53">
        <f>ROUND($B$4*$B$10*$B$13*$B$14*$B$18*$B$20*$B$22,0)</f>
        <v/>
      </c>
      <c r="M54" s="53">
        <f>ROUND($B$4*$B$10*$B$13*$B$14*$B$18*$B$20*$B$23,0)</f>
        <v/>
      </c>
      <c r="N54" s="53">
        <f>ROUND($B$4*$B$10*$B$13*$B$14*$B$18*$B$21*$B$22,0)</f>
        <v/>
      </c>
      <c r="O54" s="53">
        <f>ROUND($B$4*$B$10*$B$13*$B$14*$B$18*$B$21*$B$23,0)</f>
        <v/>
      </c>
      <c r="P54" s="53">
        <f>ROUND($B$5*$B$10*$B$13*$B$14*$B$17*$B$19*$B$22,0)</f>
        <v/>
      </c>
      <c r="Q54" s="53">
        <f>ROUND($B$5*$B$10*$B$13*$B$14*$B$17*$B$19*$B$23,0)</f>
        <v/>
      </c>
      <c r="R54" s="53">
        <f>ROUND($B$5*$B$10*$B$13*$B$14*$B$17*$B$20*$B$22,0)</f>
        <v/>
      </c>
      <c r="S54" s="53">
        <f>ROUND($B$5*$B$10*$B$13*$B$14*$B$17*$B$20*$B$23,0)</f>
        <v/>
      </c>
      <c r="T54" s="53">
        <f>ROUND($B$5*$B$10*$B$13*$B$14*$B$17*$B$21*$B$22,0)</f>
        <v/>
      </c>
      <c r="U54" s="53">
        <f>ROUND($B$5*$B$10*$B$13*$B$14*$B$17*$B$21*$B$23,0)</f>
        <v/>
      </c>
      <c r="V54" s="53">
        <f>ROUND($B$5*$B$10*$B$13*$B$14*$B$18*$B$19*$B$22,0)</f>
        <v/>
      </c>
      <c r="W54" s="53">
        <f>ROUND($B$5*$B$10*$B$13*$B$14*$B$18*$B$19*$B$23,0)</f>
        <v/>
      </c>
      <c r="X54" s="53">
        <f>ROUND($B$5*$B$10*$B$13*$B$14*$B$18*$B$20*$B$22,0)</f>
        <v/>
      </c>
      <c r="Y54" s="53">
        <f>ROUND($B$5*$B$10*$B$13*$B$14*$B$18*$B$20*$B$23,0)</f>
        <v/>
      </c>
      <c r="Z54" s="53">
        <f>ROUND($B$5*$B$10*$B$13*$B$14*$B$18*$B$21*$B$22,0)</f>
        <v/>
      </c>
      <c r="AA54" s="53">
        <f>ROUND($B$5*$B$10*$B$13*$B$14*$B$18*$B$21*$B$23,0)</f>
        <v/>
      </c>
      <c r="AB54" s="53">
        <f>ROUND($B$6*$B$10*$B$13*$B$14*$B$17*$B$19*$B$22,0)</f>
        <v/>
      </c>
      <c r="AC54" s="53">
        <f>ROUND($B$6*$B$10*$B$13*$B$14*$B$17*$B$19*$B$23,0)</f>
        <v/>
      </c>
      <c r="AD54" s="53">
        <f>ROUND($B$6*$B$10*$B$13*$B$14*$B$17*$B$20*$B$22,0)</f>
        <v/>
      </c>
      <c r="AE54" s="53">
        <f>ROUND($B$6*$B$10*$B$13*$B$14*$B$17*$B$20*$B$23,0)</f>
        <v/>
      </c>
      <c r="AF54" s="53">
        <f>ROUND($B$6*$B$10*$B$13*$B$14*$B$17*$B$21*$B$22,0)</f>
        <v/>
      </c>
      <c r="AG54" s="53">
        <f>ROUND($B$6*$B$10*$B$13*$B$14*$B$17*$B$21*$B$23,0)</f>
        <v/>
      </c>
      <c r="AH54" s="53">
        <f>ROUND($B$6*$B$10*$B$13*$B$14*$B$18*$B$19*$B$22,0)</f>
        <v/>
      </c>
      <c r="AI54" s="53">
        <f>ROUND($B$6*$B$10*$B$13*$B$14*$B$18*$B$19*$B$23,0)</f>
        <v/>
      </c>
      <c r="AJ54" s="53">
        <f>ROUND($B$6*$B$10*$B$13*$B$14*$B$18*$B$20*$B$22,0)</f>
        <v/>
      </c>
      <c r="AK54" s="53">
        <f>ROUND($B$6*$B$10*$B$13*$B$14*$B$18*$B$20*$B$23,0)</f>
        <v/>
      </c>
      <c r="AL54" s="53">
        <f>ROUND($B$6*$B$10*$B$13*$B$14*$B$18*$B$21*$B$22,0)</f>
        <v/>
      </c>
      <c r="AM54" s="53">
        <f>ROUND($B$6*$B$10*$B$13*$B$14*$B$18*$B$21*$B$23,0)</f>
        <v/>
      </c>
    </row>
    <row r="55" ht="20.1" customHeight="1" s="62">
      <c r="A55" s="104" t="n"/>
      <c r="B55" s="58" t="n"/>
      <c r="C55" s="101" t="inlineStr">
        <is>
          <t>Sécurité renforcée</t>
        </is>
      </c>
      <c r="D55" s="53">
        <f>ROUND($B$4*$B$10*$B$13*$B$15*$B$17*$B$19*$B$22,0)</f>
        <v/>
      </c>
      <c r="E55" s="53">
        <f>ROUND($B$4*$B$10*$B$13*$B$15*$B$17*$B$19*$B$23,0)</f>
        <v/>
      </c>
      <c r="F55" s="53">
        <f>ROUND($B$4*$B$10*$B$13*$B$15*$B$17*$B$20*$B$22,0)</f>
        <v/>
      </c>
      <c r="G55" s="53">
        <f>ROUND($B$4*$B$10*$B$13*$B$15*$B$17*$B$20*$B$23,0)</f>
        <v/>
      </c>
      <c r="H55" s="53">
        <f>ROUND($B$4*$B$10*$B$13*$B$15*$B$17*$B$21*$B$22,0)</f>
        <v/>
      </c>
      <c r="I55" s="53">
        <f>ROUND($B$4*$B$10*$B$13*$B$15*$B$17*$B$21*$B$23,0)</f>
        <v/>
      </c>
      <c r="J55" s="53">
        <f>ROUND($B$4*$B$10*$B$13*$B$15*$B$18*$B$19*$B$22,0)</f>
        <v/>
      </c>
      <c r="K55" s="53">
        <f>ROUND($B$4*$B$10*$B$13*$B$15*$B$18*$B$19*$B$23,0)</f>
        <v/>
      </c>
      <c r="L55" s="53">
        <f>ROUND($B$4*$B$10*$B$13*$B$15*$B$18*$B$20*$B$22,0)</f>
        <v/>
      </c>
      <c r="M55" s="53">
        <f>ROUND($B$4*$B$10*$B$13*$B$15*$B$18*$B$20*$B$23,0)</f>
        <v/>
      </c>
      <c r="N55" s="53">
        <f>ROUND($B$4*$B$10*$B$13*$B$15*$B$18*$B$21*$B$22,0)</f>
        <v/>
      </c>
      <c r="O55" s="53">
        <f>ROUND($B$4*$B$10*$B$13*$B$15*$B$18*$B$21*$B$23,0)</f>
        <v/>
      </c>
      <c r="P55" s="53">
        <f>ROUND($B$5*$B$10*$B$13*$B$15*$B$17*$B$19*$B$22,0)</f>
        <v/>
      </c>
      <c r="Q55" s="53">
        <f>ROUND($B$5*$B$10*$B$13*$B$15*$B$17*$B$19*$B$23,0)</f>
        <v/>
      </c>
      <c r="R55" s="53">
        <f>ROUND($B$5*$B$10*$B$13*$B$15*$B$17*$B$20*$B$22,0)</f>
        <v/>
      </c>
      <c r="S55" s="53">
        <f>ROUND($B$5*$B$10*$B$13*$B$15*$B$17*$B$20*$B$23,0)</f>
        <v/>
      </c>
      <c r="T55" s="53">
        <f>ROUND($B$5*$B$10*$B$13*$B$15*$B$17*$B$21*$B$22,0)</f>
        <v/>
      </c>
      <c r="U55" s="53">
        <f>ROUND($B$5*$B$10*$B$13*$B$15*$B$17*$B$21*$B$23,0)</f>
        <v/>
      </c>
      <c r="V55" s="53">
        <f>ROUND($B$5*$B$10*$B$13*$B$15*$B$18*$B$19*$B$22,0)</f>
        <v/>
      </c>
      <c r="W55" s="53">
        <f>ROUND($B$5*$B$10*$B$13*$B$15*$B$18*$B$19*$B$23,0)</f>
        <v/>
      </c>
      <c r="X55" s="53">
        <f>ROUND($B$5*$B$10*$B$13*$B$15*$B$18*$B$20*$B$22,0)</f>
        <v/>
      </c>
      <c r="Y55" s="53">
        <f>ROUND($B$5*$B$10*$B$13*$B$15*$B$18*$B$20*$B$23,0)</f>
        <v/>
      </c>
      <c r="Z55" s="53">
        <f>ROUND($B$5*$B$10*$B$13*$B$15*$B$18*$B$21*$B$22,0)</f>
        <v/>
      </c>
      <c r="AA55" s="53">
        <f>ROUND($B$5*$B$10*$B$13*$B$15*$B$18*$B$21*$B$23,0)</f>
        <v/>
      </c>
      <c r="AB55" s="53">
        <f>ROUND($B$6*$B$10*$B$13*$B$15*$B$17*$B$19*$B$22,0)</f>
        <v/>
      </c>
      <c r="AC55" s="53">
        <f>ROUND($B$6*$B$10*$B$13*$B$15*$B$17*$B$19*$B$23,0)</f>
        <v/>
      </c>
      <c r="AD55" s="53">
        <f>ROUND($B$6*$B$10*$B$13*$B$15*$B$17*$B$20*$B$22,0)</f>
        <v/>
      </c>
      <c r="AE55" s="53">
        <f>ROUND($B$6*$B$10*$B$13*$B$15*$B$17*$B$20*$B$23,0)</f>
        <v/>
      </c>
      <c r="AF55" s="53">
        <f>ROUND($B$6*$B$10*$B$13*$B$15*$B$17*$B$21*$B$22,0)</f>
        <v/>
      </c>
      <c r="AG55" s="53">
        <f>ROUND($B$6*$B$10*$B$13*$B$15*$B$17*$B$21*$B$23,0)</f>
        <v/>
      </c>
      <c r="AH55" s="53">
        <f>ROUND($B$6*$B$10*$B$13*$B$15*$B$18*$B$19*$B$22,0)</f>
        <v/>
      </c>
      <c r="AI55" s="53">
        <f>ROUND($B$6*$B$10*$B$13*$B$15*$B$18*$B$19*$B$23,0)</f>
        <v/>
      </c>
      <c r="AJ55" s="53">
        <f>ROUND($B$6*$B$10*$B$13*$B$15*$B$18*$B$20*$B$22,0)</f>
        <v/>
      </c>
      <c r="AK55" s="53">
        <f>ROUND($B$6*$B$10*$B$13*$B$15*$B$18*$B$20*$B$23,0)</f>
        <v/>
      </c>
      <c r="AL55" s="53">
        <f>ROUND($B$6*$B$10*$B$13*$B$15*$B$18*$B$21*$B$22,0)</f>
        <v/>
      </c>
      <c r="AM55" s="53">
        <f>ROUND($B$6*$B$10*$B$13*$B$15*$B$18*$B$21*$B$23,0)</f>
        <v/>
      </c>
    </row>
    <row r="56" ht="20.1" customHeight="1" s="62">
      <c r="A56" s="105" t="n"/>
      <c r="B56" s="59" t="n"/>
      <c r="C56" s="51" t="inlineStr">
        <is>
          <t>Sécurité critique</t>
        </is>
      </c>
      <c r="D56" s="53">
        <f>ROUND($B$4*$B$10*$B$13*$B$16*$B$17*$B$19*$B$22,0)</f>
        <v/>
      </c>
      <c r="E56" s="53">
        <f>ROUND($B$4*$B$10*$B$13*$B$16*$B$17*$B$19*$B$23,0)</f>
        <v/>
      </c>
      <c r="F56" s="53">
        <f>ROUND($B$4*$B$10*$B$13*$B$16*$B$17*$B$20*$B$22,0)</f>
        <v/>
      </c>
      <c r="G56" s="53">
        <f>ROUND($B$4*$B$10*$B$13*$B$16*$B$17*$B$20*$B$23,0)</f>
        <v/>
      </c>
      <c r="H56" s="53">
        <f>ROUND($B$4*$B$10*$B$13*$B$16*$B$17*$B$21*$B$22,0)</f>
        <v/>
      </c>
      <c r="I56" s="53">
        <f>ROUND($B$4*$B$10*$B$13*$B$16*$B$17*$B$21*$B$23,0)</f>
        <v/>
      </c>
      <c r="J56" s="53">
        <f>ROUND($B$4*$B$10*$B$13*$B$16*$B$18*$B$19*$B$22,0)</f>
        <v/>
      </c>
      <c r="K56" s="53">
        <f>ROUND($B$4*$B$10*$B$13*$B$16*$B$18*$B$19*$B$23,0)</f>
        <v/>
      </c>
      <c r="L56" s="53">
        <f>ROUND($B$4*$B$10*$B$13*$B$16*$B$18*$B$20*$B$22,0)</f>
        <v/>
      </c>
      <c r="M56" s="53">
        <f>ROUND($B$4*$B$10*$B$13*$B$16*$B$18*$B$20*$B$23,0)</f>
        <v/>
      </c>
      <c r="N56" s="53">
        <f>ROUND($B$4*$B$10*$B$13*$B$16*$B$18*$B$21*$B$22,0)</f>
        <v/>
      </c>
      <c r="O56" s="53">
        <f>ROUND($B$4*$B$10*$B$13*$B$16*$B$18*$B$21*$B$23,0)</f>
        <v/>
      </c>
      <c r="P56" s="53">
        <f>ROUND($B$5*$B$10*$B$13*$B$16*$B$17*$B$19*$B$22,0)</f>
        <v/>
      </c>
      <c r="Q56" s="53">
        <f>ROUND($B$5*$B$10*$B$13*$B$16*$B$17*$B$19*$B$23,0)</f>
        <v/>
      </c>
      <c r="R56" s="53">
        <f>ROUND($B$5*$B$10*$B$13*$B$16*$B$17*$B$20*$B$22,0)</f>
        <v/>
      </c>
      <c r="S56" s="53">
        <f>ROUND($B$5*$B$10*$B$13*$B$16*$B$17*$B$20*$B$23,0)</f>
        <v/>
      </c>
      <c r="T56" s="53">
        <f>ROUND($B$5*$B$10*$B$13*$B$16*$B$17*$B$21*$B$22,0)</f>
        <v/>
      </c>
      <c r="U56" s="53">
        <f>ROUND($B$5*$B$10*$B$13*$B$16*$B$17*$B$21*$B$23,0)</f>
        <v/>
      </c>
      <c r="V56" s="53">
        <f>ROUND($B$5*$B$10*$B$13*$B$16*$B$18*$B$19*$B$22,0)</f>
        <v/>
      </c>
      <c r="W56" s="53">
        <f>ROUND($B$5*$B$10*$B$13*$B$16*$B$18*$B$19*$B$23,0)</f>
        <v/>
      </c>
      <c r="X56" s="53">
        <f>ROUND($B$5*$B$10*$B$13*$B$16*$B$18*$B$20*$B$22,0)</f>
        <v/>
      </c>
      <c r="Y56" s="53">
        <f>ROUND($B$5*$B$10*$B$13*$B$16*$B$18*$B$20*$B$23,0)</f>
        <v/>
      </c>
      <c r="Z56" s="53">
        <f>ROUND($B$5*$B$10*$B$13*$B$16*$B$18*$B$21*$B$22,0)</f>
        <v/>
      </c>
      <c r="AA56" s="53">
        <f>ROUND($B$5*$B$10*$B$13*$B$16*$B$18*$B$21*$B$23,0)</f>
        <v/>
      </c>
      <c r="AB56" s="53">
        <f>ROUND($B$6*$B$10*$B$13*$B$16*$B$17*$B$19*$B$22,0)</f>
        <v/>
      </c>
      <c r="AC56" s="53">
        <f>ROUND($B$6*$B$10*$B$13*$B$16*$B$17*$B$19*$B$23,0)</f>
        <v/>
      </c>
      <c r="AD56" s="53">
        <f>ROUND($B$6*$B$10*$B$13*$B$16*$B$17*$B$20*$B$22,0)</f>
        <v/>
      </c>
      <c r="AE56" s="53">
        <f>ROUND($B$6*$B$10*$B$13*$B$16*$B$17*$B$20*$B$23,0)</f>
        <v/>
      </c>
      <c r="AF56" s="53">
        <f>ROUND($B$6*$B$10*$B$13*$B$16*$B$17*$B$21*$B$22,0)</f>
        <v/>
      </c>
      <c r="AG56" s="53">
        <f>ROUND($B$6*$B$10*$B$13*$B$16*$B$17*$B$21*$B$23,0)</f>
        <v/>
      </c>
      <c r="AH56" s="53">
        <f>ROUND($B$6*$B$10*$B$13*$B$16*$B$18*$B$19*$B$22,0)</f>
        <v/>
      </c>
      <c r="AI56" s="53">
        <f>ROUND($B$6*$B$10*$B$13*$B$16*$B$18*$B$19*$B$23,0)</f>
        <v/>
      </c>
      <c r="AJ56" s="53">
        <f>ROUND($B$6*$B$10*$B$13*$B$16*$B$18*$B$20*$B$22,0)</f>
        <v/>
      </c>
      <c r="AK56" s="53">
        <f>ROUND($B$6*$B$10*$B$13*$B$16*$B$18*$B$20*$B$23,0)</f>
        <v/>
      </c>
      <c r="AL56" s="53">
        <f>ROUND($B$6*$B$10*$B$13*$B$16*$B$18*$B$21*$B$22,0)</f>
        <v/>
      </c>
      <c r="AM56" s="53">
        <f>ROUND($B$6*$B$10*$B$13*$B$16*$B$18*$B$21*$B$23,0)</f>
        <v/>
      </c>
    </row>
  </sheetData>
  <mergeCells count="47">
    <mergeCell ref="A1:AM1"/>
    <mergeCell ref="D27:I27"/>
    <mergeCell ref="J27:O27"/>
    <mergeCell ref="P27:U27"/>
    <mergeCell ref="B30:B32"/>
    <mergeCell ref="C26:C29"/>
    <mergeCell ref="B33:B35"/>
    <mergeCell ref="R28:S28"/>
    <mergeCell ref="A7:AM7"/>
    <mergeCell ref="AB27:AG27"/>
    <mergeCell ref="J28:K28"/>
    <mergeCell ref="L28:M28"/>
    <mergeCell ref="B36:B38"/>
    <mergeCell ref="B54:B56"/>
    <mergeCell ref="B45:B47"/>
    <mergeCell ref="V27:AA27"/>
    <mergeCell ref="B51:B53"/>
    <mergeCell ref="V28:W28"/>
    <mergeCell ref="X28:Y28"/>
    <mergeCell ref="AD28:AE28"/>
    <mergeCell ref="A3:AM3"/>
    <mergeCell ref="AH27:AM27"/>
    <mergeCell ref="AJ28:AK28"/>
    <mergeCell ref="A2:AM2"/>
    <mergeCell ref="AL28:AM28"/>
    <mergeCell ref="A26:A29"/>
    <mergeCell ref="AH28:AI28"/>
    <mergeCell ref="N28:O28"/>
    <mergeCell ref="A39:A47"/>
    <mergeCell ref="D28:E28"/>
    <mergeCell ref="F28:G28"/>
    <mergeCell ref="P28:Q28"/>
    <mergeCell ref="H28:I28"/>
    <mergeCell ref="D26:O26"/>
    <mergeCell ref="B42:B44"/>
    <mergeCell ref="A48:A56"/>
    <mergeCell ref="P26:AA26"/>
    <mergeCell ref="A30:A38"/>
    <mergeCell ref="B39:B41"/>
    <mergeCell ref="B48:B50"/>
    <mergeCell ref="Z28:AA28"/>
    <mergeCell ref="B26:B29"/>
    <mergeCell ref="AB28:AC28"/>
    <mergeCell ref="T28:U28"/>
    <mergeCell ref="AF28:AG28"/>
    <mergeCell ref="A24:AM24"/>
    <mergeCell ref="AB26:AM2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D1B69"/>
    <outlinePr summaryBelow="1" summaryRight="1"/>
    <pageSetUpPr/>
  </sheetPr>
  <dimension ref="A1:BK58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4"/>
    <col width="13" customWidth="1" style="62" min="5" max="5"/>
    <col width="13" customWidth="1" style="62" min="6" max="6"/>
    <col width="13" customWidth="1" style="62" min="7" max="7"/>
    <col width="13" customWidth="1" style="62" min="8" max="8"/>
    <col width="13" customWidth="1" style="62" min="9" max="9"/>
    <col width="13" customWidth="1" style="62" min="10" max="10"/>
    <col width="13" customWidth="1" style="62" min="11" max="11"/>
    <col width="13" customWidth="1" style="62" min="12" max="12"/>
    <col width="13" customWidth="1" style="62" min="13" max="13"/>
    <col width="13" customWidth="1" style="62" min="14" max="14"/>
    <col width="13" customWidth="1" style="62" min="15" max="15"/>
    <col width="13" customWidth="1" style="62" min="16" max="16"/>
    <col width="13" customWidth="1" style="62" min="17" max="17"/>
    <col width="13" customWidth="1" style="62" min="18" max="18"/>
    <col width="13" customWidth="1" style="62" min="19" max="19"/>
    <col width="13" customWidth="1" style="62" min="20" max="20"/>
    <col width="13" customWidth="1" style="62" min="21" max="21"/>
    <col width="13" customWidth="1" style="62" min="22" max="22"/>
    <col width="13" customWidth="1" style="62" min="23" max="23"/>
    <col width="13" customWidth="1" style="62" min="24" max="24"/>
    <col width="13" customWidth="1" style="62" min="25" max="25"/>
    <col width="13" customWidth="1" style="62" min="26" max="26"/>
    <col width="13" customWidth="1" style="62" min="27" max="27"/>
    <col width="13" customWidth="1" style="62" min="28" max="28"/>
    <col width="13" customWidth="1" style="62" min="29" max="29"/>
    <col width="13" customWidth="1" style="62" min="30" max="30"/>
    <col width="13" customWidth="1" style="62" min="31" max="31"/>
    <col width="13" customWidth="1" style="62" min="32" max="32"/>
    <col width="13" customWidth="1" style="62" min="33" max="33"/>
    <col width="13" customWidth="1" style="62" min="34" max="34"/>
    <col width="13" customWidth="1" style="62" min="35" max="35"/>
    <col width="13" customWidth="1" style="62" min="36" max="36"/>
    <col width="13" customWidth="1" style="62" min="37" max="37"/>
    <col width="13" customWidth="1" style="62" min="38" max="38"/>
    <col width="13" customWidth="1" style="62" min="39" max="39"/>
    <col width="13" customWidth="1" style="62" min="40" max="40"/>
    <col width="13" customWidth="1" style="62" min="41" max="41"/>
    <col width="13" customWidth="1" style="62" min="42" max="42"/>
    <col width="13" customWidth="1" style="62" min="43" max="43"/>
    <col width="13" customWidth="1" style="62" min="44" max="44"/>
    <col width="13" customWidth="1" style="62" min="45" max="45"/>
    <col width="13" customWidth="1" style="62" min="46" max="46"/>
    <col width="13" customWidth="1" style="62" min="47" max="47"/>
    <col width="13" customWidth="1" style="62" min="48" max="48"/>
    <col width="13" customWidth="1" style="62" min="49" max="49"/>
    <col width="13" customWidth="1" style="62" min="50" max="50"/>
    <col width="13" customWidth="1" style="62" min="51" max="51"/>
    <col width="13" customWidth="1" style="62" min="52" max="52"/>
    <col width="13" customWidth="1" style="62" min="53" max="53"/>
    <col width="13" customWidth="1" style="62" min="54" max="54"/>
    <col width="13" customWidth="1" style="62" min="55" max="55"/>
    <col width="13" customWidth="1" style="62" min="56" max="56"/>
    <col width="13" customWidth="1" style="62" min="57" max="57"/>
    <col width="13" customWidth="1" style="62" min="58" max="58"/>
    <col width="13" customWidth="1" style="62" min="59" max="59"/>
    <col width="13" customWidth="1" style="62" min="60" max="60"/>
    <col width="13" customWidth="1" style="62" min="61" max="61"/>
    <col width="13" customWidth="1" style="62" min="62" max="62"/>
    <col width="13" customWidth="1" style="62" min="63" max="63"/>
  </cols>
  <sheetData>
    <row r="1" ht="34" customHeight="1" s="62">
      <c r="A1" s="108" t="inlineStr">
        <is>
          <t>GRILLE TARIFAIRE — Intégration de l'IA dans les SI</t>
        </is>
      </c>
    </row>
    <row r="2" ht="26" customHeight="1" s="62">
      <c r="A2" s="109" t="inlineStr">
        <is>
          <t>⚙  ZONE DE PARAMÉTRAGE — Remplissez uniquement les cases jaunes. Le tableau se calcule automatiquement.</t>
        </is>
      </c>
    </row>
    <row r="3" ht="22" customHeight="1" s="62">
      <c r="A3" s="110" t="inlineStr">
        <is>
          <t>TARIFS DE BASE  —  Par niveau de prestation</t>
        </is>
      </c>
    </row>
    <row r="4" ht="22" customHeight="1" s="62">
      <c r="A4" s="111" t="inlineStr">
        <is>
          <t>Tarif de base — Audit &amp; cadrage IA</t>
        </is>
      </c>
      <c r="B4" s="112" t="n">
        <v>3000</v>
      </c>
      <c r="C4" s="113" t="inlineStr">
        <is>
          <t>Fourchette : 1 000 – 5 000 €</t>
        </is>
      </c>
    </row>
    <row r="5" ht="22" customHeight="1" s="62">
      <c r="A5" s="111" t="inlineStr">
        <is>
          <t>Tarif de base — Intégration simple</t>
        </is>
      </c>
      <c r="B5" s="112" t="n">
        <v>6500</v>
      </c>
      <c r="C5" s="113" t="inlineStr">
        <is>
          <t>Fourchette : 3 000 – 10 000 €</t>
        </is>
      </c>
    </row>
    <row r="6" ht="22" customHeight="1" s="62">
      <c r="A6" s="111" t="inlineStr">
        <is>
          <t>Tarif de base — Intégration avancée</t>
        </is>
      </c>
      <c r="B6" s="112" t="n">
        <v>20000</v>
      </c>
      <c r="C6" s="113" t="inlineStr">
        <is>
          <t>Fourchette : 10 000 – 30 000 €</t>
        </is>
      </c>
    </row>
    <row r="7" ht="22" customHeight="1" s="62">
      <c r="A7" s="111" t="inlineStr">
        <is>
          <t>Tarif de base — Intégration complète SI + IA</t>
        </is>
      </c>
      <c r="B7" s="112" t="n">
        <v>65000</v>
      </c>
      <c r="C7" s="113" t="inlineStr">
        <is>
          <t>Fourchette : 30 000 – 100 000 €+</t>
        </is>
      </c>
    </row>
    <row r="8" ht="22" customHeight="1" s="62">
      <c r="A8" s="111" t="inlineStr">
        <is>
          <t>Tarif de base — Accompagnement mensuel</t>
        </is>
      </c>
      <c r="B8" s="114" t="n">
        <v>1750</v>
      </c>
      <c r="C8" s="113" t="inlineStr">
        <is>
          <t>Fourchette : 500 – 3 000 €/mois</t>
        </is>
      </c>
    </row>
    <row r="9" ht="22" customHeight="1" s="62">
      <c r="A9" s="115" t="inlineStr">
        <is>
          <t>COEFFICIENTS MULTIPLICATEURS  —  1,00 = neutre. Ex : 1,20 = +20 %</t>
        </is>
      </c>
    </row>
    <row r="10" ht="20" customHeight="1" s="62">
      <c r="A10" s="116" t="inlineStr">
        <is>
          <t>Coeff. taille SI — Petite (&lt; 5 outils)</t>
        </is>
      </c>
      <c r="B10" s="117" t="n">
        <v>0.75</v>
      </c>
      <c r="C10" s="118" t="inlineStr">
        <is>
          <t>Système simple</t>
        </is>
      </c>
    </row>
    <row r="11" ht="20" customHeight="1" s="62">
      <c r="A11" s="116" t="inlineStr">
        <is>
          <t>Coeff. taille SI — Moyenne (5-15 outils)</t>
        </is>
      </c>
      <c r="B11" s="117" t="n">
        <v>1</v>
      </c>
      <c r="C11" s="118" t="inlineStr">
        <is>
          <t>Référence</t>
        </is>
      </c>
    </row>
    <row r="12" ht="20" customHeight="1" s="62">
      <c r="A12" s="116" t="inlineStr">
        <is>
          <t>Coeff. taille SI — Grande (15+ outils)</t>
        </is>
      </c>
      <c r="B12" s="117" t="n">
        <v>1.6</v>
      </c>
      <c r="C12" s="118" t="inlineStr">
        <is>
          <t>Écosystème complexe</t>
        </is>
      </c>
    </row>
    <row r="13" ht="20" customHeight="1" s="62">
      <c r="A13" s="116" t="inlineStr">
        <is>
          <t>Coeff. maturité digitale — Faible</t>
        </is>
      </c>
      <c r="B13" s="117" t="n">
        <v>1.2</v>
      </c>
      <c r="C13" s="118" t="inlineStr">
        <is>
          <t>Mise à niveau nécessaire</t>
        </is>
      </c>
    </row>
    <row r="14" ht="20" customHeight="1" s="62">
      <c r="A14" s="116" t="inlineStr">
        <is>
          <t>Coeff. maturité digitale — Intermédiaire</t>
        </is>
      </c>
      <c r="B14" s="117" t="n">
        <v>1</v>
      </c>
      <c r="C14" s="118" t="inlineStr">
        <is>
          <t>Référence</t>
        </is>
      </c>
    </row>
    <row r="15" ht="20" customHeight="1" s="62">
      <c r="A15" s="116" t="inlineStr">
        <is>
          <t>Coeff. maturité digitale — Avancée</t>
        </is>
      </c>
      <c r="B15" s="117" t="n">
        <v>0.85</v>
      </c>
      <c r="C15" s="118" t="inlineStr">
        <is>
          <t>Base solide existante</t>
        </is>
      </c>
    </row>
    <row r="16" ht="20" customHeight="1" s="62">
      <c r="A16" s="116" t="inlineStr">
        <is>
          <t>Coeff. nb cas d'usage IA — 1-2</t>
        </is>
      </c>
      <c r="B16" s="117" t="n">
        <v>0.8</v>
      </c>
      <c r="C16" s="118" t="inlineStr">
        <is>
          <t>Périmètre réduit</t>
        </is>
      </c>
    </row>
    <row r="17" ht="20" customHeight="1" s="62">
      <c r="A17" s="116" t="inlineStr">
        <is>
          <t>Coeff. nb cas d'usage IA — 3-5</t>
        </is>
      </c>
      <c r="B17" s="117" t="n">
        <v>1</v>
      </c>
      <c r="C17" s="118" t="inlineStr">
        <is>
          <t>Référence</t>
        </is>
      </c>
    </row>
    <row r="18" ht="20" customHeight="1" s="62">
      <c r="A18" s="116" t="inlineStr">
        <is>
          <t>Coeff. nb cas d'usage IA — 6+</t>
        </is>
      </c>
      <c r="B18" s="117" t="n">
        <v>1.45</v>
      </c>
      <c r="C18" s="118" t="inlineStr">
        <is>
          <t>Transformation large</t>
        </is>
      </c>
    </row>
    <row r="19" ht="20" customHeight="1" s="62">
      <c r="A19" s="116" t="inlineStr">
        <is>
          <t>Coeff. type IA — Outils existants (no-code)</t>
        </is>
      </c>
      <c r="B19" s="117" t="n">
        <v>0.8</v>
      </c>
      <c r="C19" s="118" t="inlineStr">
        <is>
          <t>Intégration plug-and-play</t>
        </is>
      </c>
    </row>
    <row r="20" ht="20" customHeight="1" s="62">
      <c r="A20" s="116" t="inlineStr">
        <is>
          <t>Coeff. type IA — Générative / NLP</t>
        </is>
      </c>
      <c r="B20" s="117" t="n">
        <v>1</v>
      </c>
      <c r="C20" s="118" t="inlineStr">
        <is>
          <t>Référence</t>
        </is>
      </c>
    </row>
    <row r="21" ht="20" customHeight="1" s="62">
      <c r="A21" s="116" t="inlineStr">
        <is>
          <t>Coeff. type IA — Prédictive / sur mesure</t>
        </is>
      </c>
      <c r="B21" s="117" t="n">
        <v>1.5</v>
      </c>
      <c r="C21" s="118" t="inlineStr">
        <is>
          <t>Développement spécifique</t>
        </is>
      </c>
    </row>
    <row r="22" ht="20" customHeight="1" s="62">
      <c r="A22" s="116" t="inlineStr">
        <is>
          <t>Coeff. secteur — Standard</t>
        </is>
      </c>
      <c r="B22" s="117" t="n">
        <v>1</v>
      </c>
      <c r="C22" s="118" t="inlineStr">
        <is>
          <t>Référence</t>
        </is>
      </c>
    </row>
    <row r="23" ht="20" customHeight="1" s="62">
      <c r="A23" s="116" t="inlineStr">
        <is>
          <t>Coeff. secteur — Réglementé (santé, fin.)</t>
        </is>
      </c>
      <c r="B23" s="117" t="n">
        <v>1.3</v>
      </c>
      <c r="C23" s="118" t="inlineStr">
        <is>
          <t>Conformité renforcée</t>
        </is>
      </c>
    </row>
    <row r="24" ht="20" customHeight="1" s="62">
      <c r="A24" s="116" t="inlineStr">
        <is>
          <t>Coeff. mode — Distanciel</t>
        </is>
      </c>
      <c r="B24" s="117" t="n">
        <v>1</v>
      </c>
      <c r="C24" s="118" t="inlineStr">
        <is>
          <t>Référence</t>
        </is>
      </c>
    </row>
    <row r="25" ht="20" customHeight="1" s="62">
      <c r="A25" s="116" t="inlineStr">
        <is>
          <t>Coeff. mode — Présentiel</t>
        </is>
      </c>
      <c r="B25" s="117" t="n">
        <v>1.15</v>
      </c>
      <c r="C25" s="118" t="inlineStr">
        <is>
          <t>Sessions sur site</t>
        </is>
      </c>
    </row>
    <row r="26" ht="24" customHeight="1" s="62">
      <c r="A26" s="119" t="inlineStr">
        <is>
          <t>▼  GRILLE TARIFAIRE CALCULÉE AUTOMATIQUEMENT  — Les cellules violettes sont en lecture seule (formules).</t>
        </is>
      </c>
    </row>
    <row r="27" ht="6" customHeight="1" s="62"/>
    <row r="28" ht="38" customHeight="1" s="62">
      <c r="A28" s="120" t="inlineStr">
        <is>
          <t>Taille du SI</t>
        </is>
      </c>
      <c r="B28" s="121" t="inlineStr">
        <is>
          <t>Maturité digitale</t>
        </is>
      </c>
      <c r="C28" s="122" t="inlineStr">
        <is>
          <t>Nb de cas d'usage IA</t>
        </is>
      </c>
      <c r="D28" s="120" t="inlineStr">
        <is>
          <t>Audit &amp; cadrage IA</t>
        </is>
      </c>
      <c r="P28" s="120" t="inlineStr">
        <is>
          <t>Intégration simple</t>
        </is>
      </c>
      <c r="AB28" s="120" t="inlineStr">
        <is>
          <t>Intégration avancée</t>
        </is>
      </c>
      <c r="AN28" s="120" t="inlineStr">
        <is>
          <t>Intégration complète SI + IA</t>
        </is>
      </c>
      <c r="AZ28" s="120" t="inlineStr">
        <is>
          <t>Accompagnement mensuel</t>
        </is>
      </c>
    </row>
    <row r="29" ht="38" customHeight="1" s="62">
      <c r="D29" s="121" t="inlineStr">
        <is>
          <t>IA outils existants</t>
        </is>
      </c>
      <c r="H29" s="121" t="inlineStr">
        <is>
          <t>IA générative / NLP</t>
        </is>
      </c>
      <c r="L29" s="121" t="inlineStr">
        <is>
          <t>IA prédictive / sur mesure</t>
        </is>
      </c>
      <c r="P29" s="121" t="inlineStr">
        <is>
          <t>IA outils existants</t>
        </is>
      </c>
      <c r="T29" s="121" t="inlineStr">
        <is>
          <t>IA générative / NLP</t>
        </is>
      </c>
      <c r="X29" s="121" t="inlineStr">
        <is>
          <t>IA prédictive / sur mesure</t>
        </is>
      </c>
      <c r="AB29" s="121" t="inlineStr">
        <is>
          <t>IA outils existants</t>
        </is>
      </c>
      <c r="AF29" s="121" t="inlineStr">
        <is>
          <t>IA générative / NLP</t>
        </is>
      </c>
      <c r="AJ29" s="121" t="inlineStr">
        <is>
          <t>IA prédictive / sur mesure</t>
        </is>
      </c>
      <c r="AN29" s="121" t="inlineStr">
        <is>
          <t>IA outils existants</t>
        </is>
      </c>
      <c r="AR29" s="121" t="inlineStr">
        <is>
          <t>IA générative / NLP</t>
        </is>
      </c>
      <c r="AV29" s="121" t="inlineStr">
        <is>
          <t>IA prédictive / sur mesure</t>
        </is>
      </c>
      <c r="AZ29" s="121" t="inlineStr">
        <is>
          <t>IA outils existants</t>
        </is>
      </c>
      <c r="BD29" s="121" t="inlineStr">
        <is>
          <t>IA générative / NLP</t>
        </is>
      </c>
      <c r="BH29" s="121" t="inlineStr">
        <is>
          <t>IA prédictive / sur mesure</t>
        </is>
      </c>
    </row>
    <row r="30" ht="38" customHeight="1" s="62">
      <c r="D30" s="122" t="inlineStr">
        <is>
          <t>Secteur standard</t>
        </is>
      </c>
      <c r="F30" s="122" t="inlineStr">
        <is>
          <t>Secteur réglementé</t>
        </is>
      </c>
      <c r="H30" s="122" t="inlineStr">
        <is>
          <t>Secteur standard</t>
        </is>
      </c>
      <c r="J30" s="122" t="inlineStr">
        <is>
          <t>Secteur réglementé</t>
        </is>
      </c>
      <c r="L30" s="122" t="inlineStr">
        <is>
          <t>Secteur standard</t>
        </is>
      </c>
      <c r="N30" s="122" t="inlineStr">
        <is>
          <t>Secteur réglementé</t>
        </is>
      </c>
      <c r="P30" s="122" t="inlineStr">
        <is>
          <t>Secteur standard</t>
        </is>
      </c>
      <c r="R30" s="122" t="inlineStr">
        <is>
          <t>Secteur réglementé</t>
        </is>
      </c>
      <c r="T30" s="122" t="inlineStr">
        <is>
          <t>Secteur standard</t>
        </is>
      </c>
      <c r="V30" s="122" t="inlineStr">
        <is>
          <t>Secteur réglementé</t>
        </is>
      </c>
      <c r="X30" s="122" t="inlineStr">
        <is>
          <t>Secteur standard</t>
        </is>
      </c>
      <c r="Z30" s="122" t="inlineStr">
        <is>
          <t>Secteur réglementé</t>
        </is>
      </c>
      <c r="AB30" s="122" t="inlineStr">
        <is>
          <t>Secteur standard</t>
        </is>
      </c>
      <c r="AD30" s="122" t="inlineStr">
        <is>
          <t>Secteur réglementé</t>
        </is>
      </c>
      <c r="AF30" s="122" t="inlineStr">
        <is>
          <t>Secteur standard</t>
        </is>
      </c>
      <c r="AH30" s="122" t="inlineStr">
        <is>
          <t>Secteur réglementé</t>
        </is>
      </c>
      <c r="AJ30" s="122" t="inlineStr">
        <is>
          <t>Secteur standard</t>
        </is>
      </c>
      <c r="AL30" s="122" t="inlineStr">
        <is>
          <t>Secteur réglementé</t>
        </is>
      </c>
      <c r="AN30" s="122" t="inlineStr">
        <is>
          <t>Secteur standard</t>
        </is>
      </c>
      <c r="AP30" s="122" t="inlineStr">
        <is>
          <t>Secteur réglementé</t>
        </is>
      </c>
      <c r="AR30" s="122" t="inlineStr">
        <is>
          <t>Secteur standard</t>
        </is>
      </c>
      <c r="AT30" s="122" t="inlineStr">
        <is>
          <t>Secteur réglementé</t>
        </is>
      </c>
      <c r="AV30" s="122" t="inlineStr">
        <is>
          <t>Secteur standard</t>
        </is>
      </c>
      <c r="AX30" s="122" t="inlineStr">
        <is>
          <t>Secteur réglementé</t>
        </is>
      </c>
      <c r="AZ30" s="122" t="inlineStr">
        <is>
          <t>Secteur standard</t>
        </is>
      </c>
      <c r="BB30" s="122" t="inlineStr">
        <is>
          <t>Secteur réglementé</t>
        </is>
      </c>
      <c r="BD30" s="122" t="inlineStr">
        <is>
          <t>Secteur standard</t>
        </is>
      </c>
      <c r="BF30" s="122" t="inlineStr">
        <is>
          <t>Secteur réglementé</t>
        </is>
      </c>
      <c r="BH30" s="122" t="inlineStr">
        <is>
          <t>Secteur standard</t>
        </is>
      </c>
      <c r="BJ30" s="122" t="inlineStr">
        <is>
          <t>Secteur réglementé</t>
        </is>
      </c>
    </row>
    <row r="31" ht="38" customHeight="1" s="62">
      <c r="D31" s="123" t="inlineStr">
        <is>
          <t>Distanciel</t>
        </is>
      </c>
      <c r="E31" s="123" t="inlineStr">
        <is>
          <t>Présentiel</t>
        </is>
      </c>
      <c r="F31" s="123" t="inlineStr">
        <is>
          <t>Distanciel</t>
        </is>
      </c>
      <c r="G31" s="123" t="inlineStr">
        <is>
          <t>Présentiel</t>
        </is>
      </c>
      <c r="H31" s="123" t="inlineStr">
        <is>
          <t>Distanciel</t>
        </is>
      </c>
      <c r="I31" s="123" t="inlineStr">
        <is>
          <t>Présentiel</t>
        </is>
      </c>
      <c r="J31" s="123" t="inlineStr">
        <is>
          <t>Distanciel</t>
        </is>
      </c>
      <c r="K31" s="123" t="inlineStr">
        <is>
          <t>Présentiel</t>
        </is>
      </c>
      <c r="L31" s="123" t="inlineStr">
        <is>
          <t>Distanciel</t>
        </is>
      </c>
      <c r="M31" s="123" t="inlineStr">
        <is>
          <t>Présentiel</t>
        </is>
      </c>
      <c r="N31" s="123" t="inlineStr">
        <is>
          <t>Distanciel</t>
        </is>
      </c>
      <c r="O31" s="123" t="inlineStr">
        <is>
          <t>Présentiel</t>
        </is>
      </c>
      <c r="P31" s="123" t="inlineStr">
        <is>
          <t>Distanciel</t>
        </is>
      </c>
      <c r="Q31" s="123" t="inlineStr">
        <is>
          <t>Présentiel</t>
        </is>
      </c>
      <c r="R31" s="123" t="inlineStr">
        <is>
          <t>Distanciel</t>
        </is>
      </c>
      <c r="S31" s="123" t="inlineStr">
        <is>
          <t>Présentiel</t>
        </is>
      </c>
      <c r="T31" s="123" t="inlineStr">
        <is>
          <t>Distanciel</t>
        </is>
      </c>
      <c r="U31" s="123" t="inlineStr">
        <is>
          <t>Présentiel</t>
        </is>
      </c>
      <c r="V31" s="123" t="inlineStr">
        <is>
          <t>Distanciel</t>
        </is>
      </c>
      <c r="W31" s="123" t="inlineStr">
        <is>
          <t>Présentiel</t>
        </is>
      </c>
      <c r="X31" s="123" t="inlineStr">
        <is>
          <t>Distanciel</t>
        </is>
      </c>
      <c r="Y31" s="123" t="inlineStr">
        <is>
          <t>Présentiel</t>
        </is>
      </c>
      <c r="Z31" s="123" t="inlineStr">
        <is>
          <t>Distanciel</t>
        </is>
      </c>
      <c r="AA31" s="123" t="inlineStr">
        <is>
          <t>Présentiel</t>
        </is>
      </c>
      <c r="AB31" s="123" t="inlineStr">
        <is>
          <t>Distanciel</t>
        </is>
      </c>
      <c r="AC31" s="123" t="inlineStr">
        <is>
          <t>Présentiel</t>
        </is>
      </c>
      <c r="AD31" s="123" t="inlineStr">
        <is>
          <t>Distanciel</t>
        </is>
      </c>
      <c r="AE31" s="123" t="inlineStr">
        <is>
          <t>Présentiel</t>
        </is>
      </c>
      <c r="AF31" s="123" t="inlineStr">
        <is>
          <t>Distanciel</t>
        </is>
      </c>
      <c r="AG31" s="123" t="inlineStr">
        <is>
          <t>Présentiel</t>
        </is>
      </c>
      <c r="AH31" s="123" t="inlineStr">
        <is>
          <t>Distanciel</t>
        </is>
      </c>
      <c r="AI31" s="123" t="inlineStr">
        <is>
          <t>Présentiel</t>
        </is>
      </c>
      <c r="AJ31" s="123" t="inlineStr">
        <is>
          <t>Distanciel</t>
        </is>
      </c>
      <c r="AK31" s="123" t="inlineStr">
        <is>
          <t>Présentiel</t>
        </is>
      </c>
      <c r="AL31" s="123" t="inlineStr">
        <is>
          <t>Distanciel</t>
        </is>
      </c>
      <c r="AM31" s="123" t="inlineStr">
        <is>
          <t>Présentiel</t>
        </is>
      </c>
      <c r="AN31" s="123" t="inlineStr">
        <is>
          <t>Distanciel</t>
        </is>
      </c>
      <c r="AO31" s="123" t="inlineStr">
        <is>
          <t>Présentiel</t>
        </is>
      </c>
      <c r="AP31" s="123" t="inlineStr">
        <is>
          <t>Distanciel</t>
        </is>
      </c>
      <c r="AQ31" s="123" t="inlineStr">
        <is>
          <t>Présentiel</t>
        </is>
      </c>
      <c r="AR31" s="123" t="inlineStr">
        <is>
          <t>Distanciel</t>
        </is>
      </c>
      <c r="AS31" s="123" t="inlineStr">
        <is>
          <t>Présentiel</t>
        </is>
      </c>
      <c r="AT31" s="123" t="inlineStr">
        <is>
          <t>Distanciel</t>
        </is>
      </c>
      <c r="AU31" s="123" t="inlineStr">
        <is>
          <t>Présentiel</t>
        </is>
      </c>
      <c r="AV31" s="123" t="inlineStr">
        <is>
          <t>Distanciel</t>
        </is>
      </c>
      <c r="AW31" s="123" t="inlineStr">
        <is>
          <t>Présentiel</t>
        </is>
      </c>
      <c r="AX31" s="123" t="inlineStr">
        <is>
          <t>Distanciel</t>
        </is>
      </c>
      <c r="AY31" s="123" t="inlineStr">
        <is>
          <t>Présentiel</t>
        </is>
      </c>
      <c r="AZ31" s="123" t="inlineStr">
        <is>
          <t>Distanciel</t>
        </is>
      </c>
      <c r="BA31" s="123" t="inlineStr">
        <is>
          <t>Présentiel</t>
        </is>
      </c>
      <c r="BB31" s="123" t="inlineStr">
        <is>
          <t>Distanciel</t>
        </is>
      </c>
      <c r="BC31" s="123" t="inlineStr">
        <is>
          <t>Présentiel</t>
        </is>
      </c>
      <c r="BD31" s="123" t="inlineStr">
        <is>
          <t>Distanciel</t>
        </is>
      </c>
      <c r="BE31" s="123" t="inlineStr">
        <is>
          <t>Présentiel</t>
        </is>
      </c>
      <c r="BF31" s="123" t="inlineStr">
        <is>
          <t>Distanciel</t>
        </is>
      </c>
      <c r="BG31" s="123" t="inlineStr">
        <is>
          <t>Présentiel</t>
        </is>
      </c>
      <c r="BH31" s="123" t="inlineStr">
        <is>
          <t>Distanciel</t>
        </is>
      </c>
      <c r="BI31" s="123" t="inlineStr">
        <is>
          <t>Présentiel</t>
        </is>
      </c>
      <c r="BJ31" s="123" t="inlineStr">
        <is>
          <t>Distanciel</t>
        </is>
      </c>
      <c r="BK31" s="123" t="inlineStr">
        <is>
          <t>Présentiel</t>
        </is>
      </c>
    </row>
    <row r="32" ht="20" customHeight="1" s="62">
      <c r="A32" s="124" t="inlineStr">
        <is>
          <t>SI petite (&lt; 5 outils)</t>
        </is>
      </c>
      <c r="B32" s="125" t="inlineStr">
        <is>
          <t>Maturité digitale faible</t>
        </is>
      </c>
      <c r="C32" s="126" t="inlineStr">
        <is>
          <t>1-2 cas d'usage IA</t>
        </is>
      </c>
      <c r="D32" s="127">
        <f>ROUND($B$4*$B$10*$B$13*$B$16*$B$19*$B$22*$B$24,0)</f>
        <v/>
      </c>
      <c r="E32" s="127">
        <f>ROUND($B$4*$B$10*$B$13*$B$16*$B$19*$B$22*$B$25,0)</f>
        <v/>
      </c>
      <c r="F32" s="127">
        <f>ROUND($B$4*$B$10*$B$13*$B$16*$B$19*$B$23*$B$24,0)</f>
        <v/>
      </c>
      <c r="G32" s="127">
        <f>ROUND($B$4*$B$10*$B$13*$B$16*$B$19*$B$23*$B$25,0)</f>
        <v/>
      </c>
      <c r="H32" s="127">
        <f>ROUND($B$4*$B$10*$B$13*$B$16*$B$20*$B$22*$B$24,0)</f>
        <v/>
      </c>
      <c r="I32" s="127">
        <f>ROUND($B$4*$B$10*$B$13*$B$16*$B$20*$B$22*$B$25,0)</f>
        <v/>
      </c>
      <c r="J32" s="127">
        <f>ROUND($B$4*$B$10*$B$13*$B$16*$B$20*$B$23*$B$24,0)</f>
        <v/>
      </c>
      <c r="K32" s="127">
        <f>ROUND($B$4*$B$10*$B$13*$B$16*$B$20*$B$23*$B$25,0)</f>
        <v/>
      </c>
      <c r="L32" s="127">
        <f>ROUND($B$4*$B$10*$B$13*$B$16*$B$21*$B$22*$B$24,0)</f>
        <v/>
      </c>
      <c r="M32" s="127">
        <f>ROUND($B$4*$B$10*$B$13*$B$16*$B$21*$B$22*$B$25,0)</f>
        <v/>
      </c>
      <c r="N32" s="127">
        <f>ROUND($B$4*$B$10*$B$13*$B$16*$B$21*$B$23*$B$24,0)</f>
        <v/>
      </c>
      <c r="O32" s="127">
        <f>ROUND($B$4*$B$10*$B$13*$B$16*$B$21*$B$23*$B$25,0)</f>
        <v/>
      </c>
      <c r="P32" s="127">
        <f>ROUND($B$5*$B$10*$B$13*$B$16*$B$19*$B$22*$B$24,0)</f>
        <v/>
      </c>
      <c r="Q32" s="127">
        <f>ROUND($B$5*$B$10*$B$13*$B$16*$B$19*$B$22*$B$25,0)</f>
        <v/>
      </c>
      <c r="R32" s="127">
        <f>ROUND($B$5*$B$10*$B$13*$B$16*$B$19*$B$23*$B$24,0)</f>
        <v/>
      </c>
      <c r="S32" s="127">
        <f>ROUND($B$5*$B$10*$B$13*$B$16*$B$19*$B$23*$B$25,0)</f>
        <v/>
      </c>
      <c r="T32" s="127">
        <f>ROUND($B$5*$B$10*$B$13*$B$16*$B$20*$B$22*$B$24,0)</f>
        <v/>
      </c>
      <c r="U32" s="127">
        <f>ROUND($B$5*$B$10*$B$13*$B$16*$B$20*$B$22*$B$25,0)</f>
        <v/>
      </c>
      <c r="V32" s="127">
        <f>ROUND($B$5*$B$10*$B$13*$B$16*$B$20*$B$23*$B$24,0)</f>
        <v/>
      </c>
      <c r="W32" s="127">
        <f>ROUND($B$5*$B$10*$B$13*$B$16*$B$20*$B$23*$B$25,0)</f>
        <v/>
      </c>
      <c r="X32" s="127">
        <f>ROUND($B$5*$B$10*$B$13*$B$16*$B$21*$B$22*$B$24,0)</f>
        <v/>
      </c>
      <c r="Y32" s="127">
        <f>ROUND($B$5*$B$10*$B$13*$B$16*$B$21*$B$22*$B$25,0)</f>
        <v/>
      </c>
      <c r="Z32" s="127">
        <f>ROUND($B$5*$B$10*$B$13*$B$16*$B$21*$B$23*$B$24,0)</f>
        <v/>
      </c>
      <c r="AA32" s="127">
        <f>ROUND($B$5*$B$10*$B$13*$B$16*$B$21*$B$23*$B$25,0)</f>
        <v/>
      </c>
      <c r="AB32" s="127">
        <f>ROUND($B$6*$B$10*$B$13*$B$16*$B$19*$B$22*$B$24,0)</f>
        <v/>
      </c>
      <c r="AC32" s="127">
        <f>ROUND($B$6*$B$10*$B$13*$B$16*$B$19*$B$22*$B$25,0)</f>
        <v/>
      </c>
      <c r="AD32" s="127">
        <f>ROUND($B$6*$B$10*$B$13*$B$16*$B$19*$B$23*$B$24,0)</f>
        <v/>
      </c>
      <c r="AE32" s="127">
        <f>ROUND($B$6*$B$10*$B$13*$B$16*$B$19*$B$23*$B$25,0)</f>
        <v/>
      </c>
      <c r="AF32" s="127">
        <f>ROUND($B$6*$B$10*$B$13*$B$16*$B$20*$B$22*$B$24,0)</f>
        <v/>
      </c>
      <c r="AG32" s="127">
        <f>ROUND($B$6*$B$10*$B$13*$B$16*$B$20*$B$22*$B$25,0)</f>
        <v/>
      </c>
      <c r="AH32" s="127">
        <f>ROUND($B$6*$B$10*$B$13*$B$16*$B$20*$B$23*$B$24,0)</f>
        <v/>
      </c>
      <c r="AI32" s="127">
        <f>ROUND($B$6*$B$10*$B$13*$B$16*$B$20*$B$23*$B$25,0)</f>
        <v/>
      </c>
      <c r="AJ32" s="127">
        <f>ROUND($B$6*$B$10*$B$13*$B$16*$B$21*$B$22*$B$24,0)</f>
        <v/>
      </c>
      <c r="AK32" s="127">
        <f>ROUND($B$6*$B$10*$B$13*$B$16*$B$21*$B$22*$B$25,0)</f>
        <v/>
      </c>
      <c r="AL32" s="127">
        <f>ROUND($B$6*$B$10*$B$13*$B$16*$B$21*$B$23*$B$24,0)</f>
        <v/>
      </c>
      <c r="AM32" s="127">
        <f>ROUND($B$6*$B$10*$B$13*$B$16*$B$21*$B$23*$B$25,0)</f>
        <v/>
      </c>
      <c r="AN32" s="127">
        <f>ROUND($B$7*$B$10*$B$13*$B$16*$B$19*$B$22*$B$24,0)</f>
        <v/>
      </c>
      <c r="AO32" s="127">
        <f>ROUND($B$7*$B$10*$B$13*$B$16*$B$19*$B$22*$B$25,0)</f>
        <v/>
      </c>
      <c r="AP32" s="127">
        <f>ROUND($B$7*$B$10*$B$13*$B$16*$B$19*$B$23*$B$24,0)</f>
        <v/>
      </c>
      <c r="AQ32" s="127">
        <f>ROUND($B$7*$B$10*$B$13*$B$16*$B$19*$B$23*$B$25,0)</f>
        <v/>
      </c>
      <c r="AR32" s="127">
        <f>ROUND($B$7*$B$10*$B$13*$B$16*$B$20*$B$22*$B$24,0)</f>
        <v/>
      </c>
      <c r="AS32" s="127">
        <f>ROUND($B$7*$B$10*$B$13*$B$16*$B$20*$B$22*$B$25,0)</f>
        <v/>
      </c>
      <c r="AT32" s="127">
        <f>ROUND($B$7*$B$10*$B$13*$B$16*$B$20*$B$23*$B$24,0)</f>
        <v/>
      </c>
      <c r="AU32" s="127">
        <f>ROUND($B$7*$B$10*$B$13*$B$16*$B$20*$B$23*$B$25,0)</f>
        <v/>
      </c>
      <c r="AV32" s="127">
        <f>ROUND($B$7*$B$10*$B$13*$B$16*$B$21*$B$22*$B$24,0)</f>
        <v/>
      </c>
      <c r="AW32" s="127">
        <f>ROUND($B$7*$B$10*$B$13*$B$16*$B$21*$B$22*$B$25,0)</f>
        <v/>
      </c>
      <c r="AX32" s="127">
        <f>ROUND($B$7*$B$10*$B$13*$B$16*$B$21*$B$23*$B$24,0)</f>
        <v/>
      </c>
      <c r="AY32" s="127">
        <f>ROUND($B$7*$B$10*$B$13*$B$16*$B$21*$B$23*$B$25,0)</f>
        <v/>
      </c>
      <c r="AZ32" s="128">
        <f>ROUND($B$8*$B$10*$B$13*$B$16*$B$19*$B$22*$B$24,0)</f>
        <v/>
      </c>
      <c r="BA32" s="128">
        <f>ROUND($B$8*$B$10*$B$13*$B$16*$B$19*$B$22*$B$25,0)</f>
        <v/>
      </c>
      <c r="BB32" s="128">
        <f>ROUND($B$8*$B$10*$B$13*$B$16*$B$19*$B$23*$B$24,0)</f>
        <v/>
      </c>
      <c r="BC32" s="128">
        <f>ROUND($B$8*$B$10*$B$13*$B$16*$B$19*$B$23*$B$25,0)</f>
        <v/>
      </c>
      <c r="BD32" s="128">
        <f>ROUND($B$8*$B$10*$B$13*$B$16*$B$20*$B$22*$B$24,0)</f>
        <v/>
      </c>
      <c r="BE32" s="128">
        <f>ROUND($B$8*$B$10*$B$13*$B$16*$B$20*$B$22*$B$25,0)</f>
        <v/>
      </c>
      <c r="BF32" s="128">
        <f>ROUND($B$8*$B$10*$B$13*$B$16*$B$20*$B$23*$B$24,0)</f>
        <v/>
      </c>
      <c r="BG32" s="128">
        <f>ROUND($B$8*$B$10*$B$13*$B$16*$B$20*$B$23*$B$25,0)</f>
        <v/>
      </c>
      <c r="BH32" s="128">
        <f>ROUND($B$8*$B$10*$B$13*$B$16*$B$21*$B$22*$B$24,0)</f>
        <v/>
      </c>
      <c r="BI32" s="128">
        <f>ROUND($B$8*$B$10*$B$13*$B$16*$B$21*$B$22*$B$25,0)</f>
        <v/>
      </c>
      <c r="BJ32" s="128">
        <f>ROUND($B$8*$B$10*$B$13*$B$16*$B$21*$B$23*$B$24,0)</f>
        <v/>
      </c>
      <c r="BK32" s="128">
        <f>ROUND($B$8*$B$10*$B$13*$B$16*$B$21*$B$23*$B$25,0)</f>
        <v/>
      </c>
    </row>
    <row r="33" ht="20" customHeight="1" s="62">
      <c r="C33" s="125" t="inlineStr">
        <is>
          <t>3-5 cas d'usage IA</t>
        </is>
      </c>
      <c r="D33" s="127">
        <f>ROUND($B$4*$B$10*$B$13*$B$17*$B$19*$B$22*$B$24,0)</f>
        <v/>
      </c>
      <c r="E33" s="127">
        <f>ROUND($B$4*$B$10*$B$13*$B$17*$B$19*$B$22*$B$25,0)</f>
        <v/>
      </c>
      <c r="F33" s="127">
        <f>ROUND($B$4*$B$10*$B$13*$B$17*$B$19*$B$23*$B$24,0)</f>
        <v/>
      </c>
      <c r="G33" s="127">
        <f>ROUND($B$4*$B$10*$B$13*$B$17*$B$19*$B$23*$B$25,0)</f>
        <v/>
      </c>
      <c r="H33" s="127">
        <f>ROUND($B$4*$B$10*$B$13*$B$17*$B$20*$B$22*$B$24,0)</f>
        <v/>
      </c>
      <c r="I33" s="127">
        <f>ROUND($B$4*$B$10*$B$13*$B$17*$B$20*$B$22*$B$25,0)</f>
        <v/>
      </c>
      <c r="J33" s="127">
        <f>ROUND($B$4*$B$10*$B$13*$B$17*$B$20*$B$23*$B$24,0)</f>
        <v/>
      </c>
      <c r="K33" s="127">
        <f>ROUND($B$4*$B$10*$B$13*$B$17*$B$20*$B$23*$B$25,0)</f>
        <v/>
      </c>
      <c r="L33" s="127">
        <f>ROUND($B$4*$B$10*$B$13*$B$17*$B$21*$B$22*$B$24,0)</f>
        <v/>
      </c>
      <c r="M33" s="127">
        <f>ROUND($B$4*$B$10*$B$13*$B$17*$B$21*$B$22*$B$25,0)</f>
        <v/>
      </c>
      <c r="N33" s="127">
        <f>ROUND($B$4*$B$10*$B$13*$B$17*$B$21*$B$23*$B$24,0)</f>
        <v/>
      </c>
      <c r="O33" s="127">
        <f>ROUND($B$4*$B$10*$B$13*$B$17*$B$21*$B$23*$B$25,0)</f>
        <v/>
      </c>
      <c r="P33" s="127">
        <f>ROUND($B$5*$B$10*$B$13*$B$17*$B$19*$B$22*$B$24,0)</f>
        <v/>
      </c>
      <c r="Q33" s="127">
        <f>ROUND($B$5*$B$10*$B$13*$B$17*$B$19*$B$22*$B$25,0)</f>
        <v/>
      </c>
      <c r="R33" s="127">
        <f>ROUND($B$5*$B$10*$B$13*$B$17*$B$19*$B$23*$B$24,0)</f>
        <v/>
      </c>
      <c r="S33" s="127">
        <f>ROUND($B$5*$B$10*$B$13*$B$17*$B$19*$B$23*$B$25,0)</f>
        <v/>
      </c>
      <c r="T33" s="127">
        <f>ROUND($B$5*$B$10*$B$13*$B$17*$B$20*$B$22*$B$24,0)</f>
        <v/>
      </c>
      <c r="U33" s="127">
        <f>ROUND($B$5*$B$10*$B$13*$B$17*$B$20*$B$22*$B$25,0)</f>
        <v/>
      </c>
      <c r="V33" s="127">
        <f>ROUND($B$5*$B$10*$B$13*$B$17*$B$20*$B$23*$B$24,0)</f>
        <v/>
      </c>
      <c r="W33" s="127">
        <f>ROUND($B$5*$B$10*$B$13*$B$17*$B$20*$B$23*$B$25,0)</f>
        <v/>
      </c>
      <c r="X33" s="127">
        <f>ROUND($B$5*$B$10*$B$13*$B$17*$B$21*$B$22*$B$24,0)</f>
        <v/>
      </c>
      <c r="Y33" s="127">
        <f>ROUND($B$5*$B$10*$B$13*$B$17*$B$21*$B$22*$B$25,0)</f>
        <v/>
      </c>
      <c r="Z33" s="127">
        <f>ROUND($B$5*$B$10*$B$13*$B$17*$B$21*$B$23*$B$24,0)</f>
        <v/>
      </c>
      <c r="AA33" s="127">
        <f>ROUND($B$5*$B$10*$B$13*$B$17*$B$21*$B$23*$B$25,0)</f>
        <v/>
      </c>
      <c r="AB33" s="127">
        <f>ROUND($B$6*$B$10*$B$13*$B$17*$B$19*$B$22*$B$24,0)</f>
        <v/>
      </c>
      <c r="AC33" s="127">
        <f>ROUND($B$6*$B$10*$B$13*$B$17*$B$19*$B$22*$B$25,0)</f>
        <v/>
      </c>
      <c r="AD33" s="127">
        <f>ROUND($B$6*$B$10*$B$13*$B$17*$B$19*$B$23*$B$24,0)</f>
        <v/>
      </c>
      <c r="AE33" s="127">
        <f>ROUND($B$6*$B$10*$B$13*$B$17*$B$19*$B$23*$B$25,0)</f>
        <v/>
      </c>
      <c r="AF33" s="127">
        <f>ROUND($B$6*$B$10*$B$13*$B$17*$B$20*$B$22*$B$24,0)</f>
        <v/>
      </c>
      <c r="AG33" s="127">
        <f>ROUND($B$6*$B$10*$B$13*$B$17*$B$20*$B$22*$B$25,0)</f>
        <v/>
      </c>
      <c r="AH33" s="127">
        <f>ROUND($B$6*$B$10*$B$13*$B$17*$B$20*$B$23*$B$24,0)</f>
        <v/>
      </c>
      <c r="AI33" s="127">
        <f>ROUND($B$6*$B$10*$B$13*$B$17*$B$20*$B$23*$B$25,0)</f>
        <v/>
      </c>
      <c r="AJ33" s="127">
        <f>ROUND($B$6*$B$10*$B$13*$B$17*$B$21*$B$22*$B$24,0)</f>
        <v/>
      </c>
      <c r="AK33" s="127">
        <f>ROUND($B$6*$B$10*$B$13*$B$17*$B$21*$B$22*$B$25,0)</f>
        <v/>
      </c>
      <c r="AL33" s="127">
        <f>ROUND($B$6*$B$10*$B$13*$B$17*$B$21*$B$23*$B$24,0)</f>
        <v/>
      </c>
      <c r="AM33" s="127">
        <f>ROUND($B$6*$B$10*$B$13*$B$17*$B$21*$B$23*$B$25,0)</f>
        <v/>
      </c>
      <c r="AN33" s="127">
        <f>ROUND($B$7*$B$10*$B$13*$B$17*$B$19*$B$22*$B$24,0)</f>
        <v/>
      </c>
      <c r="AO33" s="127">
        <f>ROUND($B$7*$B$10*$B$13*$B$17*$B$19*$B$22*$B$25,0)</f>
        <v/>
      </c>
      <c r="AP33" s="127">
        <f>ROUND($B$7*$B$10*$B$13*$B$17*$B$19*$B$23*$B$24,0)</f>
        <v/>
      </c>
      <c r="AQ33" s="127">
        <f>ROUND($B$7*$B$10*$B$13*$B$17*$B$19*$B$23*$B$25,0)</f>
        <v/>
      </c>
      <c r="AR33" s="127">
        <f>ROUND($B$7*$B$10*$B$13*$B$17*$B$20*$B$22*$B$24,0)</f>
        <v/>
      </c>
      <c r="AS33" s="127">
        <f>ROUND($B$7*$B$10*$B$13*$B$17*$B$20*$B$22*$B$25,0)</f>
        <v/>
      </c>
      <c r="AT33" s="127">
        <f>ROUND($B$7*$B$10*$B$13*$B$17*$B$20*$B$23*$B$24,0)</f>
        <v/>
      </c>
      <c r="AU33" s="127">
        <f>ROUND($B$7*$B$10*$B$13*$B$17*$B$20*$B$23*$B$25,0)</f>
        <v/>
      </c>
      <c r="AV33" s="127">
        <f>ROUND($B$7*$B$10*$B$13*$B$17*$B$21*$B$22*$B$24,0)</f>
        <v/>
      </c>
      <c r="AW33" s="127">
        <f>ROUND($B$7*$B$10*$B$13*$B$17*$B$21*$B$22*$B$25,0)</f>
        <v/>
      </c>
      <c r="AX33" s="127">
        <f>ROUND($B$7*$B$10*$B$13*$B$17*$B$21*$B$23*$B$24,0)</f>
        <v/>
      </c>
      <c r="AY33" s="127">
        <f>ROUND($B$7*$B$10*$B$13*$B$17*$B$21*$B$23*$B$25,0)</f>
        <v/>
      </c>
      <c r="AZ33" s="128">
        <f>ROUND($B$8*$B$10*$B$13*$B$17*$B$19*$B$22*$B$24,0)</f>
        <v/>
      </c>
      <c r="BA33" s="128">
        <f>ROUND($B$8*$B$10*$B$13*$B$17*$B$19*$B$22*$B$25,0)</f>
        <v/>
      </c>
      <c r="BB33" s="128">
        <f>ROUND($B$8*$B$10*$B$13*$B$17*$B$19*$B$23*$B$24,0)</f>
        <v/>
      </c>
      <c r="BC33" s="128">
        <f>ROUND($B$8*$B$10*$B$13*$B$17*$B$19*$B$23*$B$25,0)</f>
        <v/>
      </c>
      <c r="BD33" s="128">
        <f>ROUND($B$8*$B$10*$B$13*$B$17*$B$20*$B$22*$B$24,0)</f>
        <v/>
      </c>
      <c r="BE33" s="128">
        <f>ROUND($B$8*$B$10*$B$13*$B$17*$B$20*$B$22*$B$25,0)</f>
        <v/>
      </c>
      <c r="BF33" s="128">
        <f>ROUND($B$8*$B$10*$B$13*$B$17*$B$20*$B$23*$B$24,0)</f>
        <v/>
      </c>
      <c r="BG33" s="128">
        <f>ROUND($B$8*$B$10*$B$13*$B$17*$B$20*$B$23*$B$25,0)</f>
        <v/>
      </c>
      <c r="BH33" s="128">
        <f>ROUND($B$8*$B$10*$B$13*$B$17*$B$21*$B$22*$B$24,0)</f>
        <v/>
      </c>
      <c r="BI33" s="128">
        <f>ROUND($B$8*$B$10*$B$13*$B$17*$B$21*$B$22*$B$25,0)</f>
        <v/>
      </c>
      <c r="BJ33" s="128">
        <f>ROUND($B$8*$B$10*$B$13*$B$17*$B$21*$B$23*$B$24,0)</f>
        <v/>
      </c>
      <c r="BK33" s="128">
        <f>ROUND($B$8*$B$10*$B$13*$B$17*$B$21*$B$23*$B$25,0)</f>
        <v/>
      </c>
    </row>
    <row r="34" ht="20" customHeight="1" s="62">
      <c r="C34" s="129" t="inlineStr">
        <is>
          <t>6+ cas d'usage IA</t>
        </is>
      </c>
      <c r="D34" s="127">
        <f>ROUND($B$4*$B$10*$B$13*$B$18*$B$19*$B$22*$B$24,0)</f>
        <v/>
      </c>
      <c r="E34" s="127">
        <f>ROUND($B$4*$B$10*$B$13*$B$18*$B$19*$B$22*$B$25,0)</f>
        <v/>
      </c>
      <c r="F34" s="127">
        <f>ROUND($B$4*$B$10*$B$13*$B$18*$B$19*$B$23*$B$24,0)</f>
        <v/>
      </c>
      <c r="G34" s="127">
        <f>ROUND($B$4*$B$10*$B$13*$B$18*$B$19*$B$23*$B$25,0)</f>
        <v/>
      </c>
      <c r="H34" s="127">
        <f>ROUND($B$4*$B$10*$B$13*$B$18*$B$20*$B$22*$B$24,0)</f>
        <v/>
      </c>
      <c r="I34" s="127">
        <f>ROUND($B$4*$B$10*$B$13*$B$18*$B$20*$B$22*$B$25,0)</f>
        <v/>
      </c>
      <c r="J34" s="127">
        <f>ROUND($B$4*$B$10*$B$13*$B$18*$B$20*$B$23*$B$24,0)</f>
        <v/>
      </c>
      <c r="K34" s="127">
        <f>ROUND($B$4*$B$10*$B$13*$B$18*$B$20*$B$23*$B$25,0)</f>
        <v/>
      </c>
      <c r="L34" s="127">
        <f>ROUND($B$4*$B$10*$B$13*$B$18*$B$21*$B$22*$B$24,0)</f>
        <v/>
      </c>
      <c r="M34" s="127">
        <f>ROUND($B$4*$B$10*$B$13*$B$18*$B$21*$B$22*$B$25,0)</f>
        <v/>
      </c>
      <c r="N34" s="127">
        <f>ROUND($B$4*$B$10*$B$13*$B$18*$B$21*$B$23*$B$24,0)</f>
        <v/>
      </c>
      <c r="O34" s="127">
        <f>ROUND($B$4*$B$10*$B$13*$B$18*$B$21*$B$23*$B$25,0)</f>
        <v/>
      </c>
      <c r="P34" s="127">
        <f>ROUND($B$5*$B$10*$B$13*$B$18*$B$19*$B$22*$B$24,0)</f>
        <v/>
      </c>
      <c r="Q34" s="127">
        <f>ROUND($B$5*$B$10*$B$13*$B$18*$B$19*$B$22*$B$25,0)</f>
        <v/>
      </c>
      <c r="R34" s="127">
        <f>ROUND($B$5*$B$10*$B$13*$B$18*$B$19*$B$23*$B$24,0)</f>
        <v/>
      </c>
      <c r="S34" s="127">
        <f>ROUND($B$5*$B$10*$B$13*$B$18*$B$19*$B$23*$B$25,0)</f>
        <v/>
      </c>
      <c r="T34" s="127">
        <f>ROUND($B$5*$B$10*$B$13*$B$18*$B$20*$B$22*$B$24,0)</f>
        <v/>
      </c>
      <c r="U34" s="127">
        <f>ROUND($B$5*$B$10*$B$13*$B$18*$B$20*$B$22*$B$25,0)</f>
        <v/>
      </c>
      <c r="V34" s="127">
        <f>ROUND($B$5*$B$10*$B$13*$B$18*$B$20*$B$23*$B$24,0)</f>
        <v/>
      </c>
      <c r="W34" s="127">
        <f>ROUND($B$5*$B$10*$B$13*$B$18*$B$20*$B$23*$B$25,0)</f>
        <v/>
      </c>
      <c r="X34" s="127">
        <f>ROUND($B$5*$B$10*$B$13*$B$18*$B$21*$B$22*$B$24,0)</f>
        <v/>
      </c>
      <c r="Y34" s="127">
        <f>ROUND($B$5*$B$10*$B$13*$B$18*$B$21*$B$22*$B$25,0)</f>
        <v/>
      </c>
      <c r="Z34" s="127">
        <f>ROUND($B$5*$B$10*$B$13*$B$18*$B$21*$B$23*$B$24,0)</f>
        <v/>
      </c>
      <c r="AA34" s="127">
        <f>ROUND($B$5*$B$10*$B$13*$B$18*$B$21*$B$23*$B$25,0)</f>
        <v/>
      </c>
      <c r="AB34" s="127">
        <f>ROUND($B$6*$B$10*$B$13*$B$18*$B$19*$B$22*$B$24,0)</f>
        <v/>
      </c>
      <c r="AC34" s="127">
        <f>ROUND($B$6*$B$10*$B$13*$B$18*$B$19*$B$22*$B$25,0)</f>
        <v/>
      </c>
      <c r="AD34" s="127">
        <f>ROUND($B$6*$B$10*$B$13*$B$18*$B$19*$B$23*$B$24,0)</f>
        <v/>
      </c>
      <c r="AE34" s="127">
        <f>ROUND($B$6*$B$10*$B$13*$B$18*$B$19*$B$23*$B$25,0)</f>
        <v/>
      </c>
      <c r="AF34" s="127">
        <f>ROUND($B$6*$B$10*$B$13*$B$18*$B$20*$B$22*$B$24,0)</f>
        <v/>
      </c>
      <c r="AG34" s="127">
        <f>ROUND($B$6*$B$10*$B$13*$B$18*$B$20*$B$22*$B$25,0)</f>
        <v/>
      </c>
      <c r="AH34" s="127">
        <f>ROUND($B$6*$B$10*$B$13*$B$18*$B$20*$B$23*$B$24,0)</f>
        <v/>
      </c>
      <c r="AI34" s="127">
        <f>ROUND($B$6*$B$10*$B$13*$B$18*$B$20*$B$23*$B$25,0)</f>
        <v/>
      </c>
      <c r="AJ34" s="127">
        <f>ROUND($B$6*$B$10*$B$13*$B$18*$B$21*$B$22*$B$24,0)</f>
        <v/>
      </c>
      <c r="AK34" s="127">
        <f>ROUND($B$6*$B$10*$B$13*$B$18*$B$21*$B$22*$B$25,0)</f>
        <v/>
      </c>
      <c r="AL34" s="127">
        <f>ROUND($B$6*$B$10*$B$13*$B$18*$B$21*$B$23*$B$24,0)</f>
        <v/>
      </c>
      <c r="AM34" s="127">
        <f>ROUND($B$6*$B$10*$B$13*$B$18*$B$21*$B$23*$B$25,0)</f>
        <v/>
      </c>
      <c r="AN34" s="127">
        <f>ROUND($B$7*$B$10*$B$13*$B$18*$B$19*$B$22*$B$24,0)</f>
        <v/>
      </c>
      <c r="AO34" s="127">
        <f>ROUND($B$7*$B$10*$B$13*$B$18*$B$19*$B$22*$B$25,0)</f>
        <v/>
      </c>
      <c r="AP34" s="127">
        <f>ROUND($B$7*$B$10*$B$13*$B$18*$B$19*$B$23*$B$24,0)</f>
        <v/>
      </c>
      <c r="AQ34" s="127">
        <f>ROUND($B$7*$B$10*$B$13*$B$18*$B$19*$B$23*$B$25,0)</f>
        <v/>
      </c>
      <c r="AR34" s="127">
        <f>ROUND($B$7*$B$10*$B$13*$B$18*$B$20*$B$22*$B$24,0)</f>
        <v/>
      </c>
      <c r="AS34" s="127">
        <f>ROUND($B$7*$B$10*$B$13*$B$18*$B$20*$B$22*$B$25,0)</f>
        <v/>
      </c>
      <c r="AT34" s="127">
        <f>ROUND($B$7*$B$10*$B$13*$B$18*$B$20*$B$23*$B$24,0)</f>
        <v/>
      </c>
      <c r="AU34" s="127">
        <f>ROUND($B$7*$B$10*$B$13*$B$18*$B$20*$B$23*$B$25,0)</f>
        <v/>
      </c>
      <c r="AV34" s="127">
        <f>ROUND($B$7*$B$10*$B$13*$B$18*$B$21*$B$22*$B$24,0)</f>
        <v/>
      </c>
      <c r="AW34" s="127">
        <f>ROUND($B$7*$B$10*$B$13*$B$18*$B$21*$B$22*$B$25,0)</f>
        <v/>
      </c>
      <c r="AX34" s="127">
        <f>ROUND($B$7*$B$10*$B$13*$B$18*$B$21*$B$23*$B$24,0)</f>
        <v/>
      </c>
      <c r="AY34" s="127">
        <f>ROUND($B$7*$B$10*$B$13*$B$18*$B$21*$B$23*$B$25,0)</f>
        <v/>
      </c>
      <c r="AZ34" s="128">
        <f>ROUND($B$8*$B$10*$B$13*$B$18*$B$19*$B$22*$B$24,0)</f>
        <v/>
      </c>
      <c r="BA34" s="128">
        <f>ROUND($B$8*$B$10*$B$13*$B$18*$B$19*$B$22*$B$25,0)</f>
        <v/>
      </c>
      <c r="BB34" s="128">
        <f>ROUND($B$8*$B$10*$B$13*$B$18*$B$19*$B$23*$B$24,0)</f>
        <v/>
      </c>
      <c r="BC34" s="128">
        <f>ROUND($B$8*$B$10*$B$13*$B$18*$B$19*$B$23*$B$25,0)</f>
        <v/>
      </c>
      <c r="BD34" s="128">
        <f>ROUND($B$8*$B$10*$B$13*$B$18*$B$20*$B$22*$B$24,0)</f>
        <v/>
      </c>
      <c r="BE34" s="128">
        <f>ROUND($B$8*$B$10*$B$13*$B$18*$B$20*$B$22*$B$25,0)</f>
        <v/>
      </c>
      <c r="BF34" s="128">
        <f>ROUND($B$8*$B$10*$B$13*$B$18*$B$20*$B$23*$B$24,0)</f>
        <v/>
      </c>
      <c r="BG34" s="128">
        <f>ROUND($B$8*$B$10*$B$13*$B$18*$B$20*$B$23*$B$25,0)</f>
        <v/>
      </c>
      <c r="BH34" s="128">
        <f>ROUND($B$8*$B$10*$B$13*$B$18*$B$21*$B$22*$B$24,0)</f>
        <v/>
      </c>
      <c r="BI34" s="128">
        <f>ROUND($B$8*$B$10*$B$13*$B$18*$B$21*$B$22*$B$25,0)</f>
        <v/>
      </c>
      <c r="BJ34" s="128">
        <f>ROUND($B$8*$B$10*$B$13*$B$18*$B$21*$B$23*$B$24,0)</f>
        <v/>
      </c>
      <c r="BK34" s="128">
        <f>ROUND($B$8*$B$10*$B$13*$B$18*$B$21*$B$23*$B$25,0)</f>
        <v/>
      </c>
    </row>
    <row r="35" ht="20" customHeight="1" s="62">
      <c r="B35" s="125" t="inlineStr">
        <is>
          <t>Maturité digitale intermédiaire</t>
        </is>
      </c>
      <c r="C35" s="126" t="inlineStr">
        <is>
          <t>1-2 cas d'usage IA</t>
        </is>
      </c>
      <c r="D35" s="127">
        <f>ROUND($B$4*$B$10*$B$14*$B$16*$B$19*$B$22*$B$24,0)</f>
        <v/>
      </c>
      <c r="E35" s="127">
        <f>ROUND($B$4*$B$10*$B$14*$B$16*$B$19*$B$22*$B$25,0)</f>
        <v/>
      </c>
      <c r="F35" s="127">
        <f>ROUND($B$4*$B$10*$B$14*$B$16*$B$19*$B$23*$B$24,0)</f>
        <v/>
      </c>
      <c r="G35" s="127">
        <f>ROUND($B$4*$B$10*$B$14*$B$16*$B$19*$B$23*$B$25,0)</f>
        <v/>
      </c>
      <c r="H35" s="127">
        <f>ROUND($B$4*$B$10*$B$14*$B$16*$B$20*$B$22*$B$24,0)</f>
        <v/>
      </c>
      <c r="I35" s="127">
        <f>ROUND($B$4*$B$10*$B$14*$B$16*$B$20*$B$22*$B$25,0)</f>
        <v/>
      </c>
      <c r="J35" s="127">
        <f>ROUND($B$4*$B$10*$B$14*$B$16*$B$20*$B$23*$B$24,0)</f>
        <v/>
      </c>
      <c r="K35" s="127">
        <f>ROUND($B$4*$B$10*$B$14*$B$16*$B$20*$B$23*$B$25,0)</f>
        <v/>
      </c>
      <c r="L35" s="127">
        <f>ROUND($B$4*$B$10*$B$14*$B$16*$B$21*$B$22*$B$24,0)</f>
        <v/>
      </c>
      <c r="M35" s="127">
        <f>ROUND($B$4*$B$10*$B$14*$B$16*$B$21*$B$22*$B$25,0)</f>
        <v/>
      </c>
      <c r="N35" s="127">
        <f>ROUND($B$4*$B$10*$B$14*$B$16*$B$21*$B$23*$B$24,0)</f>
        <v/>
      </c>
      <c r="O35" s="127">
        <f>ROUND($B$4*$B$10*$B$14*$B$16*$B$21*$B$23*$B$25,0)</f>
        <v/>
      </c>
      <c r="P35" s="127">
        <f>ROUND($B$5*$B$10*$B$14*$B$16*$B$19*$B$22*$B$24,0)</f>
        <v/>
      </c>
      <c r="Q35" s="127">
        <f>ROUND($B$5*$B$10*$B$14*$B$16*$B$19*$B$22*$B$25,0)</f>
        <v/>
      </c>
      <c r="R35" s="127">
        <f>ROUND($B$5*$B$10*$B$14*$B$16*$B$19*$B$23*$B$24,0)</f>
        <v/>
      </c>
      <c r="S35" s="127">
        <f>ROUND($B$5*$B$10*$B$14*$B$16*$B$19*$B$23*$B$25,0)</f>
        <v/>
      </c>
      <c r="T35" s="127">
        <f>ROUND($B$5*$B$10*$B$14*$B$16*$B$20*$B$22*$B$24,0)</f>
        <v/>
      </c>
      <c r="U35" s="127">
        <f>ROUND($B$5*$B$10*$B$14*$B$16*$B$20*$B$22*$B$25,0)</f>
        <v/>
      </c>
      <c r="V35" s="127">
        <f>ROUND($B$5*$B$10*$B$14*$B$16*$B$20*$B$23*$B$24,0)</f>
        <v/>
      </c>
      <c r="W35" s="127">
        <f>ROUND($B$5*$B$10*$B$14*$B$16*$B$20*$B$23*$B$25,0)</f>
        <v/>
      </c>
      <c r="X35" s="127">
        <f>ROUND($B$5*$B$10*$B$14*$B$16*$B$21*$B$22*$B$24,0)</f>
        <v/>
      </c>
      <c r="Y35" s="127">
        <f>ROUND($B$5*$B$10*$B$14*$B$16*$B$21*$B$22*$B$25,0)</f>
        <v/>
      </c>
      <c r="Z35" s="127">
        <f>ROUND($B$5*$B$10*$B$14*$B$16*$B$21*$B$23*$B$24,0)</f>
        <v/>
      </c>
      <c r="AA35" s="127">
        <f>ROUND($B$5*$B$10*$B$14*$B$16*$B$21*$B$23*$B$25,0)</f>
        <v/>
      </c>
      <c r="AB35" s="127">
        <f>ROUND($B$6*$B$10*$B$14*$B$16*$B$19*$B$22*$B$24,0)</f>
        <v/>
      </c>
      <c r="AC35" s="127">
        <f>ROUND($B$6*$B$10*$B$14*$B$16*$B$19*$B$22*$B$25,0)</f>
        <v/>
      </c>
      <c r="AD35" s="127">
        <f>ROUND($B$6*$B$10*$B$14*$B$16*$B$19*$B$23*$B$24,0)</f>
        <v/>
      </c>
      <c r="AE35" s="127">
        <f>ROUND($B$6*$B$10*$B$14*$B$16*$B$19*$B$23*$B$25,0)</f>
        <v/>
      </c>
      <c r="AF35" s="127">
        <f>ROUND($B$6*$B$10*$B$14*$B$16*$B$20*$B$22*$B$24,0)</f>
        <v/>
      </c>
      <c r="AG35" s="127">
        <f>ROUND($B$6*$B$10*$B$14*$B$16*$B$20*$B$22*$B$25,0)</f>
        <v/>
      </c>
      <c r="AH35" s="127">
        <f>ROUND($B$6*$B$10*$B$14*$B$16*$B$20*$B$23*$B$24,0)</f>
        <v/>
      </c>
      <c r="AI35" s="127">
        <f>ROUND($B$6*$B$10*$B$14*$B$16*$B$20*$B$23*$B$25,0)</f>
        <v/>
      </c>
      <c r="AJ35" s="127">
        <f>ROUND($B$6*$B$10*$B$14*$B$16*$B$21*$B$22*$B$24,0)</f>
        <v/>
      </c>
      <c r="AK35" s="127">
        <f>ROUND($B$6*$B$10*$B$14*$B$16*$B$21*$B$22*$B$25,0)</f>
        <v/>
      </c>
      <c r="AL35" s="127">
        <f>ROUND($B$6*$B$10*$B$14*$B$16*$B$21*$B$23*$B$24,0)</f>
        <v/>
      </c>
      <c r="AM35" s="127">
        <f>ROUND($B$6*$B$10*$B$14*$B$16*$B$21*$B$23*$B$25,0)</f>
        <v/>
      </c>
      <c r="AN35" s="127">
        <f>ROUND($B$7*$B$10*$B$14*$B$16*$B$19*$B$22*$B$24,0)</f>
        <v/>
      </c>
      <c r="AO35" s="127">
        <f>ROUND($B$7*$B$10*$B$14*$B$16*$B$19*$B$22*$B$25,0)</f>
        <v/>
      </c>
      <c r="AP35" s="127">
        <f>ROUND($B$7*$B$10*$B$14*$B$16*$B$19*$B$23*$B$24,0)</f>
        <v/>
      </c>
      <c r="AQ35" s="127">
        <f>ROUND($B$7*$B$10*$B$14*$B$16*$B$19*$B$23*$B$25,0)</f>
        <v/>
      </c>
      <c r="AR35" s="127">
        <f>ROUND($B$7*$B$10*$B$14*$B$16*$B$20*$B$22*$B$24,0)</f>
        <v/>
      </c>
      <c r="AS35" s="127">
        <f>ROUND($B$7*$B$10*$B$14*$B$16*$B$20*$B$22*$B$25,0)</f>
        <v/>
      </c>
      <c r="AT35" s="127">
        <f>ROUND($B$7*$B$10*$B$14*$B$16*$B$20*$B$23*$B$24,0)</f>
        <v/>
      </c>
      <c r="AU35" s="127">
        <f>ROUND($B$7*$B$10*$B$14*$B$16*$B$20*$B$23*$B$25,0)</f>
        <v/>
      </c>
      <c r="AV35" s="127">
        <f>ROUND($B$7*$B$10*$B$14*$B$16*$B$21*$B$22*$B$24,0)</f>
        <v/>
      </c>
      <c r="AW35" s="127">
        <f>ROUND($B$7*$B$10*$B$14*$B$16*$B$21*$B$22*$B$25,0)</f>
        <v/>
      </c>
      <c r="AX35" s="127">
        <f>ROUND($B$7*$B$10*$B$14*$B$16*$B$21*$B$23*$B$24,0)</f>
        <v/>
      </c>
      <c r="AY35" s="127">
        <f>ROUND($B$7*$B$10*$B$14*$B$16*$B$21*$B$23*$B$25,0)</f>
        <v/>
      </c>
      <c r="AZ35" s="128">
        <f>ROUND($B$8*$B$10*$B$14*$B$16*$B$19*$B$22*$B$24,0)</f>
        <v/>
      </c>
      <c r="BA35" s="128">
        <f>ROUND($B$8*$B$10*$B$14*$B$16*$B$19*$B$22*$B$25,0)</f>
        <v/>
      </c>
      <c r="BB35" s="128">
        <f>ROUND($B$8*$B$10*$B$14*$B$16*$B$19*$B$23*$B$24,0)</f>
        <v/>
      </c>
      <c r="BC35" s="128">
        <f>ROUND($B$8*$B$10*$B$14*$B$16*$B$19*$B$23*$B$25,0)</f>
        <v/>
      </c>
      <c r="BD35" s="128">
        <f>ROUND($B$8*$B$10*$B$14*$B$16*$B$20*$B$22*$B$24,0)</f>
        <v/>
      </c>
      <c r="BE35" s="128">
        <f>ROUND($B$8*$B$10*$B$14*$B$16*$B$20*$B$22*$B$25,0)</f>
        <v/>
      </c>
      <c r="BF35" s="128">
        <f>ROUND($B$8*$B$10*$B$14*$B$16*$B$20*$B$23*$B$24,0)</f>
        <v/>
      </c>
      <c r="BG35" s="128">
        <f>ROUND($B$8*$B$10*$B$14*$B$16*$B$20*$B$23*$B$25,0)</f>
        <v/>
      </c>
      <c r="BH35" s="128">
        <f>ROUND($B$8*$B$10*$B$14*$B$16*$B$21*$B$22*$B$24,0)</f>
        <v/>
      </c>
      <c r="BI35" s="128">
        <f>ROUND($B$8*$B$10*$B$14*$B$16*$B$21*$B$22*$B$25,0)</f>
        <v/>
      </c>
      <c r="BJ35" s="128">
        <f>ROUND($B$8*$B$10*$B$14*$B$16*$B$21*$B$23*$B$24,0)</f>
        <v/>
      </c>
      <c r="BK35" s="128">
        <f>ROUND($B$8*$B$10*$B$14*$B$16*$B$21*$B$23*$B$25,0)</f>
        <v/>
      </c>
    </row>
    <row r="36" ht="20" customHeight="1" s="62">
      <c r="C36" s="125" t="inlineStr">
        <is>
          <t>3-5 cas d'usage IA</t>
        </is>
      </c>
      <c r="D36" s="127">
        <f>ROUND($B$4*$B$10*$B$14*$B$17*$B$19*$B$22*$B$24,0)</f>
        <v/>
      </c>
      <c r="E36" s="127">
        <f>ROUND($B$4*$B$10*$B$14*$B$17*$B$19*$B$22*$B$25,0)</f>
        <v/>
      </c>
      <c r="F36" s="127">
        <f>ROUND($B$4*$B$10*$B$14*$B$17*$B$19*$B$23*$B$24,0)</f>
        <v/>
      </c>
      <c r="G36" s="127">
        <f>ROUND($B$4*$B$10*$B$14*$B$17*$B$19*$B$23*$B$25,0)</f>
        <v/>
      </c>
      <c r="H36" s="127">
        <f>ROUND($B$4*$B$10*$B$14*$B$17*$B$20*$B$22*$B$24,0)</f>
        <v/>
      </c>
      <c r="I36" s="127">
        <f>ROUND($B$4*$B$10*$B$14*$B$17*$B$20*$B$22*$B$25,0)</f>
        <v/>
      </c>
      <c r="J36" s="127">
        <f>ROUND($B$4*$B$10*$B$14*$B$17*$B$20*$B$23*$B$24,0)</f>
        <v/>
      </c>
      <c r="K36" s="127">
        <f>ROUND($B$4*$B$10*$B$14*$B$17*$B$20*$B$23*$B$25,0)</f>
        <v/>
      </c>
      <c r="L36" s="127">
        <f>ROUND($B$4*$B$10*$B$14*$B$17*$B$21*$B$22*$B$24,0)</f>
        <v/>
      </c>
      <c r="M36" s="127">
        <f>ROUND($B$4*$B$10*$B$14*$B$17*$B$21*$B$22*$B$25,0)</f>
        <v/>
      </c>
      <c r="N36" s="127">
        <f>ROUND($B$4*$B$10*$B$14*$B$17*$B$21*$B$23*$B$24,0)</f>
        <v/>
      </c>
      <c r="O36" s="127">
        <f>ROUND($B$4*$B$10*$B$14*$B$17*$B$21*$B$23*$B$25,0)</f>
        <v/>
      </c>
      <c r="P36" s="127">
        <f>ROUND($B$5*$B$10*$B$14*$B$17*$B$19*$B$22*$B$24,0)</f>
        <v/>
      </c>
      <c r="Q36" s="127">
        <f>ROUND($B$5*$B$10*$B$14*$B$17*$B$19*$B$22*$B$25,0)</f>
        <v/>
      </c>
      <c r="R36" s="127">
        <f>ROUND($B$5*$B$10*$B$14*$B$17*$B$19*$B$23*$B$24,0)</f>
        <v/>
      </c>
      <c r="S36" s="127">
        <f>ROUND($B$5*$B$10*$B$14*$B$17*$B$19*$B$23*$B$25,0)</f>
        <v/>
      </c>
      <c r="T36" s="127">
        <f>ROUND($B$5*$B$10*$B$14*$B$17*$B$20*$B$22*$B$24,0)</f>
        <v/>
      </c>
      <c r="U36" s="127">
        <f>ROUND($B$5*$B$10*$B$14*$B$17*$B$20*$B$22*$B$25,0)</f>
        <v/>
      </c>
      <c r="V36" s="127">
        <f>ROUND($B$5*$B$10*$B$14*$B$17*$B$20*$B$23*$B$24,0)</f>
        <v/>
      </c>
      <c r="W36" s="127">
        <f>ROUND($B$5*$B$10*$B$14*$B$17*$B$20*$B$23*$B$25,0)</f>
        <v/>
      </c>
      <c r="X36" s="127">
        <f>ROUND($B$5*$B$10*$B$14*$B$17*$B$21*$B$22*$B$24,0)</f>
        <v/>
      </c>
      <c r="Y36" s="127">
        <f>ROUND($B$5*$B$10*$B$14*$B$17*$B$21*$B$22*$B$25,0)</f>
        <v/>
      </c>
      <c r="Z36" s="127">
        <f>ROUND($B$5*$B$10*$B$14*$B$17*$B$21*$B$23*$B$24,0)</f>
        <v/>
      </c>
      <c r="AA36" s="127">
        <f>ROUND($B$5*$B$10*$B$14*$B$17*$B$21*$B$23*$B$25,0)</f>
        <v/>
      </c>
      <c r="AB36" s="127">
        <f>ROUND($B$6*$B$10*$B$14*$B$17*$B$19*$B$22*$B$24,0)</f>
        <v/>
      </c>
      <c r="AC36" s="127">
        <f>ROUND($B$6*$B$10*$B$14*$B$17*$B$19*$B$22*$B$25,0)</f>
        <v/>
      </c>
      <c r="AD36" s="127">
        <f>ROUND($B$6*$B$10*$B$14*$B$17*$B$19*$B$23*$B$24,0)</f>
        <v/>
      </c>
      <c r="AE36" s="127">
        <f>ROUND($B$6*$B$10*$B$14*$B$17*$B$19*$B$23*$B$25,0)</f>
        <v/>
      </c>
      <c r="AF36" s="127">
        <f>ROUND($B$6*$B$10*$B$14*$B$17*$B$20*$B$22*$B$24,0)</f>
        <v/>
      </c>
      <c r="AG36" s="127">
        <f>ROUND($B$6*$B$10*$B$14*$B$17*$B$20*$B$22*$B$25,0)</f>
        <v/>
      </c>
      <c r="AH36" s="127">
        <f>ROUND($B$6*$B$10*$B$14*$B$17*$B$20*$B$23*$B$24,0)</f>
        <v/>
      </c>
      <c r="AI36" s="127">
        <f>ROUND($B$6*$B$10*$B$14*$B$17*$B$20*$B$23*$B$25,0)</f>
        <v/>
      </c>
      <c r="AJ36" s="127">
        <f>ROUND($B$6*$B$10*$B$14*$B$17*$B$21*$B$22*$B$24,0)</f>
        <v/>
      </c>
      <c r="AK36" s="127">
        <f>ROUND($B$6*$B$10*$B$14*$B$17*$B$21*$B$22*$B$25,0)</f>
        <v/>
      </c>
      <c r="AL36" s="127">
        <f>ROUND($B$6*$B$10*$B$14*$B$17*$B$21*$B$23*$B$24,0)</f>
        <v/>
      </c>
      <c r="AM36" s="127">
        <f>ROUND($B$6*$B$10*$B$14*$B$17*$B$21*$B$23*$B$25,0)</f>
        <v/>
      </c>
      <c r="AN36" s="127">
        <f>ROUND($B$7*$B$10*$B$14*$B$17*$B$19*$B$22*$B$24,0)</f>
        <v/>
      </c>
      <c r="AO36" s="127">
        <f>ROUND($B$7*$B$10*$B$14*$B$17*$B$19*$B$22*$B$25,0)</f>
        <v/>
      </c>
      <c r="AP36" s="127">
        <f>ROUND($B$7*$B$10*$B$14*$B$17*$B$19*$B$23*$B$24,0)</f>
        <v/>
      </c>
      <c r="AQ36" s="127">
        <f>ROUND($B$7*$B$10*$B$14*$B$17*$B$19*$B$23*$B$25,0)</f>
        <v/>
      </c>
      <c r="AR36" s="127">
        <f>ROUND($B$7*$B$10*$B$14*$B$17*$B$20*$B$22*$B$24,0)</f>
        <v/>
      </c>
      <c r="AS36" s="127">
        <f>ROUND($B$7*$B$10*$B$14*$B$17*$B$20*$B$22*$B$25,0)</f>
        <v/>
      </c>
      <c r="AT36" s="127">
        <f>ROUND($B$7*$B$10*$B$14*$B$17*$B$20*$B$23*$B$24,0)</f>
        <v/>
      </c>
      <c r="AU36" s="127">
        <f>ROUND($B$7*$B$10*$B$14*$B$17*$B$20*$B$23*$B$25,0)</f>
        <v/>
      </c>
      <c r="AV36" s="127">
        <f>ROUND($B$7*$B$10*$B$14*$B$17*$B$21*$B$22*$B$24,0)</f>
        <v/>
      </c>
      <c r="AW36" s="127">
        <f>ROUND($B$7*$B$10*$B$14*$B$17*$B$21*$B$22*$B$25,0)</f>
        <v/>
      </c>
      <c r="AX36" s="127">
        <f>ROUND($B$7*$B$10*$B$14*$B$17*$B$21*$B$23*$B$24,0)</f>
        <v/>
      </c>
      <c r="AY36" s="127">
        <f>ROUND($B$7*$B$10*$B$14*$B$17*$B$21*$B$23*$B$25,0)</f>
        <v/>
      </c>
      <c r="AZ36" s="128">
        <f>ROUND($B$8*$B$10*$B$14*$B$17*$B$19*$B$22*$B$24,0)</f>
        <v/>
      </c>
      <c r="BA36" s="128">
        <f>ROUND($B$8*$B$10*$B$14*$B$17*$B$19*$B$22*$B$25,0)</f>
        <v/>
      </c>
      <c r="BB36" s="128">
        <f>ROUND($B$8*$B$10*$B$14*$B$17*$B$19*$B$23*$B$24,0)</f>
        <v/>
      </c>
      <c r="BC36" s="128">
        <f>ROUND($B$8*$B$10*$B$14*$B$17*$B$19*$B$23*$B$25,0)</f>
        <v/>
      </c>
      <c r="BD36" s="128">
        <f>ROUND($B$8*$B$10*$B$14*$B$17*$B$20*$B$22*$B$24,0)</f>
        <v/>
      </c>
      <c r="BE36" s="128">
        <f>ROUND($B$8*$B$10*$B$14*$B$17*$B$20*$B$22*$B$25,0)</f>
        <v/>
      </c>
      <c r="BF36" s="128">
        <f>ROUND($B$8*$B$10*$B$14*$B$17*$B$20*$B$23*$B$24,0)</f>
        <v/>
      </c>
      <c r="BG36" s="128">
        <f>ROUND($B$8*$B$10*$B$14*$B$17*$B$20*$B$23*$B$25,0)</f>
        <v/>
      </c>
      <c r="BH36" s="128">
        <f>ROUND($B$8*$B$10*$B$14*$B$17*$B$21*$B$22*$B$24,0)</f>
        <v/>
      </c>
      <c r="BI36" s="128">
        <f>ROUND($B$8*$B$10*$B$14*$B$17*$B$21*$B$22*$B$25,0)</f>
        <v/>
      </c>
      <c r="BJ36" s="128">
        <f>ROUND($B$8*$B$10*$B$14*$B$17*$B$21*$B$23*$B$24,0)</f>
        <v/>
      </c>
      <c r="BK36" s="128">
        <f>ROUND($B$8*$B$10*$B$14*$B$17*$B$21*$B$23*$B$25,0)</f>
        <v/>
      </c>
    </row>
    <row r="37" ht="20" customHeight="1" s="62">
      <c r="C37" s="129" t="inlineStr">
        <is>
          <t>6+ cas d'usage IA</t>
        </is>
      </c>
      <c r="D37" s="127">
        <f>ROUND($B$4*$B$10*$B$14*$B$18*$B$19*$B$22*$B$24,0)</f>
        <v/>
      </c>
      <c r="E37" s="127">
        <f>ROUND($B$4*$B$10*$B$14*$B$18*$B$19*$B$22*$B$25,0)</f>
        <v/>
      </c>
      <c r="F37" s="127">
        <f>ROUND($B$4*$B$10*$B$14*$B$18*$B$19*$B$23*$B$24,0)</f>
        <v/>
      </c>
      <c r="G37" s="127">
        <f>ROUND($B$4*$B$10*$B$14*$B$18*$B$19*$B$23*$B$25,0)</f>
        <v/>
      </c>
      <c r="H37" s="127">
        <f>ROUND($B$4*$B$10*$B$14*$B$18*$B$20*$B$22*$B$24,0)</f>
        <v/>
      </c>
      <c r="I37" s="127">
        <f>ROUND($B$4*$B$10*$B$14*$B$18*$B$20*$B$22*$B$25,0)</f>
        <v/>
      </c>
      <c r="J37" s="127">
        <f>ROUND($B$4*$B$10*$B$14*$B$18*$B$20*$B$23*$B$24,0)</f>
        <v/>
      </c>
      <c r="K37" s="127">
        <f>ROUND($B$4*$B$10*$B$14*$B$18*$B$20*$B$23*$B$25,0)</f>
        <v/>
      </c>
      <c r="L37" s="127">
        <f>ROUND($B$4*$B$10*$B$14*$B$18*$B$21*$B$22*$B$24,0)</f>
        <v/>
      </c>
      <c r="M37" s="127">
        <f>ROUND($B$4*$B$10*$B$14*$B$18*$B$21*$B$22*$B$25,0)</f>
        <v/>
      </c>
      <c r="N37" s="127">
        <f>ROUND($B$4*$B$10*$B$14*$B$18*$B$21*$B$23*$B$24,0)</f>
        <v/>
      </c>
      <c r="O37" s="127">
        <f>ROUND($B$4*$B$10*$B$14*$B$18*$B$21*$B$23*$B$25,0)</f>
        <v/>
      </c>
      <c r="P37" s="127">
        <f>ROUND($B$5*$B$10*$B$14*$B$18*$B$19*$B$22*$B$24,0)</f>
        <v/>
      </c>
      <c r="Q37" s="127">
        <f>ROUND($B$5*$B$10*$B$14*$B$18*$B$19*$B$22*$B$25,0)</f>
        <v/>
      </c>
      <c r="R37" s="127">
        <f>ROUND($B$5*$B$10*$B$14*$B$18*$B$19*$B$23*$B$24,0)</f>
        <v/>
      </c>
      <c r="S37" s="127">
        <f>ROUND($B$5*$B$10*$B$14*$B$18*$B$19*$B$23*$B$25,0)</f>
        <v/>
      </c>
      <c r="T37" s="127">
        <f>ROUND($B$5*$B$10*$B$14*$B$18*$B$20*$B$22*$B$24,0)</f>
        <v/>
      </c>
      <c r="U37" s="127">
        <f>ROUND($B$5*$B$10*$B$14*$B$18*$B$20*$B$22*$B$25,0)</f>
        <v/>
      </c>
      <c r="V37" s="127">
        <f>ROUND($B$5*$B$10*$B$14*$B$18*$B$20*$B$23*$B$24,0)</f>
        <v/>
      </c>
      <c r="W37" s="127">
        <f>ROUND($B$5*$B$10*$B$14*$B$18*$B$20*$B$23*$B$25,0)</f>
        <v/>
      </c>
      <c r="X37" s="127">
        <f>ROUND($B$5*$B$10*$B$14*$B$18*$B$21*$B$22*$B$24,0)</f>
        <v/>
      </c>
      <c r="Y37" s="127">
        <f>ROUND($B$5*$B$10*$B$14*$B$18*$B$21*$B$22*$B$25,0)</f>
        <v/>
      </c>
      <c r="Z37" s="127">
        <f>ROUND($B$5*$B$10*$B$14*$B$18*$B$21*$B$23*$B$24,0)</f>
        <v/>
      </c>
      <c r="AA37" s="127">
        <f>ROUND($B$5*$B$10*$B$14*$B$18*$B$21*$B$23*$B$25,0)</f>
        <v/>
      </c>
      <c r="AB37" s="127">
        <f>ROUND($B$6*$B$10*$B$14*$B$18*$B$19*$B$22*$B$24,0)</f>
        <v/>
      </c>
      <c r="AC37" s="127">
        <f>ROUND($B$6*$B$10*$B$14*$B$18*$B$19*$B$22*$B$25,0)</f>
        <v/>
      </c>
      <c r="AD37" s="127">
        <f>ROUND($B$6*$B$10*$B$14*$B$18*$B$19*$B$23*$B$24,0)</f>
        <v/>
      </c>
      <c r="AE37" s="127">
        <f>ROUND($B$6*$B$10*$B$14*$B$18*$B$19*$B$23*$B$25,0)</f>
        <v/>
      </c>
      <c r="AF37" s="127">
        <f>ROUND($B$6*$B$10*$B$14*$B$18*$B$20*$B$22*$B$24,0)</f>
        <v/>
      </c>
      <c r="AG37" s="127">
        <f>ROUND($B$6*$B$10*$B$14*$B$18*$B$20*$B$22*$B$25,0)</f>
        <v/>
      </c>
      <c r="AH37" s="127">
        <f>ROUND($B$6*$B$10*$B$14*$B$18*$B$20*$B$23*$B$24,0)</f>
        <v/>
      </c>
      <c r="AI37" s="127">
        <f>ROUND($B$6*$B$10*$B$14*$B$18*$B$20*$B$23*$B$25,0)</f>
        <v/>
      </c>
      <c r="AJ37" s="127">
        <f>ROUND($B$6*$B$10*$B$14*$B$18*$B$21*$B$22*$B$24,0)</f>
        <v/>
      </c>
      <c r="AK37" s="127">
        <f>ROUND($B$6*$B$10*$B$14*$B$18*$B$21*$B$22*$B$25,0)</f>
        <v/>
      </c>
      <c r="AL37" s="127">
        <f>ROUND($B$6*$B$10*$B$14*$B$18*$B$21*$B$23*$B$24,0)</f>
        <v/>
      </c>
      <c r="AM37" s="127">
        <f>ROUND($B$6*$B$10*$B$14*$B$18*$B$21*$B$23*$B$25,0)</f>
        <v/>
      </c>
      <c r="AN37" s="127">
        <f>ROUND($B$7*$B$10*$B$14*$B$18*$B$19*$B$22*$B$24,0)</f>
        <v/>
      </c>
      <c r="AO37" s="127">
        <f>ROUND($B$7*$B$10*$B$14*$B$18*$B$19*$B$22*$B$25,0)</f>
        <v/>
      </c>
      <c r="AP37" s="127">
        <f>ROUND($B$7*$B$10*$B$14*$B$18*$B$19*$B$23*$B$24,0)</f>
        <v/>
      </c>
      <c r="AQ37" s="127">
        <f>ROUND($B$7*$B$10*$B$14*$B$18*$B$19*$B$23*$B$25,0)</f>
        <v/>
      </c>
      <c r="AR37" s="127">
        <f>ROUND($B$7*$B$10*$B$14*$B$18*$B$20*$B$22*$B$24,0)</f>
        <v/>
      </c>
      <c r="AS37" s="127">
        <f>ROUND($B$7*$B$10*$B$14*$B$18*$B$20*$B$22*$B$25,0)</f>
        <v/>
      </c>
      <c r="AT37" s="127">
        <f>ROUND($B$7*$B$10*$B$14*$B$18*$B$20*$B$23*$B$24,0)</f>
        <v/>
      </c>
      <c r="AU37" s="127">
        <f>ROUND($B$7*$B$10*$B$14*$B$18*$B$20*$B$23*$B$25,0)</f>
        <v/>
      </c>
      <c r="AV37" s="127">
        <f>ROUND($B$7*$B$10*$B$14*$B$18*$B$21*$B$22*$B$24,0)</f>
        <v/>
      </c>
      <c r="AW37" s="127">
        <f>ROUND($B$7*$B$10*$B$14*$B$18*$B$21*$B$22*$B$25,0)</f>
        <v/>
      </c>
      <c r="AX37" s="127">
        <f>ROUND($B$7*$B$10*$B$14*$B$18*$B$21*$B$23*$B$24,0)</f>
        <v/>
      </c>
      <c r="AY37" s="127">
        <f>ROUND($B$7*$B$10*$B$14*$B$18*$B$21*$B$23*$B$25,0)</f>
        <v/>
      </c>
      <c r="AZ37" s="128">
        <f>ROUND($B$8*$B$10*$B$14*$B$18*$B$19*$B$22*$B$24,0)</f>
        <v/>
      </c>
      <c r="BA37" s="128">
        <f>ROUND($B$8*$B$10*$B$14*$B$18*$B$19*$B$22*$B$25,0)</f>
        <v/>
      </c>
      <c r="BB37" s="128">
        <f>ROUND($B$8*$B$10*$B$14*$B$18*$B$19*$B$23*$B$24,0)</f>
        <v/>
      </c>
      <c r="BC37" s="128">
        <f>ROUND($B$8*$B$10*$B$14*$B$18*$B$19*$B$23*$B$25,0)</f>
        <v/>
      </c>
      <c r="BD37" s="128">
        <f>ROUND($B$8*$B$10*$B$14*$B$18*$B$20*$B$22*$B$24,0)</f>
        <v/>
      </c>
      <c r="BE37" s="128">
        <f>ROUND($B$8*$B$10*$B$14*$B$18*$B$20*$B$22*$B$25,0)</f>
        <v/>
      </c>
      <c r="BF37" s="128">
        <f>ROUND($B$8*$B$10*$B$14*$B$18*$B$20*$B$23*$B$24,0)</f>
        <v/>
      </c>
      <c r="BG37" s="128">
        <f>ROUND($B$8*$B$10*$B$14*$B$18*$B$20*$B$23*$B$25,0)</f>
        <v/>
      </c>
      <c r="BH37" s="128">
        <f>ROUND($B$8*$B$10*$B$14*$B$18*$B$21*$B$22*$B$24,0)</f>
        <v/>
      </c>
      <c r="BI37" s="128">
        <f>ROUND($B$8*$B$10*$B$14*$B$18*$B$21*$B$22*$B$25,0)</f>
        <v/>
      </c>
      <c r="BJ37" s="128">
        <f>ROUND($B$8*$B$10*$B$14*$B$18*$B$21*$B$23*$B$24,0)</f>
        <v/>
      </c>
      <c r="BK37" s="128">
        <f>ROUND($B$8*$B$10*$B$14*$B$18*$B$21*$B$23*$B$25,0)</f>
        <v/>
      </c>
    </row>
    <row r="38" ht="20" customHeight="1" s="62">
      <c r="B38" s="125" t="inlineStr">
        <is>
          <t>Maturité digitale avancée</t>
        </is>
      </c>
      <c r="C38" s="126" t="inlineStr">
        <is>
          <t>1-2 cas d'usage IA</t>
        </is>
      </c>
      <c r="D38" s="127">
        <f>ROUND($B$4*$B$10*$B$15*$B$16*$B$19*$B$22*$B$24,0)</f>
        <v/>
      </c>
      <c r="E38" s="127">
        <f>ROUND($B$4*$B$10*$B$15*$B$16*$B$19*$B$22*$B$25,0)</f>
        <v/>
      </c>
      <c r="F38" s="127">
        <f>ROUND($B$4*$B$10*$B$15*$B$16*$B$19*$B$23*$B$24,0)</f>
        <v/>
      </c>
      <c r="G38" s="127">
        <f>ROUND($B$4*$B$10*$B$15*$B$16*$B$19*$B$23*$B$25,0)</f>
        <v/>
      </c>
      <c r="H38" s="127">
        <f>ROUND($B$4*$B$10*$B$15*$B$16*$B$20*$B$22*$B$24,0)</f>
        <v/>
      </c>
      <c r="I38" s="127">
        <f>ROUND($B$4*$B$10*$B$15*$B$16*$B$20*$B$22*$B$25,0)</f>
        <v/>
      </c>
      <c r="J38" s="127">
        <f>ROUND($B$4*$B$10*$B$15*$B$16*$B$20*$B$23*$B$24,0)</f>
        <v/>
      </c>
      <c r="K38" s="127">
        <f>ROUND($B$4*$B$10*$B$15*$B$16*$B$20*$B$23*$B$25,0)</f>
        <v/>
      </c>
      <c r="L38" s="127">
        <f>ROUND($B$4*$B$10*$B$15*$B$16*$B$21*$B$22*$B$24,0)</f>
        <v/>
      </c>
      <c r="M38" s="127">
        <f>ROUND($B$4*$B$10*$B$15*$B$16*$B$21*$B$22*$B$25,0)</f>
        <v/>
      </c>
      <c r="N38" s="127">
        <f>ROUND($B$4*$B$10*$B$15*$B$16*$B$21*$B$23*$B$24,0)</f>
        <v/>
      </c>
      <c r="O38" s="127">
        <f>ROUND($B$4*$B$10*$B$15*$B$16*$B$21*$B$23*$B$25,0)</f>
        <v/>
      </c>
      <c r="P38" s="127">
        <f>ROUND($B$5*$B$10*$B$15*$B$16*$B$19*$B$22*$B$24,0)</f>
        <v/>
      </c>
      <c r="Q38" s="127">
        <f>ROUND($B$5*$B$10*$B$15*$B$16*$B$19*$B$22*$B$25,0)</f>
        <v/>
      </c>
      <c r="R38" s="127">
        <f>ROUND($B$5*$B$10*$B$15*$B$16*$B$19*$B$23*$B$24,0)</f>
        <v/>
      </c>
      <c r="S38" s="127">
        <f>ROUND($B$5*$B$10*$B$15*$B$16*$B$19*$B$23*$B$25,0)</f>
        <v/>
      </c>
      <c r="T38" s="127">
        <f>ROUND($B$5*$B$10*$B$15*$B$16*$B$20*$B$22*$B$24,0)</f>
        <v/>
      </c>
      <c r="U38" s="127">
        <f>ROUND($B$5*$B$10*$B$15*$B$16*$B$20*$B$22*$B$25,0)</f>
        <v/>
      </c>
      <c r="V38" s="127">
        <f>ROUND($B$5*$B$10*$B$15*$B$16*$B$20*$B$23*$B$24,0)</f>
        <v/>
      </c>
      <c r="W38" s="127">
        <f>ROUND($B$5*$B$10*$B$15*$B$16*$B$20*$B$23*$B$25,0)</f>
        <v/>
      </c>
      <c r="X38" s="127">
        <f>ROUND($B$5*$B$10*$B$15*$B$16*$B$21*$B$22*$B$24,0)</f>
        <v/>
      </c>
      <c r="Y38" s="127">
        <f>ROUND($B$5*$B$10*$B$15*$B$16*$B$21*$B$22*$B$25,0)</f>
        <v/>
      </c>
      <c r="Z38" s="127">
        <f>ROUND($B$5*$B$10*$B$15*$B$16*$B$21*$B$23*$B$24,0)</f>
        <v/>
      </c>
      <c r="AA38" s="127">
        <f>ROUND($B$5*$B$10*$B$15*$B$16*$B$21*$B$23*$B$25,0)</f>
        <v/>
      </c>
      <c r="AB38" s="127">
        <f>ROUND($B$6*$B$10*$B$15*$B$16*$B$19*$B$22*$B$24,0)</f>
        <v/>
      </c>
      <c r="AC38" s="127">
        <f>ROUND($B$6*$B$10*$B$15*$B$16*$B$19*$B$22*$B$25,0)</f>
        <v/>
      </c>
      <c r="AD38" s="127">
        <f>ROUND($B$6*$B$10*$B$15*$B$16*$B$19*$B$23*$B$24,0)</f>
        <v/>
      </c>
      <c r="AE38" s="127">
        <f>ROUND($B$6*$B$10*$B$15*$B$16*$B$19*$B$23*$B$25,0)</f>
        <v/>
      </c>
      <c r="AF38" s="127">
        <f>ROUND($B$6*$B$10*$B$15*$B$16*$B$20*$B$22*$B$24,0)</f>
        <v/>
      </c>
      <c r="AG38" s="127">
        <f>ROUND($B$6*$B$10*$B$15*$B$16*$B$20*$B$22*$B$25,0)</f>
        <v/>
      </c>
      <c r="AH38" s="127">
        <f>ROUND($B$6*$B$10*$B$15*$B$16*$B$20*$B$23*$B$24,0)</f>
        <v/>
      </c>
      <c r="AI38" s="127">
        <f>ROUND($B$6*$B$10*$B$15*$B$16*$B$20*$B$23*$B$25,0)</f>
        <v/>
      </c>
      <c r="AJ38" s="127">
        <f>ROUND($B$6*$B$10*$B$15*$B$16*$B$21*$B$22*$B$24,0)</f>
        <v/>
      </c>
      <c r="AK38" s="127">
        <f>ROUND($B$6*$B$10*$B$15*$B$16*$B$21*$B$22*$B$25,0)</f>
        <v/>
      </c>
      <c r="AL38" s="127">
        <f>ROUND($B$6*$B$10*$B$15*$B$16*$B$21*$B$23*$B$24,0)</f>
        <v/>
      </c>
      <c r="AM38" s="127">
        <f>ROUND($B$6*$B$10*$B$15*$B$16*$B$21*$B$23*$B$25,0)</f>
        <v/>
      </c>
      <c r="AN38" s="127">
        <f>ROUND($B$7*$B$10*$B$15*$B$16*$B$19*$B$22*$B$24,0)</f>
        <v/>
      </c>
      <c r="AO38" s="127">
        <f>ROUND($B$7*$B$10*$B$15*$B$16*$B$19*$B$22*$B$25,0)</f>
        <v/>
      </c>
      <c r="AP38" s="127">
        <f>ROUND($B$7*$B$10*$B$15*$B$16*$B$19*$B$23*$B$24,0)</f>
        <v/>
      </c>
      <c r="AQ38" s="127">
        <f>ROUND($B$7*$B$10*$B$15*$B$16*$B$19*$B$23*$B$25,0)</f>
        <v/>
      </c>
      <c r="AR38" s="127">
        <f>ROUND($B$7*$B$10*$B$15*$B$16*$B$20*$B$22*$B$24,0)</f>
        <v/>
      </c>
      <c r="AS38" s="127">
        <f>ROUND($B$7*$B$10*$B$15*$B$16*$B$20*$B$22*$B$25,0)</f>
        <v/>
      </c>
      <c r="AT38" s="127">
        <f>ROUND($B$7*$B$10*$B$15*$B$16*$B$20*$B$23*$B$24,0)</f>
        <v/>
      </c>
      <c r="AU38" s="127">
        <f>ROUND($B$7*$B$10*$B$15*$B$16*$B$20*$B$23*$B$25,0)</f>
        <v/>
      </c>
      <c r="AV38" s="127">
        <f>ROUND($B$7*$B$10*$B$15*$B$16*$B$21*$B$22*$B$24,0)</f>
        <v/>
      </c>
      <c r="AW38" s="127">
        <f>ROUND($B$7*$B$10*$B$15*$B$16*$B$21*$B$22*$B$25,0)</f>
        <v/>
      </c>
      <c r="AX38" s="127">
        <f>ROUND($B$7*$B$10*$B$15*$B$16*$B$21*$B$23*$B$24,0)</f>
        <v/>
      </c>
      <c r="AY38" s="127">
        <f>ROUND($B$7*$B$10*$B$15*$B$16*$B$21*$B$23*$B$25,0)</f>
        <v/>
      </c>
      <c r="AZ38" s="128">
        <f>ROUND($B$8*$B$10*$B$15*$B$16*$B$19*$B$22*$B$24,0)</f>
        <v/>
      </c>
      <c r="BA38" s="128">
        <f>ROUND($B$8*$B$10*$B$15*$B$16*$B$19*$B$22*$B$25,0)</f>
        <v/>
      </c>
      <c r="BB38" s="128">
        <f>ROUND($B$8*$B$10*$B$15*$B$16*$B$19*$B$23*$B$24,0)</f>
        <v/>
      </c>
      <c r="BC38" s="128">
        <f>ROUND($B$8*$B$10*$B$15*$B$16*$B$19*$B$23*$B$25,0)</f>
        <v/>
      </c>
      <c r="BD38" s="128">
        <f>ROUND($B$8*$B$10*$B$15*$B$16*$B$20*$B$22*$B$24,0)</f>
        <v/>
      </c>
      <c r="BE38" s="128">
        <f>ROUND($B$8*$B$10*$B$15*$B$16*$B$20*$B$22*$B$25,0)</f>
        <v/>
      </c>
      <c r="BF38" s="128">
        <f>ROUND($B$8*$B$10*$B$15*$B$16*$B$20*$B$23*$B$24,0)</f>
        <v/>
      </c>
      <c r="BG38" s="128">
        <f>ROUND($B$8*$B$10*$B$15*$B$16*$B$20*$B$23*$B$25,0)</f>
        <v/>
      </c>
      <c r="BH38" s="128">
        <f>ROUND($B$8*$B$10*$B$15*$B$16*$B$21*$B$22*$B$24,0)</f>
        <v/>
      </c>
      <c r="BI38" s="128">
        <f>ROUND($B$8*$B$10*$B$15*$B$16*$B$21*$B$22*$B$25,0)</f>
        <v/>
      </c>
      <c r="BJ38" s="128">
        <f>ROUND($B$8*$B$10*$B$15*$B$16*$B$21*$B$23*$B$24,0)</f>
        <v/>
      </c>
      <c r="BK38" s="128">
        <f>ROUND($B$8*$B$10*$B$15*$B$16*$B$21*$B$23*$B$25,0)</f>
        <v/>
      </c>
    </row>
    <row r="39" ht="20" customHeight="1" s="62">
      <c r="C39" s="125" t="inlineStr">
        <is>
          <t>3-5 cas d'usage IA</t>
        </is>
      </c>
      <c r="D39" s="127">
        <f>ROUND($B$4*$B$10*$B$15*$B$17*$B$19*$B$22*$B$24,0)</f>
        <v/>
      </c>
      <c r="E39" s="127">
        <f>ROUND($B$4*$B$10*$B$15*$B$17*$B$19*$B$22*$B$25,0)</f>
        <v/>
      </c>
      <c r="F39" s="127">
        <f>ROUND($B$4*$B$10*$B$15*$B$17*$B$19*$B$23*$B$24,0)</f>
        <v/>
      </c>
      <c r="G39" s="127">
        <f>ROUND($B$4*$B$10*$B$15*$B$17*$B$19*$B$23*$B$25,0)</f>
        <v/>
      </c>
      <c r="H39" s="127">
        <f>ROUND($B$4*$B$10*$B$15*$B$17*$B$20*$B$22*$B$24,0)</f>
        <v/>
      </c>
      <c r="I39" s="127">
        <f>ROUND($B$4*$B$10*$B$15*$B$17*$B$20*$B$22*$B$25,0)</f>
        <v/>
      </c>
      <c r="J39" s="127">
        <f>ROUND($B$4*$B$10*$B$15*$B$17*$B$20*$B$23*$B$24,0)</f>
        <v/>
      </c>
      <c r="K39" s="127">
        <f>ROUND($B$4*$B$10*$B$15*$B$17*$B$20*$B$23*$B$25,0)</f>
        <v/>
      </c>
      <c r="L39" s="127">
        <f>ROUND($B$4*$B$10*$B$15*$B$17*$B$21*$B$22*$B$24,0)</f>
        <v/>
      </c>
      <c r="M39" s="127">
        <f>ROUND($B$4*$B$10*$B$15*$B$17*$B$21*$B$22*$B$25,0)</f>
        <v/>
      </c>
      <c r="N39" s="127">
        <f>ROUND($B$4*$B$10*$B$15*$B$17*$B$21*$B$23*$B$24,0)</f>
        <v/>
      </c>
      <c r="O39" s="127">
        <f>ROUND($B$4*$B$10*$B$15*$B$17*$B$21*$B$23*$B$25,0)</f>
        <v/>
      </c>
      <c r="P39" s="127">
        <f>ROUND($B$5*$B$10*$B$15*$B$17*$B$19*$B$22*$B$24,0)</f>
        <v/>
      </c>
      <c r="Q39" s="127">
        <f>ROUND($B$5*$B$10*$B$15*$B$17*$B$19*$B$22*$B$25,0)</f>
        <v/>
      </c>
      <c r="R39" s="127">
        <f>ROUND($B$5*$B$10*$B$15*$B$17*$B$19*$B$23*$B$24,0)</f>
        <v/>
      </c>
      <c r="S39" s="127">
        <f>ROUND($B$5*$B$10*$B$15*$B$17*$B$19*$B$23*$B$25,0)</f>
        <v/>
      </c>
      <c r="T39" s="127">
        <f>ROUND($B$5*$B$10*$B$15*$B$17*$B$20*$B$22*$B$24,0)</f>
        <v/>
      </c>
      <c r="U39" s="127">
        <f>ROUND($B$5*$B$10*$B$15*$B$17*$B$20*$B$22*$B$25,0)</f>
        <v/>
      </c>
      <c r="V39" s="127">
        <f>ROUND($B$5*$B$10*$B$15*$B$17*$B$20*$B$23*$B$24,0)</f>
        <v/>
      </c>
      <c r="W39" s="127">
        <f>ROUND($B$5*$B$10*$B$15*$B$17*$B$20*$B$23*$B$25,0)</f>
        <v/>
      </c>
      <c r="X39" s="127">
        <f>ROUND($B$5*$B$10*$B$15*$B$17*$B$21*$B$22*$B$24,0)</f>
        <v/>
      </c>
      <c r="Y39" s="127">
        <f>ROUND($B$5*$B$10*$B$15*$B$17*$B$21*$B$22*$B$25,0)</f>
        <v/>
      </c>
      <c r="Z39" s="127">
        <f>ROUND($B$5*$B$10*$B$15*$B$17*$B$21*$B$23*$B$24,0)</f>
        <v/>
      </c>
      <c r="AA39" s="127">
        <f>ROUND($B$5*$B$10*$B$15*$B$17*$B$21*$B$23*$B$25,0)</f>
        <v/>
      </c>
      <c r="AB39" s="127">
        <f>ROUND($B$6*$B$10*$B$15*$B$17*$B$19*$B$22*$B$24,0)</f>
        <v/>
      </c>
      <c r="AC39" s="127">
        <f>ROUND($B$6*$B$10*$B$15*$B$17*$B$19*$B$22*$B$25,0)</f>
        <v/>
      </c>
      <c r="AD39" s="127">
        <f>ROUND($B$6*$B$10*$B$15*$B$17*$B$19*$B$23*$B$24,0)</f>
        <v/>
      </c>
      <c r="AE39" s="127">
        <f>ROUND($B$6*$B$10*$B$15*$B$17*$B$19*$B$23*$B$25,0)</f>
        <v/>
      </c>
      <c r="AF39" s="127">
        <f>ROUND($B$6*$B$10*$B$15*$B$17*$B$20*$B$22*$B$24,0)</f>
        <v/>
      </c>
      <c r="AG39" s="127">
        <f>ROUND($B$6*$B$10*$B$15*$B$17*$B$20*$B$22*$B$25,0)</f>
        <v/>
      </c>
      <c r="AH39" s="127">
        <f>ROUND($B$6*$B$10*$B$15*$B$17*$B$20*$B$23*$B$24,0)</f>
        <v/>
      </c>
      <c r="AI39" s="127">
        <f>ROUND($B$6*$B$10*$B$15*$B$17*$B$20*$B$23*$B$25,0)</f>
        <v/>
      </c>
      <c r="AJ39" s="127">
        <f>ROUND($B$6*$B$10*$B$15*$B$17*$B$21*$B$22*$B$24,0)</f>
        <v/>
      </c>
      <c r="AK39" s="127">
        <f>ROUND($B$6*$B$10*$B$15*$B$17*$B$21*$B$22*$B$25,0)</f>
        <v/>
      </c>
      <c r="AL39" s="127">
        <f>ROUND($B$6*$B$10*$B$15*$B$17*$B$21*$B$23*$B$24,0)</f>
        <v/>
      </c>
      <c r="AM39" s="127">
        <f>ROUND($B$6*$B$10*$B$15*$B$17*$B$21*$B$23*$B$25,0)</f>
        <v/>
      </c>
      <c r="AN39" s="127">
        <f>ROUND($B$7*$B$10*$B$15*$B$17*$B$19*$B$22*$B$24,0)</f>
        <v/>
      </c>
      <c r="AO39" s="127">
        <f>ROUND($B$7*$B$10*$B$15*$B$17*$B$19*$B$22*$B$25,0)</f>
        <v/>
      </c>
      <c r="AP39" s="127">
        <f>ROUND($B$7*$B$10*$B$15*$B$17*$B$19*$B$23*$B$24,0)</f>
        <v/>
      </c>
      <c r="AQ39" s="127">
        <f>ROUND($B$7*$B$10*$B$15*$B$17*$B$19*$B$23*$B$25,0)</f>
        <v/>
      </c>
      <c r="AR39" s="127">
        <f>ROUND($B$7*$B$10*$B$15*$B$17*$B$20*$B$22*$B$24,0)</f>
        <v/>
      </c>
      <c r="AS39" s="127">
        <f>ROUND($B$7*$B$10*$B$15*$B$17*$B$20*$B$22*$B$25,0)</f>
        <v/>
      </c>
      <c r="AT39" s="127">
        <f>ROUND($B$7*$B$10*$B$15*$B$17*$B$20*$B$23*$B$24,0)</f>
        <v/>
      </c>
      <c r="AU39" s="127">
        <f>ROUND($B$7*$B$10*$B$15*$B$17*$B$20*$B$23*$B$25,0)</f>
        <v/>
      </c>
      <c r="AV39" s="127">
        <f>ROUND($B$7*$B$10*$B$15*$B$17*$B$21*$B$22*$B$24,0)</f>
        <v/>
      </c>
      <c r="AW39" s="127">
        <f>ROUND($B$7*$B$10*$B$15*$B$17*$B$21*$B$22*$B$25,0)</f>
        <v/>
      </c>
      <c r="AX39" s="127">
        <f>ROUND($B$7*$B$10*$B$15*$B$17*$B$21*$B$23*$B$24,0)</f>
        <v/>
      </c>
      <c r="AY39" s="127">
        <f>ROUND($B$7*$B$10*$B$15*$B$17*$B$21*$B$23*$B$25,0)</f>
        <v/>
      </c>
      <c r="AZ39" s="128">
        <f>ROUND($B$8*$B$10*$B$15*$B$17*$B$19*$B$22*$B$24,0)</f>
        <v/>
      </c>
      <c r="BA39" s="128">
        <f>ROUND($B$8*$B$10*$B$15*$B$17*$B$19*$B$22*$B$25,0)</f>
        <v/>
      </c>
      <c r="BB39" s="128">
        <f>ROUND($B$8*$B$10*$B$15*$B$17*$B$19*$B$23*$B$24,0)</f>
        <v/>
      </c>
      <c r="BC39" s="128">
        <f>ROUND($B$8*$B$10*$B$15*$B$17*$B$19*$B$23*$B$25,0)</f>
        <v/>
      </c>
      <c r="BD39" s="128">
        <f>ROUND($B$8*$B$10*$B$15*$B$17*$B$20*$B$22*$B$24,0)</f>
        <v/>
      </c>
      <c r="BE39" s="128">
        <f>ROUND($B$8*$B$10*$B$15*$B$17*$B$20*$B$22*$B$25,0)</f>
        <v/>
      </c>
      <c r="BF39" s="128">
        <f>ROUND($B$8*$B$10*$B$15*$B$17*$B$20*$B$23*$B$24,0)</f>
        <v/>
      </c>
      <c r="BG39" s="128">
        <f>ROUND($B$8*$B$10*$B$15*$B$17*$B$20*$B$23*$B$25,0)</f>
        <v/>
      </c>
      <c r="BH39" s="128">
        <f>ROUND($B$8*$B$10*$B$15*$B$17*$B$21*$B$22*$B$24,0)</f>
        <v/>
      </c>
      <c r="BI39" s="128">
        <f>ROUND($B$8*$B$10*$B$15*$B$17*$B$21*$B$22*$B$25,0)</f>
        <v/>
      </c>
      <c r="BJ39" s="128">
        <f>ROUND($B$8*$B$10*$B$15*$B$17*$B$21*$B$23*$B$24,0)</f>
        <v/>
      </c>
      <c r="BK39" s="128">
        <f>ROUND($B$8*$B$10*$B$15*$B$17*$B$21*$B$23*$B$25,0)</f>
        <v/>
      </c>
    </row>
    <row r="40" ht="20" customHeight="1" s="62">
      <c r="C40" s="129" t="inlineStr">
        <is>
          <t>6+ cas d'usage IA</t>
        </is>
      </c>
      <c r="D40" s="127">
        <f>ROUND($B$4*$B$10*$B$15*$B$18*$B$19*$B$22*$B$24,0)</f>
        <v/>
      </c>
      <c r="E40" s="127">
        <f>ROUND($B$4*$B$10*$B$15*$B$18*$B$19*$B$22*$B$25,0)</f>
        <v/>
      </c>
      <c r="F40" s="127">
        <f>ROUND($B$4*$B$10*$B$15*$B$18*$B$19*$B$23*$B$24,0)</f>
        <v/>
      </c>
      <c r="G40" s="127">
        <f>ROUND($B$4*$B$10*$B$15*$B$18*$B$19*$B$23*$B$25,0)</f>
        <v/>
      </c>
      <c r="H40" s="127">
        <f>ROUND($B$4*$B$10*$B$15*$B$18*$B$20*$B$22*$B$24,0)</f>
        <v/>
      </c>
      <c r="I40" s="127">
        <f>ROUND($B$4*$B$10*$B$15*$B$18*$B$20*$B$22*$B$25,0)</f>
        <v/>
      </c>
      <c r="J40" s="127">
        <f>ROUND($B$4*$B$10*$B$15*$B$18*$B$20*$B$23*$B$24,0)</f>
        <v/>
      </c>
      <c r="K40" s="127">
        <f>ROUND($B$4*$B$10*$B$15*$B$18*$B$20*$B$23*$B$25,0)</f>
        <v/>
      </c>
      <c r="L40" s="127">
        <f>ROUND($B$4*$B$10*$B$15*$B$18*$B$21*$B$22*$B$24,0)</f>
        <v/>
      </c>
      <c r="M40" s="127">
        <f>ROUND($B$4*$B$10*$B$15*$B$18*$B$21*$B$22*$B$25,0)</f>
        <v/>
      </c>
      <c r="N40" s="127">
        <f>ROUND($B$4*$B$10*$B$15*$B$18*$B$21*$B$23*$B$24,0)</f>
        <v/>
      </c>
      <c r="O40" s="127">
        <f>ROUND($B$4*$B$10*$B$15*$B$18*$B$21*$B$23*$B$25,0)</f>
        <v/>
      </c>
      <c r="P40" s="127">
        <f>ROUND($B$5*$B$10*$B$15*$B$18*$B$19*$B$22*$B$24,0)</f>
        <v/>
      </c>
      <c r="Q40" s="127">
        <f>ROUND($B$5*$B$10*$B$15*$B$18*$B$19*$B$22*$B$25,0)</f>
        <v/>
      </c>
      <c r="R40" s="127">
        <f>ROUND($B$5*$B$10*$B$15*$B$18*$B$19*$B$23*$B$24,0)</f>
        <v/>
      </c>
      <c r="S40" s="127">
        <f>ROUND($B$5*$B$10*$B$15*$B$18*$B$19*$B$23*$B$25,0)</f>
        <v/>
      </c>
      <c r="T40" s="127">
        <f>ROUND($B$5*$B$10*$B$15*$B$18*$B$20*$B$22*$B$24,0)</f>
        <v/>
      </c>
      <c r="U40" s="127">
        <f>ROUND($B$5*$B$10*$B$15*$B$18*$B$20*$B$22*$B$25,0)</f>
        <v/>
      </c>
      <c r="V40" s="127">
        <f>ROUND($B$5*$B$10*$B$15*$B$18*$B$20*$B$23*$B$24,0)</f>
        <v/>
      </c>
      <c r="W40" s="127">
        <f>ROUND($B$5*$B$10*$B$15*$B$18*$B$20*$B$23*$B$25,0)</f>
        <v/>
      </c>
      <c r="X40" s="127">
        <f>ROUND($B$5*$B$10*$B$15*$B$18*$B$21*$B$22*$B$24,0)</f>
        <v/>
      </c>
      <c r="Y40" s="127">
        <f>ROUND($B$5*$B$10*$B$15*$B$18*$B$21*$B$22*$B$25,0)</f>
        <v/>
      </c>
      <c r="Z40" s="127">
        <f>ROUND($B$5*$B$10*$B$15*$B$18*$B$21*$B$23*$B$24,0)</f>
        <v/>
      </c>
      <c r="AA40" s="127">
        <f>ROUND($B$5*$B$10*$B$15*$B$18*$B$21*$B$23*$B$25,0)</f>
        <v/>
      </c>
      <c r="AB40" s="127">
        <f>ROUND($B$6*$B$10*$B$15*$B$18*$B$19*$B$22*$B$24,0)</f>
        <v/>
      </c>
      <c r="AC40" s="127">
        <f>ROUND($B$6*$B$10*$B$15*$B$18*$B$19*$B$22*$B$25,0)</f>
        <v/>
      </c>
      <c r="AD40" s="127">
        <f>ROUND($B$6*$B$10*$B$15*$B$18*$B$19*$B$23*$B$24,0)</f>
        <v/>
      </c>
      <c r="AE40" s="127">
        <f>ROUND($B$6*$B$10*$B$15*$B$18*$B$19*$B$23*$B$25,0)</f>
        <v/>
      </c>
      <c r="AF40" s="127">
        <f>ROUND($B$6*$B$10*$B$15*$B$18*$B$20*$B$22*$B$24,0)</f>
        <v/>
      </c>
      <c r="AG40" s="127">
        <f>ROUND($B$6*$B$10*$B$15*$B$18*$B$20*$B$22*$B$25,0)</f>
        <v/>
      </c>
      <c r="AH40" s="127">
        <f>ROUND($B$6*$B$10*$B$15*$B$18*$B$20*$B$23*$B$24,0)</f>
        <v/>
      </c>
      <c r="AI40" s="127">
        <f>ROUND($B$6*$B$10*$B$15*$B$18*$B$20*$B$23*$B$25,0)</f>
        <v/>
      </c>
      <c r="AJ40" s="127">
        <f>ROUND($B$6*$B$10*$B$15*$B$18*$B$21*$B$22*$B$24,0)</f>
        <v/>
      </c>
      <c r="AK40" s="127">
        <f>ROUND($B$6*$B$10*$B$15*$B$18*$B$21*$B$22*$B$25,0)</f>
        <v/>
      </c>
      <c r="AL40" s="127">
        <f>ROUND($B$6*$B$10*$B$15*$B$18*$B$21*$B$23*$B$24,0)</f>
        <v/>
      </c>
      <c r="AM40" s="127">
        <f>ROUND($B$6*$B$10*$B$15*$B$18*$B$21*$B$23*$B$25,0)</f>
        <v/>
      </c>
      <c r="AN40" s="127">
        <f>ROUND($B$7*$B$10*$B$15*$B$18*$B$19*$B$22*$B$24,0)</f>
        <v/>
      </c>
      <c r="AO40" s="127">
        <f>ROUND($B$7*$B$10*$B$15*$B$18*$B$19*$B$22*$B$25,0)</f>
        <v/>
      </c>
      <c r="AP40" s="127">
        <f>ROUND($B$7*$B$10*$B$15*$B$18*$B$19*$B$23*$B$24,0)</f>
        <v/>
      </c>
      <c r="AQ40" s="127">
        <f>ROUND($B$7*$B$10*$B$15*$B$18*$B$19*$B$23*$B$25,0)</f>
        <v/>
      </c>
      <c r="AR40" s="127">
        <f>ROUND($B$7*$B$10*$B$15*$B$18*$B$20*$B$22*$B$24,0)</f>
        <v/>
      </c>
      <c r="AS40" s="127">
        <f>ROUND($B$7*$B$10*$B$15*$B$18*$B$20*$B$22*$B$25,0)</f>
        <v/>
      </c>
      <c r="AT40" s="127">
        <f>ROUND($B$7*$B$10*$B$15*$B$18*$B$20*$B$23*$B$24,0)</f>
        <v/>
      </c>
      <c r="AU40" s="127">
        <f>ROUND($B$7*$B$10*$B$15*$B$18*$B$20*$B$23*$B$25,0)</f>
        <v/>
      </c>
      <c r="AV40" s="127">
        <f>ROUND($B$7*$B$10*$B$15*$B$18*$B$21*$B$22*$B$24,0)</f>
        <v/>
      </c>
      <c r="AW40" s="127">
        <f>ROUND($B$7*$B$10*$B$15*$B$18*$B$21*$B$22*$B$25,0)</f>
        <v/>
      </c>
      <c r="AX40" s="127">
        <f>ROUND($B$7*$B$10*$B$15*$B$18*$B$21*$B$23*$B$24,0)</f>
        <v/>
      </c>
      <c r="AY40" s="127">
        <f>ROUND($B$7*$B$10*$B$15*$B$18*$B$21*$B$23*$B$25,0)</f>
        <v/>
      </c>
      <c r="AZ40" s="128">
        <f>ROUND($B$8*$B$10*$B$15*$B$18*$B$19*$B$22*$B$24,0)</f>
        <v/>
      </c>
      <c r="BA40" s="128">
        <f>ROUND($B$8*$B$10*$B$15*$B$18*$B$19*$B$22*$B$25,0)</f>
        <v/>
      </c>
      <c r="BB40" s="128">
        <f>ROUND($B$8*$B$10*$B$15*$B$18*$B$19*$B$23*$B$24,0)</f>
        <v/>
      </c>
      <c r="BC40" s="128">
        <f>ROUND($B$8*$B$10*$B$15*$B$18*$B$19*$B$23*$B$25,0)</f>
        <v/>
      </c>
      <c r="BD40" s="128">
        <f>ROUND($B$8*$B$10*$B$15*$B$18*$B$20*$B$22*$B$24,0)</f>
        <v/>
      </c>
      <c r="BE40" s="128">
        <f>ROUND($B$8*$B$10*$B$15*$B$18*$B$20*$B$22*$B$25,0)</f>
        <v/>
      </c>
      <c r="BF40" s="128">
        <f>ROUND($B$8*$B$10*$B$15*$B$18*$B$20*$B$23*$B$24,0)</f>
        <v/>
      </c>
      <c r="BG40" s="128">
        <f>ROUND($B$8*$B$10*$B$15*$B$18*$B$20*$B$23*$B$25,0)</f>
        <v/>
      </c>
      <c r="BH40" s="128">
        <f>ROUND($B$8*$B$10*$B$15*$B$18*$B$21*$B$22*$B$24,0)</f>
        <v/>
      </c>
      <c r="BI40" s="128">
        <f>ROUND($B$8*$B$10*$B$15*$B$18*$B$21*$B$22*$B$25,0)</f>
        <v/>
      </c>
      <c r="BJ40" s="128">
        <f>ROUND($B$8*$B$10*$B$15*$B$18*$B$21*$B$23*$B$24,0)</f>
        <v/>
      </c>
      <c r="BK40" s="128">
        <f>ROUND($B$8*$B$10*$B$15*$B$18*$B$21*$B$23*$B$25,0)</f>
        <v/>
      </c>
    </row>
    <row r="41" ht="20" customHeight="1" s="62">
      <c r="A41" s="124" t="inlineStr">
        <is>
          <t>SI moyenne (5-15 outils)</t>
        </is>
      </c>
      <c r="B41" s="125" t="inlineStr">
        <is>
          <t>Maturité digitale faible</t>
        </is>
      </c>
      <c r="C41" s="126" t="inlineStr">
        <is>
          <t>1-2 cas d'usage IA</t>
        </is>
      </c>
      <c r="D41" s="127">
        <f>ROUND($B$4*$B$11*$B$13*$B$16*$B$19*$B$22*$B$24,0)</f>
        <v/>
      </c>
      <c r="E41" s="127">
        <f>ROUND($B$4*$B$11*$B$13*$B$16*$B$19*$B$22*$B$25,0)</f>
        <v/>
      </c>
      <c r="F41" s="127">
        <f>ROUND($B$4*$B$11*$B$13*$B$16*$B$19*$B$23*$B$24,0)</f>
        <v/>
      </c>
      <c r="G41" s="127">
        <f>ROUND($B$4*$B$11*$B$13*$B$16*$B$19*$B$23*$B$25,0)</f>
        <v/>
      </c>
      <c r="H41" s="127">
        <f>ROUND($B$4*$B$11*$B$13*$B$16*$B$20*$B$22*$B$24,0)</f>
        <v/>
      </c>
      <c r="I41" s="127">
        <f>ROUND($B$4*$B$11*$B$13*$B$16*$B$20*$B$22*$B$25,0)</f>
        <v/>
      </c>
      <c r="J41" s="127">
        <f>ROUND($B$4*$B$11*$B$13*$B$16*$B$20*$B$23*$B$24,0)</f>
        <v/>
      </c>
      <c r="K41" s="127">
        <f>ROUND($B$4*$B$11*$B$13*$B$16*$B$20*$B$23*$B$25,0)</f>
        <v/>
      </c>
      <c r="L41" s="127">
        <f>ROUND($B$4*$B$11*$B$13*$B$16*$B$21*$B$22*$B$24,0)</f>
        <v/>
      </c>
      <c r="M41" s="127">
        <f>ROUND($B$4*$B$11*$B$13*$B$16*$B$21*$B$22*$B$25,0)</f>
        <v/>
      </c>
      <c r="N41" s="127">
        <f>ROUND($B$4*$B$11*$B$13*$B$16*$B$21*$B$23*$B$24,0)</f>
        <v/>
      </c>
      <c r="O41" s="127">
        <f>ROUND($B$4*$B$11*$B$13*$B$16*$B$21*$B$23*$B$25,0)</f>
        <v/>
      </c>
      <c r="P41" s="127">
        <f>ROUND($B$5*$B$11*$B$13*$B$16*$B$19*$B$22*$B$24,0)</f>
        <v/>
      </c>
      <c r="Q41" s="127">
        <f>ROUND($B$5*$B$11*$B$13*$B$16*$B$19*$B$22*$B$25,0)</f>
        <v/>
      </c>
      <c r="R41" s="127">
        <f>ROUND($B$5*$B$11*$B$13*$B$16*$B$19*$B$23*$B$24,0)</f>
        <v/>
      </c>
      <c r="S41" s="127">
        <f>ROUND($B$5*$B$11*$B$13*$B$16*$B$19*$B$23*$B$25,0)</f>
        <v/>
      </c>
      <c r="T41" s="127">
        <f>ROUND($B$5*$B$11*$B$13*$B$16*$B$20*$B$22*$B$24,0)</f>
        <v/>
      </c>
      <c r="U41" s="127">
        <f>ROUND($B$5*$B$11*$B$13*$B$16*$B$20*$B$22*$B$25,0)</f>
        <v/>
      </c>
      <c r="V41" s="127">
        <f>ROUND($B$5*$B$11*$B$13*$B$16*$B$20*$B$23*$B$24,0)</f>
        <v/>
      </c>
      <c r="W41" s="127">
        <f>ROUND($B$5*$B$11*$B$13*$B$16*$B$20*$B$23*$B$25,0)</f>
        <v/>
      </c>
      <c r="X41" s="127">
        <f>ROUND($B$5*$B$11*$B$13*$B$16*$B$21*$B$22*$B$24,0)</f>
        <v/>
      </c>
      <c r="Y41" s="127">
        <f>ROUND($B$5*$B$11*$B$13*$B$16*$B$21*$B$22*$B$25,0)</f>
        <v/>
      </c>
      <c r="Z41" s="127">
        <f>ROUND($B$5*$B$11*$B$13*$B$16*$B$21*$B$23*$B$24,0)</f>
        <v/>
      </c>
      <c r="AA41" s="127">
        <f>ROUND($B$5*$B$11*$B$13*$B$16*$B$21*$B$23*$B$25,0)</f>
        <v/>
      </c>
      <c r="AB41" s="127">
        <f>ROUND($B$6*$B$11*$B$13*$B$16*$B$19*$B$22*$B$24,0)</f>
        <v/>
      </c>
      <c r="AC41" s="127">
        <f>ROUND($B$6*$B$11*$B$13*$B$16*$B$19*$B$22*$B$25,0)</f>
        <v/>
      </c>
      <c r="AD41" s="127">
        <f>ROUND($B$6*$B$11*$B$13*$B$16*$B$19*$B$23*$B$24,0)</f>
        <v/>
      </c>
      <c r="AE41" s="127">
        <f>ROUND($B$6*$B$11*$B$13*$B$16*$B$19*$B$23*$B$25,0)</f>
        <v/>
      </c>
      <c r="AF41" s="127">
        <f>ROUND($B$6*$B$11*$B$13*$B$16*$B$20*$B$22*$B$24,0)</f>
        <v/>
      </c>
      <c r="AG41" s="127">
        <f>ROUND($B$6*$B$11*$B$13*$B$16*$B$20*$B$22*$B$25,0)</f>
        <v/>
      </c>
      <c r="AH41" s="127">
        <f>ROUND($B$6*$B$11*$B$13*$B$16*$B$20*$B$23*$B$24,0)</f>
        <v/>
      </c>
      <c r="AI41" s="127">
        <f>ROUND($B$6*$B$11*$B$13*$B$16*$B$20*$B$23*$B$25,0)</f>
        <v/>
      </c>
      <c r="AJ41" s="127">
        <f>ROUND($B$6*$B$11*$B$13*$B$16*$B$21*$B$22*$B$24,0)</f>
        <v/>
      </c>
      <c r="AK41" s="127">
        <f>ROUND($B$6*$B$11*$B$13*$B$16*$B$21*$B$22*$B$25,0)</f>
        <v/>
      </c>
      <c r="AL41" s="127">
        <f>ROUND($B$6*$B$11*$B$13*$B$16*$B$21*$B$23*$B$24,0)</f>
        <v/>
      </c>
      <c r="AM41" s="127">
        <f>ROUND($B$6*$B$11*$B$13*$B$16*$B$21*$B$23*$B$25,0)</f>
        <v/>
      </c>
      <c r="AN41" s="127">
        <f>ROUND($B$7*$B$11*$B$13*$B$16*$B$19*$B$22*$B$24,0)</f>
        <v/>
      </c>
      <c r="AO41" s="127">
        <f>ROUND($B$7*$B$11*$B$13*$B$16*$B$19*$B$22*$B$25,0)</f>
        <v/>
      </c>
      <c r="AP41" s="127">
        <f>ROUND($B$7*$B$11*$B$13*$B$16*$B$19*$B$23*$B$24,0)</f>
        <v/>
      </c>
      <c r="AQ41" s="127">
        <f>ROUND($B$7*$B$11*$B$13*$B$16*$B$19*$B$23*$B$25,0)</f>
        <v/>
      </c>
      <c r="AR41" s="127">
        <f>ROUND($B$7*$B$11*$B$13*$B$16*$B$20*$B$22*$B$24,0)</f>
        <v/>
      </c>
      <c r="AS41" s="127">
        <f>ROUND($B$7*$B$11*$B$13*$B$16*$B$20*$B$22*$B$25,0)</f>
        <v/>
      </c>
      <c r="AT41" s="127">
        <f>ROUND($B$7*$B$11*$B$13*$B$16*$B$20*$B$23*$B$24,0)</f>
        <v/>
      </c>
      <c r="AU41" s="127">
        <f>ROUND($B$7*$B$11*$B$13*$B$16*$B$20*$B$23*$B$25,0)</f>
        <v/>
      </c>
      <c r="AV41" s="127">
        <f>ROUND($B$7*$B$11*$B$13*$B$16*$B$21*$B$22*$B$24,0)</f>
        <v/>
      </c>
      <c r="AW41" s="127">
        <f>ROUND($B$7*$B$11*$B$13*$B$16*$B$21*$B$22*$B$25,0)</f>
        <v/>
      </c>
      <c r="AX41" s="127">
        <f>ROUND($B$7*$B$11*$B$13*$B$16*$B$21*$B$23*$B$24,0)</f>
        <v/>
      </c>
      <c r="AY41" s="127">
        <f>ROUND($B$7*$B$11*$B$13*$B$16*$B$21*$B$23*$B$25,0)</f>
        <v/>
      </c>
      <c r="AZ41" s="128">
        <f>ROUND($B$8*$B$11*$B$13*$B$16*$B$19*$B$22*$B$24,0)</f>
        <v/>
      </c>
      <c r="BA41" s="128">
        <f>ROUND($B$8*$B$11*$B$13*$B$16*$B$19*$B$22*$B$25,0)</f>
        <v/>
      </c>
      <c r="BB41" s="128">
        <f>ROUND($B$8*$B$11*$B$13*$B$16*$B$19*$B$23*$B$24,0)</f>
        <v/>
      </c>
      <c r="BC41" s="128">
        <f>ROUND($B$8*$B$11*$B$13*$B$16*$B$19*$B$23*$B$25,0)</f>
        <v/>
      </c>
      <c r="BD41" s="128">
        <f>ROUND($B$8*$B$11*$B$13*$B$16*$B$20*$B$22*$B$24,0)</f>
        <v/>
      </c>
      <c r="BE41" s="128">
        <f>ROUND($B$8*$B$11*$B$13*$B$16*$B$20*$B$22*$B$25,0)</f>
        <v/>
      </c>
      <c r="BF41" s="128">
        <f>ROUND($B$8*$B$11*$B$13*$B$16*$B$20*$B$23*$B$24,0)</f>
        <v/>
      </c>
      <c r="BG41" s="128">
        <f>ROUND($B$8*$B$11*$B$13*$B$16*$B$20*$B$23*$B$25,0)</f>
        <v/>
      </c>
      <c r="BH41" s="128">
        <f>ROUND($B$8*$B$11*$B$13*$B$16*$B$21*$B$22*$B$24,0)</f>
        <v/>
      </c>
      <c r="BI41" s="128">
        <f>ROUND($B$8*$B$11*$B$13*$B$16*$B$21*$B$22*$B$25,0)</f>
        <v/>
      </c>
      <c r="BJ41" s="128">
        <f>ROUND($B$8*$B$11*$B$13*$B$16*$B$21*$B$23*$B$24,0)</f>
        <v/>
      </c>
      <c r="BK41" s="128">
        <f>ROUND($B$8*$B$11*$B$13*$B$16*$B$21*$B$23*$B$25,0)</f>
        <v/>
      </c>
    </row>
    <row r="42" ht="20" customHeight="1" s="62">
      <c r="C42" s="125" t="inlineStr">
        <is>
          <t>3-5 cas d'usage IA</t>
        </is>
      </c>
      <c r="D42" s="127">
        <f>ROUND($B$4*$B$11*$B$13*$B$17*$B$19*$B$22*$B$24,0)</f>
        <v/>
      </c>
      <c r="E42" s="127">
        <f>ROUND($B$4*$B$11*$B$13*$B$17*$B$19*$B$22*$B$25,0)</f>
        <v/>
      </c>
      <c r="F42" s="127">
        <f>ROUND($B$4*$B$11*$B$13*$B$17*$B$19*$B$23*$B$24,0)</f>
        <v/>
      </c>
      <c r="G42" s="127">
        <f>ROUND($B$4*$B$11*$B$13*$B$17*$B$19*$B$23*$B$25,0)</f>
        <v/>
      </c>
      <c r="H42" s="127">
        <f>ROUND($B$4*$B$11*$B$13*$B$17*$B$20*$B$22*$B$24,0)</f>
        <v/>
      </c>
      <c r="I42" s="127">
        <f>ROUND($B$4*$B$11*$B$13*$B$17*$B$20*$B$22*$B$25,0)</f>
        <v/>
      </c>
      <c r="J42" s="127">
        <f>ROUND($B$4*$B$11*$B$13*$B$17*$B$20*$B$23*$B$24,0)</f>
        <v/>
      </c>
      <c r="K42" s="127">
        <f>ROUND($B$4*$B$11*$B$13*$B$17*$B$20*$B$23*$B$25,0)</f>
        <v/>
      </c>
      <c r="L42" s="127">
        <f>ROUND($B$4*$B$11*$B$13*$B$17*$B$21*$B$22*$B$24,0)</f>
        <v/>
      </c>
      <c r="M42" s="127">
        <f>ROUND($B$4*$B$11*$B$13*$B$17*$B$21*$B$22*$B$25,0)</f>
        <v/>
      </c>
      <c r="N42" s="127">
        <f>ROUND($B$4*$B$11*$B$13*$B$17*$B$21*$B$23*$B$24,0)</f>
        <v/>
      </c>
      <c r="O42" s="127">
        <f>ROUND($B$4*$B$11*$B$13*$B$17*$B$21*$B$23*$B$25,0)</f>
        <v/>
      </c>
      <c r="P42" s="127">
        <f>ROUND($B$5*$B$11*$B$13*$B$17*$B$19*$B$22*$B$24,0)</f>
        <v/>
      </c>
      <c r="Q42" s="127">
        <f>ROUND($B$5*$B$11*$B$13*$B$17*$B$19*$B$22*$B$25,0)</f>
        <v/>
      </c>
      <c r="R42" s="127">
        <f>ROUND($B$5*$B$11*$B$13*$B$17*$B$19*$B$23*$B$24,0)</f>
        <v/>
      </c>
      <c r="S42" s="127">
        <f>ROUND($B$5*$B$11*$B$13*$B$17*$B$19*$B$23*$B$25,0)</f>
        <v/>
      </c>
      <c r="T42" s="127">
        <f>ROUND($B$5*$B$11*$B$13*$B$17*$B$20*$B$22*$B$24,0)</f>
        <v/>
      </c>
      <c r="U42" s="127">
        <f>ROUND($B$5*$B$11*$B$13*$B$17*$B$20*$B$22*$B$25,0)</f>
        <v/>
      </c>
      <c r="V42" s="127">
        <f>ROUND($B$5*$B$11*$B$13*$B$17*$B$20*$B$23*$B$24,0)</f>
        <v/>
      </c>
      <c r="W42" s="127">
        <f>ROUND($B$5*$B$11*$B$13*$B$17*$B$20*$B$23*$B$25,0)</f>
        <v/>
      </c>
      <c r="X42" s="127">
        <f>ROUND($B$5*$B$11*$B$13*$B$17*$B$21*$B$22*$B$24,0)</f>
        <v/>
      </c>
      <c r="Y42" s="127">
        <f>ROUND($B$5*$B$11*$B$13*$B$17*$B$21*$B$22*$B$25,0)</f>
        <v/>
      </c>
      <c r="Z42" s="127">
        <f>ROUND($B$5*$B$11*$B$13*$B$17*$B$21*$B$23*$B$24,0)</f>
        <v/>
      </c>
      <c r="AA42" s="127">
        <f>ROUND($B$5*$B$11*$B$13*$B$17*$B$21*$B$23*$B$25,0)</f>
        <v/>
      </c>
      <c r="AB42" s="127">
        <f>ROUND($B$6*$B$11*$B$13*$B$17*$B$19*$B$22*$B$24,0)</f>
        <v/>
      </c>
      <c r="AC42" s="127">
        <f>ROUND($B$6*$B$11*$B$13*$B$17*$B$19*$B$22*$B$25,0)</f>
        <v/>
      </c>
      <c r="AD42" s="127">
        <f>ROUND($B$6*$B$11*$B$13*$B$17*$B$19*$B$23*$B$24,0)</f>
        <v/>
      </c>
      <c r="AE42" s="127">
        <f>ROUND($B$6*$B$11*$B$13*$B$17*$B$19*$B$23*$B$25,0)</f>
        <v/>
      </c>
      <c r="AF42" s="127">
        <f>ROUND($B$6*$B$11*$B$13*$B$17*$B$20*$B$22*$B$24,0)</f>
        <v/>
      </c>
      <c r="AG42" s="127">
        <f>ROUND($B$6*$B$11*$B$13*$B$17*$B$20*$B$22*$B$25,0)</f>
        <v/>
      </c>
      <c r="AH42" s="127">
        <f>ROUND($B$6*$B$11*$B$13*$B$17*$B$20*$B$23*$B$24,0)</f>
        <v/>
      </c>
      <c r="AI42" s="127">
        <f>ROUND($B$6*$B$11*$B$13*$B$17*$B$20*$B$23*$B$25,0)</f>
        <v/>
      </c>
      <c r="AJ42" s="127">
        <f>ROUND($B$6*$B$11*$B$13*$B$17*$B$21*$B$22*$B$24,0)</f>
        <v/>
      </c>
      <c r="AK42" s="127">
        <f>ROUND($B$6*$B$11*$B$13*$B$17*$B$21*$B$22*$B$25,0)</f>
        <v/>
      </c>
      <c r="AL42" s="127">
        <f>ROUND($B$6*$B$11*$B$13*$B$17*$B$21*$B$23*$B$24,0)</f>
        <v/>
      </c>
      <c r="AM42" s="127">
        <f>ROUND($B$6*$B$11*$B$13*$B$17*$B$21*$B$23*$B$25,0)</f>
        <v/>
      </c>
      <c r="AN42" s="127">
        <f>ROUND($B$7*$B$11*$B$13*$B$17*$B$19*$B$22*$B$24,0)</f>
        <v/>
      </c>
      <c r="AO42" s="127">
        <f>ROUND($B$7*$B$11*$B$13*$B$17*$B$19*$B$22*$B$25,0)</f>
        <v/>
      </c>
      <c r="AP42" s="127">
        <f>ROUND($B$7*$B$11*$B$13*$B$17*$B$19*$B$23*$B$24,0)</f>
        <v/>
      </c>
      <c r="AQ42" s="127">
        <f>ROUND($B$7*$B$11*$B$13*$B$17*$B$19*$B$23*$B$25,0)</f>
        <v/>
      </c>
      <c r="AR42" s="127">
        <f>ROUND($B$7*$B$11*$B$13*$B$17*$B$20*$B$22*$B$24,0)</f>
        <v/>
      </c>
      <c r="AS42" s="127">
        <f>ROUND($B$7*$B$11*$B$13*$B$17*$B$20*$B$22*$B$25,0)</f>
        <v/>
      </c>
      <c r="AT42" s="127">
        <f>ROUND($B$7*$B$11*$B$13*$B$17*$B$20*$B$23*$B$24,0)</f>
        <v/>
      </c>
      <c r="AU42" s="127">
        <f>ROUND($B$7*$B$11*$B$13*$B$17*$B$20*$B$23*$B$25,0)</f>
        <v/>
      </c>
      <c r="AV42" s="127">
        <f>ROUND($B$7*$B$11*$B$13*$B$17*$B$21*$B$22*$B$24,0)</f>
        <v/>
      </c>
      <c r="AW42" s="127">
        <f>ROUND($B$7*$B$11*$B$13*$B$17*$B$21*$B$22*$B$25,0)</f>
        <v/>
      </c>
      <c r="AX42" s="127">
        <f>ROUND($B$7*$B$11*$B$13*$B$17*$B$21*$B$23*$B$24,0)</f>
        <v/>
      </c>
      <c r="AY42" s="127">
        <f>ROUND($B$7*$B$11*$B$13*$B$17*$B$21*$B$23*$B$25,0)</f>
        <v/>
      </c>
      <c r="AZ42" s="128">
        <f>ROUND($B$8*$B$11*$B$13*$B$17*$B$19*$B$22*$B$24,0)</f>
        <v/>
      </c>
      <c r="BA42" s="128">
        <f>ROUND($B$8*$B$11*$B$13*$B$17*$B$19*$B$22*$B$25,0)</f>
        <v/>
      </c>
      <c r="BB42" s="128">
        <f>ROUND($B$8*$B$11*$B$13*$B$17*$B$19*$B$23*$B$24,0)</f>
        <v/>
      </c>
      <c r="BC42" s="128">
        <f>ROUND($B$8*$B$11*$B$13*$B$17*$B$19*$B$23*$B$25,0)</f>
        <v/>
      </c>
      <c r="BD42" s="128">
        <f>ROUND($B$8*$B$11*$B$13*$B$17*$B$20*$B$22*$B$24,0)</f>
        <v/>
      </c>
      <c r="BE42" s="128">
        <f>ROUND($B$8*$B$11*$B$13*$B$17*$B$20*$B$22*$B$25,0)</f>
        <v/>
      </c>
      <c r="BF42" s="128">
        <f>ROUND($B$8*$B$11*$B$13*$B$17*$B$20*$B$23*$B$24,0)</f>
        <v/>
      </c>
      <c r="BG42" s="128">
        <f>ROUND($B$8*$B$11*$B$13*$B$17*$B$20*$B$23*$B$25,0)</f>
        <v/>
      </c>
      <c r="BH42" s="128">
        <f>ROUND($B$8*$B$11*$B$13*$B$17*$B$21*$B$22*$B$24,0)</f>
        <v/>
      </c>
      <c r="BI42" s="128">
        <f>ROUND($B$8*$B$11*$B$13*$B$17*$B$21*$B$22*$B$25,0)</f>
        <v/>
      </c>
      <c r="BJ42" s="128">
        <f>ROUND($B$8*$B$11*$B$13*$B$17*$B$21*$B$23*$B$24,0)</f>
        <v/>
      </c>
      <c r="BK42" s="128">
        <f>ROUND($B$8*$B$11*$B$13*$B$17*$B$21*$B$23*$B$25,0)</f>
        <v/>
      </c>
    </row>
    <row r="43" ht="20" customHeight="1" s="62">
      <c r="C43" s="129" t="inlineStr">
        <is>
          <t>6+ cas d'usage IA</t>
        </is>
      </c>
      <c r="D43" s="127">
        <f>ROUND($B$4*$B$11*$B$13*$B$18*$B$19*$B$22*$B$24,0)</f>
        <v/>
      </c>
      <c r="E43" s="127">
        <f>ROUND($B$4*$B$11*$B$13*$B$18*$B$19*$B$22*$B$25,0)</f>
        <v/>
      </c>
      <c r="F43" s="127">
        <f>ROUND($B$4*$B$11*$B$13*$B$18*$B$19*$B$23*$B$24,0)</f>
        <v/>
      </c>
      <c r="G43" s="127">
        <f>ROUND($B$4*$B$11*$B$13*$B$18*$B$19*$B$23*$B$25,0)</f>
        <v/>
      </c>
      <c r="H43" s="127">
        <f>ROUND($B$4*$B$11*$B$13*$B$18*$B$20*$B$22*$B$24,0)</f>
        <v/>
      </c>
      <c r="I43" s="127">
        <f>ROUND($B$4*$B$11*$B$13*$B$18*$B$20*$B$22*$B$25,0)</f>
        <v/>
      </c>
      <c r="J43" s="127">
        <f>ROUND($B$4*$B$11*$B$13*$B$18*$B$20*$B$23*$B$24,0)</f>
        <v/>
      </c>
      <c r="K43" s="127">
        <f>ROUND($B$4*$B$11*$B$13*$B$18*$B$20*$B$23*$B$25,0)</f>
        <v/>
      </c>
      <c r="L43" s="127">
        <f>ROUND($B$4*$B$11*$B$13*$B$18*$B$21*$B$22*$B$24,0)</f>
        <v/>
      </c>
      <c r="M43" s="127">
        <f>ROUND($B$4*$B$11*$B$13*$B$18*$B$21*$B$22*$B$25,0)</f>
        <v/>
      </c>
      <c r="N43" s="127">
        <f>ROUND($B$4*$B$11*$B$13*$B$18*$B$21*$B$23*$B$24,0)</f>
        <v/>
      </c>
      <c r="O43" s="127">
        <f>ROUND($B$4*$B$11*$B$13*$B$18*$B$21*$B$23*$B$25,0)</f>
        <v/>
      </c>
      <c r="P43" s="127">
        <f>ROUND($B$5*$B$11*$B$13*$B$18*$B$19*$B$22*$B$24,0)</f>
        <v/>
      </c>
      <c r="Q43" s="127">
        <f>ROUND($B$5*$B$11*$B$13*$B$18*$B$19*$B$22*$B$25,0)</f>
        <v/>
      </c>
      <c r="R43" s="127">
        <f>ROUND($B$5*$B$11*$B$13*$B$18*$B$19*$B$23*$B$24,0)</f>
        <v/>
      </c>
      <c r="S43" s="127">
        <f>ROUND($B$5*$B$11*$B$13*$B$18*$B$19*$B$23*$B$25,0)</f>
        <v/>
      </c>
      <c r="T43" s="127">
        <f>ROUND($B$5*$B$11*$B$13*$B$18*$B$20*$B$22*$B$24,0)</f>
        <v/>
      </c>
      <c r="U43" s="127">
        <f>ROUND($B$5*$B$11*$B$13*$B$18*$B$20*$B$22*$B$25,0)</f>
        <v/>
      </c>
      <c r="V43" s="127">
        <f>ROUND($B$5*$B$11*$B$13*$B$18*$B$20*$B$23*$B$24,0)</f>
        <v/>
      </c>
      <c r="W43" s="127">
        <f>ROUND($B$5*$B$11*$B$13*$B$18*$B$20*$B$23*$B$25,0)</f>
        <v/>
      </c>
      <c r="X43" s="127">
        <f>ROUND($B$5*$B$11*$B$13*$B$18*$B$21*$B$22*$B$24,0)</f>
        <v/>
      </c>
      <c r="Y43" s="127">
        <f>ROUND($B$5*$B$11*$B$13*$B$18*$B$21*$B$22*$B$25,0)</f>
        <v/>
      </c>
      <c r="Z43" s="127">
        <f>ROUND($B$5*$B$11*$B$13*$B$18*$B$21*$B$23*$B$24,0)</f>
        <v/>
      </c>
      <c r="AA43" s="127">
        <f>ROUND($B$5*$B$11*$B$13*$B$18*$B$21*$B$23*$B$25,0)</f>
        <v/>
      </c>
      <c r="AB43" s="127">
        <f>ROUND($B$6*$B$11*$B$13*$B$18*$B$19*$B$22*$B$24,0)</f>
        <v/>
      </c>
      <c r="AC43" s="127">
        <f>ROUND($B$6*$B$11*$B$13*$B$18*$B$19*$B$22*$B$25,0)</f>
        <v/>
      </c>
      <c r="AD43" s="127">
        <f>ROUND($B$6*$B$11*$B$13*$B$18*$B$19*$B$23*$B$24,0)</f>
        <v/>
      </c>
      <c r="AE43" s="127">
        <f>ROUND($B$6*$B$11*$B$13*$B$18*$B$19*$B$23*$B$25,0)</f>
        <v/>
      </c>
      <c r="AF43" s="127">
        <f>ROUND($B$6*$B$11*$B$13*$B$18*$B$20*$B$22*$B$24,0)</f>
        <v/>
      </c>
      <c r="AG43" s="127">
        <f>ROUND($B$6*$B$11*$B$13*$B$18*$B$20*$B$22*$B$25,0)</f>
        <v/>
      </c>
      <c r="AH43" s="127">
        <f>ROUND($B$6*$B$11*$B$13*$B$18*$B$20*$B$23*$B$24,0)</f>
        <v/>
      </c>
      <c r="AI43" s="127">
        <f>ROUND($B$6*$B$11*$B$13*$B$18*$B$20*$B$23*$B$25,0)</f>
        <v/>
      </c>
      <c r="AJ43" s="127">
        <f>ROUND($B$6*$B$11*$B$13*$B$18*$B$21*$B$22*$B$24,0)</f>
        <v/>
      </c>
      <c r="AK43" s="127">
        <f>ROUND($B$6*$B$11*$B$13*$B$18*$B$21*$B$22*$B$25,0)</f>
        <v/>
      </c>
      <c r="AL43" s="127">
        <f>ROUND($B$6*$B$11*$B$13*$B$18*$B$21*$B$23*$B$24,0)</f>
        <v/>
      </c>
      <c r="AM43" s="127">
        <f>ROUND($B$6*$B$11*$B$13*$B$18*$B$21*$B$23*$B$25,0)</f>
        <v/>
      </c>
      <c r="AN43" s="127">
        <f>ROUND($B$7*$B$11*$B$13*$B$18*$B$19*$B$22*$B$24,0)</f>
        <v/>
      </c>
      <c r="AO43" s="127">
        <f>ROUND($B$7*$B$11*$B$13*$B$18*$B$19*$B$22*$B$25,0)</f>
        <v/>
      </c>
      <c r="AP43" s="127">
        <f>ROUND($B$7*$B$11*$B$13*$B$18*$B$19*$B$23*$B$24,0)</f>
        <v/>
      </c>
      <c r="AQ43" s="127">
        <f>ROUND($B$7*$B$11*$B$13*$B$18*$B$19*$B$23*$B$25,0)</f>
        <v/>
      </c>
      <c r="AR43" s="127">
        <f>ROUND($B$7*$B$11*$B$13*$B$18*$B$20*$B$22*$B$24,0)</f>
        <v/>
      </c>
      <c r="AS43" s="127">
        <f>ROUND($B$7*$B$11*$B$13*$B$18*$B$20*$B$22*$B$25,0)</f>
        <v/>
      </c>
      <c r="AT43" s="127">
        <f>ROUND($B$7*$B$11*$B$13*$B$18*$B$20*$B$23*$B$24,0)</f>
        <v/>
      </c>
      <c r="AU43" s="127">
        <f>ROUND($B$7*$B$11*$B$13*$B$18*$B$20*$B$23*$B$25,0)</f>
        <v/>
      </c>
      <c r="AV43" s="127">
        <f>ROUND($B$7*$B$11*$B$13*$B$18*$B$21*$B$22*$B$24,0)</f>
        <v/>
      </c>
      <c r="AW43" s="127">
        <f>ROUND($B$7*$B$11*$B$13*$B$18*$B$21*$B$22*$B$25,0)</f>
        <v/>
      </c>
      <c r="AX43" s="127">
        <f>ROUND($B$7*$B$11*$B$13*$B$18*$B$21*$B$23*$B$24,0)</f>
        <v/>
      </c>
      <c r="AY43" s="127">
        <f>ROUND($B$7*$B$11*$B$13*$B$18*$B$21*$B$23*$B$25,0)</f>
        <v/>
      </c>
      <c r="AZ43" s="128">
        <f>ROUND($B$8*$B$11*$B$13*$B$18*$B$19*$B$22*$B$24,0)</f>
        <v/>
      </c>
      <c r="BA43" s="128">
        <f>ROUND($B$8*$B$11*$B$13*$B$18*$B$19*$B$22*$B$25,0)</f>
        <v/>
      </c>
      <c r="BB43" s="128">
        <f>ROUND($B$8*$B$11*$B$13*$B$18*$B$19*$B$23*$B$24,0)</f>
        <v/>
      </c>
      <c r="BC43" s="128">
        <f>ROUND($B$8*$B$11*$B$13*$B$18*$B$19*$B$23*$B$25,0)</f>
        <v/>
      </c>
      <c r="BD43" s="128">
        <f>ROUND($B$8*$B$11*$B$13*$B$18*$B$20*$B$22*$B$24,0)</f>
        <v/>
      </c>
      <c r="BE43" s="128">
        <f>ROUND($B$8*$B$11*$B$13*$B$18*$B$20*$B$22*$B$25,0)</f>
        <v/>
      </c>
      <c r="BF43" s="128">
        <f>ROUND($B$8*$B$11*$B$13*$B$18*$B$20*$B$23*$B$24,0)</f>
        <v/>
      </c>
      <c r="BG43" s="128">
        <f>ROUND($B$8*$B$11*$B$13*$B$18*$B$20*$B$23*$B$25,0)</f>
        <v/>
      </c>
      <c r="BH43" s="128">
        <f>ROUND($B$8*$B$11*$B$13*$B$18*$B$21*$B$22*$B$24,0)</f>
        <v/>
      </c>
      <c r="BI43" s="128">
        <f>ROUND($B$8*$B$11*$B$13*$B$18*$B$21*$B$22*$B$25,0)</f>
        <v/>
      </c>
      <c r="BJ43" s="128">
        <f>ROUND($B$8*$B$11*$B$13*$B$18*$B$21*$B$23*$B$24,0)</f>
        <v/>
      </c>
      <c r="BK43" s="128">
        <f>ROUND($B$8*$B$11*$B$13*$B$18*$B$21*$B$23*$B$25,0)</f>
        <v/>
      </c>
    </row>
    <row r="44" ht="20" customHeight="1" s="62">
      <c r="B44" s="125" t="inlineStr">
        <is>
          <t>Maturité digitale intermédiaire</t>
        </is>
      </c>
      <c r="C44" s="126" t="inlineStr">
        <is>
          <t>1-2 cas d'usage IA</t>
        </is>
      </c>
      <c r="D44" s="127">
        <f>ROUND($B$4*$B$11*$B$14*$B$16*$B$19*$B$22*$B$24,0)</f>
        <v/>
      </c>
      <c r="E44" s="127">
        <f>ROUND($B$4*$B$11*$B$14*$B$16*$B$19*$B$22*$B$25,0)</f>
        <v/>
      </c>
      <c r="F44" s="127">
        <f>ROUND($B$4*$B$11*$B$14*$B$16*$B$19*$B$23*$B$24,0)</f>
        <v/>
      </c>
      <c r="G44" s="127">
        <f>ROUND($B$4*$B$11*$B$14*$B$16*$B$19*$B$23*$B$25,0)</f>
        <v/>
      </c>
      <c r="H44" s="127">
        <f>ROUND($B$4*$B$11*$B$14*$B$16*$B$20*$B$22*$B$24,0)</f>
        <v/>
      </c>
      <c r="I44" s="127">
        <f>ROUND($B$4*$B$11*$B$14*$B$16*$B$20*$B$22*$B$25,0)</f>
        <v/>
      </c>
      <c r="J44" s="127">
        <f>ROUND($B$4*$B$11*$B$14*$B$16*$B$20*$B$23*$B$24,0)</f>
        <v/>
      </c>
      <c r="K44" s="127">
        <f>ROUND($B$4*$B$11*$B$14*$B$16*$B$20*$B$23*$B$25,0)</f>
        <v/>
      </c>
      <c r="L44" s="127">
        <f>ROUND($B$4*$B$11*$B$14*$B$16*$B$21*$B$22*$B$24,0)</f>
        <v/>
      </c>
      <c r="M44" s="127">
        <f>ROUND($B$4*$B$11*$B$14*$B$16*$B$21*$B$22*$B$25,0)</f>
        <v/>
      </c>
      <c r="N44" s="127">
        <f>ROUND($B$4*$B$11*$B$14*$B$16*$B$21*$B$23*$B$24,0)</f>
        <v/>
      </c>
      <c r="O44" s="127">
        <f>ROUND($B$4*$B$11*$B$14*$B$16*$B$21*$B$23*$B$25,0)</f>
        <v/>
      </c>
      <c r="P44" s="127">
        <f>ROUND($B$5*$B$11*$B$14*$B$16*$B$19*$B$22*$B$24,0)</f>
        <v/>
      </c>
      <c r="Q44" s="127">
        <f>ROUND($B$5*$B$11*$B$14*$B$16*$B$19*$B$22*$B$25,0)</f>
        <v/>
      </c>
      <c r="R44" s="127">
        <f>ROUND($B$5*$B$11*$B$14*$B$16*$B$19*$B$23*$B$24,0)</f>
        <v/>
      </c>
      <c r="S44" s="127">
        <f>ROUND($B$5*$B$11*$B$14*$B$16*$B$19*$B$23*$B$25,0)</f>
        <v/>
      </c>
      <c r="T44" s="127">
        <f>ROUND($B$5*$B$11*$B$14*$B$16*$B$20*$B$22*$B$24,0)</f>
        <v/>
      </c>
      <c r="U44" s="127">
        <f>ROUND($B$5*$B$11*$B$14*$B$16*$B$20*$B$22*$B$25,0)</f>
        <v/>
      </c>
      <c r="V44" s="127">
        <f>ROUND($B$5*$B$11*$B$14*$B$16*$B$20*$B$23*$B$24,0)</f>
        <v/>
      </c>
      <c r="W44" s="127">
        <f>ROUND($B$5*$B$11*$B$14*$B$16*$B$20*$B$23*$B$25,0)</f>
        <v/>
      </c>
      <c r="X44" s="127">
        <f>ROUND($B$5*$B$11*$B$14*$B$16*$B$21*$B$22*$B$24,0)</f>
        <v/>
      </c>
      <c r="Y44" s="127">
        <f>ROUND($B$5*$B$11*$B$14*$B$16*$B$21*$B$22*$B$25,0)</f>
        <v/>
      </c>
      <c r="Z44" s="127">
        <f>ROUND($B$5*$B$11*$B$14*$B$16*$B$21*$B$23*$B$24,0)</f>
        <v/>
      </c>
      <c r="AA44" s="127">
        <f>ROUND($B$5*$B$11*$B$14*$B$16*$B$21*$B$23*$B$25,0)</f>
        <v/>
      </c>
      <c r="AB44" s="127">
        <f>ROUND($B$6*$B$11*$B$14*$B$16*$B$19*$B$22*$B$24,0)</f>
        <v/>
      </c>
      <c r="AC44" s="127">
        <f>ROUND($B$6*$B$11*$B$14*$B$16*$B$19*$B$22*$B$25,0)</f>
        <v/>
      </c>
      <c r="AD44" s="127">
        <f>ROUND($B$6*$B$11*$B$14*$B$16*$B$19*$B$23*$B$24,0)</f>
        <v/>
      </c>
      <c r="AE44" s="127">
        <f>ROUND($B$6*$B$11*$B$14*$B$16*$B$19*$B$23*$B$25,0)</f>
        <v/>
      </c>
      <c r="AF44" s="127">
        <f>ROUND($B$6*$B$11*$B$14*$B$16*$B$20*$B$22*$B$24,0)</f>
        <v/>
      </c>
      <c r="AG44" s="127">
        <f>ROUND($B$6*$B$11*$B$14*$B$16*$B$20*$B$22*$B$25,0)</f>
        <v/>
      </c>
      <c r="AH44" s="127">
        <f>ROUND($B$6*$B$11*$B$14*$B$16*$B$20*$B$23*$B$24,0)</f>
        <v/>
      </c>
      <c r="AI44" s="127">
        <f>ROUND($B$6*$B$11*$B$14*$B$16*$B$20*$B$23*$B$25,0)</f>
        <v/>
      </c>
      <c r="AJ44" s="127">
        <f>ROUND($B$6*$B$11*$B$14*$B$16*$B$21*$B$22*$B$24,0)</f>
        <v/>
      </c>
      <c r="AK44" s="127">
        <f>ROUND($B$6*$B$11*$B$14*$B$16*$B$21*$B$22*$B$25,0)</f>
        <v/>
      </c>
      <c r="AL44" s="127">
        <f>ROUND($B$6*$B$11*$B$14*$B$16*$B$21*$B$23*$B$24,0)</f>
        <v/>
      </c>
      <c r="AM44" s="127">
        <f>ROUND($B$6*$B$11*$B$14*$B$16*$B$21*$B$23*$B$25,0)</f>
        <v/>
      </c>
      <c r="AN44" s="127">
        <f>ROUND($B$7*$B$11*$B$14*$B$16*$B$19*$B$22*$B$24,0)</f>
        <v/>
      </c>
      <c r="AO44" s="127">
        <f>ROUND($B$7*$B$11*$B$14*$B$16*$B$19*$B$22*$B$25,0)</f>
        <v/>
      </c>
      <c r="AP44" s="127">
        <f>ROUND($B$7*$B$11*$B$14*$B$16*$B$19*$B$23*$B$24,0)</f>
        <v/>
      </c>
      <c r="AQ44" s="127">
        <f>ROUND($B$7*$B$11*$B$14*$B$16*$B$19*$B$23*$B$25,0)</f>
        <v/>
      </c>
      <c r="AR44" s="127">
        <f>ROUND($B$7*$B$11*$B$14*$B$16*$B$20*$B$22*$B$24,0)</f>
        <v/>
      </c>
      <c r="AS44" s="127">
        <f>ROUND($B$7*$B$11*$B$14*$B$16*$B$20*$B$22*$B$25,0)</f>
        <v/>
      </c>
      <c r="AT44" s="127">
        <f>ROUND($B$7*$B$11*$B$14*$B$16*$B$20*$B$23*$B$24,0)</f>
        <v/>
      </c>
      <c r="AU44" s="127">
        <f>ROUND($B$7*$B$11*$B$14*$B$16*$B$20*$B$23*$B$25,0)</f>
        <v/>
      </c>
      <c r="AV44" s="127">
        <f>ROUND($B$7*$B$11*$B$14*$B$16*$B$21*$B$22*$B$24,0)</f>
        <v/>
      </c>
      <c r="AW44" s="127">
        <f>ROUND($B$7*$B$11*$B$14*$B$16*$B$21*$B$22*$B$25,0)</f>
        <v/>
      </c>
      <c r="AX44" s="127">
        <f>ROUND($B$7*$B$11*$B$14*$B$16*$B$21*$B$23*$B$24,0)</f>
        <v/>
      </c>
      <c r="AY44" s="127">
        <f>ROUND($B$7*$B$11*$B$14*$B$16*$B$21*$B$23*$B$25,0)</f>
        <v/>
      </c>
      <c r="AZ44" s="128">
        <f>ROUND($B$8*$B$11*$B$14*$B$16*$B$19*$B$22*$B$24,0)</f>
        <v/>
      </c>
      <c r="BA44" s="128">
        <f>ROUND($B$8*$B$11*$B$14*$B$16*$B$19*$B$22*$B$25,0)</f>
        <v/>
      </c>
      <c r="BB44" s="128">
        <f>ROUND($B$8*$B$11*$B$14*$B$16*$B$19*$B$23*$B$24,0)</f>
        <v/>
      </c>
      <c r="BC44" s="128">
        <f>ROUND($B$8*$B$11*$B$14*$B$16*$B$19*$B$23*$B$25,0)</f>
        <v/>
      </c>
      <c r="BD44" s="128">
        <f>ROUND($B$8*$B$11*$B$14*$B$16*$B$20*$B$22*$B$24,0)</f>
        <v/>
      </c>
      <c r="BE44" s="128">
        <f>ROUND($B$8*$B$11*$B$14*$B$16*$B$20*$B$22*$B$25,0)</f>
        <v/>
      </c>
      <c r="BF44" s="128">
        <f>ROUND($B$8*$B$11*$B$14*$B$16*$B$20*$B$23*$B$24,0)</f>
        <v/>
      </c>
      <c r="BG44" s="128">
        <f>ROUND($B$8*$B$11*$B$14*$B$16*$B$20*$B$23*$B$25,0)</f>
        <v/>
      </c>
      <c r="BH44" s="128">
        <f>ROUND($B$8*$B$11*$B$14*$B$16*$B$21*$B$22*$B$24,0)</f>
        <v/>
      </c>
      <c r="BI44" s="128">
        <f>ROUND($B$8*$B$11*$B$14*$B$16*$B$21*$B$22*$B$25,0)</f>
        <v/>
      </c>
      <c r="BJ44" s="128">
        <f>ROUND($B$8*$B$11*$B$14*$B$16*$B$21*$B$23*$B$24,0)</f>
        <v/>
      </c>
      <c r="BK44" s="128">
        <f>ROUND($B$8*$B$11*$B$14*$B$16*$B$21*$B$23*$B$25,0)</f>
        <v/>
      </c>
    </row>
    <row r="45" ht="20" customHeight="1" s="62">
      <c r="C45" s="125" t="inlineStr">
        <is>
          <t>3-5 cas d'usage IA</t>
        </is>
      </c>
      <c r="D45" s="127">
        <f>ROUND($B$4*$B$11*$B$14*$B$17*$B$19*$B$22*$B$24,0)</f>
        <v/>
      </c>
      <c r="E45" s="127">
        <f>ROUND($B$4*$B$11*$B$14*$B$17*$B$19*$B$22*$B$25,0)</f>
        <v/>
      </c>
      <c r="F45" s="127">
        <f>ROUND($B$4*$B$11*$B$14*$B$17*$B$19*$B$23*$B$24,0)</f>
        <v/>
      </c>
      <c r="G45" s="127">
        <f>ROUND($B$4*$B$11*$B$14*$B$17*$B$19*$B$23*$B$25,0)</f>
        <v/>
      </c>
      <c r="H45" s="127">
        <f>ROUND($B$4*$B$11*$B$14*$B$17*$B$20*$B$22*$B$24,0)</f>
        <v/>
      </c>
      <c r="I45" s="127">
        <f>ROUND($B$4*$B$11*$B$14*$B$17*$B$20*$B$22*$B$25,0)</f>
        <v/>
      </c>
      <c r="J45" s="127">
        <f>ROUND($B$4*$B$11*$B$14*$B$17*$B$20*$B$23*$B$24,0)</f>
        <v/>
      </c>
      <c r="K45" s="127">
        <f>ROUND($B$4*$B$11*$B$14*$B$17*$B$20*$B$23*$B$25,0)</f>
        <v/>
      </c>
      <c r="L45" s="127">
        <f>ROUND($B$4*$B$11*$B$14*$B$17*$B$21*$B$22*$B$24,0)</f>
        <v/>
      </c>
      <c r="M45" s="127">
        <f>ROUND($B$4*$B$11*$B$14*$B$17*$B$21*$B$22*$B$25,0)</f>
        <v/>
      </c>
      <c r="N45" s="127">
        <f>ROUND($B$4*$B$11*$B$14*$B$17*$B$21*$B$23*$B$24,0)</f>
        <v/>
      </c>
      <c r="O45" s="127">
        <f>ROUND($B$4*$B$11*$B$14*$B$17*$B$21*$B$23*$B$25,0)</f>
        <v/>
      </c>
      <c r="P45" s="127">
        <f>ROUND($B$5*$B$11*$B$14*$B$17*$B$19*$B$22*$B$24,0)</f>
        <v/>
      </c>
      <c r="Q45" s="127">
        <f>ROUND($B$5*$B$11*$B$14*$B$17*$B$19*$B$22*$B$25,0)</f>
        <v/>
      </c>
      <c r="R45" s="127">
        <f>ROUND($B$5*$B$11*$B$14*$B$17*$B$19*$B$23*$B$24,0)</f>
        <v/>
      </c>
      <c r="S45" s="127">
        <f>ROUND($B$5*$B$11*$B$14*$B$17*$B$19*$B$23*$B$25,0)</f>
        <v/>
      </c>
      <c r="T45" s="127">
        <f>ROUND($B$5*$B$11*$B$14*$B$17*$B$20*$B$22*$B$24,0)</f>
        <v/>
      </c>
      <c r="U45" s="127">
        <f>ROUND($B$5*$B$11*$B$14*$B$17*$B$20*$B$22*$B$25,0)</f>
        <v/>
      </c>
      <c r="V45" s="127">
        <f>ROUND($B$5*$B$11*$B$14*$B$17*$B$20*$B$23*$B$24,0)</f>
        <v/>
      </c>
      <c r="W45" s="127">
        <f>ROUND($B$5*$B$11*$B$14*$B$17*$B$20*$B$23*$B$25,0)</f>
        <v/>
      </c>
      <c r="X45" s="127">
        <f>ROUND($B$5*$B$11*$B$14*$B$17*$B$21*$B$22*$B$24,0)</f>
        <v/>
      </c>
      <c r="Y45" s="127">
        <f>ROUND($B$5*$B$11*$B$14*$B$17*$B$21*$B$22*$B$25,0)</f>
        <v/>
      </c>
      <c r="Z45" s="127">
        <f>ROUND($B$5*$B$11*$B$14*$B$17*$B$21*$B$23*$B$24,0)</f>
        <v/>
      </c>
      <c r="AA45" s="127">
        <f>ROUND($B$5*$B$11*$B$14*$B$17*$B$21*$B$23*$B$25,0)</f>
        <v/>
      </c>
      <c r="AB45" s="127">
        <f>ROUND($B$6*$B$11*$B$14*$B$17*$B$19*$B$22*$B$24,0)</f>
        <v/>
      </c>
      <c r="AC45" s="127">
        <f>ROUND($B$6*$B$11*$B$14*$B$17*$B$19*$B$22*$B$25,0)</f>
        <v/>
      </c>
      <c r="AD45" s="127">
        <f>ROUND($B$6*$B$11*$B$14*$B$17*$B$19*$B$23*$B$24,0)</f>
        <v/>
      </c>
      <c r="AE45" s="127">
        <f>ROUND($B$6*$B$11*$B$14*$B$17*$B$19*$B$23*$B$25,0)</f>
        <v/>
      </c>
      <c r="AF45" s="127">
        <f>ROUND($B$6*$B$11*$B$14*$B$17*$B$20*$B$22*$B$24,0)</f>
        <v/>
      </c>
      <c r="AG45" s="127">
        <f>ROUND($B$6*$B$11*$B$14*$B$17*$B$20*$B$22*$B$25,0)</f>
        <v/>
      </c>
      <c r="AH45" s="127">
        <f>ROUND($B$6*$B$11*$B$14*$B$17*$B$20*$B$23*$B$24,0)</f>
        <v/>
      </c>
      <c r="AI45" s="127">
        <f>ROUND($B$6*$B$11*$B$14*$B$17*$B$20*$B$23*$B$25,0)</f>
        <v/>
      </c>
      <c r="AJ45" s="127">
        <f>ROUND($B$6*$B$11*$B$14*$B$17*$B$21*$B$22*$B$24,0)</f>
        <v/>
      </c>
      <c r="AK45" s="127">
        <f>ROUND($B$6*$B$11*$B$14*$B$17*$B$21*$B$22*$B$25,0)</f>
        <v/>
      </c>
      <c r="AL45" s="127">
        <f>ROUND($B$6*$B$11*$B$14*$B$17*$B$21*$B$23*$B$24,0)</f>
        <v/>
      </c>
      <c r="AM45" s="127">
        <f>ROUND($B$6*$B$11*$B$14*$B$17*$B$21*$B$23*$B$25,0)</f>
        <v/>
      </c>
      <c r="AN45" s="127">
        <f>ROUND($B$7*$B$11*$B$14*$B$17*$B$19*$B$22*$B$24,0)</f>
        <v/>
      </c>
      <c r="AO45" s="127">
        <f>ROUND($B$7*$B$11*$B$14*$B$17*$B$19*$B$22*$B$25,0)</f>
        <v/>
      </c>
      <c r="AP45" s="127">
        <f>ROUND($B$7*$B$11*$B$14*$B$17*$B$19*$B$23*$B$24,0)</f>
        <v/>
      </c>
      <c r="AQ45" s="127">
        <f>ROUND($B$7*$B$11*$B$14*$B$17*$B$19*$B$23*$B$25,0)</f>
        <v/>
      </c>
      <c r="AR45" s="127">
        <f>ROUND($B$7*$B$11*$B$14*$B$17*$B$20*$B$22*$B$24,0)</f>
        <v/>
      </c>
      <c r="AS45" s="127">
        <f>ROUND($B$7*$B$11*$B$14*$B$17*$B$20*$B$22*$B$25,0)</f>
        <v/>
      </c>
      <c r="AT45" s="127">
        <f>ROUND($B$7*$B$11*$B$14*$B$17*$B$20*$B$23*$B$24,0)</f>
        <v/>
      </c>
      <c r="AU45" s="127">
        <f>ROUND($B$7*$B$11*$B$14*$B$17*$B$20*$B$23*$B$25,0)</f>
        <v/>
      </c>
      <c r="AV45" s="127">
        <f>ROUND($B$7*$B$11*$B$14*$B$17*$B$21*$B$22*$B$24,0)</f>
        <v/>
      </c>
      <c r="AW45" s="127">
        <f>ROUND($B$7*$B$11*$B$14*$B$17*$B$21*$B$22*$B$25,0)</f>
        <v/>
      </c>
      <c r="AX45" s="127">
        <f>ROUND($B$7*$B$11*$B$14*$B$17*$B$21*$B$23*$B$24,0)</f>
        <v/>
      </c>
      <c r="AY45" s="127">
        <f>ROUND($B$7*$B$11*$B$14*$B$17*$B$21*$B$23*$B$25,0)</f>
        <v/>
      </c>
      <c r="AZ45" s="128">
        <f>ROUND($B$8*$B$11*$B$14*$B$17*$B$19*$B$22*$B$24,0)</f>
        <v/>
      </c>
      <c r="BA45" s="128">
        <f>ROUND($B$8*$B$11*$B$14*$B$17*$B$19*$B$22*$B$25,0)</f>
        <v/>
      </c>
      <c r="BB45" s="128">
        <f>ROUND($B$8*$B$11*$B$14*$B$17*$B$19*$B$23*$B$24,0)</f>
        <v/>
      </c>
      <c r="BC45" s="128">
        <f>ROUND($B$8*$B$11*$B$14*$B$17*$B$19*$B$23*$B$25,0)</f>
        <v/>
      </c>
      <c r="BD45" s="128">
        <f>ROUND($B$8*$B$11*$B$14*$B$17*$B$20*$B$22*$B$24,0)</f>
        <v/>
      </c>
      <c r="BE45" s="128">
        <f>ROUND($B$8*$B$11*$B$14*$B$17*$B$20*$B$22*$B$25,0)</f>
        <v/>
      </c>
      <c r="BF45" s="128">
        <f>ROUND($B$8*$B$11*$B$14*$B$17*$B$20*$B$23*$B$24,0)</f>
        <v/>
      </c>
      <c r="BG45" s="128">
        <f>ROUND($B$8*$B$11*$B$14*$B$17*$B$20*$B$23*$B$25,0)</f>
        <v/>
      </c>
      <c r="BH45" s="128">
        <f>ROUND($B$8*$B$11*$B$14*$B$17*$B$21*$B$22*$B$24,0)</f>
        <v/>
      </c>
      <c r="BI45" s="128">
        <f>ROUND($B$8*$B$11*$B$14*$B$17*$B$21*$B$22*$B$25,0)</f>
        <v/>
      </c>
      <c r="BJ45" s="128">
        <f>ROUND($B$8*$B$11*$B$14*$B$17*$B$21*$B$23*$B$24,0)</f>
        <v/>
      </c>
      <c r="BK45" s="128">
        <f>ROUND($B$8*$B$11*$B$14*$B$17*$B$21*$B$23*$B$25,0)</f>
        <v/>
      </c>
    </row>
    <row r="46" ht="20" customHeight="1" s="62">
      <c r="C46" s="129" t="inlineStr">
        <is>
          <t>6+ cas d'usage IA</t>
        </is>
      </c>
      <c r="D46" s="127">
        <f>ROUND($B$4*$B$11*$B$14*$B$18*$B$19*$B$22*$B$24,0)</f>
        <v/>
      </c>
      <c r="E46" s="127">
        <f>ROUND($B$4*$B$11*$B$14*$B$18*$B$19*$B$22*$B$25,0)</f>
        <v/>
      </c>
      <c r="F46" s="127">
        <f>ROUND($B$4*$B$11*$B$14*$B$18*$B$19*$B$23*$B$24,0)</f>
        <v/>
      </c>
      <c r="G46" s="127">
        <f>ROUND($B$4*$B$11*$B$14*$B$18*$B$19*$B$23*$B$25,0)</f>
        <v/>
      </c>
      <c r="H46" s="127">
        <f>ROUND($B$4*$B$11*$B$14*$B$18*$B$20*$B$22*$B$24,0)</f>
        <v/>
      </c>
      <c r="I46" s="127">
        <f>ROUND($B$4*$B$11*$B$14*$B$18*$B$20*$B$22*$B$25,0)</f>
        <v/>
      </c>
      <c r="J46" s="127">
        <f>ROUND($B$4*$B$11*$B$14*$B$18*$B$20*$B$23*$B$24,0)</f>
        <v/>
      </c>
      <c r="K46" s="127">
        <f>ROUND($B$4*$B$11*$B$14*$B$18*$B$20*$B$23*$B$25,0)</f>
        <v/>
      </c>
      <c r="L46" s="127">
        <f>ROUND($B$4*$B$11*$B$14*$B$18*$B$21*$B$22*$B$24,0)</f>
        <v/>
      </c>
      <c r="M46" s="127">
        <f>ROUND($B$4*$B$11*$B$14*$B$18*$B$21*$B$22*$B$25,0)</f>
        <v/>
      </c>
      <c r="N46" s="127">
        <f>ROUND($B$4*$B$11*$B$14*$B$18*$B$21*$B$23*$B$24,0)</f>
        <v/>
      </c>
      <c r="O46" s="127">
        <f>ROUND($B$4*$B$11*$B$14*$B$18*$B$21*$B$23*$B$25,0)</f>
        <v/>
      </c>
      <c r="P46" s="127">
        <f>ROUND($B$5*$B$11*$B$14*$B$18*$B$19*$B$22*$B$24,0)</f>
        <v/>
      </c>
      <c r="Q46" s="127">
        <f>ROUND($B$5*$B$11*$B$14*$B$18*$B$19*$B$22*$B$25,0)</f>
        <v/>
      </c>
      <c r="R46" s="127">
        <f>ROUND($B$5*$B$11*$B$14*$B$18*$B$19*$B$23*$B$24,0)</f>
        <v/>
      </c>
      <c r="S46" s="127">
        <f>ROUND($B$5*$B$11*$B$14*$B$18*$B$19*$B$23*$B$25,0)</f>
        <v/>
      </c>
      <c r="T46" s="127">
        <f>ROUND($B$5*$B$11*$B$14*$B$18*$B$20*$B$22*$B$24,0)</f>
        <v/>
      </c>
      <c r="U46" s="127">
        <f>ROUND($B$5*$B$11*$B$14*$B$18*$B$20*$B$22*$B$25,0)</f>
        <v/>
      </c>
      <c r="V46" s="127">
        <f>ROUND($B$5*$B$11*$B$14*$B$18*$B$20*$B$23*$B$24,0)</f>
        <v/>
      </c>
      <c r="W46" s="127">
        <f>ROUND($B$5*$B$11*$B$14*$B$18*$B$20*$B$23*$B$25,0)</f>
        <v/>
      </c>
      <c r="X46" s="127">
        <f>ROUND($B$5*$B$11*$B$14*$B$18*$B$21*$B$22*$B$24,0)</f>
        <v/>
      </c>
      <c r="Y46" s="127">
        <f>ROUND($B$5*$B$11*$B$14*$B$18*$B$21*$B$22*$B$25,0)</f>
        <v/>
      </c>
      <c r="Z46" s="127">
        <f>ROUND($B$5*$B$11*$B$14*$B$18*$B$21*$B$23*$B$24,0)</f>
        <v/>
      </c>
      <c r="AA46" s="127">
        <f>ROUND($B$5*$B$11*$B$14*$B$18*$B$21*$B$23*$B$25,0)</f>
        <v/>
      </c>
      <c r="AB46" s="127">
        <f>ROUND($B$6*$B$11*$B$14*$B$18*$B$19*$B$22*$B$24,0)</f>
        <v/>
      </c>
      <c r="AC46" s="127">
        <f>ROUND($B$6*$B$11*$B$14*$B$18*$B$19*$B$22*$B$25,0)</f>
        <v/>
      </c>
      <c r="AD46" s="127">
        <f>ROUND($B$6*$B$11*$B$14*$B$18*$B$19*$B$23*$B$24,0)</f>
        <v/>
      </c>
      <c r="AE46" s="127">
        <f>ROUND($B$6*$B$11*$B$14*$B$18*$B$19*$B$23*$B$25,0)</f>
        <v/>
      </c>
      <c r="AF46" s="127">
        <f>ROUND($B$6*$B$11*$B$14*$B$18*$B$20*$B$22*$B$24,0)</f>
        <v/>
      </c>
      <c r="AG46" s="127">
        <f>ROUND($B$6*$B$11*$B$14*$B$18*$B$20*$B$22*$B$25,0)</f>
        <v/>
      </c>
      <c r="AH46" s="127">
        <f>ROUND($B$6*$B$11*$B$14*$B$18*$B$20*$B$23*$B$24,0)</f>
        <v/>
      </c>
      <c r="AI46" s="127">
        <f>ROUND($B$6*$B$11*$B$14*$B$18*$B$20*$B$23*$B$25,0)</f>
        <v/>
      </c>
      <c r="AJ46" s="127">
        <f>ROUND($B$6*$B$11*$B$14*$B$18*$B$21*$B$22*$B$24,0)</f>
        <v/>
      </c>
      <c r="AK46" s="127">
        <f>ROUND($B$6*$B$11*$B$14*$B$18*$B$21*$B$22*$B$25,0)</f>
        <v/>
      </c>
      <c r="AL46" s="127">
        <f>ROUND($B$6*$B$11*$B$14*$B$18*$B$21*$B$23*$B$24,0)</f>
        <v/>
      </c>
      <c r="AM46" s="127">
        <f>ROUND($B$6*$B$11*$B$14*$B$18*$B$21*$B$23*$B$25,0)</f>
        <v/>
      </c>
      <c r="AN46" s="127">
        <f>ROUND($B$7*$B$11*$B$14*$B$18*$B$19*$B$22*$B$24,0)</f>
        <v/>
      </c>
      <c r="AO46" s="127">
        <f>ROUND($B$7*$B$11*$B$14*$B$18*$B$19*$B$22*$B$25,0)</f>
        <v/>
      </c>
      <c r="AP46" s="127">
        <f>ROUND($B$7*$B$11*$B$14*$B$18*$B$19*$B$23*$B$24,0)</f>
        <v/>
      </c>
      <c r="AQ46" s="127">
        <f>ROUND($B$7*$B$11*$B$14*$B$18*$B$19*$B$23*$B$25,0)</f>
        <v/>
      </c>
      <c r="AR46" s="127">
        <f>ROUND($B$7*$B$11*$B$14*$B$18*$B$20*$B$22*$B$24,0)</f>
        <v/>
      </c>
      <c r="AS46" s="127">
        <f>ROUND($B$7*$B$11*$B$14*$B$18*$B$20*$B$22*$B$25,0)</f>
        <v/>
      </c>
      <c r="AT46" s="127">
        <f>ROUND($B$7*$B$11*$B$14*$B$18*$B$20*$B$23*$B$24,0)</f>
        <v/>
      </c>
      <c r="AU46" s="127">
        <f>ROUND($B$7*$B$11*$B$14*$B$18*$B$20*$B$23*$B$25,0)</f>
        <v/>
      </c>
      <c r="AV46" s="127">
        <f>ROUND($B$7*$B$11*$B$14*$B$18*$B$21*$B$22*$B$24,0)</f>
        <v/>
      </c>
      <c r="AW46" s="127">
        <f>ROUND($B$7*$B$11*$B$14*$B$18*$B$21*$B$22*$B$25,0)</f>
        <v/>
      </c>
      <c r="AX46" s="127">
        <f>ROUND($B$7*$B$11*$B$14*$B$18*$B$21*$B$23*$B$24,0)</f>
        <v/>
      </c>
      <c r="AY46" s="127">
        <f>ROUND($B$7*$B$11*$B$14*$B$18*$B$21*$B$23*$B$25,0)</f>
        <v/>
      </c>
      <c r="AZ46" s="128">
        <f>ROUND($B$8*$B$11*$B$14*$B$18*$B$19*$B$22*$B$24,0)</f>
        <v/>
      </c>
      <c r="BA46" s="128">
        <f>ROUND($B$8*$B$11*$B$14*$B$18*$B$19*$B$22*$B$25,0)</f>
        <v/>
      </c>
      <c r="BB46" s="128">
        <f>ROUND($B$8*$B$11*$B$14*$B$18*$B$19*$B$23*$B$24,0)</f>
        <v/>
      </c>
      <c r="BC46" s="128">
        <f>ROUND($B$8*$B$11*$B$14*$B$18*$B$19*$B$23*$B$25,0)</f>
        <v/>
      </c>
      <c r="BD46" s="128">
        <f>ROUND($B$8*$B$11*$B$14*$B$18*$B$20*$B$22*$B$24,0)</f>
        <v/>
      </c>
      <c r="BE46" s="128">
        <f>ROUND($B$8*$B$11*$B$14*$B$18*$B$20*$B$22*$B$25,0)</f>
        <v/>
      </c>
      <c r="BF46" s="128">
        <f>ROUND($B$8*$B$11*$B$14*$B$18*$B$20*$B$23*$B$24,0)</f>
        <v/>
      </c>
      <c r="BG46" s="128">
        <f>ROUND($B$8*$B$11*$B$14*$B$18*$B$20*$B$23*$B$25,0)</f>
        <v/>
      </c>
      <c r="BH46" s="128">
        <f>ROUND($B$8*$B$11*$B$14*$B$18*$B$21*$B$22*$B$24,0)</f>
        <v/>
      </c>
      <c r="BI46" s="128">
        <f>ROUND($B$8*$B$11*$B$14*$B$18*$B$21*$B$22*$B$25,0)</f>
        <v/>
      </c>
      <c r="BJ46" s="128">
        <f>ROUND($B$8*$B$11*$B$14*$B$18*$B$21*$B$23*$B$24,0)</f>
        <v/>
      </c>
      <c r="BK46" s="128">
        <f>ROUND($B$8*$B$11*$B$14*$B$18*$B$21*$B$23*$B$25,0)</f>
        <v/>
      </c>
    </row>
    <row r="47" ht="20" customHeight="1" s="62">
      <c r="B47" s="125" t="inlineStr">
        <is>
          <t>Maturité digitale avancée</t>
        </is>
      </c>
      <c r="C47" s="126" t="inlineStr">
        <is>
          <t>1-2 cas d'usage IA</t>
        </is>
      </c>
      <c r="D47" s="127">
        <f>ROUND($B$4*$B$11*$B$15*$B$16*$B$19*$B$22*$B$24,0)</f>
        <v/>
      </c>
      <c r="E47" s="127">
        <f>ROUND($B$4*$B$11*$B$15*$B$16*$B$19*$B$22*$B$25,0)</f>
        <v/>
      </c>
      <c r="F47" s="127">
        <f>ROUND($B$4*$B$11*$B$15*$B$16*$B$19*$B$23*$B$24,0)</f>
        <v/>
      </c>
      <c r="G47" s="127">
        <f>ROUND($B$4*$B$11*$B$15*$B$16*$B$19*$B$23*$B$25,0)</f>
        <v/>
      </c>
      <c r="H47" s="127">
        <f>ROUND($B$4*$B$11*$B$15*$B$16*$B$20*$B$22*$B$24,0)</f>
        <v/>
      </c>
      <c r="I47" s="127">
        <f>ROUND($B$4*$B$11*$B$15*$B$16*$B$20*$B$22*$B$25,0)</f>
        <v/>
      </c>
      <c r="J47" s="127">
        <f>ROUND($B$4*$B$11*$B$15*$B$16*$B$20*$B$23*$B$24,0)</f>
        <v/>
      </c>
      <c r="K47" s="127">
        <f>ROUND($B$4*$B$11*$B$15*$B$16*$B$20*$B$23*$B$25,0)</f>
        <v/>
      </c>
      <c r="L47" s="127">
        <f>ROUND($B$4*$B$11*$B$15*$B$16*$B$21*$B$22*$B$24,0)</f>
        <v/>
      </c>
      <c r="M47" s="127">
        <f>ROUND($B$4*$B$11*$B$15*$B$16*$B$21*$B$22*$B$25,0)</f>
        <v/>
      </c>
      <c r="N47" s="127">
        <f>ROUND($B$4*$B$11*$B$15*$B$16*$B$21*$B$23*$B$24,0)</f>
        <v/>
      </c>
      <c r="O47" s="127">
        <f>ROUND($B$4*$B$11*$B$15*$B$16*$B$21*$B$23*$B$25,0)</f>
        <v/>
      </c>
      <c r="P47" s="127">
        <f>ROUND($B$5*$B$11*$B$15*$B$16*$B$19*$B$22*$B$24,0)</f>
        <v/>
      </c>
      <c r="Q47" s="127">
        <f>ROUND($B$5*$B$11*$B$15*$B$16*$B$19*$B$22*$B$25,0)</f>
        <v/>
      </c>
      <c r="R47" s="127">
        <f>ROUND($B$5*$B$11*$B$15*$B$16*$B$19*$B$23*$B$24,0)</f>
        <v/>
      </c>
      <c r="S47" s="127">
        <f>ROUND($B$5*$B$11*$B$15*$B$16*$B$19*$B$23*$B$25,0)</f>
        <v/>
      </c>
      <c r="T47" s="127">
        <f>ROUND($B$5*$B$11*$B$15*$B$16*$B$20*$B$22*$B$24,0)</f>
        <v/>
      </c>
      <c r="U47" s="127">
        <f>ROUND($B$5*$B$11*$B$15*$B$16*$B$20*$B$22*$B$25,0)</f>
        <v/>
      </c>
      <c r="V47" s="127">
        <f>ROUND($B$5*$B$11*$B$15*$B$16*$B$20*$B$23*$B$24,0)</f>
        <v/>
      </c>
      <c r="W47" s="127">
        <f>ROUND($B$5*$B$11*$B$15*$B$16*$B$20*$B$23*$B$25,0)</f>
        <v/>
      </c>
      <c r="X47" s="127">
        <f>ROUND($B$5*$B$11*$B$15*$B$16*$B$21*$B$22*$B$24,0)</f>
        <v/>
      </c>
      <c r="Y47" s="127">
        <f>ROUND($B$5*$B$11*$B$15*$B$16*$B$21*$B$22*$B$25,0)</f>
        <v/>
      </c>
      <c r="Z47" s="127">
        <f>ROUND($B$5*$B$11*$B$15*$B$16*$B$21*$B$23*$B$24,0)</f>
        <v/>
      </c>
      <c r="AA47" s="127">
        <f>ROUND($B$5*$B$11*$B$15*$B$16*$B$21*$B$23*$B$25,0)</f>
        <v/>
      </c>
      <c r="AB47" s="127">
        <f>ROUND($B$6*$B$11*$B$15*$B$16*$B$19*$B$22*$B$24,0)</f>
        <v/>
      </c>
      <c r="AC47" s="127">
        <f>ROUND($B$6*$B$11*$B$15*$B$16*$B$19*$B$22*$B$25,0)</f>
        <v/>
      </c>
      <c r="AD47" s="127">
        <f>ROUND($B$6*$B$11*$B$15*$B$16*$B$19*$B$23*$B$24,0)</f>
        <v/>
      </c>
      <c r="AE47" s="127">
        <f>ROUND($B$6*$B$11*$B$15*$B$16*$B$19*$B$23*$B$25,0)</f>
        <v/>
      </c>
      <c r="AF47" s="127">
        <f>ROUND($B$6*$B$11*$B$15*$B$16*$B$20*$B$22*$B$24,0)</f>
        <v/>
      </c>
      <c r="AG47" s="127">
        <f>ROUND($B$6*$B$11*$B$15*$B$16*$B$20*$B$22*$B$25,0)</f>
        <v/>
      </c>
      <c r="AH47" s="127">
        <f>ROUND($B$6*$B$11*$B$15*$B$16*$B$20*$B$23*$B$24,0)</f>
        <v/>
      </c>
      <c r="AI47" s="127">
        <f>ROUND($B$6*$B$11*$B$15*$B$16*$B$20*$B$23*$B$25,0)</f>
        <v/>
      </c>
      <c r="AJ47" s="127">
        <f>ROUND($B$6*$B$11*$B$15*$B$16*$B$21*$B$22*$B$24,0)</f>
        <v/>
      </c>
      <c r="AK47" s="127">
        <f>ROUND($B$6*$B$11*$B$15*$B$16*$B$21*$B$22*$B$25,0)</f>
        <v/>
      </c>
      <c r="AL47" s="127">
        <f>ROUND($B$6*$B$11*$B$15*$B$16*$B$21*$B$23*$B$24,0)</f>
        <v/>
      </c>
      <c r="AM47" s="127">
        <f>ROUND($B$6*$B$11*$B$15*$B$16*$B$21*$B$23*$B$25,0)</f>
        <v/>
      </c>
      <c r="AN47" s="127">
        <f>ROUND($B$7*$B$11*$B$15*$B$16*$B$19*$B$22*$B$24,0)</f>
        <v/>
      </c>
      <c r="AO47" s="127">
        <f>ROUND($B$7*$B$11*$B$15*$B$16*$B$19*$B$22*$B$25,0)</f>
        <v/>
      </c>
      <c r="AP47" s="127">
        <f>ROUND($B$7*$B$11*$B$15*$B$16*$B$19*$B$23*$B$24,0)</f>
        <v/>
      </c>
      <c r="AQ47" s="127">
        <f>ROUND($B$7*$B$11*$B$15*$B$16*$B$19*$B$23*$B$25,0)</f>
        <v/>
      </c>
      <c r="AR47" s="127">
        <f>ROUND($B$7*$B$11*$B$15*$B$16*$B$20*$B$22*$B$24,0)</f>
        <v/>
      </c>
      <c r="AS47" s="127">
        <f>ROUND($B$7*$B$11*$B$15*$B$16*$B$20*$B$22*$B$25,0)</f>
        <v/>
      </c>
      <c r="AT47" s="127">
        <f>ROUND($B$7*$B$11*$B$15*$B$16*$B$20*$B$23*$B$24,0)</f>
        <v/>
      </c>
      <c r="AU47" s="127">
        <f>ROUND($B$7*$B$11*$B$15*$B$16*$B$20*$B$23*$B$25,0)</f>
        <v/>
      </c>
      <c r="AV47" s="127">
        <f>ROUND($B$7*$B$11*$B$15*$B$16*$B$21*$B$22*$B$24,0)</f>
        <v/>
      </c>
      <c r="AW47" s="127">
        <f>ROUND($B$7*$B$11*$B$15*$B$16*$B$21*$B$22*$B$25,0)</f>
        <v/>
      </c>
      <c r="AX47" s="127">
        <f>ROUND($B$7*$B$11*$B$15*$B$16*$B$21*$B$23*$B$24,0)</f>
        <v/>
      </c>
      <c r="AY47" s="127">
        <f>ROUND($B$7*$B$11*$B$15*$B$16*$B$21*$B$23*$B$25,0)</f>
        <v/>
      </c>
      <c r="AZ47" s="128">
        <f>ROUND($B$8*$B$11*$B$15*$B$16*$B$19*$B$22*$B$24,0)</f>
        <v/>
      </c>
      <c r="BA47" s="128">
        <f>ROUND($B$8*$B$11*$B$15*$B$16*$B$19*$B$22*$B$25,0)</f>
        <v/>
      </c>
      <c r="BB47" s="128">
        <f>ROUND($B$8*$B$11*$B$15*$B$16*$B$19*$B$23*$B$24,0)</f>
        <v/>
      </c>
      <c r="BC47" s="128">
        <f>ROUND($B$8*$B$11*$B$15*$B$16*$B$19*$B$23*$B$25,0)</f>
        <v/>
      </c>
      <c r="BD47" s="128">
        <f>ROUND($B$8*$B$11*$B$15*$B$16*$B$20*$B$22*$B$24,0)</f>
        <v/>
      </c>
      <c r="BE47" s="128">
        <f>ROUND($B$8*$B$11*$B$15*$B$16*$B$20*$B$22*$B$25,0)</f>
        <v/>
      </c>
      <c r="BF47" s="128">
        <f>ROUND($B$8*$B$11*$B$15*$B$16*$B$20*$B$23*$B$24,0)</f>
        <v/>
      </c>
      <c r="BG47" s="128">
        <f>ROUND($B$8*$B$11*$B$15*$B$16*$B$20*$B$23*$B$25,0)</f>
        <v/>
      </c>
      <c r="BH47" s="128">
        <f>ROUND($B$8*$B$11*$B$15*$B$16*$B$21*$B$22*$B$24,0)</f>
        <v/>
      </c>
      <c r="BI47" s="128">
        <f>ROUND($B$8*$B$11*$B$15*$B$16*$B$21*$B$22*$B$25,0)</f>
        <v/>
      </c>
      <c r="BJ47" s="128">
        <f>ROUND($B$8*$B$11*$B$15*$B$16*$B$21*$B$23*$B$24,0)</f>
        <v/>
      </c>
      <c r="BK47" s="128">
        <f>ROUND($B$8*$B$11*$B$15*$B$16*$B$21*$B$23*$B$25,0)</f>
        <v/>
      </c>
    </row>
    <row r="48" ht="20" customHeight="1" s="62">
      <c r="C48" s="125" t="inlineStr">
        <is>
          <t>3-5 cas d'usage IA</t>
        </is>
      </c>
      <c r="D48" s="127">
        <f>ROUND($B$4*$B$11*$B$15*$B$17*$B$19*$B$22*$B$24,0)</f>
        <v/>
      </c>
      <c r="E48" s="127">
        <f>ROUND($B$4*$B$11*$B$15*$B$17*$B$19*$B$22*$B$25,0)</f>
        <v/>
      </c>
      <c r="F48" s="127">
        <f>ROUND($B$4*$B$11*$B$15*$B$17*$B$19*$B$23*$B$24,0)</f>
        <v/>
      </c>
      <c r="G48" s="127">
        <f>ROUND($B$4*$B$11*$B$15*$B$17*$B$19*$B$23*$B$25,0)</f>
        <v/>
      </c>
      <c r="H48" s="127">
        <f>ROUND($B$4*$B$11*$B$15*$B$17*$B$20*$B$22*$B$24,0)</f>
        <v/>
      </c>
      <c r="I48" s="127">
        <f>ROUND($B$4*$B$11*$B$15*$B$17*$B$20*$B$22*$B$25,0)</f>
        <v/>
      </c>
      <c r="J48" s="127">
        <f>ROUND($B$4*$B$11*$B$15*$B$17*$B$20*$B$23*$B$24,0)</f>
        <v/>
      </c>
      <c r="K48" s="127">
        <f>ROUND($B$4*$B$11*$B$15*$B$17*$B$20*$B$23*$B$25,0)</f>
        <v/>
      </c>
      <c r="L48" s="127">
        <f>ROUND($B$4*$B$11*$B$15*$B$17*$B$21*$B$22*$B$24,0)</f>
        <v/>
      </c>
      <c r="M48" s="127">
        <f>ROUND($B$4*$B$11*$B$15*$B$17*$B$21*$B$22*$B$25,0)</f>
        <v/>
      </c>
      <c r="N48" s="127">
        <f>ROUND($B$4*$B$11*$B$15*$B$17*$B$21*$B$23*$B$24,0)</f>
        <v/>
      </c>
      <c r="O48" s="127">
        <f>ROUND($B$4*$B$11*$B$15*$B$17*$B$21*$B$23*$B$25,0)</f>
        <v/>
      </c>
      <c r="P48" s="127">
        <f>ROUND($B$5*$B$11*$B$15*$B$17*$B$19*$B$22*$B$24,0)</f>
        <v/>
      </c>
      <c r="Q48" s="127">
        <f>ROUND($B$5*$B$11*$B$15*$B$17*$B$19*$B$22*$B$25,0)</f>
        <v/>
      </c>
      <c r="R48" s="127">
        <f>ROUND($B$5*$B$11*$B$15*$B$17*$B$19*$B$23*$B$24,0)</f>
        <v/>
      </c>
      <c r="S48" s="127">
        <f>ROUND($B$5*$B$11*$B$15*$B$17*$B$19*$B$23*$B$25,0)</f>
        <v/>
      </c>
      <c r="T48" s="127">
        <f>ROUND($B$5*$B$11*$B$15*$B$17*$B$20*$B$22*$B$24,0)</f>
        <v/>
      </c>
      <c r="U48" s="127">
        <f>ROUND($B$5*$B$11*$B$15*$B$17*$B$20*$B$22*$B$25,0)</f>
        <v/>
      </c>
      <c r="V48" s="127">
        <f>ROUND($B$5*$B$11*$B$15*$B$17*$B$20*$B$23*$B$24,0)</f>
        <v/>
      </c>
      <c r="W48" s="127">
        <f>ROUND($B$5*$B$11*$B$15*$B$17*$B$20*$B$23*$B$25,0)</f>
        <v/>
      </c>
      <c r="X48" s="127">
        <f>ROUND($B$5*$B$11*$B$15*$B$17*$B$21*$B$22*$B$24,0)</f>
        <v/>
      </c>
      <c r="Y48" s="127">
        <f>ROUND($B$5*$B$11*$B$15*$B$17*$B$21*$B$22*$B$25,0)</f>
        <v/>
      </c>
      <c r="Z48" s="127">
        <f>ROUND($B$5*$B$11*$B$15*$B$17*$B$21*$B$23*$B$24,0)</f>
        <v/>
      </c>
      <c r="AA48" s="127">
        <f>ROUND($B$5*$B$11*$B$15*$B$17*$B$21*$B$23*$B$25,0)</f>
        <v/>
      </c>
      <c r="AB48" s="127">
        <f>ROUND($B$6*$B$11*$B$15*$B$17*$B$19*$B$22*$B$24,0)</f>
        <v/>
      </c>
      <c r="AC48" s="127">
        <f>ROUND($B$6*$B$11*$B$15*$B$17*$B$19*$B$22*$B$25,0)</f>
        <v/>
      </c>
      <c r="AD48" s="127">
        <f>ROUND($B$6*$B$11*$B$15*$B$17*$B$19*$B$23*$B$24,0)</f>
        <v/>
      </c>
      <c r="AE48" s="127">
        <f>ROUND($B$6*$B$11*$B$15*$B$17*$B$19*$B$23*$B$25,0)</f>
        <v/>
      </c>
      <c r="AF48" s="127">
        <f>ROUND($B$6*$B$11*$B$15*$B$17*$B$20*$B$22*$B$24,0)</f>
        <v/>
      </c>
      <c r="AG48" s="127">
        <f>ROUND($B$6*$B$11*$B$15*$B$17*$B$20*$B$22*$B$25,0)</f>
        <v/>
      </c>
      <c r="AH48" s="127">
        <f>ROUND($B$6*$B$11*$B$15*$B$17*$B$20*$B$23*$B$24,0)</f>
        <v/>
      </c>
      <c r="AI48" s="127">
        <f>ROUND($B$6*$B$11*$B$15*$B$17*$B$20*$B$23*$B$25,0)</f>
        <v/>
      </c>
      <c r="AJ48" s="127">
        <f>ROUND($B$6*$B$11*$B$15*$B$17*$B$21*$B$22*$B$24,0)</f>
        <v/>
      </c>
      <c r="AK48" s="127">
        <f>ROUND($B$6*$B$11*$B$15*$B$17*$B$21*$B$22*$B$25,0)</f>
        <v/>
      </c>
      <c r="AL48" s="127">
        <f>ROUND($B$6*$B$11*$B$15*$B$17*$B$21*$B$23*$B$24,0)</f>
        <v/>
      </c>
      <c r="AM48" s="127">
        <f>ROUND($B$6*$B$11*$B$15*$B$17*$B$21*$B$23*$B$25,0)</f>
        <v/>
      </c>
      <c r="AN48" s="127">
        <f>ROUND($B$7*$B$11*$B$15*$B$17*$B$19*$B$22*$B$24,0)</f>
        <v/>
      </c>
      <c r="AO48" s="127">
        <f>ROUND($B$7*$B$11*$B$15*$B$17*$B$19*$B$22*$B$25,0)</f>
        <v/>
      </c>
      <c r="AP48" s="127">
        <f>ROUND($B$7*$B$11*$B$15*$B$17*$B$19*$B$23*$B$24,0)</f>
        <v/>
      </c>
      <c r="AQ48" s="127">
        <f>ROUND($B$7*$B$11*$B$15*$B$17*$B$19*$B$23*$B$25,0)</f>
        <v/>
      </c>
      <c r="AR48" s="127">
        <f>ROUND($B$7*$B$11*$B$15*$B$17*$B$20*$B$22*$B$24,0)</f>
        <v/>
      </c>
      <c r="AS48" s="127">
        <f>ROUND($B$7*$B$11*$B$15*$B$17*$B$20*$B$22*$B$25,0)</f>
        <v/>
      </c>
      <c r="AT48" s="127">
        <f>ROUND($B$7*$B$11*$B$15*$B$17*$B$20*$B$23*$B$24,0)</f>
        <v/>
      </c>
      <c r="AU48" s="127">
        <f>ROUND($B$7*$B$11*$B$15*$B$17*$B$20*$B$23*$B$25,0)</f>
        <v/>
      </c>
      <c r="AV48" s="127">
        <f>ROUND($B$7*$B$11*$B$15*$B$17*$B$21*$B$22*$B$24,0)</f>
        <v/>
      </c>
      <c r="AW48" s="127">
        <f>ROUND($B$7*$B$11*$B$15*$B$17*$B$21*$B$22*$B$25,0)</f>
        <v/>
      </c>
      <c r="AX48" s="127">
        <f>ROUND($B$7*$B$11*$B$15*$B$17*$B$21*$B$23*$B$24,0)</f>
        <v/>
      </c>
      <c r="AY48" s="127">
        <f>ROUND($B$7*$B$11*$B$15*$B$17*$B$21*$B$23*$B$25,0)</f>
        <v/>
      </c>
      <c r="AZ48" s="128">
        <f>ROUND($B$8*$B$11*$B$15*$B$17*$B$19*$B$22*$B$24,0)</f>
        <v/>
      </c>
      <c r="BA48" s="128">
        <f>ROUND($B$8*$B$11*$B$15*$B$17*$B$19*$B$22*$B$25,0)</f>
        <v/>
      </c>
      <c r="BB48" s="128">
        <f>ROUND($B$8*$B$11*$B$15*$B$17*$B$19*$B$23*$B$24,0)</f>
        <v/>
      </c>
      <c r="BC48" s="128">
        <f>ROUND($B$8*$B$11*$B$15*$B$17*$B$19*$B$23*$B$25,0)</f>
        <v/>
      </c>
      <c r="BD48" s="128">
        <f>ROUND($B$8*$B$11*$B$15*$B$17*$B$20*$B$22*$B$24,0)</f>
        <v/>
      </c>
      <c r="BE48" s="128">
        <f>ROUND($B$8*$B$11*$B$15*$B$17*$B$20*$B$22*$B$25,0)</f>
        <v/>
      </c>
      <c r="BF48" s="128">
        <f>ROUND($B$8*$B$11*$B$15*$B$17*$B$20*$B$23*$B$24,0)</f>
        <v/>
      </c>
      <c r="BG48" s="128">
        <f>ROUND($B$8*$B$11*$B$15*$B$17*$B$20*$B$23*$B$25,0)</f>
        <v/>
      </c>
      <c r="BH48" s="128">
        <f>ROUND($B$8*$B$11*$B$15*$B$17*$B$21*$B$22*$B$24,0)</f>
        <v/>
      </c>
      <c r="BI48" s="128">
        <f>ROUND($B$8*$B$11*$B$15*$B$17*$B$21*$B$22*$B$25,0)</f>
        <v/>
      </c>
      <c r="BJ48" s="128">
        <f>ROUND($B$8*$B$11*$B$15*$B$17*$B$21*$B$23*$B$24,0)</f>
        <v/>
      </c>
      <c r="BK48" s="128">
        <f>ROUND($B$8*$B$11*$B$15*$B$17*$B$21*$B$23*$B$25,0)</f>
        <v/>
      </c>
    </row>
    <row r="49" ht="20" customHeight="1" s="62">
      <c r="C49" s="129" t="inlineStr">
        <is>
          <t>6+ cas d'usage IA</t>
        </is>
      </c>
      <c r="D49" s="127">
        <f>ROUND($B$4*$B$11*$B$15*$B$18*$B$19*$B$22*$B$24,0)</f>
        <v/>
      </c>
      <c r="E49" s="127">
        <f>ROUND($B$4*$B$11*$B$15*$B$18*$B$19*$B$22*$B$25,0)</f>
        <v/>
      </c>
      <c r="F49" s="127">
        <f>ROUND($B$4*$B$11*$B$15*$B$18*$B$19*$B$23*$B$24,0)</f>
        <v/>
      </c>
      <c r="G49" s="127">
        <f>ROUND($B$4*$B$11*$B$15*$B$18*$B$19*$B$23*$B$25,0)</f>
        <v/>
      </c>
      <c r="H49" s="127">
        <f>ROUND($B$4*$B$11*$B$15*$B$18*$B$20*$B$22*$B$24,0)</f>
        <v/>
      </c>
      <c r="I49" s="127">
        <f>ROUND($B$4*$B$11*$B$15*$B$18*$B$20*$B$22*$B$25,0)</f>
        <v/>
      </c>
      <c r="J49" s="127">
        <f>ROUND($B$4*$B$11*$B$15*$B$18*$B$20*$B$23*$B$24,0)</f>
        <v/>
      </c>
      <c r="K49" s="127">
        <f>ROUND($B$4*$B$11*$B$15*$B$18*$B$20*$B$23*$B$25,0)</f>
        <v/>
      </c>
      <c r="L49" s="127">
        <f>ROUND($B$4*$B$11*$B$15*$B$18*$B$21*$B$22*$B$24,0)</f>
        <v/>
      </c>
      <c r="M49" s="127">
        <f>ROUND($B$4*$B$11*$B$15*$B$18*$B$21*$B$22*$B$25,0)</f>
        <v/>
      </c>
      <c r="N49" s="127">
        <f>ROUND($B$4*$B$11*$B$15*$B$18*$B$21*$B$23*$B$24,0)</f>
        <v/>
      </c>
      <c r="O49" s="127">
        <f>ROUND($B$4*$B$11*$B$15*$B$18*$B$21*$B$23*$B$25,0)</f>
        <v/>
      </c>
      <c r="P49" s="127">
        <f>ROUND($B$5*$B$11*$B$15*$B$18*$B$19*$B$22*$B$24,0)</f>
        <v/>
      </c>
      <c r="Q49" s="127">
        <f>ROUND($B$5*$B$11*$B$15*$B$18*$B$19*$B$22*$B$25,0)</f>
        <v/>
      </c>
      <c r="R49" s="127">
        <f>ROUND($B$5*$B$11*$B$15*$B$18*$B$19*$B$23*$B$24,0)</f>
        <v/>
      </c>
      <c r="S49" s="127">
        <f>ROUND($B$5*$B$11*$B$15*$B$18*$B$19*$B$23*$B$25,0)</f>
        <v/>
      </c>
      <c r="T49" s="127">
        <f>ROUND($B$5*$B$11*$B$15*$B$18*$B$20*$B$22*$B$24,0)</f>
        <v/>
      </c>
      <c r="U49" s="127">
        <f>ROUND($B$5*$B$11*$B$15*$B$18*$B$20*$B$22*$B$25,0)</f>
        <v/>
      </c>
      <c r="V49" s="127">
        <f>ROUND($B$5*$B$11*$B$15*$B$18*$B$20*$B$23*$B$24,0)</f>
        <v/>
      </c>
      <c r="W49" s="127">
        <f>ROUND($B$5*$B$11*$B$15*$B$18*$B$20*$B$23*$B$25,0)</f>
        <v/>
      </c>
      <c r="X49" s="127">
        <f>ROUND($B$5*$B$11*$B$15*$B$18*$B$21*$B$22*$B$24,0)</f>
        <v/>
      </c>
      <c r="Y49" s="127">
        <f>ROUND($B$5*$B$11*$B$15*$B$18*$B$21*$B$22*$B$25,0)</f>
        <v/>
      </c>
      <c r="Z49" s="127">
        <f>ROUND($B$5*$B$11*$B$15*$B$18*$B$21*$B$23*$B$24,0)</f>
        <v/>
      </c>
      <c r="AA49" s="127">
        <f>ROUND($B$5*$B$11*$B$15*$B$18*$B$21*$B$23*$B$25,0)</f>
        <v/>
      </c>
      <c r="AB49" s="127">
        <f>ROUND($B$6*$B$11*$B$15*$B$18*$B$19*$B$22*$B$24,0)</f>
        <v/>
      </c>
      <c r="AC49" s="127">
        <f>ROUND($B$6*$B$11*$B$15*$B$18*$B$19*$B$22*$B$25,0)</f>
        <v/>
      </c>
      <c r="AD49" s="127">
        <f>ROUND($B$6*$B$11*$B$15*$B$18*$B$19*$B$23*$B$24,0)</f>
        <v/>
      </c>
      <c r="AE49" s="127">
        <f>ROUND($B$6*$B$11*$B$15*$B$18*$B$19*$B$23*$B$25,0)</f>
        <v/>
      </c>
      <c r="AF49" s="127">
        <f>ROUND($B$6*$B$11*$B$15*$B$18*$B$20*$B$22*$B$24,0)</f>
        <v/>
      </c>
      <c r="AG49" s="127">
        <f>ROUND($B$6*$B$11*$B$15*$B$18*$B$20*$B$22*$B$25,0)</f>
        <v/>
      </c>
      <c r="AH49" s="127">
        <f>ROUND($B$6*$B$11*$B$15*$B$18*$B$20*$B$23*$B$24,0)</f>
        <v/>
      </c>
      <c r="AI49" s="127">
        <f>ROUND($B$6*$B$11*$B$15*$B$18*$B$20*$B$23*$B$25,0)</f>
        <v/>
      </c>
      <c r="AJ49" s="127">
        <f>ROUND($B$6*$B$11*$B$15*$B$18*$B$21*$B$22*$B$24,0)</f>
        <v/>
      </c>
      <c r="AK49" s="127">
        <f>ROUND($B$6*$B$11*$B$15*$B$18*$B$21*$B$22*$B$25,0)</f>
        <v/>
      </c>
      <c r="AL49" s="127">
        <f>ROUND($B$6*$B$11*$B$15*$B$18*$B$21*$B$23*$B$24,0)</f>
        <v/>
      </c>
      <c r="AM49" s="127">
        <f>ROUND($B$6*$B$11*$B$15*$B$18*$B$21*$B$23*$B$25,0)</f>
        <v/>
      </c>
      <c r="AN49" s="127">
        <f>ROUND($B$7*$B$11*$B$15*$B$18*$B$19*$B$22*$B$24,0)</f>
        <v/>
      </c>
      <c r="AO49" s="127">
        <f>ROUND($B$7*$B$11*$B$15*$B$18*$B$19*$B$22*$B$25,0)</f>
        <v/>
      </c>
      <c r="AP49" s="127">
        <f>ROUND($B$7*$B$11*$B$15*$B$18*$B$19*$B$23*$B$24,0)</f>
        <v/>
      </c>
      <c r="AQ49" s="127">
        <f>ROUND($B$7*$B$11*$B$15*$B$18*$B$19*$B$23*$B$25,0)</f>
        <v/>
      </c>
      <c r="AR49" s="127">
        <f>ROUND($B$7*$B$11*$B$15*$B$18*$B$20*$B$22*$B$24,0)</f>
        <v/>
      </c>
      <c r="AS49" s="127">
        <f>ROUND($B$7*$B$11*$B$15*$B$18*$B$20*$B$22*$B$25,0)</f>
        <v/>
      </c>
      <c r="AT49" s="127">
        <f>ROUND($B$7*$B$11*$B$15*$B$18*$B$20*$B$23*$B$24,0)</f>
        <v/>
      </c>
      <c r="AU49" s="127">
        <f>ROUND($B$7*$B$11*$B$15*$B$18*$B$20*$B$23*$B$25,0)</f>
        <v/>
      </c>
      <c r="AV49" s="127">
        <f>ROUND($B$7*$B$11*$B$15*$B$18*$B$21*$B$22*$B$24,0)</f>
        <v/>
      </c>
      <c r="AW49" s="127">
        <f>ROUND($B$7*$B$11*$B$15*$B$18*$B$21*$B$22*$B$25,0)</f>
        <v/>
      </c>
      <c r="AX49" s="127">
        <f>ROUND($B$7*$B$11*$B$15*$B$18*$B$21*$B$23*$B$24,0)</f>
        <v/>
      </c>
      <c r="AY49" s="127">
        <f>ROUND($B$7*$B$11*$B$15*$B$18*$B$21*$B$23*$B$25,0)</f>
        <v/>
      </c>
      <c r="AZ49" s="128">
        <f>ROUND($B$8*$B$11*$B$15*$B$18*$B$19*$B$22*$B$24,0)</f>
        <v/>
      </c>
      <c r="BA49" s="128">
        <f>ROUND($B$8*$B$11*$B$15*$B$18*$B$19*$B$22*$B$25,0)</f>
        <v/>
      </c>
      <c r="BB49" s="128">
        <f>ROUND($B$8*$B$11*$B$15*$B$18*$B$19*$B$23*$B$24,0)</f>
        <v/>
      </c>
      <c r="BC49" s="128">
        <f>ROUND($B$8*$B$11*$B$15*$B$18*$B$19*$B$23*$B$25,0)</f>
        <v/>
      </c>
      <c r="BD49" s="128">
        <f>ROUND($B$8*$B$11*$B$15*$B$18*$B$20*$B$22*$B$24,0)</f>
        <v/>
      </c>
      <c r="BE49" s="128">
        <f>ROUND($B$8*$B$11*$B$15*$B$18*$B$20*$B$22*$B$25,0)</f>
        <v/>
      </c>
      <c r="BF49" s="128">
        <f>ROUND($B$8*$B$11*$B$15*$B$18*$B$20*$B$23*$B$24,0)</f>
        <v/>
      </c>
      <c r="BG49" s="128">
        <f>ROUND($B$8*$B$11*$B$15*$B$18*$B$20*$B$23*$B$25,0)</f>
        <v/>
      </c>
      <c r="BH49" s="128">
        <f>ROUND($B$8*$B$11*$B$15*$B$18*$B$21*$B$22*$B$24,0)</f>
        <v/>
      </c>
      <c r="BI49" s="128">
        <f>ROUND($B$8*$B$11*$B$15*$B$18*$B$21*$B$22*$B$25,0)</f>
        <v/>
      </c>
      <c r="BJ49" s="128">
        <f>ROUND($B$8*$B$11*$B$15*$B$18*$B$21*$B$23*$B$24,0)</f>
        <v/>
      </c>
      <c r="BK49" s="128">
        <f>ROUND($B$8*$B$11*$B$15*$B$18*$B$21*$B$23*$B$25,0)</f>
        <v/>
      </c>
    </row>
    <row r="50" ht="20" customHeight="1" s="62">
      <c r="A50" s="124" t="inlineStr">
        <is>
          <t>SI grande (15+ outils)</t>
        </is>
      </c>
      <c r="B50" s="125" t="inlineStr">
        <is>
          <t>Maturité digitale faible</t>
        </is>
      </c>
      <c r="C50" s="126" t="inlineStr">
        <is>
          <t>1-2 cas d'usage IA</t>
        </is>
      </c>
      <c r="D50" s="127">
        <f>ROUND($B$4*$B$12*$B$13*$B$16*$B$19*$B$22*$B$24,0)</f>
        <v/>
      </c>
      <c r="E50" s="127">
        <f>ROUND($B$4*$B$12*$B$13*$B$16*$B$19*$B$22*$B$25,0)</f>
        <v/>
      </c>
      <c r="F50" s="127">
        <f>ROUND($B$4*$B$12*$B$13*$B$16*$B$19*$B$23*$B$24,0)</f>
        <v/>
      </c>
      <c r="G50" s="127">
        <f>ROUND($B$4*$B$12*$B$13*$B$16*$B$19*$B$23*$B$25,0)</f>
        <v/>
      </c>
      <c r="H50" s="127">
        <f>ROUND($B$4*$B$12*$B$13*$B$16*$B$20*$B$22*$B$24,0)</f>
        <v/>
      </c>
      <c r="I50" s="127">
        <f>ROUND($B$4*$B$12*$B$13*$B$16*$B$20*$B$22*$B$25,0)</f>
        <v/>
      </c>
      <c r="J50" s="127">
        <f>ROUND($B$4*$B$12*$B$13*$B$16*$B$20*$B$23*$B$24,0)</f>
        <v/>
      </c>
      <c r="K50" s="127">
        <f>ROUND($B$4*$B$12*$B$13*$B$16*$B$20*$B$23*$B$25,0)</f>
        <v/>
      </c>
      <c r="L50" s="127">
        <f>ROUND($B$4*$B$12*$B$13*$B$16*$B$21*$B$22*$B$24,0)</f>
        <v/>
      </c>
      <c r="M50" s="127">
        <f>ROUND($B$4*$B$12*$B$13*$B$16*$B$21*$B$22*$B$25,0)</f>
        <v/>
      </c>
      <c r="N50" s="127">
        <f>ROUND($B$4*$B$12*$B$13*$B$16*$B$21*$B$23*$B$24,0)</f>
        <v/>
      </c>
      <c r="O50" s="127">
        <f>ROUND($B$4*$B$12*$B$13*$B$16*$B$21*$B$23*$B$25,0)</f>
        <v/>
      </c>
      <c r="P50" s="127">
        <f>ROUND($B$5*$B$12*$B$13*$B$16*$B$19*$B$22*$B$24,0)</f>
        <v/>
      </c>
      <c r="Q50" s="127">
        <f>ROUND($B$5*$B$12*$B$13*$B$16*$B$19*$B$22*$B$25,0)</f>
        <v/>
      </c>
      <c r="R50" s="127">
        <f>ROUND($B$5*$B$12*$B$13*$B$16*$B$19*$B$23*$B$24,0)</f>
        <v/>
      </c>
      <c r="S50" s="127">
        <f>ROUND($B$5*$B$12*$B$13*$B$16*$B$19*$B$23*$B$25,0)</f>
        <v/>
      </c>
      <c r="T50" s="127">
        <f>ROUND($B$5*$B$12*$B$13*$B$16*$B$20*$B$22*$B$24,0)</f>
        <v/>
      </c>
      <c r="U50" s="127">
        <f>ROUND($B$5*$B$12*$B$13*$B$16*$B$20*$B$22*$B$25,0)</f>
        <v/>
      </c>
      <c r="V50" s="127">
        <f>ROUND($B$5*$B$12*$B$13*$B$16*$B$20*$B$23*$B$24,0)</f>
        <v/>
      </c>
      <c r="W50" s="127">
        <f>ROUND($B$5*$B$12*$B$13*$B$16*$B$20*$B$23*$B$25,0)</f>
        <v/>
      </c>
      <c r="X50" s="127">
        <f>ROUND($B$5*$B$12*$B$13*$B$16*$B$21*$B$22*$B$24,0)</f>
        <v/>
      </c>
      <c r="Y50" s="127">
        <f>ROUND($B$5*$B$12*$B$13*$B$16*$B$21*$B$22*$B$25,0)</f>
        <v/>
      </c>
      <c r="Z50" s="127">
        <f>ROUND($B$5*$B$12*$B$13*$B$16*$B$21*$B$23*$B$24,0)</f>
        <v/>
      </c>
      <c r="AA50" s="127">
        <f>ROUND($B$5*$B$12*$B$13*$B$16*$B$21*$B$23*$B$25,0)</f>
        <v/>
      </c>
      <c r="AB50" s="127">
        <f>ROUND($B$6*$B$12*$B$13*$B$16*$B$19*$B$22*$B$24,0)</f>
        <v/>
      </c>
      <c r="AC50" s="127">
        <f>ROUND($B$6*$B$12*$B$13*$B$16*$B$19*$B$22*$B$25,0)</f>
        <v/>
      </c>
      <c r="AD50" s="127">
        <f>ROUND($B$6*$B$12*$B$13*$B$16*$B$19*$B$23*$B$24,0)</f>
        <v/>
      </c>
      <c r="AE50" s="127">
        <f>ROUND($B$6*$B$12*$B$13*$B$16*$B$19*$B$23*$B$25,0)</f>
        <v/>
      </c>
      <c r="AF50" s="127">
        <f>ROUND($B$6*$B$12*$B$13*$B$16*$B$20*$B$22*$B$24,0)</f>
        <v/>
      </c>
      <c r="AG50" s="127">
        <f>ROUND($B$6*$B$12*$B$13*$B$16*$B$20*$B$22*$B$25,0)</f>
        <v/>
      </c>
      <c r="AH50" s="127">
        <f>ROUND($B$6*$B$12*$B$13*$B$16*$B$20*$B$23*$B$24,0)</f>
        <v/>
      </c>
      <c r="AI50" s="127">
        <f>ROUND($B$6*$B$12*$B$13*$B$16*$B$20*$B$23*$B$25,0)</f>
        <v/>
      </c>
      <c r="AJ50" s="127">
        <f>ROUND($B$6*$B$12*$B$13*$B$16*$B$21*$B$22*$B$24,0)</f>
        <v/>
      </c>
      <c r="AK50" s="127">
        <f>ROUND($B$6*$B$12*$B$13*$B$16*$B$21*$B$22*$B$25,0)</f>
        <v/>
      </c>
      <c r="AL50" s="127">
        <f>ROUND($B$6*$B$12*$B$13*$B$16*$B$21*$B$23*$B$24,0)</f>
        <v/>
      </c>
      <c r="AM50" s="127">
        <f>ROUND($B$6*$B$12*$B$13*$B$16*$B$21*$B$23*$B$25,0)</f>
        <v/>
      </c>
      <c r="AN50" s="127">
        <f>ROUND($B$7*$B$12*$B$13*$B$16*$B$19*$B$22*$B$24,0)</f>
        <v/>
      </c>
      <c r="AO50" s="127">
        <f>ROUND($B$7*$B$12*$B$13*$B$16*$B$19*$B$22*$B$25,0)</f>
        <v/>
      </c>
      <c r="AP50" s="127">
        <f>ROUND($B$7*$B$12*$B$13*$B$16*$B$19*$B$23*$B$24,0)</f>
        <v/>
      </c>
      <c r="AQ50" s="127">
        <f>ROUND($B$7*$B$12*$B$13*$B$16*$B$19*$B$23*$B$25,0)</f>
        <v/>
      </c>
      <c r="AR50" s="127">
        <f>ROUND($B$7*$B$12*$B$13*$B$16*$B$20*$B$22*$B$24,0)</f>
        <v/>
      </c>
      <c r="AS50" s="127">
        <f>ROUND($B$7*$B$12*$B$13*$B$16*$B$20*$B$22*$B$25,0)</f>
        <v/>
      </c>
      <c r="AT50" s="127">
        <f>ROUND($B$7*$B$12*$B$13*$B$16*$B$20*$B$23*$B$24,0)</f>
        <v/>
      </c>
      <c r="AU50" s="127">
        <f>ROUND($B$7*$B$12*$B$13*$B$16*$B$20*$B$23*$B$25,0)</f>
        <v/>
      </c>
      <c r="AV50" s="127">
        <f>ROUND($B$7*$B$12*$B$13*$B$16*$B$21*$B$22*$B$24,0)</f>
        <v/>
      </c>
      <c r="AW50" s="127">
        <f>ROUND($B$7*$B$12*$B$13*$B$16*$B$21*$B$22*$B$25,0)</f>
        <v/>
      </c>
      <c r="AX50" s="127">
        <f>ROUND($B$7*$B$12*$B$13*$B$16*$B$21*$B$23*$B$24,0)</f>
        <v/>
      </c>
      <c r="AY50" s="127">
        <f>ROUND($B$7*$B$12*$B$13*$B$16*$B$21*$B$23*$B$25,0)</f>
        <v/>
      </c>
      <c r="AZ50" s="128">
        <f>ROUND($B$8*$B$12*$B$13*$B$16*$B$19*$B$22*$B$24,0)</f>
        <v/>
      </c>
      <c r="BA50" s="128">
        <f>ROUND($B$8*$B$12*$B$13*$B$16*$B$19*$B$22*$B$25,0)</f>
        <v/>
      </c>
      <c r="BB50" s="128">
        <f>ROUND($B$8*$B$12*$B$13*$B$16*$B$19*$B$23*$B$24,0)</f>
        <v/>
      </c>
      <c r="BC50" s="128">
        <f>ROUND($B$8*$B$12*$B$13*$B$16*$B$19*$B$23*$B$25,0)</f>
        <v/>
      </c>
      <c r="BD50" s="128">
        <f>ROUND($B$8*$B$12*$B$13*$B$16*$B$20*$B$22*$B$24,0)</f>
        <v/>
      </c>
      <c r="BE50" s="128">
        <f>ROUND($B$8*$B$12*$B$13*$B$16*$B$20*$B$22*$B$25,0)</f>
        <v/>
      </c>
      <c r="BF50" s="128">
        <f>ROUND($B$8*$B$12*$B$13*$B$16*$B$20*$B$23*$B$24,0)</f>
        <v/>
      </c>
      <c r="BG50" s="128">
        <f>ROUND($B$8*$B$12*$B$13*$B$16*$B$20*$B$23*$B$25,0)</f>
        <v/>
      </c>
      <c r="BH50" s="128">
        <f>ROUND($B$8*$B$12*$B$13*$B$16*$B$21*$B$22*$B$24,0)</f>
        <v/>
      </c>
      <c r="BI50" s="128">
        <f>ROUND($B$8*$B$12*$B$13*$B$16*$B$21*$B$22*$B$25,0)</f>
        <v/>
      </c>
      <c r="BJ50" s="128">
        <f>ROUND($B$8*$B$12*$B$13*$B$16*$B$21*$B$23*$B$24,0)</f>
        <v/>
      </c>
      <c r="BK50" s="128">
        <f>ROUND($B$8*$B$12*$B$13*$B$16*$B$21*$B$23*$B$25,0)</f>
        <v/>
      </c>
    </row>
    <row r="51" ht="20" customHeight="1" s="62">
      <c r="C51" s="125" t="inlineStr">
        <is>
          <t>3-5 cas d'usage IA</t>
        </is>
      </c>
      <c r="D51" s="127">
        <f>ROUND($B$4*$B$12*$B$13*$B$17*$B$19*$B$22*$B$24,0)</f>
        <v/>
      </c>
      <c r="E51" s="127">
        <f>ROUND($B$4*$B$12*$B$13*$B$17*$B$19*$B$22*$B$25,0)</f>
        <v/>
      </c>
      <c r="F51" s="127">
        <f>ROUND($B$4*$B$12*$B$13*$B$17*$B$19*$B$23*$B$24,0)</f>
        <v/>
      </c>
      <c r="G51" s="127">
        <f>ROUND($B$4*$B$12*$B$13*$B$17*$B$19*$B$23*$B$25,0)</f>
        <v/>
      </c>
      <c r="H51" s="127">
        <f>ROUND($B$4*$B$12*$B$13*$B$17*$B$20*$B$22*$B$24,0)</f>
        <v/>
      </c>
      <c r="I51" s="127">
        <f>ROUND($B$4*$B$12*$B$13*$B$17*$B$20*$B$22*$B$25,0)</f>
        <v/>
      </c>
      <c r="J51" s="127">
        <f>ROUND($B$4*$B$12*$B$13*$B$17*$B$20*$B$23*$B$24,0)</f>
        <v/>
      </c>
      <c r="K51" s="127">
        <f>ROUND($B$4*$B$12*$B$13*$B$17*$B$20*$B$23*$B$25,0)</f>
        <v/>
      </c>
      <c r="L51" s="127">
        <f>ROUND($B$4*$B$12*$B$13*$B$17*$B$21*$B$22*$B$24,0)</f>
        <v/>
      </c>
      <c r="M51" s="127">
        <f>ROUND($B$4*$B$12*$B$13*$B$17*$B$21*$B$22*$B$25,0)</f>
        <v/>
      </c>
      <c r="N51" s="127">
        <f>ROUND($B$4*$B$12*$B$13*$B$17*$B$21*$B$23*$B$24,0)</f>
        <v/>
      </c>
      <c r="O51" s="127">
        <f>ROUND($B$4*$B$12*$B$13*$B$17*$B$21*$B$23*$B$25,0)</f>
        <v/>
      </c>
      <c r="P51" s="127">
        <f>ROUND($B$5*$B$12*$B$13*$B$17*$B$19*$B$22*$B$24,0)</f>
        <v/>
      </c>
      <c r="Q51" s="127">
        <f>ROUND($B$5*$B$12*$B$13*$B$17*$B$19*$B$22*$B$25,0)</f>
        <v/>
      </c>
      <c r="R51" s="127">
        <f>ROUND($B$5*$B$12*$B$13*$B$17*$B$19*$B$23*$B$24,0)</f>
        <v/>
      </c>
      <c r="S51" s="127">
        <f>ROUND($B$5*$B$12*$B$13*$B$17*$B$19*$B$23*$B$25,0)</f>
        <v/>
      </c>
      <c r="T51" s="127">
        <f>ROUND($B$5*$B$12*$B$13*$B$17*$B$20*$B$22*$B$24,0)</f>
        <v/>
      </c>
      <c r="U51" s="127">
        <f>ROUND($B$5*$B$12*$B$13*$B$17*$B$20*$B$22*$B$25,0)</f>
        <v/>
      </c>
      <c r="V51" s="127">
        <f>ROUND($B$5*$B$12*$B$13*$B$17*$B$20*$B$23*$B$24,0)</f>
        <v/>
      </c>
      <c r="W51" s="127">
        <f>ROUND($B$5*$B$12*$B$13*$B$17*$B$20*$B$23*$B$25,0)</f>
        <v/>
      </c>
      <c r="X51" s="127">
        <f>ROUND($B$5*$B$12*$B$13*$B$17*$B$21*$B$22*$B$24,0)</f>
        <v/>
      </c>
      <c r="Y51" s="127">
        <f>ROUND($B$5*$B$12*$B$13*$B$17*$B$21*$B$22*$B$25,0)</f>
        <v/>
      </c>
      <c r="Z51" s="127">
        <f>ROUND($B$5*$B$12*$B$13*$B$17*$B$21*$B$23*$B$24,0)</f>
        <v/>
      </c>
      <c r="AA51" s="127">
        <f>ROUND($B$5*$B$12*$B$13*$B$17*$B$21*$B$23*$B$25,0)</f>
        <v/>
      </c>
      <c r="AB51" s="127">
        <f>ROUND($B$6*$B$12*$B$13*$B$17*$B$19*$B$22*$B$24,0)</f>
        <v/>
      </c>
      <c r="AC51" s="127">
        <f>ROUND($B$6*$B$12*$B$13*$B$17*$B$19*$B$22*$B$25,0)</f>
        <v/>
      </c>
      <c r="AD51" s="127">
        <f>ROUND($B$6*$B$12*$B$13*$B$17*$B$19*$B$23*$B$24,0)</f>
        <v/>
      </c>
      <c r="AE51" s="127">
        <f>ROUND($B$6*$B$12*$B$13*$B$17*$B$19*$B$23*$B$25,0)</f>
        <v/>
      </c>
      <c r="AF51" s="127">
        <f>ROUND($B$6*$B$12*$B$13*$B$17*$B$20*$B$22*$B$24,0)</f>
        <v/>
      </c>
      <c r="AG51" s="127">
        <f>ROUND($B$6*$B$12*$B$13*$B$17*$B$20*$B$22*$B$25,0)</f>
        <v/>
      </c>
      <c r="AH51" s="127">
        <f>ROUND($B$6*$B$12*$B$13*$B$17*$B$20*$B$23*$B$24,0)</f>
        <v/>
      </c>
      <c r="AI51" s="127">
        <f>ROUND($B$6*$B$12*$B$13*$B$17*$B$20*$B$23*$B$25,0)</f>
        <v/>
      </c>
      <c r="AJ51" s="127">
        <f>ROUND($B$6*$B$12*$B$13*$B$17*$B$21*$B$22*$B$24,0)</f>
        <v/>
      </c>
      <c r="AK51" s="127">
        <f>ROUND($B$6*$B$12*$B$13*$B$17*$B$21*$B$22*$B$25,0)</f>
        <v/>
      </c>
      <c r="AL51" s="127">
        <f>ROUND($B$6*$B$12*$B$13*$B$17*$B$21*$B$23*$B$24,0)</f>
        <v/>
      </c>
      <c r="AM51" s="127">
        <f>ROUND($B$6*$B$12*$B$13*$B$17*$B$21*$B$23*$B$25,0)</f>
        <v/>
      </c>
      <c r="AN51" s="127">
        <f>ROUND($B$7*$B$12*$B$13*$B$17*$B$19*$B$22*$B$24,0)</f>
        <v/>
      </c>
      <c r="AO51" s="127">
        <f>ROUND($B$7*$B$12*$B$13*$B$17*$B$19*$B$22*$B$25,0)</f>
        <v/>
      </c>
      <c r="AP51" s="127">
        <f>ROUND($B$7*$B$12*$B$13*$B$17*$B$19*$B$23*$B$24,0)</f>
        <v/>
      </c>
      <c r="AQ51" s="127">
        <f>ROUND($B$7*$B$12*$B$13*$B$17*$B$19*$B$23*$B$25,0)</f>
        <v/>
      </c>
      <c r="AR51" s="127">
        <f>ROUND($B$7*$B$12*$B$13*$B$17*$B$20*$B$22*$B$24,0)</f>
        <v/>
      </c>
      <c r="AS51" s="127">
        <f>ROUND($B$7*$B$12*$B$13*$B$17*$B$20*$B$22*$B$25,0)</f>
        <v/>
      </c>
      <c r="AT51" s="127">
        <f>ROUND($B$7*$B$12*$B$13*$B$17*$B$20*$B$23*$B$24,0)</f>
        <v/>
      </c>
      <c r="AU51" s="127">
        <f>ROUND($B$7*$B$12*$B$13*$B$17*$B$20*$B$23*$B$25,0)</f>
        <v/>
      </c>
      <c r="AV51" s="127">
        <f>ROUND($B$7*$B$12*$B$13*$B$17*$B$21*$B$22*$B$24,0)</f>
        <v/>
      </c>
      <c r="AW51" s="127">
        <f>ROUND($B$7*$B$12*$B$13*$B$17*$B$21*$B$22*$B$25,0)</f>
        <v/>
      </c>
      <c r="AX51" s="127">
        <f>ROUND($B$7*$B$12*$B$13*$B$17*$B$21*$B$23*$B$24,0)</f>
        <v/>
      </c>
      <c r="AY51" s="127">
        <f>ROUND($B$7*$B$12*$B$13*$B$17*$B$21*$B$23*$B$25,0)</f>
        <v/>
      </c>
      <c r="AZ51" s="128">
        <f>ROUND($B$8*$B$12*$B$13*$B$17*$B$19*$B$22*$B$24,0)</f>
        <v/>
      </c>
      <c r="BA51" s="128">
        <f>ROUND($B$8*$B$12*$B$13*$B$17*$B$19*$B$22*$B$25,0)</f>
        <v/>
      </c>
      <c r="BB51" s="128">
        <f>ROUND($B$8*$B$12*$B$13*$B$17*$B$19*$B$23*$B$24,0)</f>
        <v/>
      </c>
      <c r="BC51" s="128">
        <f>ROUND($B$8*$B$12*$B$13*$B$17*$B$19*$B$23*$B$25,0)</f>
        <v/>
      </c>
      <c r="BD51" s="128">
        <f>ROUND($B$8*$B$12*$B$13*$B$17*$B$20*$B$22*$B$24,0)</f>
        <v/>
      </c>
      <c r="BE51" s="128">
        <f>ROUND($B$8*$B$12*$B$13*$B$17*$B$20*$B$22*$B$25,0)</f>
        <v/>
      </c>
      <c r="BF51" s="128">
        <f>ROUND($B$8*$B$12*$B$13*$B$17*$B$20*$B$23*$B$24,0)</f>
        <v/>
      </c>
      <c r="BG51" s="128">
        <f>ROUND($B$8*$B$12*$B$13*$B$17*$B$20*$B$23*$B$25,0)</f>
        <v/>
      </c>
      <c r="BH51" s="128">
        <f>ROUND($B$8*$B$12*$B$13*$B$17*$B$21*$B$22*$B$24,0)</f>
        <v/>
      </c>
      <c r="BI51" s="128">
        <f>ROUND($B$8*$B$12*$B$13*$B$17*$B$21*$B$22*$B$25,0)</f>
        <v/>
      </c>
      <c r="BJ51" s="128">
        <f>ROUND($B$8*$B$12*$B$13*$B$17*$B$21*$B$23*$B$24,0)</f>
        <v/>
      </c>
      <c r="BK51" s="128">
        <f>ROUND($B$8*$B$12*$B$13*$B$17*$B$21*$B$23*$B$25,0)</f>
        <v/>
      </c>
    </row>
    <row r="52" ht="20" customHeight="1" s="62">
      <c r="C52" s="129" t="inlineStr">
        <is>
          <t>6+ cas d'usage IA</t>
        </is>
      </c>
      <c r="D52" s="127">
        <f>ROUND($B$4*$B$12*$B$13*$B$18*$B$19*$B$22*$B$24,0)</f>
        <v/>
      </c>
      <c r="E52" s="127">
        <f>ROUND($B$4*$B$12*$B$13*$B$18*$B$19*$B$22*$B$25,0)</f>
        <v/>
      </c>
      <c r="F52" s="127">
        <f>ROUND($B$4*$B$12*$B$13*$B$18*$B$19*$B$23*$B$24,0)</f>
        <v/>
      </c>
      <c r="G52" s="127">
        <f>ROUND($B$4*$B$12*$B$13*$B$18*$B$19*$B$23*$B$25,0)</f>
        <v/>
      </c>
      <c r="H52" s="127">
        <f>ROUND($B$4*$B$12*$B$13*$B$18*$B$20*$B$22*$B$24,0)</f>
        <v/>
      </c>
      <c r="I52" s="127">
        <f>ROUND($B$4*$B$12*$B$13*$B$18*$B$20*$B$22*$B$25,0)</f>
        <v/>
      </c>
      <c r="J52" s="127">
        <f>ROUND($B$4*$B$12*$B$13*$B$18*$B$20*$B$23*$B$24,0)</f>
        <v/>
      </c>
      <c r="K52" s="127">
        <f>ROUND($B$4*$B$12*$B$13*$B$18*$B$20*$B$23*$B$25,0)</f>
        <v/>
      </c>
      <c r="L52" s="127">
        <f>ROUND($B$4*$B$12*$B$13*$B$18*$B$21*$B$22*$B$24,0)</f>
        <v/>
      </c>
      <c r="M52" s="127">
        <f>ROUND($B$4*$B$12*$B$13*$B$18*$B$21*$B$22*$B$25,0)</f>
        <v/>
      </c>
      <c r="N52" s="127">
        <f>ROUND($B$4*$B$12*$B$13*$B$18*$B$21*$B$23*$B$24,0)</f>
        <v/>
      </c>
      <c r="O52" s="127">
        <f>ROUND($B$4*$B$12*$B$13*$B$18*$B$21*$B$23*$B$25,0)</f>
        <v/>
      </c>
      <c r="P52" s="127">
        <f>ROUND($B$5*$B$12*$B$13*$B$18*$B$19*$B$22*$B$24,0)</f>
        <v/>
      </c>
      <c r="Q52" s="127">
        <f>ROUND($B$5*$B$12*$B$13*$B$18*$B$19*$B$22*$B$25,0)</f>
        <v/>
      </c>
      <c r="R52" s="127">
        <f>ROUND($B$5*$B$12*$B$13*$B$18*$B$19*$B$23*$B$24,0)</f>
        <v/>
      </c>
      <c r="S52" s="127">
        <f>ROUND($B$5*$B$12*$B$13*$B$18*$B$19*$B$23*$B$25,0)</f>
        <v/>
      </c>
      <c r="T52" s="127">
        <f>ROUND($B$5*$B$12*$B$13*$B$18*$B$20*$B$22*$B$24,0)</f>
        <v/>
      </c>
      <c r="U52" s="127">
        <f>ROUND($B$5*$B$12*$B$13*$B$18*$B$20*$B$22*$B$25,0)</f>
        <v/>
      </c>
      <c r="V52" s="127">
        <f>ROUND($B$5*$B$12*$B$13*$B$18*$B$20*$B$23*$B$24,0)</f>
        <v/>
      </c>
      <c r="W52" s="127">
        <f>ROUND($B$5*$B$12*$B$13*$B$18*$B$20*$B$23*$B$25,0)</f>
        <v/>
      </c>
      <c r="X52" s="127">
        <f>ROUND($B$5*$B$12*$B$13*$B$18*$B$21*$B$22*$B$24,0)</f>
        <v/>
      </c>
      <c r="Y52" s="127">
        <f>ROUND($B$5*$B$12*$B$13*$B$18*$B$21*$B$22*$B$25,0)</f>
        <v/>
      </c>
      <c r="Z52" s="127">
        <f>ROUND($B$5*$B$12*$B$13*$B$18*$B$21*$B$23*$B$24,0)</f>
        <v/>
      </c>
      <c r="AA52" s="127">
        <f>ROUND($B$5*$B$12*$B$13*$B$18*$B$21*$B$23*$B$25,0)</f>
        <v/>
      </c>
      <c r="AB52" s="127">
        <f>ROUND($B$6*$B$12*$B$13*$B$18*$B$19*$B$22*$B$24,0)</f>
        <v/>
      </c>
      <c r="AC52" s="127">
        <f>ROUND($B$6*$B$12*$B$13*$B$18*$B$19*$B$22*$B$25,0)</f>
        <v/>
      </c>
      <c r="AD52" s="127">
        <f>ROUND($B$6*$B$12*$B$13*$B$18*$B$19*$B$23*$B$24,0)</f>
        <v/>
      </c>
      <c r="AE52" s="127">
        <f>ROUND($B$6*$B$12*$B$13*$B$18*$B$19*$B$23*$B$25,0)</f>
        <v/>
      </c>
      <c r="AF52" s="127">
        <f>ROUND($B$6*$B$12*$B$13*$B$18*$B$20*$B$22*$B$24,0)</f>
        <v/>
      </c>
      <c r="AG52" s="127">
        <f>ROUND($B$6*$B$12*$B$13*$B$18*$B$20*$B$22*$B$25,0)</f>
        <v/>
      </c>
      <c r="AH52" s="127">
        <f>ROUND($B$6*$B$12*$B$13*$B$18*$B$20*$B$23*$B$24,0)</f>
        <v/>
      </c>
      <c r="AI52" s="127">
        <f>ROUND($B$6*$B$12*$B$13*$B$18*$B$20*$B$23*$B$25,0)</f>
        <v/>
      </c>
      <c r="AJ52" s="127">
        <f>ROUND($B$6*$B$12*$B$13*$B$18*$B$21*$B$22*$B$24,0)</f>
        <v/>
      </c>
      <c r="AK52" s="127">
        <f>ROUND($B$6*$B$12*$B$13*$B$18*$B$21*$B$22*$B$25,0)</f>
        <v/>
      </c>
      <c r="AL52" s="127">
        <f>ROUND($B$6*$B$12*$B$13*$B$18*$B$21*$B$23*$B$24,0)</f>
        <v/>
      </c>
      <c r="AM52" s="127">
        <f>ROUND($B$6*$B$12*$B$13*$B$18*$B$21*$B$23*$B$25,0)</f>
        <v/>
      </c>
      <c r="AN52" s="127">
        <f>ROUND($B$7*$B$12*$B$13*$B$18*$B$19*$B$22*$B$24,0)</f>
        <v/>
      </c>
      <c r="AO52" s="127">
        <f>ROUND($B$7*$B$12*$B$13*$B$18*$B$19*$B$22*$B$25,0)</f>
        <v/>
      </c>
      <c r="AP52" s="127">
        <f>ROUND($B$7*$B$12*$B$13*$B$18*$B$19*$B$23*$B$24,0)</f>
        <v/>
      </c>
      <c r="AQ52" s="127">
        <f>ROUND($B$7*$B$12*$B$13*$B$18*$B$19*$B$23*$B$25,0)</f>
        <v/>
      </c>
      <c r="AR52" s="127">
        <f>ROUND($B$7*$B$12*$B$13*$B$18*$B$20*$B$22*$B$24,0)</f>
        <v/>
      </c>
      <c r="AS52" s="127">
        <f>ROUND($B$7*$B$12*$B$13*$B$18*$B$20*$B$22*$B$25,0)</f>
        <v/>
      </c>
      <c r="AT52" s="127">
        <f>ROUND($B$7*$B$12*$B$13*$B$18*$B$20*$B$23*$B$24,0)</f>
        <v/>
      </c>
      <c r="AU52" s="127">
        <f>ROUND($B$7*$B$12*$B$13*$B$18*$B$20*$B$23*$B$25,0)</f>
        <v/>
      </c>
      <c r="AV52" s="127">
        <f>ROUND($B$7*$B$12*$B$13*$B$18*$B$21*$B$22*$B$24,0)</f>
        <v/>
      </c>
      <c r="AW52" s="127">
        <f>ROUND($B$7*$B$12*$B$13*$B$18*$B$21*$B$22*$B$25,0)</f>
        <v/>
      </c>
      <c r="AX52" s="127">
        <f>ROUND($B$7*$B$12*$B$13*$B$18*$B$21*$B$23*$B$24,0)</f>
        <v/>
      </c>
      <c r="AY52" s="127">
        <f>ROUND($B$7*$B$12*$B$13*$B$18*$B$21*$B$23*$B$25,0)</f>
        <v/>
      </c>
      <c r="AZ52" s="128">
        <f>ROUND($B$8*$B$12*$B$13*$B$18*$B$19*$B$22*$B$24,0)</f>
        <v/>
      </c>
      <c r="BA52" s="128">
        <f>ROUND($B$8*$B$12*$B$13*$B$18*$B$19*$B$22*$B$25,0)</f>
        <v/>
      </c>
      <c r="BB52" s="128">
        <f>ROUND($B$8*$B$12*$B$13*$B$18*$B$19*$B$23*$B$24,0)</f>
        <v/>
      </c>
      <c r="BC52" s="128">
        <f>ROUND($B$8*$B$12*$B$13*$B$18*$B$19*$B$23*$B$25,0)</f>
        <v/>
      </c>
      <c r="BD52" s="128">
        <f>ROUND($B$8*$B$12*$B$13*$B$18*$B$20*$B$22*$B$24,0)</f>
        <v/>
      </c>
      <c r="BE52" s="128">
        <f>ROUND($B$8*$B$12*$B$13*$B$18*$B$20*$B$22*$B$25,0)</f>
        <v/>
      </c>
      <c r="BF52" s="128">
        <f>ROUND($B$8*$B$12*$B$13*$B$18*$B$20*$B$23*$B$24,0)</f>
        <v/>
      </c>
      <c r="BG52" s="128">
        <f>ROUND($B$8*$B$12*$B$13*$B$18*$B$20*$B$23*$B$25,0)</f>
        <v/>
      </c>
      <c r="BH52" s="128">
        <f>ROUND($B$8*$B$12*$B$13*$B$18*$B$21*$B$22*$B$24,0)</f>
        <v/>
      </c>
      <c r="BI52" s="128">
        <f>ROUND($B$8*$B$12*$B$13*$B$18*$B$21*$B$22*$B$25,0)</f>
        <v/>
      </c>
      <c r="BJ52" s="128">
        <f>ROUND($B$8*$B$12*$B$13*$B$18*$B$21*$B$23*$B$24,0)</f>
        <v/>
      </c>
      <c r="BK52" s="128">
        <f>ROUND($B$8*$B$12*$B$13*$B$18*$B$21*$B$23*$B$25,0)</f>
        <v/>
      </c>
    </row>
    <row r="53" ht="20" customHeight="1" s="62">
      <c r="B53" s="125" t="inlineStr">
        <is>
          <t>Maturité digitale intermédiaire</t>
        </is>
      </c>
      <c r="C53" s="126" t="inlineStr">
        <is>
          <t>1-2 cas d'usage IA</t>
        </is>
      </c>
      <c r="D53" s="127">
        <f>ROUND($B$4*$B$12*$B$14*$B$16*$B$19*$B$22*$B$24,0)</f>
        <v/>
      </c>
      <c r="E53" s="127">
        <f>ROUND($B$4*$B$12*$B$14*$B$16*$B$19*$B$22*$B$25,0)</f>
        <v/>
      </c>
      <c r="F53" s="127">
        <f>ROUND($B$4*$B$12*$B$14*$B$16*$B$19*$B$23*$B$24,0)</f>
        <v/>
      </c>
      <c r="G53" s="127">
        <f>ROUND($B$4*$B$12*$B$14*$B$16*$B$19*$B$23*$B$25,0)</f>
        <v/>
      </c>
      <c r="H53" s="127">
        <f>ROUND($B$4*$B$12*$B$14*$B$16*$B$20*$B$22*$B$24,0)</f>
        <v/>
      </c>
      <c r="I53" s="127">
        <f>ROUND($B$4*$B$12*$B$14*$B$16*$B$20*$B$22*$B$25,0)</f>
        <v/>
      </c>
      <c r="J53" s="127">
        <f>ROUND($B$4*$B$12*$B$14*$B$16*$B$20*$B$23*$B$24,0)</f>
        <v/>
      </c>
      <c r="K53" s="127">
        <f>ROUND($B$4*$B$12*$B$14*$B$16*$B$20*$B$23*$B$25,0)</f>
        <v/>
      </c>
      <c r="L53" s="127">
        <f>ROUND($B$4*$B$12*$B$14*$B$16*$B$21*$B$22*$B$24,0)</f>
        <v/>
      </c>
      <c r="M53" s="127">
        <f>ROUND($B$4*$B$12*$B$14*$B$16*$B$21*$B$22*$B$25,0)</f>
        <v/>
      </c>
      <c r="N53" s="127">
        <f>ROUND($B$4*$B$12*$B$14*$B$16*$B$21*$B$23*$B$24,0)</f>
        <v/>
      </c>
      <c r="O53" s="127">
        <f>ROUND($B$4*$B$12*$B$14*$B$16*$B$21*$B$23*$B$25,0)</f>
        <v/>
      </c>
      <c r="P53" s="127">
        <f>ROUND($B$5*$B$12*$B$14*$B$16*$B$19*$B$22*$B$24,0)</f>
        <v/>
      </c>
      <c r="Q53" s="127">
        <f>ROUND($B$5*$B$12*$B$14*$B$16*$B$19*$B$22*$B$25,0)</f>
        <v/>
      </c>
      <c r="R53" s="127">
        <f>ROUND($B$5*$B$12*$B$14*$B$16*$B$19*$B$23*$B$24,0)</f>
        <v/>
      </c>
      <c r="S53" s="127">
        <f>ROUND($B$5*$B$12*$B$14*$B$16*$B$19*$B$23*$B$25,0)</f>
        <v/>
      </c>
      <c r="T53" s="127">
        <f>ROUND($B$5*$B$12*$B$14*$B$16*$B$20*$B$22*$B$24,0)</f>
        <v/>
      </c>
      <c r="U53" s="127">
        <f>ROUND($B$5*$B$12*$B$14*$B$16*$B$20*$B$22*$B$25,0)</f>
        <v/>
      </c>
      <c r="V53" s="127">
        <f>ROUND($B$5*$B$12*$B$14*$B$16*$B$20*$B$23*$B$24,0)</f>
        <v/>
      </c>
      <c r="W53" s="127">
        <f>ROUND($B$5*$B$12*$B$14*$B$16*$B$20*$B$23*$B$25,0)</f>
        <v/>
      </c>
      <c r="X53" s="127">
        <f>ROUND($B$5*$B$12*$B$14*$B$16*$B$21*$B$22*$B$24,0)</f>
        <v/>
      </c>
      <c r="Y53" s="127">
        <f>ROUND($B$5*$B$12*$B$14*$B$16*$B$21*$B$22*$B$25,0)</f>
        <v/>
      </c>
      <c r="Z53" s="127">
        <f>ROUND($B$5*$B$12*$B$14*$B$16*$B$21*$B$23*$B$24,0)</f>
        <v/>
      </c>
      <c r="AA53" s="127">
        <f>ROUND($B$5*$B$12*$B$14*$B$16*$B$21*$B$23*$B$25,0)</f>
        <v/>
      </c>
      <c r="AB53" s="127">
        <f>ROUND($B$6*$B$12*$B$14*$B$16*$B$19*$B$22*$B$24,0)</f>
        <v/>
      </c>
      <c r="AC53" s="127">
        <f>ROUND($B$6*$B$12*$B$14*$B$16*$B$19*$B$22*$B$25,0)</f>
        <v/>
      </c>
      <c r="AD53" s="127">
        <f>ROUND($B$6*$B$12*$B$14*$B$16*$B$19*$B$23*$B$24,0)</f>
        <v/>
      </c>
      <c r="AE53" s="127">
        <f>ROUND($B$6*$B$12*$B$14*$B$16*$B$19*$B$23*$B$25,0)</f>
        <v/>
      </c>
      <c r="AF53" s="127">
        <f>ROUND($B$6*$B$12*$B$14*$B$16*$B$20*$B$22*$B$24,0)</f>
        <v/>
      </c>
      <c r="AG53" s="127">
        <f>ROUND($B$6*$B$12*$B$14*$B$16*$B$20*$B$22*$B$25,0)</f>
        <v/>
      </c>
      <c r="AH53" s="127">
        <f>ROUND($B$6*$B$12*$B$14*$B$16*$B$20*$B$23*$B$24,0)</f>
        <v/>
      </c>
      <c r="AI53" s="127">
        <f>ROUND($B$6*$B$12*$B$14*$B$16*$B$20*$B$23*$B$25,0)</f>
        <v/>
      </c>
      <c r="AJ53" s="127">
        <f>ROUND($B$6*$B$12*$B$14*$B$16*$B$21*$B$22*$B$24,0)</f>
        <v/>
      </c>
      <c r="AK53" s="127">
        <f>ROUND($B$6*$B$12*$B$14*$B$16*$B$21*$B$22*$B$25,0)</f>
        <v/>
      </c>
      <c r="AL53" s="127">
        <f>ROUND($B$6*$B$12*$B$14*$B$16*$B$21*$B$23*$B$24,0)</f>
        <v/>
      </c>
      <c r="AM53" s="127">
        <f>ROUND($B$6*$B$12*$B$14*$B$16*$B$21*$B$23*$B$25,0)</f>
        <v/>
      </c>
      <c r="AN53" s="127">
        <f>ROUND($B$7*$B$12*$B$14*$B$16*$B$19*$B$22*$B$24,0)</f>
        <v/>
      </c>
      <c r="AO53" s="127">
        <f>ROUND($B$7*$B$12*$B$14*$B$16*$B$19*$B$22*$B$25,0)</f>
        <v/>
      </c>
      <c r="AP53" s="127">
        <f>ROUND($B$7*$B$12*$B$14*$B$16*$B$19*$B$23*$B$24,0)</f>
        <v/>
      </c>
      <c r="AQ53" s="127">
        <f>ROUND($B$7*$B$12*$B$14*$B$16*$B$19*$B$23*$B$25,0)</f>
        <v/>
      </c>
      <c r="AR53" s="127">
        <f>ROUND($B$7*$B$12*$B$14*$B$16*$B$20*$B$22*$B$24,0)</f>
        <v/>
      </c>
      <c r="AS53" s="127">
        <f>ROUND($B$7*$B$12*$B$14*$B$16*$B$20*$B$22*$B$25,0)</f>
        <v/>
      </c>
      <c r="AT53" s="127">
        <f>ROUND($B$7*$B$12*$B$14*$B$16*$B$20*$B$23*$B$24,0)</f>
        <v/>
      </c>
      <c r="AU53" s="127">
        <f>ROUND($B$7*$B$12*$B$14*$B$16*$B$20*$B$23*$B$25,0)</f>
        <v/>
      </c>
      <c r="AV53" s="127">
        <f>ROUND($B$7*$B$12*$B$14*$B$16*$B$21*$B$22*$B$24,0)</f>
        <v/>
      </c>
      <c r="AW53" s="127">
        <f>ROUND($B$7*$B$12*$B$14*$B$16*$B$21*$B$22*$B$25,0)</f>
        <v/>
      </c>
      <c r="AX53" s="127">
        <f>ROUND($B$7*$B$12*$B$14*$B$16*$B$21*$B$23*$B$24,0)</f>
        <v/>
      </c>
      <c r="AY53" s="127">
        <f>ROUND($B$7*$B$12*$B$14*$B$16*$B$21*$B$23*$B$25,0)</f>
        <v/>
      </c>
      <c r="AZ53" s="128">
        <f>ROUND($B$8*$B$12*$B$14*$B$16*$B$19*$B$22*$B$24,0)</f>
        <v/>
      </c>
      <c r="BA53" s="128">
        <f>ROUND($B$8*$B$12*$B$14*$B$16*$B$19*$B$22*$B$25,0)</f>
        <v/>
      </c>
      <c r="BB53" s="128">
        <f>ROUND($B$8*$B$12*$B$14*$B$16*$B$19*$B$23*$B$24,0)</f>
        <v/>
      </c>
      <c r="BC53" s="128">
        <f>ROUND($B$8*$B$12*$B$14*$B$16*$B$19*$B$23*$B$25,0)</f>
        <v/>
      </c>
      <c r="BD53" s="128">
        <f>ROUND($B$8*$B$12*$B$14*$B$16*$B$20*$B$22*$B$24,0)</f>
        <v/>
      </c>
      <c r="BE53" s="128">
        <f>ROUND($B$8*$B$12*$B$14*$B$16*$B$20*$B$22*$B$25,0)</f>
        <v/>
      </c>
      <c r="BF53" s="128">
        <f>ROUND($B$8*$B$12*$B$14*$B$16*$B$20*$B$23*$B$24,0)</f>
        <v/>
      </c>
      <c r="BG53" s="128">
        <f>ROUND($B$8*$B$12*$B$14*$B$16*$B$20*$B$23*$B$25,0)</f>
        <v/>
      </c>
      <c r="BH53" s="128">
        <f>ROUND($B$8*$B$12*$B$14*$B$16*$B$21*$B$22*$B$24,0)</f>
        <v/>
      </c>
      <c r="BI53" s="128">
        <f>ROUND($B$8*$B$12*$B$14*$B$16*$B$21*$B$22*$B$25,0)</f>
        <v/>
      </c>
      <c r="BJ53" s="128">
        <f>ROUND($B$8*$B$12*$B$14*$B$16*$B$21*$B$23*$B$24,0)</f>
        <v/>
      </c>
      <c r="BK53" s="128">
        <f>ROUND($B$8*$B$12*$B$14*$B$16*$B$21*$B$23*$B$25,0)</f>
        <v/>
      </c>
    </row>
    <row r="54" ht="20" customHeight="1" s="62">
      <c r="C54" s="125" t="inlineStr">
        <is>
          <t>3-5 cas d'usage IA</t>
        </is>
      </c>
      <c r="D54" s="127">
        <f>ROUND($B$4*$B$12*$B$14*$B$17*$B$19*$B$22*$B$24,0)</f>
        <v/>
      </c>
      <c r="E54" s="127">
        <f>ROUND($B$4*$B$12*$B$14*$B$17*$B$19*$B$22*$B$25,0)</f>
        <v/>
      </c>
      <c r="F54" s="127">
        <f>ROUND($B$4*$B$12*$B$14*$B$17*$B$19*$B$23*$B$24,0)</f>
        <v/>
      </c>
      <c r="G54" s="127">
        <f>ROUND($B$4*$B$12*$B$14*$B$17*$B$19*$B$23*$B$25,0)</f>
        <v/>
      </c>
      <c r="H54" s="127">
        <f>ROUND($B$4*$B$12*$B$14*$B$17*$B$20*$B$22*$B$24,0)</f>
        <v/>
      </c>
      <c r="I54" s="127">
        <f>ROUND($B$4*$B$12*$B$14*$B$17*$B$20*$B$22*$B$25,0)</f>
        <v/>
      </c>
      <c r="J54" s="127">
        <f>ROUND($B$4*$B$12*$B$14*$B$17*$B$20*$B$23*$B$24,0)</f>
        <v/>
      </c>
      <c r="K54" s="127">
        <f>ROUND($B$4*$B$12*$B$14*$B$17*$B$20*$B$23*$B$25,0)</f>
        <v/>
      </c>
      <c r="L54" s="127">
        <f>ROUND($B$4*$B$12*$B$14*$B$17*$B$21*$B$22*$B$24,0)</f>
        <v/>
      </c>
      <c r="M54" s="127">
        <f>ROUND($B$4*$B$12*$B$14*$B$17*$B$21*$B$22*$B$25,0)</f>
        <v/>
      </c>
      <c r="N54" s="127">
        <f>ROUND($B$4*$B$12*$B$14*$B$17*$B$21*$B$23*$B$24,0)</f>
        <v/>
      </c>
      <c r="O54" s="127">
        <f>ROUND($B$4*$B$12*$B$14*$B$17*$B$21*$B$23*$B$25,0)</f>
        <v/>
      </c>
      <c r="P54" s="127">
        <f>ROUND($B$5*$B$12*$B$14*$B$17*$B$19*$B$22*$B$24,0)</f>
        <v/>
      </c>
      <c r="Q54" s="127">
        <f>ROUND($B$5*$B$12*$B$14*$B$17*$B$19*$B$22*$B$25,0)</f>
        <v/>
      </c>
      <c r="R54" s="127">
        <f>ROUND($B$5*$B$12*$B$14*$B$17*$B$19*$B$23*$B$24,0)</f>
        <v/>
      </c>
      <c r="S54" s="127">
        <f>ROUND($B$5*$B$12*$B$14*$B$17*$B$19*$B$23*$B$25,0)</f>
        <v/>
      </c>
      <c r="T54" s="127">
        <f>ROUND($B$5*$B$12*$B$14*$B$17*$B$20*$B$22*$B$24,0)</f>
        <v/>
      </c>
      <c r="U54" s="127">
        <f>ROUND($B$5*$B$12*$B$14*$B$17*$B$20*$B$22*$B$25,0)</f>
        <v/>
      </c>
      <c r="V54" s="127">
        <f>ROUND($B$5*$B$12*$B$14*$B$17*$B$20*$B$23*$B$24,0)</f>
        <v/>
      </c>
      <c r="W54" s="127">
        <f>ROUND($B$5*$B$12*$B$14*$B$17*$B$20*$B$23*$B$25,0)</f>
        <v/>
      </c>
      <c r="X54" s="127">
        <f>ROUND($B$5*$B$12*$B$14*$B$17*$B$21*$B$22*$B$24,0)</f>
        <v/>
      </c>
      <c r="Y54" s="127">
        <f>ROUND($B$5*$B$12*$B$14*$B$17*$B$21*$B$22*$B$25,0)</f>
        <v/>
      </c>
      <c r="Z54" s="127">
        <f>ROUND($B$5*$B$12*$B$14*$B$17*$B$21*$B$23*$B$24,0)</f>
        <v/>
      </c>
      <c r="AA54" s="127">
        <f>ROUND($B$5*$B$12*$B$14*$B$17*$B$21*$B$23*$B$25,0)</f>
        <v/>
      </c>
      <c r="AB54" s="127">
        <f>ROUND($B$6*$B$12*$B$14*$B$17*$B$19*$B$22*$B$24,0)</f>
        <v/>
      </c>
      <c r="AC54" s="127">
        <f>ROUND($B$6*$B$12*$B$14*$B$17*$B$19*$B$22*$B$25,0)</f>
        <v/>
      </c>
      <c r="AD54" s="127">
        <f>ROUND($B$6*$B$12*$B$14*$B$17*$B$19*$B$23*$B$24,0)</f>
        <v/>
      </c>
      <c r="AE54" s="127">
        <f>ROUND($B$6*$B$12*$B$14*$B$17*$B$19*$B$23*$B$25,0)</f>
        <v/>
      </c>
      <c r="AF54" s="127">
        <f>ROUND($B$6*$B$12*$B$14*$B$17*$B$20*$B$22*$B$24,0)</f>
        <v/>
      </c>
      <c r="AG54" s="127">
        <f>ROUND($B$6*$B$12*$B$14*$B$17*$B$20*$B$22*$B$25,0)</f>
        <v/>
      </c>
      <c r="AH54" s="127">
        <f>ROUND($B$6*$B$12*$B$14*$B$17*$B$20*$B$23*$B$24,0)</f>
        <v/>
      </c>
      <c r="AI54" s="127">
        <f>ROUND($B$6*$B$12*$B$14*$B$17*$B$20*$B$23*$B$25,0)</f>
        <v/>
      </c>
      <c r="AJ54" s="127">
        <f>ROUND($B$6*$B$12*$B$14*$B$17*$B$21*$B$22*$B$24,0)</f>
        <v/>
      </c>
      <c r="AK54" s="127">
        <f>ROUND($B$6*$B$12*$B$14*$B$17*$B$21*$B$22*$B$25,0)</f>
        <v/>
      </c>
      <c r="AL54" s="127">
        <f>ROUND($B$6*$B$12*$B$14*$B$17*$B$21*$B$23*$B$24,0)</f>
        <v/>
      </c>
      <c r="AM54" s="127">
        <f>ROUND($B$6*$B$12*$B$14*$B$17*$B$21*$B$23*$B$25,0)</f>
        <v/>
      </c>
      <c r="AN54" s="127">
        <f>ROUND($B$7*$B$12*$B$14*$B$17*$B$19*$B$22*$B$24,0)</f>
        <v/>
      </c>
      <c r="AO54" s="127">
        <f>ROUND($B$7*$B$12*$B$14*$B$17*$B$19*$B$22*$B$25,0)</f>
        <v/>
      </c>
      <c r="AP54" s="127">
        <f>ROUND($B$7*$B$12*$B$14*$B$17*$B$19*$B$23*$B$24,0)</f>
        <v/>
      </c>
      <c r="AQ54" s="127">
        <f>ROUND($B$7*$B$12*$B$14*$B$17*$B$19*$B$23*$B$25,0)</f>
        <v/>
      </c>
      <c r="AR54" s="127">
        <f>ROUND($B$7*$B$12*$B$14*$B$17*$B$20*$B$22*$B$24,0)</f>
        <v/>
      </c>
      <c r="AS54" s="127">
        <f>ROUND($B$7*$B$12*$B$14*$B$17*$B$20*$B$22*$B$25,0)</f>
        <v/>
      </c>
      <c r="AT54" s="127">
        <f>ROUND($B$7*$B$12*$B$14*$B$17*$B$20*$B$23*$B$24,0)</f>
        <v/>
      </c>
      <c r="AU54" s="127">
        <f>ROUND($B$7*$B$12*$B$14*$B$17*$B$20*$B$23*$B$25,0)</f>
        <v/>
      </c>
      <c r="AV54" s="127">
        <f>ROUND($B$7*$B$12*$B$14*$B$17*$B$21*$B$22*$B$24,0)</f>
        <v/>
      </c>
      <c r="AW54" s="127">
        <f>ROUND($B$7*$B$12*$B$14*$B$17*$B$21*$B$22*$B$25,0)</f>
        <v/>
      </c>
      <c r="AX54" s="127">
        <f>ROUND($B$7*$B$12*$B$14*$B$17*$B$21*$B$23*$B$24,0)</f>
        <v/>
      </c>
      <c r="AY54" s="127">
        <f>ROUND($B$7*$B$12*$B$14*$B$17*$B$21*$B$23*$B$25,0)</f>
        <v/>
      </c>
      <c r="AZ54" s="128">
        <f>ROUND($B$8*$B$12*$B$14*$B$17*$B$19*$B$22*$B$24,0)</f>
        <v/>
      </c>
      <c r="BA54" s="128">
        <f>ROUND($B$8*$B$12*$B$14*$B$17*$B$19*$B$22*$B$25,0)</f>
        <v/>
      </c>
      <c r="BB54" s="128">
        <f>ROUND($B$8*$B$12*$B$14*$B$17*$B$19*$B$23*$B$24,0)</f>
        <v/>
      </c>
      <c r="BC54" s="128">
        <f>ROUND($B$8*$B$12*$B$14*$B$17*$B$19*$B$23*$B$25,0)</f>
        <v/>
      </c>
      <c r="BD54" s="128">
        <f>ROUND($B$8*$B$12*$B$14*$B$17*$B$20*$B$22*$B$24,0)</f>
        <v/>
      </c>
      <c r="BE54" s="128">
        <f>ROUND($B$8*$B$12*$B$14*$B$17*$B$20*$B$22*$B$25,0)</f>
        <v/>
      </c>
      <c r="BF54" s="128">
        <f>ROUND($B$8*$B$12*$B$14*$B$17*$B$20*$B$23*$B$24,0)</f>
        <v/>
      </c>
      <c r="BG54" s="128">
        <f>ROUND($B$8*$B$12*$B$14*$B$17*$B$20*$B$23*$B$25,0)</f>
        <v/>
      </c>
      <c r="BH54" s="128">
        <f>ROUND($B$8*$B$12*$B$14*$B$17*$B$21*$B$22*$B$24,0)</f>
        <v/>
      </c>
      <c r="BI54" s="128">
        <f>ROUND($B$8*$B$12*$B$14*$B$17*$B$21*$B$22*$B$25,0)</f>
        <v/>
      </c>
      <c r="BJ54" s="128">
        <f>ROUND($B$8*$B$12*$B$14*$B$17*$B$21*$B$23*$B$24,0)</f>
        <v/>
      </c>
      <c r="BK54" s="128">
        <f>ROUND($B$8*$B$12*$B$14*$B$17*$B$21*$B$23*$B$25,0)</f>
        <v/>
      </c>
    </row>
    <row r="55" ht="20" customHeight="1" s="62">
      <c r="C55" s="129" t="inlineStr">
        <is>
          <t>6+ cas d'usage IA</t>
        </is>
      </c>
      <c r="D55" s="127">
        <f>ROUND($B$4*$B$12*$B$14*$B$18*$B$19*$B$22*$B$24,0)</f>
        <v/>
      </c>
      <c r="E55" s="127">
        <f>ROUND($B$4*$B$12*$B$14*$B$18*$B$19*$B$22*$B$25,0)</f>
        <v/>
      </c>
      <c r="F55" s="127">
        <f>ROUND($B$4*$B$12*$B$14*$B$18*$B$19*$B$23*$B$24,0)</f>
        <v/>
      </c>
      <c r="G55" s="127">
        <f>ROUND($B$4*$B$12*$B$14*$B$18*$B$19*$B$23*$B$25,0)</f>
        <v/>
      </c>
      <c r="H55" s="127">
        <f>ROUND($B$4*$B$12*$B$14*$B$18*$B$20*$B$22*$B$24,0)</f>
        <v/>
      </c>
      <c r="I55" s="127">
        <f>ROUND($B$4*$B$12*$B$14*$B$18*$B$20*$B$22*$B$25,0)</f>
        <v/>
      </c>
      <c r="J55" s="127">
        <f>ROUND($B$4*$B$12*$B$14*$B$18*$B$20*$B$23*$B$24,0)</f>
        <v/>
      </c>
      <c r="K55" s="127">
        <f>ROUND($B$4*$B$12*$B$14*$B$18*$B$20*$B$23*$B$25,0)</f>
        <v/>
      </c>
      <c r="L55" s="127">
        <f>ROUND($B$4*$B$12*$B$14*$B$18*$B$21*$B$22*$B$24,0)</f>
        <v/>
      </c>
      <c r="M55" s="127">
        <f>ROUND($B$4*$B$12*$B$14*$B$18*$B$21*$B$22*$B$25,0)</f>
        <v/>
      </c>
      <c r="N55" s="127">
        <f>ROUND($B$4*$B$12*$B$14*$B$18*$B$21*$B$23*$B$24,0)</f>
        <v/>
      </c>
      <c r="O55" s="127">
        <f>ROUND($B$4*$B$12*$B$14*$B$18*$B$21*$B$23*$B$25,0)</f>
        <v/>
      </c>
      <c r="P55" s="127">
        <f>ROUND($B$5*$B$12*$B$14*$B$18*$B$19*$B$22*$B$24,0)</f>
        <v/>
      </c>
      <c r="Q55" s="127">
        <f>ROUND($B$5*$B$12*$B$14*$B$18*$B$19*$B$22*$B$25,0)</f>
        <v/>
      </c>
      <c r="R55" s="127">
        <f>ROUND($B$5*$B$12*$B$14*$B$18*$B$19*$B$23*$B$24,0)</f>
        <v/>
      </c>
      <c r="S55" s="127">
        <f>ROUND($B$5*$B$12*$B$14*$B$18*$B$19*$B$23*$B$25,0)</f>
        <v/>
      </c>
      <c r="T55" s="127">
        <f>ROUND($B$5*$B$12*$B$14*$B$18*$B$20*$B$22*$B$24,0)</f>
        <v/>
      </c>
      <c r="U55" s="127">
        <f>ROUND($B$5*$B$12*$B$14*$B$18*$B$20*$B$22*$B$25,0)</f>
        <v/>
      </c>
      <c r="V55" s="127">
        <f>ROUND($B$5*$B$12*$B$14*$B$18*$B$20*$B$23*$B$24,0)</f>
        <v/>
      </c>
      <c r="W55" s="127">
        <f>ROUND($B$5*$B$12*$B$14*$B$18*$B$20*$B$23*$B$25,0)</f>
        <v/>
      </c>
      <c r="X55" s="127">
        <f>ROUND($B$5*$B$12*$B$14*$B$18*$B$21*$B$22*$B$24,0)</f>
        <v/>
      </c>
      <c r="Y55" s="127">
        <f>ROUND($B$5*$B$12*$B$14*$B$18*$B$21*$B$22*$B$25,0)</f>
        <v/>
      </c>
      <c r="Z55" s="127">
        <f>ROUND($B$5*$B$12*$B$14*$B$18*$B$21*$B$23*$B$24,0)</f>
        <v/>
      </c>
      <c r="AA55" s="127">
        <f>ROUND($B$5*$B$12*$B$14*$B$18*$B$21*$B$23*$B$25,0)</f>
        <v/>
      </c>
      <c r="AB55" s="127">
        <f>ROUND($B$6*$B$12*$B$14*$B$18*$B$19*$B$22*$B$24,0)</f>
        <v/>
      </c>
      <c r="AC55" s="127">
        <f>ROUND($B$6*$B$12*$B$14*$B$18*$B$19*$B$22*$B$25,0)</f>
        <v/>
      </c>
      <c r="AD55" s="127">
        <f>ROUND($B$6*$B$12*$B$14*$B$18*$B$19*$B$23*$B$24,0)</f>
        <v/>
      </c>
      <c r="AE55" s="127">
        <f>ROUND($B$6*$B$12*$B$14*$B$18*$B$19*$B$23*$B$25,0)</f>
        <v/>
      </c>
      <c r="AF55" s="127">
        <f>ROUND($B$6*$B$12*$B$14*$B$18*$B$20*$B$22*$B$24,0)</f>
        <v/>
      </c>
      <c r="AG55" s="127">
        <f>ROUND($B$6*$B$12*$B$14*$B$18*$B$20*$B$22*$B$25,0)</f>
        <v/>
      </c>
      <c r="AH55" s="127">
        <f>ROUND($B$6*$B$12*$B$14*$B$18*$B$20*$B$23*$B$24,0)</f>
        <v/>
      </c>
      <c r="AI55" s="127">
        <f>ROUND($B$6*$B$12*$B$14*$B$18*$B$20*$B$23*$B$25,0)</f>
        <v/>
      </c>
      <c r="AJ55" s="127">
        <f>ROUND($B$6*$B$12*$B$14*$B$18*$B$21*$B$22*$B$24,0)</f>
        <v/>
      </c>
      <c r="AK55" s="127">
        <f>ROUND($B$6*$B$12*$B$14*$B$18*$B$21*$B$22*$B$25,0)</f>
        <v/>
      </c>
      <c r="AL55" s="127">
        <f>ROUND($B$6*$B$12*$B$14*$B$18*$B$21*$B$23*$B$24,0)</f>
        <v/>
      </c>
      <c r="AM55" s="127">
        <f>ROUND($B$6*$B$12*$B$14*$B$18*$B$21*$B$23*$B$25,0)</f>
        <v/>
      </c>
      <c r="AN55" s="127">
        <f>ROUND($B$7*$B$12*$B$14*$B$18*$B$19*$B$22*$B$24,0)</f>
        <v/>
      </c>
      <c r="AO55" s="127">
        <f>ROUND($B$7*$B$12*$B$14*$B$18*$B$19*$B$22*$B$25,0)</f>
        <v/>
      </c>
      <c r="AP55" s="127">
        <f>ROUND($B$7*$B$12*$B$14*$B$18*$B$19*$B$23*$B$24,0)</f>
        <v/>
      </c>
      <c r="AQ55" s="127">
        <f>ROUND($B$7*$B$12*$B$14*$B$18*$B$19*$B$23*$B$25,0)</f>
        <v/>
      </c>
      <c r="AR55" s="127">
        <f>ROUND($B$7*$B$12*$B$14*$B$18*$B$20*$B$22*$B$24,0)</f>
        <v/>
      </c>
      <c r="AS55" s="127">
        <f>ROUND($B$7*$B$12*$B$14*$B$18*$B$20*$B$22*$B$25,0)</f>
        <v/>
      </c>
      <c r="AT55" s="127">
        <f>ROUND($B$7*$B$12*$B$14*$B$18*$B$20*$B$23*$B$24,0)</f>
        <v/>
      </c>
      <c r="AU55" s="127">
        <f>ROUND($B$7*$B$12*$B$14*$B$18*$B$20*$B$23*$B$25,0)</f>
        <v/>
      </c>
      <c r="AV55" s="127">
        <f>ROUND($B$7*$B$12*$B$14*$B$18*$B$21*$B$22*$B$24,0)</f>
        <v/>
      </c>
      <c r="AW55" s="127">
        <f>ROUND($B$7*$B$12*$B$14*$B$18*$B$21*$B$22*$B$25,0)</f>
        <v/>
      </c>
      <c r="AX55" s="127">
        <f>ROUND($B$7*$B$12*$B$14*$B$18*$B$21*$B$23*$B$24,0)</f>
        <v/>
      </c>
      <c r="AY55" s="127">
        <f>ROUND($B$7*$B$12*$B$14*$B$18*$B$21*$B$23*$B$25,0)</f>
        <v/>
      </c>
      <c r="AZ55" s="128">
        <f>ROUND($B$8*$B$12*$B$14*$B$18*$B$19*$B$22*$B$24,0)</f>
        <v/>
      </c>
      <c r="BA55" s="128">
        <f>ROUND($B$8*$B$12*$B$14*$B$18*$B$19*$B$22*$B$25,0)</f>
        <v/>
      </c>
      <c r="BB55" s="128">
        <f>ROUND($B$8*$B$12*$B$14*$B$18*$B$19*$B$23*$B$24,0)</f>
        <v/>
      </c>
      <c r="BC55" s="128">
        <f>ROUND($B$8*$B$12*$B$14*$B$18*$B$19*$B$23*$B$25,0)</f>
        <v/>
      </c>
      <c r="BD55" s="128">
        <f>ROUND($B$8*$B$12*$B$14*$B$18*$B$20*$B$22*$B$24,0)</f>
        <v/>
      </c>
      <c r="BE55" s="128">
        <f>ROUND($B$8*$B$12*$B$14*$B$18*$B$20*$B$22*$B$25,0)</f>
        <v/>
      </c>
      <c r="BF55" s="128">
        <f>ROUND($B$8*$B$12*$B$14*$B$18*$B$20*$B$23*$B$24,0)</f>
        <v/>
      </c>
      <c r="BG55" s="128">
        <f>ROUND($B$8*$B$12*$B$14*$B$18*$B$20*$B$23*$B$25,0)</f>
        <v/>
      </c>
      <c r="BH55" s="128">
        <f>ROUND($B$8*$B$12*$B$14*$B$18*$B$21*$B$22*$B$24,0)</f>
        <v/>
      </c>
      <c r="BI55" s="128">
        <f>ROUND($B$8*$B$12*$B$14*$B$18*$B$21*$B$22*$B$25,0)</f>
        <v/>
      </c>
      <c r="BJ55" s="128">
        <f>ROUND($B$8*$B$12*$B$14*$B$18*$B$21*$B$23*$B$24,0)</f>
        <v/>
      </c>
      <c r="BK55" s="128">
        <f>ROUND($B$8*$B$12*$B$14*$B$18*$B$21*$B$23*$B$25,0)</f>
        <v/>
      </c>
    </row>
    <row r="56" ht="20" customHeight="1" s="62">
      <c r="B56" s="125" t="inlineStr">
        <is>
          <t>Maturité digitale avancée</t>
        </is>
      </c>
      <c r="C56" s="126" t="inlineStr">
        <is>
          <t>1-2 cas d'usage IA</t>
        </is>
      </c>
      <c r="D56" s="127">
        <f>ROUND($B$4*$B$12*$B$15*$B$16*$B$19*$B$22*$B$24,0)</f>
        <v/>
      </c>
      <c r="E56" s="127">
        <f>ROUND($B$4*$B$12*$B$15*$B$16*$B$19*$B$22*$B$25,0)</f>
        <v/>
      </c>
      <c r="F56" s="127">
        <f>ROUND($B$4*$B$12*$B$15*$B$16*$B$19*$B$23*$B$24,0)</f>
        <v/>
      </c>
      <c r="G56" s="127">
        <f>ROUND($B$4*$B$12*$B$15*$B$16*$B$19*$B$23*$B$25,0)</f>
        <v/>
      </c>
      <c r="H56" s="127">
        <f>ROUND($B$4*$B$12*$B$15*$B$16*$B$20*$B$22*$B$24,0)</f>
        <v/>
      </c>
      <c r="I56" s="127">
        <f>ROUND($B$4*$B$12*$B$15*$B$16*$B$20*$B$22*$B$25,0)</f>
        <v/>
      </c>
      <c r="J56" s="127">
        <f>ROUND($B$4*$B$12*$B$15*$B$16*$B$20*$B$23*$B$24,0)</f>
        <v/>
      </c>
      <c r="K56" s="127">
        <f>ROUND($B$4*$B$12*$B$15*$B$16*$B$20*$B$23*$B$25,0)</f>
        <v/>
      </c>
      <c r="L56" s="127">
        <f>ROUND($B$4*$B$12*$B$15*$B$16*$B$21*$B$22*$B$24,0)</f>
        <v/>
      </c>
      <c r="M56" s="127">
        <f>ROUND($B$4*$B$12*$B$15*$B$16*$B$21*$B$22*$B$25,0)</f>
        <v/>
      </c>
      <c r="N56" s="127">
        <f>ROUND($B$4*$B$12*$B$15*$B$16*$B$21*$B$23*$B$24,0)</f>
        <v/>
      </c>
      <c r="O56" s="127">
        <f>ROUND($B$4*$B$12*$B$15*$B$16*$B$21*$B$23*$B$25,0)</f>
        <v/>
      </c>
      <c r="P56" s="127">
        <f>ROUND($B$5*$B$12*$B$15*$B$16*$B$19*$B$22*$B$24,0)</f>
        <v/>
      </c>
      <c r="Q56" s="127">
        <f>ROUND($B$5*$B$12*$B$15*$B$16*$B$19*$B$22*$B$25,0)</f>
        <v/>
      </c>
      <c r="R56" s="127">
        <f>ROUND($B$5*$B$12*$B$15*$B$16*$B$19*$B$23*$B$24,0)</f>
        <v/>
      </c>
      <c r="S56" s="127">
        <f>ROUND($B$5*$B$12*$B$15*$B$16*$B$19*$B$23*$B$25,0)</f>
        <v/>
      </c>
      <c r="T56" s="127">
        <f>ROUND($B$5*$B$12*$B$15*$B$16*$B$20*$B$22*$B$24,0)</f>
        <v/>
      </c>
      <c r="U56" s="127">
        <f>ROUND($B$5*$B$12*$B$15*$B$16*$B$20*$B$22*$B$25,0)</f>
        <v/>
      </c>
      <c r="V56" s="127">
        <f>ROUND($B$5*$B$12*$B$15*$B$16*$B$20*$B$23*$B$24,0)</f>
        <v/>
      </c>
      <c r="W56" s="127">
        <f>ROUND($B$5*$B$12*$B$15*$B$16*$B$20*$B$23*$B$25,0)</f>
        <v/>
      </c>
      <c r="X56" s="127">
        <f>ROUND($B$5*$B$12*$B$15*$B$16*$B$21*$B$22*$B$24,0)</f>
        <v/>
      </c>
      <c r="Y56" s="127">
        <f>ROUND($B$5*$B$12*$B$15*$B$16*$B$21*$B$22*$B$25,0)</f>
        <v/>
      </c>
      <c r="Z56" s="127">
        <f>ROUND($B$5*$B$12*$B$15*$B$16*$B$21*$B$23*$B$24,0)</f>
        <v/>
      </c>
      <c r="AA56" s="127">
        <f>ROUND($B$5*$B$12*$B$15*$B$16*$B$21*$B$23*$B$25,0)</f>
        <v/>
      </c>
      <c r="AB56" s="127">
        <f>ROUND($B$6*$B$12*$B$15*$B$16*$B$19*$B$22*$B$24,0)</f>
        <v/>
      </c>
      <c r="AC56" s="127">
        <f>ROUND($B$6*$B$12*$B$15*$B$16*$B$19*$B$22*$B$25,0)</f>
        <v/>
      </c>
      <c r="AD56" s="127">
        <f>ROUND($B$6*$B$12*$B$15*$B$16*$B$19*$B$23*$B$24,0)</f>
        <v/>
      </c>
      <c r="AE56" s="127">
        <f>ROUND($B$6*$B$12*$B$15*$B$16*$B$19*$B$23*$B$25,0)</f>
        <v/>
      </c>
      <c r="AF56" s="127">
        <f>ROUND($B$6*$B$12*$B$15*$B$16*$B$20*$B$22*$B$24,0)</f>
        <v/>
      </c>
      <c r="AG56" s="127">
        <f>ROUND($B$6*$B$12*$B$15*$B$16*$B$20*$B$22*$B$25,0)</f>
        <v/>
      </c>
      <c r="AH56" s="127">
        <f>ROUND($B$6*$B$12*$B$15*$B$16*$B$20*$B$23*$B$24,0)</f>
        <v/>
      </c>
      <c r="AI56" s="127">
        <f>ROUND($B$6*$B$12*$B$15*$B$16*$B$20*$B$23*$B$25,0)</f>
        <v/>
      </c>
      <c r="AJ56" s="127">
        <f>ROUND($B$6*$B$12*$B$15*$B$16*$B$21*$B$22*$B$24,0)</f>
        <v/>
      </c>
      <c r="AK56" s="127">
        <f>ROUND($B$6*$B$12*$B$15*$B$16*$B$21*$B$22*$B$25,0)</f>
        <v/>
      </c>
      <c r="AL56" s="127">
        <f>ROUND($B$6*$B$12*$B$15*$B$16*$B$21*$B$23*$B$24,0)</f>
        <v/>
      </c>
      <c r="AM56" s="127">
        <f>ROUND($B$6*$B$12*$B$15*$B$16*$B$21*$B$23*$B$25,0)</f>
        <v/>
      </c>
      <c r="AN56" s="127">
        <f>ROUND($B$7*$B$12*$B$15*$B$16*$B$19*$B$22*$B$24,0)</f>
        <v/>
      </c>
      <c r="AO56" s="127">
        <f>ROUND($B$7*$B$12*$B$15*$B$16*$B$19*$B$22*$B$25,0)</f>
        <v/>
      </c>
      <c r="AP56" s="127">
        <f>ROUND($B$7*$B$12*$B$15*$B$16*$B$19*$B$23*$B$24,0)</f>
        <v/>
      </c>
      <c r="AQ56" s="127">
        <f>ROUND($B$7*$B$12*$B$15*$B$16*$B$19*$B$23*$B$25,0)</f>
        <v/>
      </c>
      <c r="AR56" s="127">
        <f>ROUND($B$7*$B$12*$B$15*$B$16*$B$20*$B$22*$B$24,0)</f>
        <v/>
      </c>
      <c r="AS56" s="127">
        <f>ROUND($B$7*$B$12*$B$15*$B$16*$B$20*$B$22*$B$25,0)</f>
        <v/>
      </c>
      <c r="AT56" s="127">
        <f>ROUND($B$7*$B$12*$B$15*$B$16*$B$20*$B$23*$B$24,0)</f>
        <v/>
      </c>
      <c r="AU56" s="127">
        <f>ROUND($B$7*$B$12*$B$15*$B$16*$B$20*$B$23*$B$25,0)</f>
        <v/>
      </c>
      <c r="AV56" s="127">
        <f>ROUND($B$7*$B$12*$B$15*$B$16*$B$21*$B$22*$B$24,0)</f>
        <v/>
      </c>
      <c r="AW56" s="127">
        <f>ROUND($B$7*$B$12*$B$15*$B$16*$B$21*$B$22*$B$25,0)</f>
        <v/>
      </c>
      <c r="AX56" s="127">
        <f>ROUND($B$7*$B$12*$B$15*$B$16*$B$21*$B$23*$B$24,0)</f>
        <v/>
      </c>
      <c r="AY56" s="127">
        <f>ROUND($B$7*$B$12*$B$15*$B$16*$B$21*$B$23*$B$25,0)</f>
        <v/>
      </c>
      <c r="AZ56" s="128">
        <f>ROUND($B$8*$B$12*$B$15*$B$16*$B$19*$B$22*$B$24,0)</f>
        <v/>
      </c>
      <c r="BA56" s="128">
        <f>ROUND($B$8*$B$12*$B$15*$B$16*$B$19*$B$22*$B$25,0)</f>
        <v/>
      </c>
      <c r="BB56" s="128">
        <f>ROUND($B$8*$B$12*$B$15*$B$16*$B$19*$B$23*$B$24,0)</f>
        <v/>
      </c>
      <c r="BC56" s="128">
        <f>ROUND($B$8*$B$12*$B$15*$B$16*$B$19*$B$23*$B$25,0)</f>
        <v/>
      </c>
      <c r="BD56" s="128">
        <f>ROUND($B$8*$B$12*$B$15*$B$16*$B$20*$B$22*$B$24,0)</f>
        <v/>
      </c>
      <c r="BE56" s="128">
        <f>ROUND($B$8*$B$12*$B$15*$B$16*$B$20*$B$22*$B$25,0)</f>
        <v/>
      </c>
      <c r="BF56" s="128">
        <f>ROUND($B$8*$B$12*$B$15*$B$16*$B$20*$B$23*$B$24,0)</f>
        <v/>
      </c>
      <c r="BG56" s="128">
        <f>ROUND($B$8*$B$12*$B$15*$B$16*$B$20*$B$23*$B$25,0)</f>
        <v/>
      </c>
      <c r="BH56" s="128">
        <f>ROUND($B$8*$B$12*$B$15*$B$16*$B$21*$B$22*$B$24,0)</f>
        <v/>
      </c>
      <c r="BI56" s="128">
        <f>ROUND($B$8*$B$12*$B$15*$B$16*$B$21*$B$22*$B$25,0)</f>
        <v/>
      </c>
      <c r="BJ56" s="128">
        <f>ROUND($B$8*$B$12*$B$15*$B$16*$B$21*$B$23*$B$24,0)</f>
        <v/>
      </c>
      <c r="BK56" s="128">
        <f>ROUND($B$8*$B$12*$B$15*$B$16*$B$21*$B$23*$B$25,0)</f>
        <v/>
      </c>
    </row>
    <row r="57" ht="20" customHeight="1" s="62">
      <c r="C57" s="125" t="inlineStr">
        <is>
          <t>3-5 cas d'usage IA</t>
        </is>
      </c>
      <c r="D57" s="127">
        <f>ROUND($B$4*$B$12*$B$15*$B$17*$B$19*$B$22*$B$24,0)</f>
        <v/>
      </c>
      <c r="E57" s="127">
        <f>ROUND($B$4*$B$12*$B$15*$B$17*$B$19*$B$22*$B$25,0)</f>
        <v/>
      </c>
      <c r="F57" s="127">
        <f>ROUND($B$4*$B$12*$B$15*$B$17*$B$19*$B$23*$B$24,0)</f>
        <v/>
      </c>
      <c r="G57" s="127">
        <f>ROUND($B$4*$B$12*$B$15*$B$17*$B$19*$B$23*$B$25,0)</f>
        <v/>
      </c>
      <c r="H57" s="127">
        <f>ROUND($B$4*$B$12*$B$15*$B$17*$B$20*$B$22*$B$24,0)</f>
        <v/>
      </c>
      <c r="I57" s="127">
        <f>ROUND($B$4*$B$12*$B$15*$B$17*$B$20*$B$22*$B$25,0)</f>
        <v/>
      </c>
      <c r="J57" s="127">
        <f>ROUND($B$4*$B$12*$B$15*$B$17*$B$20*$B$23*$B$24,0)</f>
        <v/>
      </c>
      <c r="K57" s="127">
        <f>ROUND($B$4*$B$12*$B$15*$B$17*$B$20*$B$23*$B$25,0)</f>
        <v/>
      </c>
      <c r="L57" s="127">
        <f>ROUND($B$4*$B$12*$B$15*$B$17*$B$21*$B$22*$B$24,0)</f>
        <v/>
      </c>
      <c r="M57" s="127">
        <f>ROUND($B$4*$B$12*$B$15*$B$17*$B$21*$B$22*$B$25,0)</f>
        <v/>
      </c>
      <c r="N57" s="127">
        <f>ROUND($B$4*$B$12*$B$15*$B$17*$B$21*$B$23*$B$24,0)</f>
        <v/>
      </c>
      <c r="O57" s="127">
        <f>ROUND($B$4*$B$12*$B$15*$B$17*$B$21*$B$23*$B$25,0)</f>
        <v/>
      </c>
      <c r="P57" s="127">
        <f>ROUND($B$5*$B$12*$B$15*$B$17*$B$19*$B$22*$B$24,0)</f>
        <v/>
      </c>
      <c r="Q57" s="127">
        <f>ROUND($B$5*$B$12*$B$15*$B$17*$B$19*$B$22*$B$25,0)</f>
        <v/>
      </c>
      <c r="R57" s="127">
        <f>ROUND($B$5*$B$12*$B$15*$B$17*$B$19*$B$23*$B$24,0)</f>
        <v/>
      </c>
      <c r="S57" s="127">
        <f>ROUND($B$5*$B$12*$B$15*$B$17*$B$19*$B$23*$B$25,0)</f>
        <v/>
      </c>
      <c r="T57" s="127">
        <f>ROUND($B$5*$B$12*$B$15*$B$17*$B$20*$B$22*$B$24,0)</f>
        <v/>
      </c>
      <c r="U57" s="127">
        <f>ROUND($B$5*$B$12*$B$15*$B$17*$B$20*$B$22*$B$25,0)</f>
        <v/>
      </c>
      <c r="V57" s="127">
        <f>ROUND($B$5*$B$12*$B$15*$B$17*$B$20*$B$23*$B$24,0)</f>
        <v/>
      </c>
      <c r="W57" s="127">
        <f>ROUND($B$5*$B$12*$B$15*$B$17*$B$20*$B$23*$B$25,0)</f>
        <v/>
      </c>
      <c r="X57" s="127">
        <f>ROUND($B$5*$B$12*$B$15*$B$17*$B$21*$B$22*$B$24,0)</f>
        <v/>
      </c>
      <c r="Y57" s="127">
        <f>ROUND($B$5*$B$12*$B$15*$B$17*$B$21*$B$22*$B$25,0)</f>
        <v/>
      </c>
      <c r="Z57" s="127">
        <f>ROUND($B$5*$B$12*$B$15*$B$17*$B$21*$B$23*$B$24,0)</f>
        <v/>
      </c>
      <c r="AA57" s="127">
        <f>ROUND($B$5*$B$12*$B$15*$B$17*$B$21*$B$23*$B$25,0)</f>
        <v/>
      </c>
      <c r="AB57" s="127">
        <f>ROUND($B$6*$B$12*$B$15*$B$17*$B$19*$B$22*$B$24,0)</f>
        <v/>
      </c>
      <c r="AC57" s="127">
        <f>ROUND($B$6*$B$12*$B$15*$B$17*$B$19*$B$22*$B$25,0)</f>
        <v/>
      </c>
      <c r="AD57" s="127">
        <f>ROUND($B$6*$B$12*$B$15*$B$17*$B$19*$B$23*$B$24,0)</f>
        <v/>
      </c>
      <c r="AE57" s="127">
        <f>ROUND($B$6*$B$12*$B$15*$B$17*$B$19*$B$23*$B$25,0)</f>
        <v/>
      </c>
      <c r="AF57" s="127">
        <f>ROUND($B$6*$B$12*$B$15*$B$17*$B$20*$B$22*$B$24,0)</f>
        <v/>
      </c>
      <c r="AG57" s="127">
        <f>ROUND($B$6*$B$12*$B$15*$B$17*$B$20*$B$22*$B$25,0)</f>
        <v/>
      </c>
      <c r="AH57" s="127">
        <f>ROUND($B$6*$B$12*$B$15*$B$17*$B$20*$B$23*$B$24,0)</f>
        <v/>
      </c>
      <c r="AI57" s="127">
        <f>ROUND($B$6*$B$12*$B$15*$B$17*$B$20*$B$23*$B$25,0)</f>
        <v/>
      </c>
      <c r="AJ57" s="127">
        <f>ROUND($B$6*$B$12*$B$15*$B$17*$B$21*$B$22*$B$24,0)</f>
        <v/>
      </c>
      <c r="AK57" s="127">
        <f>ROUND($B$6*$B$12*$B$15*$B$17*$B$21*$B$22*$B$25,0)</f>
        <v/>
      </c>
      <c r="AL57" s="127">
        <f>ROUND($B$6*$B$12*$B$15*$B$17*$B$21*$B$23*$B$24,0)</f>
        <v/>
      </c>
      <c r="AM57" s="127">
        <f>ROUND($B$6*$B$12*$B$15*$B$17*$B$21*$B$23*$B$25,0)</f>
        <v/>
      </c>
      <c r="AN57" s="127">
        <f>ROUND($B$7*$B$12*$B$15*$B$17*$B$19*$B$22*$B$24,0)</f>
        <v/>
      </c>
      <c r="AO57" s="127">
        <f>ROUND($B$7*$B$12*$B$15*$B$17*$B$19*$B$22*$B$25,0)</f>
        <v/>
      </c>
      <c r="AP57" s="127">
        <f>ROUND($B$7*$B$12*$B$15*$B$17*$B$19*$B$23*$B$24,0)</f>
        <v/>
      </c>
      <c r="AQ57" s="127">
        <f>ROUND($B$7*$B$12*$B$15*$B$17*$B$19*$B$23*$B$25,0)</f>
        <v/>
      </c>
      <c r="AR57" s="127">
        <f>ROUND($B$7*$B$12*$B$15*$B$17*$B$20*$B$22*$B$24,0)</f>
        <v/>
      </c>
      <c r="AS57" s="127">
        <f>ROUND($B$7*$B$12*$B$15*$B$17*$B$20*$B$22*$B$25,0)</f>
        <v/>
      </c>
      <c r="AT57" s="127">
        <f>ROUND($B$7*$B$12*$B$15*$B$17*$B$20*$B$23*$B$24,0)</f>
        <v/>
      </c>
      <c r="AU57" s="127">
        <f>ROUND($B$7*$B$12*$B$15*$B$17*$B$20*$B$23*$B$25,0)</f>
        <v/>
      </c>
      <c r="AV57" s="127">
        <f>ROUND($B$7*$B$12*$B$15*$B$17*$B$21*$B$22*$B$24,0)</f>
        <v/>
      </c>
      <c r="AW57" s="127">
        <f>ROUND($B$7*$B$12*$B$15*$B$17*$B$21*$B$22*$B$25,0)</f>
        <v/>
      </c>
      <c r="AX57" s="127">
        <f>ROUND($B$7*$B$12*$B$15*$B$17*$B$21*$B$23*$B$24,0)</f>
        <v/>
      </c>
      <c r="AY57" s="127">
        <f>ROUND($B$7*$B$12*$B$15*$B$17*$B$21*$B$23*$B$25,0)</f>
        <v/>
      </c>
      <c r="AZ57" s="128">
        <f>ROUND($B$8*$B$12*$B$15*$B$17*$B$19*$B$22*$B$24,0)</f>
        <v/>
      </c>
      <c r="BA57" s="128">
        <f>ROUND($B$8*$B$12*$B$15*$B$17*$B$19*$B$22*$B$25,0)</f>
        <v/>
      </c>
      <c r="BB57" s="128">
        <f>ROUND($B$8*$B$12*$B$15*$B$17*$B$19*$B$23*$B$24,0)</f>
        <v/>
      </c>
      <c r="BC57" s="128">
        <f>ROUND($B$8*$B$12*$B$15*$B$17*$B$19*$B$23*$B$25,0)</f>
        <v/>
      </c>
      <c r="BD57" s="128">
        <f>ROUND($B$8*$B$12*$B$15*$B$17*$B$20*$B$22*$B$24,0)</f>
        <v/>
      </c>
      <c r="BE57" s="128">
        <f>ROUND($B$8*$B$12*$B$15*$B$17*$B$20*$B$22*$B$25,0)</f>
        <v/>
      </c>
      <c r="BF57" s="128">
        <f>ROUND($B$8*$B$12*$B$15*$B$17*$B$20*$B$23*$B$24,0)</f>
        <v/>
      </c>
      <c r="BG57" s="128">
        <f>ROUND($B$8*$B$12*$B$15*$B$17*$B$20*$B$23*$B$25,0)</f>
        <v/>
      </c>
      <c r="BH57" s="128">
        <f>ROUND($B$8*$B$12*$B$15*$B$17*$B$21*$B$22*$B$24,0)</f>
        <v/>
      </c>
      <c r="BI57" s="128">
        <f>ROUND($B$8*$B$12*$B$15*$B$17*$B$21*$B$22*$B$25,0)</f>
        <v/>
      </c>
      <c r="BJ57" s="128">
        <f>ROUND($B$8*$B$12*$B$15*$B$17*$B$21*$B$23*$B$24,0)</f>
        <v/>
      </c>
      <c r="BK57" s="128">
        <f>ROUND($B$8*$B$12*$B$15*$B$17*$B$21*$B$23*$B$25,0)</f>
        <v/>
      </c>
    </row>
    <row r="58" ht="20" customHeight="1" s="62">
      <c r="C58" s="129" t="inlineStr">
        <is>
          <t>6+ cas d'usage IA</t>
        </is>
      </c>
      <c r="D58" s="127">
        <f>ROUND($B$4*$B$12*$B$15*$B$18*$B$19*$B$22*$B$24,0)</f>
        <v/>
      </c>
      <c r="E58" s="127">
        <f>ROUND($B$4*$B$12*$B$15*$B$18*$B$19*$B$22*$B$25,0)</f>
        <v/>
      </c>
      <c r="F58" s="127">
        <f>ROUND($B$4*$B$12*$B$15*$B$18*$B$19*$B$23*$B$24,0)</f>
        <v/>
      </c>
      <c r="G58" s="127">
        <f>ROUND($B$4*$B$12*$B$15*$B$18*$B$19*$B$23*$B$25,0)</f>
        <v/>
      </c>
      <c r="H58" s="127">
        <f>ROUND($B$4*$B$12*$B$15*$B$18*$B$20*$B$22*$B$24,0)</f>
        <v/>
      </c>
      <c r="I58" s="127">
        <f>ROUND($B$4*$B$12*$B$15*$B$18*$B$20*$B$22*$B$25,0)</f>
        <v/>
      </c>
      <c r="J58" s="127">
        <f>ROUND($B$4*$B$12*$B$15*$B$18*$B$20*$B$23*$B$24,0)</f>
        <v/>
      </c>
      <c r="K58" s="127">
        <f>ROUND($B$4*$B$12*$B$15*$B$18*$B$20*$B$23*$B$25,0)</f>
        <v/>
      </c>
      <c r="L58" s="127">
        <f>ROUND($B$4*$B$12*$B$15*$B$18*$B$21*$B$22*$B$24,0)</f>
        <v/>
      </c>
      <c r="M58" s="127">
        <f>ROUND($B$4*$B$12*$B$15*$B$18*$B$21*$B$22*$B$25,0)</f>
        <v/>
      </c>
      <c r="N58" s="127">
        <f>ROUND($B$4*$B$12*$B$15*$B$18*$B$21*$B$23*$B$24,0)</f>
        <v/>
      </c>
      <c r="O58" s="127">
        <f>ROUND($B$4*$B$12*$B$15*$B$18*$B$21*$B$23*$B$25,0)</f>
        <v/>
      </c>
      <c r="P58" s="127">
        <f>ROUND($B$5*$B$12*$B$15*$B$18*$B$19*$B$22*$B$24,0)</f>
        <v/>
      </c>
      <c r="Q58" s="127">
        <f>ROUND($B$5*$B$12*$B$15*$B$18*$B$19*$B$22*$B$25,0)</f>
        <v/>
      </c>
      <c r="R58" s="127">
        <f>ROUND($B$5*$B$12*$B$15*$B$18*$B$19*$B$23*$B$24,0)</f>
        <v/>
      </c>
      <c r="S58" s="127">
        <f>ROUND($B$5*$B$12*$B$15*$B$18*$B$19*$B$23*$B$25,0)</f>
        <v/>
      </c>
      <c r="T58" s="127">
        <f>ROUND($B$5*$B$12*$B$15*$B$18*$B$20*$B$22*$B$24,0)</f>
        <v/>
      </c>
      <c r="U58" s="127">
        <f>ROUND($B$5*$B$12*$B$15*$B$18*$B$20*$B$22*$B$25,0)</f>
        <v/>
      </c>
      <c r="V58" s="127">
        <f>ROUND($B$5*$B$12*$B$15*$B$18*$B$20*$B$23*$B$24,0)</f>
        <v/>
      </c>
      <c r="W58" s="127">
        <f>ROUND($B$5*$B$12*$B$15*$B$18*$B$20*$B$23*$B$25,0)</f>
        <v/>
      </c>
      <c r="X58" s="127">
        <f>ROUND($B$5*$B$12*$B$15*$B$18*$B$21*$B$22*$B$24,0)</f>
        <v/>
      </c>
      <c r="Y58" s="127">
        <f>ROUND($B$5*$B$12*$B$15*$B$18*$B$21*$B$22*$B$25,0)</f>
        <v/>
      </c>
      <c r="Z58" s="127">
        <f>ROUND($B$5*$B$12*$B$15*$B$18*$B$21*$B$23*$B$24,0)</f>
        <v/>
      </c>
      <c r="AA58" s="127">
        <f>ROUND($B$5*$B$12*$B$15*$B$18*$B$21*$B$23*$B$25,0)</f>
        <v/>
      </c>
      <c r="AB58" s="127">
        <f>ROUND($B$6*$B$12*$B$15*$B$18*$B$19*$B$22*$B$24,0)</f>
        <v/>
      </c>
      <c r="AC58" s="127">
        <f>ROUND($B$6*$B$12*$B$15*$B$18*$B$19*$B$22*$B$25,0)</f>
        <v/>
      </c>
      <c r="AD58" s="127">
        <f>ROUND($B$6*$B$12*$B$15*$B$18*$B$19*$B$23*$B$24,0)</f>
        <v/>
      </c>
      <c r="AE58" s="127">
        <f>ROUND($B$6*$B$12*$B$15*$B$18*$B$19*$B$23*$B$25,0)</f>
        <v/>
      </c>
      <c r="AF58" s="127">
        <f>ROUND($B$6*$B$12*$B$15*$B$18*$B$20*$B$22*$B$24,0)</f>
        <v/>
      </c>
      <c r="AG58" s="127">
        <f>ROUND($B$6*$B$12*$B$15*$B$18*$B$20*$B$22*$B$25,0)</f>
        <v/>
      </c>
      <c r="AH58" s="127">
        <f>ROUND($B$6*$B$12*$B$15*$B$18*$B$20*$B$23*$B$24,0)</f>
        <v/>
      </c>
      <c r="AI58" s="127">
        <f>ROUND($B$6*$B$12*$B$15*$B$18*$B$20*$B$23*$B$25,0)</f>
        <v/>
      </c>
      <c r="AJ58" s="127">
        <f>ROUND($B$6*$B$12*$B$15*$B$18*$B$21*$B$22*$B$24,0)</f>
        <v/>
      </c>
      <c r="AK58" s="127">
        <f>ROUND($B$6*$B$12*$B$15*$B$18*$B$21*$B$22*$B$25,0)</f>
        <v/>
      </c>
      <c r="AL58" s="127">
        <f>ROUND($B$6*$B$12*$B$15*$B$18*$B$21*$B$23*$B$24,0)</f>
        <v/>
      </c>
      <c r="AM58" s="127">
        <f>ROUND($B$6*$B$12*$B$15*$B$18*$B$21*$B$23*$B$25,0)</f>
        <v/>
      </c>
      <c r="AN58" s="127">
        <f>ROUND($B$7*$B$12*$B$15*$B$18*$B$19*$B$22*$B$24,0)</f>
        <v/>
      </c>
      <c r="AO58" s="127">
        <f>ROUND($B$7*$B$12*$B$15*$B$18*$B$19*$B$22*$B$25,0)</f>
        <v/>
      </c>
      <c r="AP58" s="127">
        <f>ROUND($B$7*$B$12*$B$15*$B$18*$B$19*$B$23*$B$24,0)</f>
        <v/>
      </c>
      <c r="AQ58" s="127">
        <f>ROUND($B$7*$B$12*$B$15*$B$18*$B$19*$B$23*$B$25,0)</f>
        <v/>
      </c>
      <c r="AR58" s="127">
        <f>ROUND($B$7*$B$12*$B$15*$B$18*$B$20*$B$22*$B$24,0)</f>
        <v/>
      </c>
      <c r="AS58" s="127">
        <f>ROUND($B$7*$B$12*$B$15*$B$18*$B$20*$B$22*$B$25,0)</f>
        <v/>
      </c>
      <c r="AT58" s="127">
        <f>ROUND($B$7*$B$12*$B$15*$B$18*$B$20*$B$23*$B$24,0)</f>
        <v/>
      </c>
      <c r="AU58" s="127">
        <f>ROUND($B$7*$B$12*$B$15*$B$18*$B$20*$B$23*$B$25,0)</f>
        <v/>
      </c>
      <c r="AV58" s="127">
        <f>ROUND($B$7*$B$12*$B$15*$B$18*$B$21*$B$22*$B$24,0)</f>
        <v/>
      </c>
      <c r="AW58" s="127">
        <f>ROUND($B$7*$B$12*$B$15*$B$18*$B$21*$B$22*$B$25,0)</f>
        <v/>
      </c>
      <c r="AX58" s="127">
        <f>ROUND($B$7*$B$12*$B$15*$B$18*$B$21*$B$23*$B$24,0)</f>
        <v/>
      </c>
      <c r="AY58" s="127">
        <f>ROUND($B$7*$B$12*$B$15*$B$18*$B$21*$B$23*$B$25,0)</f>
        <v/>
      </c>
      <c r="AZ58" s="128">
        <f>ROUND($B$8*$B$12*$B$15*$B$18*$B$19*$B$22*$B$24,0)</f>
        <v/>
      </c>
      <c r="BA58" s="128">
        <f>ROUND($B$8*$B$12*$B$15*$B$18*$B$19*$B$22*$B$25,0)</f>
        <v/>
      </c>
      <c r="BB58" s="128">
        <f>ROUND($B$8*$B$12*$B$15*$B$18*$B$19*$B$23*$B$24,0)</f>
        <v/>
      </c>
      <c r="BC58" s="128">
        <f>ROUND($B$8*$B$12*$B$15*$B$18*$B$19*$B$23*$B$25,0)</f>
        <v/>
      </c>
      <c r="BD58" s="128">
        <f>ROUND($B$8*$B$12*$B$15*$B$18*$B$20*$B$22*$B$24,0)</f>
        <v/>
      </c>
      <c r="BE58" s="128">
        <f>ROUND($B$8*$B$12*$B$15*$B$18*$B$20*$B$22*$B$25,0)</f>
        <v/>
      </c>
      <c r="BF58" s="128">
        <f>ROUND($B$8*$B$12*$B$15*$B$18*$B$20*$B$23*$B$24,0)</f>
        <v/>
      </c>
      <c r="BG58" s="128">
        <f>ROUND($B$8*$B$12*$B$15*$B$18*$B$20*$B$23*$B$25,0)</f>
        <v/>
      </c>
      <c r="BH58" s="128">
        <f>ROUND($B$8*$B$12*$B$15*$B$18*$B$21*$B$22*$B$24,0)</f>
        <v/>
      </c>
      <c r="BI58" s="128">
        <f>ROUND($B$8*$B$12*$B$15*$B$18*$B$21*$B$22*$B$25,0)</f>
        <v/>
      </c>
      <c r="BJ58" s="128">
        <f>ROUND($B$8*$B$12*$B$15*$B$18*$B$21*$B$23*$B$24,0)</f>
        <v/>
      </c>
      <c r="BK58" s="128">
        <f>ROUND($B$8*$B$12*$B$15*$B$18*$B$21*$B$23*$B$25,0)</f>
        <v/>
      </c>
    </row>
  </sheetData>
  <mergeCells count="70">
    <mergeCell ref="Z30:AA30"/>
    <mergeCell ref="B53:B55"/>
    <mergeCell ref="AB30:AC30"/>
    <mergeCell ref="T30:U30"/>
    <mergeCell ref="AL30:AM30"/>
    <mergeCell ref="AN30:AO30"/>
    <mergeCell ref="A50:A58"/>
    <mergeCell ref="A41:A49"/>
    <mergeCell ref="AJ29:AM29"/>
    <mergeCell ref="A1:BK1"/>
    <mergeCell ref="D29:G29"/>
    <mergeCell ref="AR29:AU29"/>
    <mergeCell ref="A32:A40"/>
    <mergeCell ref="AZ29:BC29"/>
    <mergeCell ref="J30:K30"/>
    <mergeCell ref="F30:G30"/>
    <mergeCell ref="R30:S30"/>
    <mergeCell ref="AZ30:BA30"/>
    <mergeCell ref="D28:O28"/>
    <mergeCell ref="BB30:BC30"/>
    <mergeCell ref="B35:B37"/>
    <mergeCell ref="P28:AA28"/>
    <mergeCell ref="P29:S29"/>
    <mergeCell ref="B56:B58"/>
    <mergeCell ref="H29:K29"/>
    <mergeCell ref="B41:B43"/>
    <mergeCell ref="T29:W29"/>
    <mergeCell ref="B47:B49"/>
    <mergeCell ref="B32:B34"/>
    <mergeCell ref="B50:B52"/>
    <mergeCell ref="AB29:AE29"/>
    <mergeCell ref="B28:B31"/>
    <mergeCell ref="L30:M30"/>
    <mergeCell ref="V30:W30"/>
    <mergeCell ref="A26:BK26"/>
    <mergeCell ref="A3:BK3"/>
    <mergeCell ref="X30:Y30"/>
    <mergeCell ref="AD30:AE30"/>
    <mergeCell ref="AF30:AG30"/>
    <mergeCell ref="A2:BK2"/>
    <mergeCell ref="AJ30:AK30"/>
    <mergeCell ref="AP30:AQ30"/>
    <mergeCell ref="AB28:AM28"/>
    <mergeCell ref="AR30:AS30"/>
    <mergeCell ref="AF29:AI29"/>
    <mergeCell ref="AN28:AY28"/>
    <mergeCell ref="AN29:AQ29"/>
    <mergeCell ref="AH30:AI30"/>
    <mergeCell ref="C28:C31"/>
    <mergeCell ref="AV29:AY29"/>
    <mergeCell ref="BD29:BG29"/>
    <mergeCell ref="D30:E30"/>
    <mergeCell ref="N30:O30"/>
    <mergeCell ref="P30:Q30"/>
    <mergeCell ref="AV30:AW30"/>
    <mergeCell ref="AX30:AY30"/>
    <mergeCell ref="BD30:BE30"/>
    <mergeCell ref="BF30:BG30"/>
    <mergeCell ref="A28:A31"/>
    <mergeCell ref="B44:B46"/>
    <mergeCell ref="AZ28:BK28"/>
    <mergeCell ref="BJ30:BK30"/>
    <mergeCell ref="AT30:AU30"/>
    <mergeCell ref="B38:B40"/>
    <mergeCell ref="L29:O29"/>
    <mergeCell ref="X29:AA29"/>
    <mergeCell ref="A9:BK9"/>
    <mergeCell ref="BH29:BK29"/>
    <mergeCell ref="H30:I30"/>
    <mergeCell ref="BH30:BI3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D1B69"/>
    <outlinePr summaryBelow="1" summaryRight="1"/>
    <pageSetUpPr/>
  </sheetPr>
  <dimension ref="A1:AI48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4"/>
    <col width="13" customWidth="1" style="62" min="5" max="5"/>
    <col width="13" customWidth="1" style="62" min="6" max="6"/>
    <col width="13" customWidth="1" style="62" min="7" max="7"/>
    <col width="13" customWidth="1" style="62" min="8" max="8"/>
    <col width="13" customWidth="1" style="62" min="9" max="9"/>
    <col width="13" customWidth="1" style="62" min="10" max="10"/>
    <col width="13" customWidth="1" style="62" min="11" max="11"/>
    <col width="13" customWidth="1" style="62" min="12" max="12"/>
    <col width="13" customWidth="1" style="62" min="13" max="13"/>
    <col width="13" customWidth="1" style="62" min="14" max="14"/>
    <col width="13" customWidth="1" style="62" min="15" max="15"/>
    <col width="13" customWidth="1" style="62" min="16" max="16"/>
    <col width="13" customWidth="1" style="62" min="17" max="17"/>
    <col width="13" customWidth="1" style="62" min="18" max="18"/>
    <col width="13" customWidth="1" style="62" min="19" max="19"/>
    <col width="13" customWidth="1" style="62" min="20" max="20"/>
    <col width="13" customWidth="1" style="62" min="21" max="21"/>
    <col width="13" customWidth="1" style="62" min="22" max="22"/>
    <col width="13" customWidth="1" style="62" min="23" max="23"/>
    <col width="13" customWidth="1" style="62" min="24" max="24"/>
    <col width="13" customWidth="1" style="62" min="25" max="25"/>
    <col width="13" customWidth="1" style="62" min="26" max="26"/>
    <col width="13" customWidth="1" style="62" min="27" max="27"/>
    <col width="13" customWidth="1" style="62" min="28" max="28"/>
    <col width="13" customWidth="1" style="62" min="29" max="29"/>
    <col width="13" customWidth="1" style="62" min="30" max="30"/>
    <col width="13" customWidth="1" style="62" min="31" max="31"/>
    <col width="13" customWidth="1" style="62" min="32" max="32"/>
    <col width="13" customWidth="1" style="62" min="33" max="33"/>
    <col width="13" customWidth="1" style="62" min="34" max="34"/>
    <col width="13" customWidth="1" style="62" min="35" max="35"/>
  </cols>
  <sheetData>
    <row r="1" ht="34" customHeight="1" s="62">
      <c r="A1" s="108" t="inlineStr">
        <is>
          <t>GRILLE TARIFAIRE — Formation sur l'IA (composition d'agents)</t>
        </is>
      </c>
    </row>
    <row r="2" ht="26" customHeight="1" s="62">
      <c r="A2" s="109" t="inlineStr">
        <is>
          <t>⚙  ZONE DE PARAMÉTRAGE — Remplissez uniquement les cases jaunes. Le tableau se calcule automatiquement.</t>
        </is>
      </c>
    </row>
    <row r="3" ht="22" customHeight="1" s="62">
      <c r="A3" s="110" t="inlineStr">
        <is>
          <t>TARIFS DE BASE  —  Par niveau de prestation</t>
        </is>
      </c>
    </row>
    <row r="4" ht="22" customHeight="1" s="62">
      <c r="A4" s="111" t="inlineStr">
        <is>
          <t>Tarif de base — Formation courte (initiation)</t>
        </is>
      </c>
      <c r="B4" s="112" t="n">
        <v>1000</v>
      </c>
      <c r="C4" s="113" t="inlineStr">
        <is>
          <t>Fourchette : 500 – 1 500 €</t>
        </is>
      </c>
    </row>
    <row r="5" ht="22" customHeight="1" s="62">
      <c r="A5" s="111" t="inlineStr">
        <is>
          <t>Tarif de base — Formation complète (1-3 jours)</t>
        </is>
      </c>
      <c r="B5" s="112" t="n">
        <v>3250</v>
      </c>
      <c r="C5" s="113" t="inlineStr">
        <is>
          <t>Fourchette : 1 500 – 5 000 €</t>
        </is>
      </c>
    </row>
    <row r="6" ht="22" customHeight="1" s="62">
      <c r="A6" s="111" t="inlineStr">
        <is>
          <t>Tarif de base — Formation avancée + cas pratiques</t>
        </is>
      </c>
      <c r="B6" s="112" t="n">
        <v>10000</v>
      </c>
      <c r="C6" s="113" t="inlineStr">
        <is>
          <t>Fourchette : 5 000 – 15 000 €</t>
        </is>
      </c>
    </row>
    <row r="7" ht="22" customHeight="1" s="62">
      <c r="A7" s="111" t="inlineStr">
        <is>
          <t>Tarif de base — Formation + accompagnement coaching</t>
        </is>
      </c>
      <c r="B7" s="112" t="n">
        <v>12500</v>
      </c>
      <c r="C7" s="113" t="inlineStr">
        <is>
          <t>Fourchette : 5 000 – 20 000 €</t>
        </is>
      </c>
    </row>
    <row r="8" ht="22" customHeight="1" s="62">
      <c r="A8" s="115" t="inlineStr">
        <is>
          <t>COEFFICIENTS MULTIPLICATEURS  —  1,00 = neutre. Ex : 1,20 = +20 %</t>
        </is>
      </c>
    </row>
    <row r="9" ht="20" customHeight="1" s="62">
      <c r="A9" s="116" t="inlineStr">
        <is>
          <t>Coeff. niveau — Débutant</t>
        </is>
      </c>
      <c r="B9" s="117" t="n">
        <v>1</v>
      </c>
      <c r="C9" s="118" t="inlineStr">
        <is>
          <t>Référence</t>
        </is>
      </c>
    </row>
    <row r="10" ht="20" customHeight="1" s="62">
      <c r="A10" s="116" t="inlineStr">
        <is>
          <t>Coeff. niveau — Intermédiaire</t>
        </is>
      </c>
      <c r="B10" s="117" t="n">
        <v>1.15</v>
      </c>
      <c r="C10" s="118" t="inlineStr">
        <is>
          <t>Bases existantes</t>
        </is>
      </c>
    </row>
    <row r="11" ht="20" customHeight="1" s="62">
      <c r="A11" s="116" t="inlineStr">
        <is>
          <t>Coeff. niveau — Avancé</t>
        </is>
      </c>
      <c r="B11" s="117" t="n">
        <v>1.35</v>
      </c>
      <c r="C11" s="118" t="inlineStr">
        <is>
          <t>Profils techniques</t>
        </is>
      </c>
    </row>
    <row r="12" ht="20" customHeight="1" s="62">
      <c r="A12" s="116" t="inlineStr">
        <is>
          <t>Coeff. participants — 1-3 personnes</t>
        </is>
      </c>
      <c r="B12" s="117" t="n">
        <v>0.85</v>
      </c>
      <c r="C12" s="118" t="inlineStr">
        <is>
          <t>Petite session</t>
        </is>
      </c>
    </row>
    <row r="13" ht="20" customHeight="1" s="62">
      <c r="A13" s="116" t="inlineStr">
        <is>
          <t>Coeff. participants — 4-10 personnes</t>
        </is>
      </c>
      <c r="B13" s="117" t="n">
        <v>1</v>
      </c>
      <c r="C13" s="118" t="inlineStr">
        <is>
          <t>Référence</t>
        </is>
      </c>
    </row>
    <row r="14" ht="20" customHeight="1" s="62">
      <c r="A14" s="116" t="inlineStr">
        <is>
          <t>Coeff. participants — 11+ personnes</t>
        </is>
      </c>
      <c r="B14" s="117" t="n">
        <v>1.3</v>
      </c>
      <c r="C14" s="118" t="inlineStr">
        <is>
          <t>Grande session</t>
        </is>
      </c>
    </row>
    <row r="15" ht="20" customHeight="1" s="62">
      <c r="A15" s="116" t="inlineStr">
        <is>
          <t>Coeff. personnalisation — Standard</t>
        </is>
      </c>
      <c r="B15" s="117" t="n">
        <v>1</v>
      </c>
      <c r="C15" s="118" t="inlineStr">
        <is>
          <t>Référence</t>
        </is>
      </c>
    </row>
    <row r="16" ht="20" customHeight="1" s="62">
      <c r="A16" s="116" t="inlineStr">
        <is>
          <t>Coeff. personnalisation — Adaptée métier</t>
        </is>
      </c>
      <c r="B16" s="117" t="n">
        <v>1.25</v>
      </c>
      <c r="C16" s="118" t="inlineStr">
        <is>
          <t>Cas pratiques sur mesure</t>
        </is>
      </c>
    </row>
    <row r="17" ht="20" customHeight="1" s="62">
      <c r="A17" s="116" t="inlineStr">
        <is>
          <t>Coeff. outils — No-code</t>
        </is>
      </c>
      <c r="B17" s="117" t="n">
        <v>1</v>
      </c>
      <c r="C17" s="118" t="inlineStr">
        <is>
          <t>Référence</t>
        </is>
      </c>
    </row>
    <row r="18" ht="20" customHeight="1" s="62">
      <c r="A18" s="116" t="inlineStr">
        <is>
          <t>Coeff. outils — API / Développement</t>
        </is>
      </c>
      <c r="B18" s="117" t="n">
        <v>1.3</v>
      </c>
      <c r="C18" s="118" t="inlineStr">
        <is>
          <t>Compétences techniques</t>
        </is>
      </c>
    </row>
    <row r="19" ht="20" customHeight="1" s="62">
      <c r="A19" s="116" t="inlineStr">
        <is>
          <t>Coeff. secteur — Standard</t>
        </is>
      </c>
      <c r="B19" s="117" t="n">
        <v>1</v>
      </c>
      <c r="C19" s="118" t="inlineStr">
        <is>
          <t>Référence</t>
        </is>
      </c>
    </row>
    <row r="20" ht="20" customHeight="1" s="62">
      <c r="A20" s="116" t="inlineStr">
        <is>
          <t>Coeff. secteur — Réglementé</t>
        </is>
      </c>
      <c r="B20" s="117" t="n">
        <v>1.2</v>
      </c>
      <c r="C20" s="118" t="inlineStr">
        <is>
          <t>Contraintes spécifiques</t>
        </is>
      </c>
    </row>
    <row r="21" ht="20" customHeight="1" s="62">
      <c r="A21" s="116" t="inlineStr">
        <is>
          <t>Coeff. mode — Visio</t>
        </is>
      </c>
      <c r="B21" s="117" t="n">
        <v>1</v>
      </c>
      <c r="C21" s="118" t="inlineStr">
        <is>
          <t>Référence</t>
        </is>
      </c>
    </row>
    <row r="22" ht="20" customHeight="1" s="62">
      <c r="A22" s="116" t="inlineStr">
        <is>
          <t>Coeff. mode — Présentiel</t>
        </is>
      </c>
      <c r="B22" s="117" t="n">
        <v>1.2</v>
      </c>
      <c r="C22" s="118" t="inlineStr">
        <is>
          <t>Déplacement formateur</t>
        </is>
      </c>
    </row>
    <row r="23" ht="20" customHeight="1" s="62">
      <c r="A23" s="116" t="inlineStr">
        <is>
          <t>Coeff. suivi post-formation — Sans</t>
        </is>
      </c>
      <c r="B23" s="117" t="n">
        <v>1</v>
      </c>
      <c r="C23" s="118" t="inlineStr">
        <is>
          <t>Référence</t>
        </is>
      </c>
    </row>
    <row r="24" ht="20" customHeight="1" s="62">
      <c r="A24" s="116" t="inlineStr">
        <is>
          <t>Coeff. suivi post-formation — Avec</t>
        </is>
      </c>
      <c r="B24" s="117" t="n">
        <v>1.3</v>
      </c>
      <c r="C24" s="118" t="inlineStr">
        <is>
          <t>Accompagnement continu</t>
        </is>
      </c>
    </row>
    <row r="25" ht="24" customHeight="1" s="62">
      <c r="A25" s="119" t="inlineStr">
        <is>
          <t>▼  GRILLE TARIFAIRE CALCULÉE AUTOMATIQUEMENT  — Les cellules violettes sont en lecture seule (formules).</t>
        </is>
      </c>
    </row>
    <row r="26" ht="6" customHeight="1" s="62"/>
    <row r="27" ht="38" customHeight="1" s="62">
      <c r="A27" s="120" t="inlineStr">
        <is>
          <t>Niveau des participants</t>
        </is>
      </c>
      <c r="B27" s="121" t="inlineStr">
        <is>
          <t>Nombre de participants</t>
        </is>
      </c>
      <c r="C27" s="122" t="inlineStr">
        <is>
          <t>Personnalisation</t>
        </is>
      </c>
      <c r="D27" s="120" t="inlineStr">
        <is>
          <t>Formation courte (initiation)</t>
        </is>
      </c>
      <c r="L27" s="120" t="inlineStr">
        <is>
          <t>Formation complète (1-3 jours)</t>
        </is>
      </c>
      <c r="T27" s="120" t="inlineStr">
        <is>
          <t>Formation avancée + cas pratiques</t>
        </is>
      </c>
      <c r="AB27" s="120" t="inlineStr">
        <is>
          <t>Formation + accompagnement coaching</t>
        </is>
      </c>
    </row>
    <row r="28" ht="38" customHeight="1" s="62">
      <c r="D28" s="121" t="inlineStr">
        <is>
          <t>No-code</t>
        </is>
      </c>
      <c r="H28" s="121" t="inlineStr">
        <is>
          <t>API / Développement</t>
        </is>
      </c>
      <c r="L28" s="121" t="inlineStr">
        <is>
          <t>No-code</t>
        </is>
      </c>
      <c r="P28" s="121" t="inlineStr">
        <is>
          <t>API / Développement</t>
        </is>
      </c>
      <c r="T28" s="121" t="inlineStr">
        <is>
          <t>No-code</t>
        </is>
      </c>
      <c r="X28" s="121" t="inlineStr">
        <is>
          <t>API / Développement</t>
        </is>
      </c>
      <c r="AB28" s="121" t="inlineStr">
        <is>
          <t>No-code</t>
        </is>
      </c>
      <c r="AF28" s="121" t="inlineStr">
        <is>
          <t>API / Développement</t>
        </is>
      </c>
    </row>
    <row r="29" ht="38" customHeight="1" s="62">
      <c r="D29" s="122" t="inlineStr">
        <is>
          <t>Secteur standard</t>
        </is>
      </c>
      <c r="F29" s="122" t="inlineStr">
        <is>
          <t>Secteur réglementé</t>
        </is>
      </c>
      <c r="H29" s="122" t="inlineStr">
        <is>
          <t>Secteur standard</t>
        </is>
      </c>
      <c r="J29" s="122" t="inlineStr">
        <is>
          <t>Secteur réglementé</t>
        </is>
      </c>
      <c r="L29" s="122" t="inlineStr">
        <is>
          <t>Secteur standard</t>
        </is>
      </c>
      <c r="N29" s="122" t="inlineStr">
        <is>
          <t>Secteur réglementé</t>
        </is>
      </c>
      <c r="P29" s="122" t="inlineStr">
        <is>
          <t>Secteur standard</t>
        </is>
      </c>
      <c r="R29" s="122" t="inlineStr">
        <is>
          <t>Secteur réglementé</t>
        </is>
      </c>
      <c r="T29" s="122" t="inlineStr">
        <is>
          <t>Secteur standard</t>
        </is>
      </c>
      <c r="V29" s="122" t="inlineStr">
        <is>
          <t>Secteur réglementé</t>
        </is>
      </c>
      <c r="X29" s="122" t="inlineStr">
        <is>
          <t>Secteur standard</t>
        </is>
      </c>
      <c r="Z29" s="122" t="inlineStr">
        <is>
          <t>Secteur réglementé</t>
        </is>
      </c>
      <c r="AB29" s="122" t="inlineStr">
        <is>
          <t>Secteur standard</t>
        </is>
      </c>
      <c r="AD29" s="122" t="inlineStr">
        <is>
          <t>Secteur réglementé</t>
        </is>
      </c>
      <c r="AF29" s="122" t="inlineStr">
        <is>
          <t>Secteur standard</t>
        </is>
      </c>
      <c r="AH29" s="122" t="inlineStr">
        <is>
          <t>Secteur réglementé</t>
        </is>
      </c>
    </row>
    <row r="30" ht="38" customHeight="1" s="62">
      <c r="D30" s="123" t="inlineStr">
        <is>
          <t>Visio</t>
        </is>
      </c>
      <c r="E30" s="123" t="inlineStr">
        <is>
          <t>Présentiel</t>
        </is>
      </c>
      <c r="F30" s="123" t="inlineStr">
        <is>
          <t>Visio</t>
        </is>
      </c>
      <c r="G30" s="123" t="inlineStr">
        <is>
          <t>Présentiel</t>
        </is>
      </c>
      <c r="H30" s="123" t="inlineStr">
        <is>
          <t>Visio</t>
        </is>
      </c>
      <c r="I30" s="123" t="inlineStr">
        <is>
          <t>Présentiel</t>
        </is>
      </c>
      <c r="J30" s="123" t="inlineStr">
        <is>
          <t>Visio</t>
        </is>
      </c>
      <c r="K30" s="123" t="inlineStr">
        <is>
          <t>Présentiel</t>
        </is>
      </c>
      <c r="L30" s="123" t="inlineStr">
        <is>
          <t>Visio</t>
        </is>
      </c>
      <c r="M30" s="123" t="inlineStr">
        <is>
          <t>Présentiel</t>
        </is>
      </c>
      <c r="N30" s="123" t="inlineStr">
        <is>
          <t>Visio</t>
        </is>
      </c>
      <c r="O30" s="123" t="inlineStr">
        <is>
          <t>Présentiel</t>
        </is>
      </c>
      <c r="P30" s="123" t="inlineStr">
        <is>
          <t>Visio</t>
        </is>
      </c>
      <c r="Q30" s="123" t="inlineStr">
        <is>
          <t>Présentiel</t>
        </is>
      </c>
      <c r="R30" s="123" t="inlineStr">
        <is>
          <t>Visio</t>
        </is>
      </c>
      <c r="S30" s="123" t="inlineStr">
        <is>
          <t>Présentiel</t>
        </is>
      </c>
      <c r="T30" s="123" t="inlineStr">
        <is>
          <t>Visio</t>
        </is>
      </c>
      <c r="U30" s="123" t="inlineStr">
        <is>
          <t>Présentiel</t>
        </is>
      </c>
      <c r="V30" s="123" t="inlineStr">
        <is>
          <t>Visio</t>
        </is>
      </c>
      <c r="W30" s="123" t="inlineStr">
        <is>
          <t>Présentiel</t>
        </is>
      </c>
      <c r="X30" s="123" t="inlineStr">
        <is>
          <t>Visio</t>
        </is>
      </c>
      <c r="Y30" s="123" t="inlineStr">
        <is>
          <t>Présentiel</t>
        </is>
      </c>
      <c r="Z30" s="123" t="inlineStr">
        <is>
          <t>Visio</t>
        </is>
      </c>
      <c r="AA30" s="123" t="inlineStr">
        <is>
          <t>Présentiel</t>
        </is>
      </c>
      <c r="AB30" s="123" t="inlineStr">
        <is>
          <t>Visio</t>
        </is>
      </c>
      <c r="AC30" s="123" t="inlineStr">
        <is>
          <t>Présentiel</t>
        </is>
      </c>
      <c r="AD30" s="123" t="inlineStr">
        <is>
          <t>Visio</t>
        </is>
      </c>
      <c r="AE30" s="123" t="inlineStr">
        <is>
          <t>Présentiel</t>
        </is>
      </c>
      <c r="AF30" s="123" t="inlineStr">
        <is>
          <t>Visio</t>
        </is>
      </c>
      <c r="AG30" s="123" t="inlineStr">
        <is>
          <t>Présentiel</t>
        </is>
      </c>
      <c r="AH30" s="123" t="inlineStr">
        <is>
          <t>Visio</t>
        </is>
      </c>
      <c r="AI30" s="123" t="inlineStr">
        <is>
          <t>Présentiel</t>
        </is>
      </c>
    </row>
    <row r="31" ht="20" customHeight="1" s="62">
      <c r="A31" s="124" t="inlineStr">
        <is>
          <t>Niveau débutant</t>
        </is>
      </c>
      <c r="B31" s="125" t="inlineStr">
        <is>
          <t>1-3 participants</t>
        </is>
      </c>
      <c r="C31" s="126" t="inlineStr">
        <is>
          <t>Personnalisation standard</t>
        </is>
      </c>
      <c r="D31" s="127">
        <f>ROUND($B$4*$B$9*$B$12*$B$15*$B$17*$B$19*$B$21,0)</f>
        <v/>
      </c>
      <c r="E31" s="127">
        <f>ROUND($B$4*$B$9*$B$12*$B$15*$B$17*$B$19*$B$22,0)</f>
        <v/>
      </c>
      <c r="F31" s="127">
        <f>ROUND($B$4*$B$9*$B$12*$B$15*$B$17*$B$20*$B$21,0)</f>
        <v/>
      </c>
      <c r="G31" s="127">
        <f>ROUND($B$4*$B$9*$B$12*$B$15*$B$17*$B$20*$B$22,0)</f>
        <v/>
      </c>
      <c r="H31" s="127">
        <f>ROUND($B$4*$B$9*$B$12*$B$15*$B$18*$B$19*$B$21,0)</f>
        <v/>
      </c>
      <c r="I31" s="127">
        <f>ROUND($B$4*$B$9*$B$12*$B$15*$B$18*$B$19*$B$22,0)</f>
        <v/>
      </c>
      <c r="J31" s="127">
        <f>ROUND($B$4*$B$9*$B$12*$B$15*$B$18*$B$20*$B$21,0)</f>
        <v/>
      </c>
      <c r="K31" s="127">
        <f>ROUND($B$4*$B$9*$B$12*$B$15*$B$18*$B$20*$B$22,0)</f>
        <v/>
      </c>
      <c r="L31" s="127">
        <f>ROUND($B$5*$B$9*$B$12*$B$15*$B$17*$B$19*$B$21,0)</f>
        <v/>
      </c>
      <c r="M31" s="127">
        <f>ROUND($B$5*$B$9*$B$12*$B$15*$B$17*$B$19*$B$22,0)</f>
        <v/>
      </c>
      <c r="N31" s="127">
        <f>ROUND($B$5*$B$9*$B$12*$B$15*$B$17*$B$20*$B$21,0)</f>
        <v/>
      </c>
      <c r="O31" s="127">
        <f>ROUND($B$5*$B$9*$B$12*$B$15*$B$17*$B$20*$B$22,0)</f>
        <v/>
      </c>
      <c r="P31" s="127">
        <f>ROUND($B$5*$B$9*$B$12*$B$15*$B$18*$B$19*$B$21,0)</f>
        <v/>
      </c>
      <c r="Q31" s="127">
        <f>ROUND($B$5*$B$9*$B$12*$B$15*$B$18*$B$19*$B$22,0)</f>
        <v/>
      </c>
      <c r="R31" s="127">
        <f>ROUND($B$5*$B$9*$B$12*$B$15*$B$18*$B$20*$B$21,0)</f>
        <v/>
      </c>
      <c r="S31" s="127">
        <f>ROUND($B$5*$B$9*$B$12*$B$15*$B$18*$B$20*$B$22,0)</f>
        <v/>
      </c>
      <c r="T31" s="127">
        <f>ROUND($B$6*$B$9*$B$12*$B$15*$B$17*$B$19*$B$21,0)</f>
        <v/>
      </c>
      <c r="U31" s="127">
        <f>ROUND($B$6*$B$9*$B$12*$B$15*$B$17*$B$19*$B$22,0)</f>
        <v/>
      </c>
      <c r="V31" s="127">
        <f>ROUND($B$6*$B$9*$B$12*$B$15*$B$17*$B$20*$B$21,0)</f>
        <v/>
      </c>
      <c r="W31" s="127">
        <f>ROUND($B$6*$B$9*$B$12*$B$15*$B$17*$B$20*$B$22,0)</f>
        <v/>
      </c>
      <c r="X31" s="127">
        <f>ROUND($B$6*$B$9*$B$12*$B$15*$B$18*$B$19*$B$21,0)</f>
        <v/>
      </c>
      <c r="Y31" s="127">
        <f>ROUND($B$6*$B$9*$B$12*$B$15*$B$18*$B$19*$B$22,0)</f>
        <v/>
      </c>
      <c r="Z31" s="127">
        <f>ROUND($B$6*$B$9*$B$12*$B$15*$B$18*$B$20*$B$21,0)</f>
        <v/>
      </c>
      <c r="AA31" s="127">
        <f>ROUND($B$6*$B$9*$B$12*$B$15*$B$18*$B$20*$B$22,0)</f>
        <v/>
      </c>
      <c r="AB31" s="127">
        <f>ROUND($B$7*$B$9*$B$12*$B$15*$B$17*$B$19*$B$21,0)</f>
        <v/>
      </c>
      <c r="AC31" s="127">
        <f>ROUND($B$7*$B$9*$B$12*$B$15*$B$17*$B$19*$B$22,0)</f>
        <v/>
      </c>
      <c r="AD31" s="127">
        <f>ROUND($B$7*$B$9*$B$12*$B$15*$B$17*$B$20*$B$21,0)</f>
        <v/>
      </c>
      <c r="AE31" s="127">
        <f>ROUND($B$7*$B$9*$B$12*$B$15*$B$17*$B$20*$B$22,0)</f>
        <v/>
      </c>
      <c r="AF31" s="127">
        <f>ROUND($B$7*$B$9*$B$12*$B$15*$B$18*$B$19*$B$21,0)</f>
        <v/>
      </c>
      <c r="AG31" s="127">
        <f>ROUND($B$7*$B$9*$B$12*$B$15*$B$18*$B$19*$B$22,0)</f>
        <v/>
      </c>
      <c r="AH31" s="127">
        <f>ROUND($B$7*$B$9*$B$12*$B$15*$B$18*$B$20*$B$21,0)</f>
        <v/>
      </c>
      <c r="AI31" s="127">
        <f>ROUND($B$7*$B$9*$B$12*$B$15*$B$18*$B$20*$B$22,0)</f>
        <v/>
      </c>
    </row>
    <row r="32" ht="20" customHeight="1" s="62">
      <c r="C32" s="125" t="inlineStr">
        <is>
          <t>Personnalisation adaptée métier</t>
        </is>
      </c>
      <c r="D32" s="127">
        <f>ROUND($B$4*$B$9*$B$12*$B$16*$B$17*$B$19*$B$21,0)</f>
        <v/>
      </c>
      <c r="E32" s="127">
        <f>ROUND($B$4*$B$9*$B$12*$B$16*$B$17*$B$19*$B$22,0)</f>
        <v/>
      </c>
      <c r="F32" s="127">
        <f>ROUND($B$4*$B$9*$B$12*$B$16*$B$17*$B$20*$B$21,0)</f>
        <v/>
      </c>
      <c r="G32" s="127">
        <f>ROUND($B$4*$B$9*$B$12*$B$16*$B$17*$B$20*$B$22,0)</f>
        <v/>
      </c>
      <c r="H32" s="127">
        <f>ROUND($B$4*$B$9*$B$12*$B$16*$B$18*$B$19*$B$21,0)</f>
        <v/>
      </c>
      <c r="I32" s="127">
        <f>ROUND($B$4*$B$9*$B$12*$B$16*$B$18*$B$19*$B$22,0)</f>
        <v/>
      </c>
      <c r="J32" s="127">
        <f>ROUND($B$4*$B$9*$B$12*$B$16*$B$18*$B$20*$B$21,0)</f>
        <v/>
      </c>
      <c r="K32" s="127">
        <f>ROUND($B$4*$B$9*$B$12*$B$16*$B$18*$B$20*$B$22,0)</f>
        <v/>
      </c>
      <c r="L32" s="127">
        <f>ROUND($B$5*$B$9*$B$12*$B$16*$B$17*$B$19*$B$21,0)</f>
        <v/>
      </c>
      <c r="M32" s="127">
        <f>ROUND($B$5*$B$9*$B$12*$B$16*$B$17*$B$19*$B$22,0)</f>
        <v/>
      </c>
      <c r="N32" s="127">
        <f>ROUND($B$5*$B$9*$B$12*$B$16*$B$17*$B$20*$B$21,0)</f>
        <v/>
      </c>
      <c r="O32" s="127">
        <f>ROUND($B$5*$B$9*$B$12*$B$16*$B$17*$B$20*$B$22,0)</f>
        <v/>
      </c>
      <c r="P32" s="127">
        <f>ROUND($B$5*$B$9*$B$12*$B$16*$B$18*$B$19*$B$21,0)</f>
        <v/>
      </c>
      <c r="Q32" s="127">
        <f>ROUND($B$5*$B$9*$B$12*$B$16*$B$18*$B$19*$B$22,0)</f>
        <v/>
      </c>
      <c r="R32" s="127">
        <f>ROUND($B$5*$B$9*$B$12*$B$16*$B$18*$B$20*$B$21,0)</f>
        <v/>
      </c>
      <c r="S32" s="127">
        <f>ROUND($B$5*$B$9*$B$12*$B$16*$B$18*$B$20*$B$22,0)</f>
        <v/>
      </c>
      <c r="T32" s="127">
        <f>ROUND($B$6*$B$9*$B$12*$B$16*$B$17*$B$19*$B$21,0)</f>
        <v/>
      </c>
      <c r="U32" s="127">
        <f>ROUND($B$6*$B$9*$B$12*$B$16*$B$17*$B$19*$B$22,0)</f>
        <v/>
      </c>
      <c r="V32" s="127">
        <f>ROUND($B$6*$B$9*$B$12*$B$16*$B$17*$B$20*$B$21,0)</f>
        <v/>
      </c>
      <c r="W32" s="127">
        <f>ROUND($B$6*$B$9*$B$12*$B$16*$B$17*$B$20*$B$22,0)</f>
        <v/>
      </c>
      <c r="X32" s="127">
        <f>ROUND($B$6*$B$9*$B$12*$B$16*$B$18*$B$19*$B$21,0)</f>
        <v/>
      </c>
      <c r="Y32" s="127">
        <f>ROUND($B$6*$B$9*$B$12*$B$16*$B$18*$B$19*$B$22,0)</f>
        <v/>
      </c>
      <c r="Z32" s="127">
        <f>ROUND($B$6*$B$9*$B$12*$B$16*$B$18*$B$20*$B$21,0)</f>
        <v/>
      </c>
      <c r="AA32" s="127">
        <f>ROUND($B$6*$B$9*$B$12*$B$16*$B$18*$B$20*$B$22,0)</f>
        <v/>
      </c>
      <c r="AB32" s="127">
        <f>ROUND($B$7*$B$9*$B$12*$B$16*$B$17*$B$19*$B$21,0)</f>
        <v/>
      </c>
      <c r="AC32" s="127">
        <f>ROUND($B$7*$B$9*$B$12*$B$16*$B$17*$B$19*$B$22,0)</f>
        <v/>
      </c>
      <c r="AD32" s="127">
        <f>ROUND($B$7*$B$9*$B$12*$B$16*$B$17*$B$20*$B$21,0)</f>
        <v/>
      </c>
      <c r="AE32" s="127">
        <f>ROUND($B$7*$B$9*$B$12*$B$16*$B$17*$B$20*$B$22,0)</f>
        <v/>
      </c>
      <c r="AF32" s="127">
        <f>ROUND($B$7*$B$9*$B$12*$B$16*$B$18*$B$19*$B$21,0)</f>
        <v/>
      </c>
      <c r="AG32" s="127">
        <f>ROUND($B$7*$B$9*$B$12*$B$16*$B$18*$B$19*$B$22,0)</f>
        <v/>
      </c>
      <c r="AH32" s="127">
        <f>ROUND($B$7*$B$9*$B$12*$B$16*$B$18*$B$20*$B$21,0)</f>
        <v/>
      </c>
      <c r="AI32" s="127">
        <f>ROUND($B$7*$B$9*$B$12*$B$16*$B$18*$B$20*$B$22,0)</f>
        <v/>
      </c>
    </row>
    <row r="33" ht="20" customHeight="1" s="62">
      <c r="B33" s="125" t="inlineStr">
        <is>
          <t>4-10 participants</t>
        </is>
      </c>
      <c r="C33" s="129" t="inlineStr">
        <is>
          <t>Personnalisation standard</t>
        </is>
      </c>
      <c r="D33" s="127">
        <f>ROUND($B$4*$B$9*$B$13*$B$15*$B$17*$B$19*$B$21,0)</f>
        <v/>
      </c>
      <c r="E33" s="127">
        <f>ROUND($B$4*$B$9*$B$13*$B$15*$B$17*$B$19*$B$22,0)</f>
        <v/>
      </c>
      <c r="F33" s="127">
        <f>ROUND($B$4*$B$9*$B$13*$B$15*$B$17*$B$20*$B$21,0)</f>
        <v/>
      </c>
      <c r="G33" s="127">
        <f>ROUND($B$4*$B$9*$B$13*$B$15*$B$17*$B$20*$B$22,0)</f>
        <v/>
      </c>
      <c r="H33" s="127">
        <f>ROUND($B$4*$B$9*$B$13*$B$15*$B$18*$B$19*$B$21,0)</f>
        <v/>
      </c>
      <c r="I33" s="127">
        <f>ROUND($B$4*$B$9*$B$13*$B$15*$B$18*$B$19*$B$22,0)</f>
        <v/>
      </c>
      <c r="J33" s="127">
        <f>ROUND($B$4*$B$9*$B$13*$B$15*$B$18*$B$20*$B$21,0)</f>
        <v/>
      </c>
      <c r="K33" s="127">
        <f>ROUND($B$4*$B$9*$B$13*$B$15*$B$18*$B$20*$B$22,0)</f>
        <v/>
      </c>
      <c r="L33" s="127">
        <f>ROUND($B$5*$B$9*$B$13*$B$15*$B$17*$B$19*$B$21,0)</f>
        <v/>
      </c>
      <c r="M33" s="127">
        <f>ROUND($B$5*$B$9*$B$13*$B$15*$B$17*$B$19*$B$22,0)</f>
        <v/>
      </c>
      <c r="N33" s="127">
        <f>ROUND($B$5*$B$9*$B$13*$B$15*$B$17*$B$20*$B$21,0)</f>
        <v/>
      </c>
      <c r="O33" s="127">
        <f>ROUND($B$5*$B$9*$B$13*$B$15*$B$17*$B$20*$B$22,0)</f>
        <v/>
      </c>
      <c r="P33" s="127">
        <f>ROUND($B$5*$B$9*$B$13*$B$15*$B$18*$B$19*$B$21,0)</f>
        <v/>
      </c>
      <c r="Q33" s="127">
        <f>ROUND($B$5*$B$9*$B$13*$B$15*$B$18*$B$19*$B$22,0)</f>
        <v/>
      </c>
      <c r="R33" s="127">
        <f>ROUND($B$5*$B$9*$B$13*$B$15*$B$18*$B$20*$B$21,0)</f>
        <v/>
      </c>
      <c r="S33" s="127">
        <f>ROUND($B$5*$B$9*$B$13*$B$15*$B$18*$B$20*$B$22,0)</f>
        <v/>
      </c>
      <c r="T33" s="127">
        <f>ROUND($B$6*$B$9*$B$13*$B$15*$B$17*$B$19*$B$21,0)</f>
        <v/>
      </c>
      <c r="U33" s="127">
        <f>ROUND($B$6*$B$9*$B$13*$B$15*$B$17*$B$19*$B$22,0)</f>
        <v/>
      </c>
      <c r="V33" s="127">
        <f>ROUND($B$6*$B$9*$B$13*$B$15*$B$17*$B$20*$B$21,0)</f>
        <v/>
      </c>
      <c r="W33" s="127">
        <f>ROUND($B$6*$B$9*$B$13*$B$15*$B$17*$B$20*$B$22,0)</f>
        <v/>
      </c>
      <c r="X33" s="127">
        <f>ROUND($B$6*$B$9*$B$13*$B$15*$B$18*$B$19*$B$21,0)</f>
        <v/>
      </c>
      <c r="Y33" s="127">
        <f>ROUND($B$6*$B$9*$B$13*$B$15*$B$18*$B$19*$B$22,0)</f>
        <v/>
      </c>
      <c r="Z33" s="127">
        <f>ROUND($B$6*$B$9*$B$13*$B$15*$B$18*$B$20*$B$21,0)</f>
        <v/>
      </c>
      <c r="AA33" s="127">
        <f>ROUND($B$6*$B$9*$B$13*$B$15*$B$18*$B$20*$B$22,0)</f>
        <v/>
      </c>
      <c r="AB33" s="127">
        <f>ROUND($B$7*$B$9*$B$13*$B$15*$B$17*$B$19*$B$21,0)</f>
        <v/>
      </c>
      <c r="AC33" s="127">
        <f>ROUND($B$7*$B$9*$B$13*$B$15*$B$17*$B$19*$B$22,0)</f>
        <v/>
      </c>
      <c r="AD33" s="127">
        <f>ROUND($B$7*$B$9*$B$13*$B$15*$B$17*$B$20*$B$21,0)</f>
        <v/>
      </c>
      <c r="AE33" s="127">
        <f>ROUND($B$7*$B$9*$B$13*$B$15*$B$17*$B$20*$B$22,0)</f>
        <v/>
      </c>
      <c r="AF33" s="127">
        <f>ROUND($B$7*$B$9*$B$13*$B$15*$B$18*$B$19*$B$21,0)</f>
        <v/>
      </c>
      <c r="AG33" s="127">
        <f>ROUND($B$7*$B$9*$B$13*$B$15*$B$18*$B$19*$B$22,0)</f>
        <v/>
      </c>
      <c r="AH33" s="127">
        <f>ROUND($B$7*$B$9*$B$13*$B$15*$B$18*$B$20*$B$21,0)</f>
        <v/>
      </c>
      <c r="AI33" s="127">
        <f>ROUND($B$7*$B$9*$B$13*$B$15*$B$18*$B$20*$B$22,0)</f>
        <v/>
      </c>
    </row>
    <row r="34" ht="20" customHeight="1" s="62">
      <c r="C34" s="126" t="inlineStr">
        <is>
          <t>Personnalisation adaptée métier</t>
        </is>
      </c>
      <c r="D34" s="127">
        <f>ROUND($B$4*$B$9*$B$13*$B$16*$B$17*$B$19*$B$21,0)</f>
        <v/>
      </c>
      <c r="E34" s="127">
        <f>ROUND($B$4*$B$9*$B$13*$B$16*$B$17*$B$19*$B$22,0)</f>
        <v/>
      </c>
      <c r="F34" s="127">
        <f>ROUND($B$4*$B$9*$B$13*$B$16*$B$17*$B$20*$B$21,0)</f>
        <v/>
      </c>
      <c r="G34" s="127">
        <f>ROUND($B$4*$B$9*$B$13*$B$16*$B$17*$B$20*$B$22,0)</f>
        <v/>
      </c>
      <c r="H34" s="127">
        <f>ROUND($B$4*$B$9*$B$13*$B$16*$B$18*$B$19*$B$21,0)</f>
        <v/>
      </c>
      <c r="I34" s="127">
        <f>ROUND($B$4*$B$9*$B$13*$B$16*$B$18*$B$19*$B$22,0)</f>
        <v/>
      </c>
      <c r="J34" s="127">
        <f>ROUND($B$4*$B$9*$B$13*$B$16*$B$18*$B$20*$B$21,0)</f>
        <v/>
      </c>
      <c r="K34" s="127">
        <f>ROUND($B$4*$B$9*$B$13*$B$16*$B$18*$B$20*$B$22,0)</f>
        <v/>
      </c>
      <c r="L34" s="127">
        <f>ROUND($B$5*$B$9*$B$13*$B$16*$B$17*$B$19*$B$21,0)</f>
        <v/>
      </c>
      <c r="M34" s="127">
        <f>ROUND($B$5*$B$9*$B$13*$B$16*$B$17*$B$19*$B$22,0)</f>
        <v/>
      </c>
      <c r="N34" s="127">
        <f>ROUND($B$5*$B$9*$B$13*$B$16*$B$17*$B$20*$B$21,0)</f>
        <v/>
      </c>
      <c r="O34" s="127">
        <f>ROUND($B$5*$B$9*$B$13*$B$16*$B$17*$B$20*$B$22,0)</f>
        <v/>
      </c>
      <c r="P34" s="127">
        <f>ROUND($B$5*$B$9*$B$13*$B$16*$B$18*$B$19*$B$21,0)</f>
        <v/>
      </c>
      <c r="Q34" s="127">
        <f>ROUND($B$5*$B$9*$B$13*$B$16*$B$18*$B$19*$B$22,0)</f>
        <v/>
      </c>
      <c r="R34" s="127">
        <f>ROUND($B$5*$B$9*$B$13*$B$16*$B$18*$B$20*$B$21,0)</f>
        <v/>
      </c>
      <c r="S34" s="127">
        <f>ROUND($B$5*$B$9*$B$13*$B$16*$B$18*$B$20*$B$22,0)</f>
        <v/>
      </c>
      <c r="T34" s="127">
        <f>ROUND($B$6*$B$9*$B$13*$B$16*$B$17*$B$19*$B$21,0)</f>
        <v/>
      </c>
      <c r="U34" s="127">
        <f>ROUND($B$6*$B$9*$B$13*$B$16*$B$17*$B$19*$B$22,0)</f>
        <v/>
      </c>
      <c r="V34" s="127">
        <f>ROUND($B$6*$B$9*$B$13*$B$16*$B$17*$B$20*$B$21,0)</f>
        <v/>
      </c>
      <c r="W34" s="127">
        <f>ROUND($B$6*$B$9*$B$13*$B$16*$B$17*$B$20*$B$22,0)</f>
        <v/>
      </c>
      <c r="X34" s="127">
        <f>ROUND($B$6*$B$9*$B$13*$B$16*$B$18*$B$19*$B$21,0)</f>
        <v/>
      </c>
      <c r="Y34" s="127">
        <f>ROUND($B$6*$B$9*$B$13*$B$16*$B$18*$B$19*$B$22,0)</f>
        <v/>
      </c>
      <c r="Z34" s="127">
        <f>ROUND($B$6*$B$9*$B$13*$B$16*$B$18*$B$20*$B$21,0)</f>
        <v/>
      </c>
      <c r="AA34" s="127">
        <f>ROUND($B$6*$B$9*$B$13*$B$16*$B$18*$B$20*$B$22,0)</f>
        <v/>
      </c>
      <c r="AB34" s="127">
        <f>ROUND($B$7*$B$9*$B$13*$B$16*$B$17*$B$19*$B$21,0)</f>
        <v/>
      </c>
      <c r="AC34" s="127">
        <f>ROUND($B$7*$B$9*$B$13*$B$16*$B$17*$B$19*$B$22,0)</f>
        <v/>
      </c>
      <c r="AD34" s="127">
        <f>ROUND($B$7*$B$9*$B$13*$B$16*$B$17*$B$20*$B$21,0)</f>
        <v/>
      </c>
      <c r="AE34" s="127">
        <f>ROUND($B$7*$B$9*$B$13*$B$16*$B$17*$B$20*$B$22,0)</f>
        <v/>
      </c>
      <c r="AF34" s="127">
        <f>ROUND($B$7*$B$9*$B$13*$B$16*$B$18*$B$19*$B$21,0)</f>
        <v/>
      </c>
      <c r="AG34" s="127">
        <f>ROUND($B$7*$B$9*$B$13*$B$16*$B$18*$B$19*$B$22,0)</f>
        <v/>
      </c>
      <c r="AH34" s="127">
        <f>ROUND($B$7*$B$9*$B$13*$B$16*$B$18*$B$20*$B$21,0)</f>
        <v/>
      </c>
      <c r="AI34" s="127">
        <f>ROUND($B$7*$B$9*$B$13*$B$16*$B$18*$B$20*$B$22,0)</f>
        <v/>
      </c>
    </row>
    <row r="35" ht="20" customHeight="1" s="62">
      <c r="B35" s="125" t="inlineStr">
        <is>
          <t>11+ participants</t>
        </is>
      </c>
      <c r="C35" s="125" t="inlineStr">
        <is>
          <t>Personnalisation standard</t>
        </is>
      </c>
      <c r="D35" s="127">
        <f>ROUND($B$4*$B$9*$B$14*$B$15*$B$17*$B$19*$B$21,0)</f>
        <v/>
      </c>
      <c r="E35" s="127">
        <f>ROUND($B$4*$B$9*$B$14*$B$15*$B$17*$B$19*$B$22,0)</f>
        <v/>
      </c>
      <c r="F35" s="127">
        <f>ROUND($B$4*$B$9*$B$14*$B$15*$B$17*$B$20*$B$21,0)</f>
        <v/>
      </c>
      <c r="G35" s="127">
        <f>ROUND($B$4*$B$9*$B$14*$B$15*$B$17*$B$20*$B$22,0)</f>
        <v/>
      </c>
      <c r="H35" s="127">
        <f>ROUND($B$4*$B$9*$B$14*$B$15*$B$18*$B$19*$B$21,0)</f>
        <v/>
      </c>
      <c r="I35" s="127">
        <f>ROUND($B$4*$B$9*$B$14*$B$15*$B$18*$B$19*$B$22,0)</f>
        <v/>
      </c>
      <c r="J35" s="127">
        <f>ROUND($B$4*$B$9*$B$14*$B$15*$B$18*$B$20*$B$21,0)</f>
        <v/>
      </c>
      <c r="K35" s="127">
        <f>ROUND($B$4*$B$9*$B$14*$B$15*$B$18*$B$20*$B$22,0)</f>
        <v/>
      </c>
      <c r="L35" s="127">
        <f>ROUND($B$5*$B$9*$B$14*$B$15*$B$17*$B$19*$B$21,0)</f>
        <v/>
      </c>
      <c r="M35" s="127">
        <f>ROUND($B$5*$B$9*$B$14*$B$15*$B$17*$B$19*$B$22,0)</f>
        <v/>
      </c>
      <c r="N35" s="127">
        <f>ROUND($B$5*$B$9*$B$14*$B$15*$B$17*$B$20*$B$21,0)</f>
        <v/>
      </c>
      <c r="O35" s="127">
        <f>ROUND($B$5*$B$9*$B$14*$B$15*$B$17*$B$20*$B$22,0)</f>
        <v/>
      </c>
      <c r="P35" s="127">
        <f>ROUND($B$5*$B$9*$B$14*$B$15*$B$18*$B$19*$B$21,0)</f>
        <v/>
      </c>
      <c r="Q35" s="127">
        <f>ROUND($B$5*$B$9*$B$14*$B$15*$B$18*$B$19*$B$22,0)</f>
        <v/>
      </c>
      <c r="R35" s="127">
        <f>ROUND($B$5*$B$9*$B$14*$B$15*$B$18*$B$20*$B$21,0)</f>
        <v/>
      </c>
      <c r="S35" s="127">
        <f>ROUND($B$5*$B$9*$B$14*$B$15*$B$18*$B$20*$B$22,0)</f>
        <v/>
      </c>
      <c r="T35" s="127">
        <f>ROUND($B$6*$B$9*$B$14*$B$15*$B$17*$B$19*$B$21,0)</f>
        <v/>
      </c>
      <c r="U35" s="127">
        <f>ROUND($B$6*$B$9*$B$14*$B$15*$B$17*$B$19*$B$22,0)</f>
        <v/>
      </c>
      <c r="V35" s="127">
        <f>ROUND($B$6*$B$9*$B$14*$B$15*$B$17*$B$20*$B$21,0)</f>
        <v/>
      </c>
      <c r="W35" s="127">
        <f>ROUND($B$6*$B$9*$B$14*$B$15*$B$17*$B$20*$B$22,0)</f>
        <v/>
      </c>
      <c r="X35" s="127">
        <f>ROUND($B$6*$B$9*$B$14*$B$15*$B$18*$B$19*$B$21,0)</f>
        <v/>
      </c>
      <c r="Y35" s="127">
        <f>ROUND($B$6*$B$9*$B$14*$B$15*$B$18*$B$19*$B$22,0)</f>
        <v/>
      </c>
      <c r="Z35" s="127">
        <f>ROUND($B$6*$B$9*$B$14*$B$15*$B$18*$B$20*$B$21,0)</f>
        <v/>
      </c>
      <c r="AA35" s="127">
        <f>ROUND($B$6*$B$9*$B$14*$B$15*$B$18*$B$20*$B$22,0)</f>
        <v/>
      </c>
      <c r="AB35" s="127">
        <f>ROUND($B$7*$B$9*$B$14*$B$15*$B$17*$B$19*$B$21,0)</f>
        <v/>
      </c>
      <c r="AC35" s="127">
        <f>ROUND($B$7*$B$9*$B$14*$B$15*$B$17*$B$19*$B$22,0)</f>
        <v/>
      </c>
      <c r="AD35" s="127">
        <f>ROUND($B$7*$B$9*$B$14*$B$15*$B$17*$B$20*$B$21,0)</f>
        <v/>
      </c>
      <c r="AE35" s="127">
        <f>ROUND($B$7*$B$9*$B$14*$B$15*$B$17*$B$20*$B$22,0)</f>
        <v/>
      </c>
      <c r="AF35" s="127">
        <f>ROUND($B$7*$B$9*$B$14*$B$15*$B$18*$B$19*$B$21,0)</f>
        <v/>
      </c>
      <c r="AG35" s="127">
        <f>ROUND($B$7*$B$9*$B$14*$B$15*$B$18*$B$19*$B$22,0)</f>
        <v/>
      </c>
      <c r="AH35" s="127">
        <f>ROUND($B$7*$B$9*$B$14*$B$15*$B$18*$B$20*$B$21,0)</f>
        <v/>
      </c>
      <c r="AI35" s="127">
        <f>ROUND($B$7*$B$9*$B$14*$B$15*$B$18*$B$20*$B$22,0)</f>
        <v/>
      </c>
    </row>
    <row r="36" ht="20" customHeight="1" s="62">
      <c r="C36" s="129" t="inlineStr">
        <is>
          <t>Personnalisation adaptée métier</t>
        </is>
      </c>
      <c r="D36" s="127">
        <f>ROUND($B$4*$B$9*$B$14*$B$16*$B$17*$B$19*$B$21,0)</f>
        <v/>
      </c>
      <c r="E36" s="127">
        <f>ROUND($B$4*$B$9*$B$14*$B$16*$B$17*$B$19*$B$22,0)</f>
        <v/>
      </c>
      <c r="F36" s="127">
        <f>ROUND($B$4*$B$9*$B$14*$B$16*$B$17*$B$20*$B$21,0)</f>
        <v/>
      </c>
      <c r="G36" s="127">
        <f>ROUND($B$4*$B$9*$B$14*$B$16*$B$17*$B$20*$B$22,0)</f>
        <v/>
      </c>
      <c r="H36" s="127">
        <f>ROUND($B$4*$B$9*$B$14*$B$16*$B$18*$B$19*$B$21,0)</f>
        <v/>
      </c>
      <c r="I36" s="127">
        <f>ROUND($B$4*$B$9*$B$14*$B$16*$B$18*$B$19*$B$22,0)</f>
        <v/>
      </c>
      <c r="J36" s="127">
        <f>ROUND($B$4*$B$9*$B$14*$B$16*$B$18*$B$20*$B$21,0)</f>
        <v/>
      </c>
      <c r="K36" s="127">
        <f>ROUND($B$4*$B$9*$B$14*$B$16*$B$18*$B$20*$B$22,0)</f>
        <v/>
      </c>
      <c r="L36" s="127">
        <f>ROUND($B$5*$B$9*$B$14*$B$16*$B$17*$B$19*$B$21,0)</f>
        <v/>
      </c>
      <c r="M36" s="127">
        <f>ROUND($B$5*$B$9*$B$14*$B$16*$B$17*$B$19*$B$22,0)</f>
        <v/>
      </c>
      <c r="N36" s="127">
        <f>ROUND($B$5*$B$9*$B$14*$B$16*$B$17*$B$20*$B$21,0)</f>
        <v/>
      </c>
      <c r="O36" s="127">
        <f>ROUND($B$5*$B$9*$B$14*$B$16*$B$17*$B$20*$B$22,0)</f>
        <v/>
      </c>
      <c r="P36" s="127">
        <f>ROUND($B$5*$B$9*$B$14*$B$16*$B$18*$B$19*$B$21,0)</f>
        <v/>
      </c>
      <c r="Q36" s="127">
        <f>ROUND($B$5*$B$9*$B$14*$B$16*$B$18*$B$19*$B$22,0)</f>
        <v/>
      </c>
      <c r="R36" s="127">
        <f>ROUND($B$5*$B$9*$B$14*$B$16*$B$18*$B$20*$B$21,0)</f>
        <v/>
      </c>
      <c r="S36" s="127">
        <f>ROUND($B$5*$B$9*$B$14*$B$16*$B$18*$B$20*$B$22,0)</f>
        <v/>
      </c>
      <c r="T36" s="127">
        <f>ROUND($B$6*$B$9*$B$14*$B$16*$B$17*$B$19*$B$21,0)</f>
        <v/>
      </c>
      <c r="U36" s="127">
        <f>ROUND($B$6*$B$9*$B$14*$B$16*$B$17*$B$19*$B$22,0)</f>
        <v/>
      </c>
      <c r="V36" s="127">
        <f>ROUND($B$6*$B$9*$B$14*$B$16*$B$17*$B$20*$B$21,0)</f>
        <v/>
      </c>
      <c r="W36" s="127">
        <f>ROUND($B$6*$B$9*$B$14*$B$16*$B$17*$B$20*$B$22,0)</f>
        <v/>
      </c>
      <c r="X36" s="127">
        <f>ROUND($B$6*$B$9*$B$14*$B$16*$B$18*$B$19*$B$21,0)</f>
        <v/>
      </c>
      <c r="Y36" s="127">
        <f>ROUND($B$6*$B$9*$B$14*$B$16*$B$18*$B$19*$B$22,0)</f>
        <v/>
      </c>
      <c r="Z36" s="127">
        <f>ROUND($B$6*$B$9*$B$14*$B$16*$B$18*$B$20*$B$21,0)</f>
        <v/>
      </c>
      <c r="AA36" s="127">
        <f>ROUND($B$6*$B$9*$B$14*$B$16*$B$18*$B$20*$B$22,0)</f>
        <v/>
      </c>
      <c r="AB36" s="127">
        <f>ROUND($B$7*$B$9*$B$14*$B$16*$B$17*$B$19*$B$21,0)</f>
        <v/>
      </c>
      <c r="AC36" s="127">
        <f>ROUND($B$7*$B$9*$B$14*$B$16*$B$17*$B$19*$B$22,0)</f>
        <v/>
      </c>
      <c r="AD36" s="127">
        <f>ROUND($B$7*$B$9*$B$14*$B$16*$B$17*$B$20*$B$21,0)</f>
        <v/>
      </c>
      <c r="AE36" s="127">
        <f>ROUND($B$7*$B$9*$B$14*$B$16*$B$17*$B$20*$B$22,0)</f>
        <v/>
      </c>
      <c r="AF36" s="127">
        <f>ROUND($B$7*$B$9*$B$14*$B$16*$B$18*$B$19*$B$21,0)</f>
        <v/>
      </c>
      <c r="AG36" s="127">
        <f>ROUND($B$7*$B$9*$B$14*$B$16*$B$18*$B$19*$B$22,0)</f>
        <v/>
      </c>
      <c r="AH36" s="127">
        <f>ROUND($B$7*$B$9*$B$14*$B$16*$B$18*$B$20*$B$21,0)</f>
        <v/>
      </c>
      <c r="AI36" s="127">
        <f>ROUND($B$7*$B$9*$B$14*$B$16*$B$18*$B$20*$B$22,0)</f>
        <v/>
      </c>
    </row>
    <row r="37" ht="20" customHeight="1" s="62">
      <c r="A37" s="124" t="inlineStr">
        <is>
          <t>Niveau intermédiaire</t>
        </is>
      </c>
      <c r="B37" s="125" t="inlineStr">
        <is>
          <t>1-3 participants</t>
        </is>
      </c>
      <c r="C37" s="126" t="inlineStr">
        <is>
          <t>Personnalisation standard</t>
        </is>
      </c>
      <c r="D37" s="127">
        <f>ROUND($B$4*$B$10*$B$12*$B$15*$B$17*$B$19*$B$21,0)</f>
        <v/>
      </c>
      <c r="E37" s="127">
        <f>ROUND($B$4*$B$10*$B$12*$B$15*$B$17*$B$19*$B$22,0)</f>
        <v/>
      </c>
      <c r="F37" s="127">
        <f>ROUND($B$4*$B$10*$B$12*$B$15*$B$17*$B$20*$B$21,0)</f>
        <v/>
      </c>
      <c r="G37" s="127">
        <f>ROUND($B$4*$B$10*$B$12*$B$15*$B$17*$B$20*$B$22,0)</f>
        <v/>
      </c>
      <c r="H37" s="127">
        <f>ROUND($B$4*$B$10*$B$12*$B$15*$B$18*$B$19*$B$21,0)</f>
        <v/>
      </c>
      <c r="I37" s="127">
        <f>ROUND($B$4*$B$10*$B$12*$B$15*$B$18*$B$19*$B$22,0)</f>
        <v/>
      </c>
      <c r="J37" s="127">
        <f>ROUND($B$4*$B$10*$B$12*$B$15*$B$18*$B$20*$B$21,0)</f>
        <v/>
      </c>
      <c r="K37" s="127">
        <f>ROUND($B$4*$B$10*$B$12*$B$15*$B$18*$B$20*$B$22,0)</f>
        <v/>
      </c>
      <c r="L37" s="127">
        <f>ROUND($B$5*$B$10*$B$12*$B$15*$B$17*$B$19*$B$21,0)</f>
        <v/>
      </c>
      <c r="M37" s="127">
        <f>ROUND($B$5*$B$10*$B$12*$B$15*$B$17*$B$19*$B$22,0)</f>
        <v/>
      </c>
      <c r="N37" s="127">
        <f>ROUND($B$5*$B$10*$B$12*$B$15*$B$17*$B$20*$B$21,0)</f>
        <v/>
      </c>
      <c r="O37" s="127">
        <f>ROUND($B$5*$B$10*$B$12*$B$15*$B$17*$B$20*$B$22,0)</f>
        <v/>
      </c>
      <c r="P37" s="127">
        <f>ROUND($B$5*$B$10*$B$12*$B$15*$B$18*$B$19*$B$21,0)</f>
        <v/>
      </c>
      <c r="Q37" s="127">
        <f>ROUND($B$5*$B$10*$B$12*$B$15*$B$18*$B$19*$B$22,0)</f>
        <v/>
      </c>
      <c r="R37" s="127">
        <f>ROUND($B$5*$B$10*$B$12*$B$15*$B$18*$B$20*$B$21,0)</f>
        <v/>
      </c>
      <c r="S37" s="127">
        <f>ROUND($B$5*$B$10*$B$12*$B$15*$B$18*$B$20*$B$22,0)</f>
        <v/>
      </c>
      <c r="T37" s="127">
        <f>ROUND($B$6*$B$10*$B$12*$B$15*$B$17*$B$19*$B$21,0)</f>
        <v/>
      </c>
      <c r="U37" s="127">
        <f>ROUND($B$6*$B$10*$B$12*$B$15*$B$17*$B$19*$B$22,0)</f>
        <v/>
      </c>
      <c r="V37" s="127">
        <f>ROUND($B$6*$B$10*$B$12*$B$15*$B$17*$B$20*$B$21,0)</f>
        <v/>
      </c>
      <c r="W37" s="127">
        <f>ROUND($B$6*$B$10*$B$12*$B$15*$B$17*$B$20*$B$22,0)</f>
        <v/>
      </c>
      <c r="X37" s="127">
        <f>ROUND($B$6*$B$10*$B$12*$B$15*$B$18*$B$19*$B$21,0)</f>
        <v/>
      </c>
      <c r="Y37" s="127">
        <f>ROUND($B$6*$B$10*$B$12*$B$15*$B$18*$B$19*$B$22,0)</f>
        <v/>
      </c>
      <c r="Z37" s="127">
        <f>ROUND($B$6*$B$10*$B$12*$B$15*$B$18*$B$20*$B$21,0)</f>
        <v/>
      </c>
      <c r="AA37" s="127">
        <f>ROUND($B$6*$B$10*$B$12*$B$15*$B$18*$B$20*$B$22,0)</f>
        <v/>
      </c>
      <c r="AB37" s="127">
        <f>ROUND($B$7*$B$10*$B$12*$B$15*$B$17*$B$19*$B$21,0)</f>
        <v/>
      </c>
      <c r="AC37" s="127">
        <f>ROUND($B$7*$B$10*$B$12*$B$15*$B$17*$B$19*$B$22,0)</f>
        <v/>
      </c>
      <c r="AD37" s="127">
        <f>ROUND($B$7*$B$10*$B$12*$B$15*$B$17*$B$20*$B$21,0)</f>
        <v/>
      </c>
      <c r="AE37" s="127">
        <f>ROUND($B$7*$B$10*$B$12*$B$15*$B$17*$B$20*$B$22,0)</f>
        <v/>
      </c>
      <c r="AF37" s="127">
        <f>ROUND($B$7*$B$10*$B$12*$B$15*$B$18*$B$19*$B$21,0)</f>
        <v/>
      </c>
      <c r="AG37" s="127">
        <f>ROUND($B$7*$B$10*$B$12*$B$15*$B$18*$B$19*$B$22,0)</f>
        <v/>
      </c>
      <c r="AH37" s="127">
        <f>ROUND($B$7*$B$10*$B$12*$B$15*$B$18*$B$20*$B$21,0)</f>
        <v/>
      </c>
      <c r="AI37" s="127">
        <f>ROUND($B$7*$B$10*$B$12*$B$15*$B$18*$B$20*$B$22,0)</f>
        <v/>
      </c>
    </row>
    <row r="38" ht="20" customHeight="1" s="62">
      <c r="C38" s="125" t="inlineStr">
        <is>
          <t>Personnalisation adaptée métier</t>
        </is>
      </c>
      <c r="D38" s="127">
        <f>ROUND($B$4*$B$10*$B$12*$B$16*$B$17*$B$19*$B$21,0)</f>
        <v/>
      </c>
      <c r="E38" s="127">
        <f>ROUND($B$4*$B$10*$B$12*$B$16*$B$17*$B$19*$B$22,0)</f>
        <v/>
      </c>
      <c r="F38" s="127">
        <f>ROUND($B$4*$B$10*$B$12*$B$16*$B$17*$B$20*$B$21,0)</f>
        <v/>
      </c>
      <c r="G38" s="127">
        <f>ROUND($B$4*$B$10*$B$12*$B$16*$B$17*$B$20*$B$22,0)</f>
        <v/>
      </c>
      <c r="H38" s="127">
        <f>ROUND($B$4*$B$10*$B$12*$B$16*$B$18*$B$19*$B$21,0)</f>
        <v/>
      </c>
      <c r="I38" s="127">
        <f>ROUND($B$4*$B$10*$B$12*$B$16*$B$18*$B$19*$B$22,0)</f>
        <v/>
      </c>
      <c r="J38" s="127">
        <f>ROUND($B$4*$B$10*$B$12*$B$16*$B$18*$B$20*$B$21,0)</f>
        <v/>
      </c>
      <c r="K38" s="127">
        <f>ROUND($B$4*$B$10*$B$12*$B$16*$B$18*$B$20*$B$22,0)</f>
        <v/>
      </c>
      <c r="L38" s="127">
        <f>ROUND($B$5*$B$10*$B$12*$B$16*$B$17*$B$19*$B$21,0)</f>
        <v/>
      </c>
      <c r="M38" s="127">
        <f>ROUND($B$5*$B$10*$B$12*$B$16*$B$17*$B$19*$B$22,0)</f>
        <v/>
      </c>
      <c r="N38" s="127">
        <f>ROUND($B$5*$B$10*$B$12*$B$16*$B$17*$B$20*$B$21,0)</f>
        <v/>
      </c>
      <c r="O38" s="127">
        <f>ROUND($B$5*$B$10*$B$12*$B$16*$B$17*$B$20*$B$22,0)</f>
        <v/>
      </c>
      <c r="P38" s="127">
        <f>ROUND($B$5*$B$10*$B$12*$B$16*$B$18*$B$19*$B$21,0)</f>
        <v/>
      </c>
      <c r="Q38" s="127">
        <f>ROUND($B$5*$B$10*$B$12*$B$16*$B$18*$B$19*$B$22,0)</f>
        <v/>
      </c>
      <c r="R38" s="127">
        <f>ROUND($B$5*$B$10*$B$12*$B$16*$B$18*$B$20*$B$21,0)</f>
        <v/>
      </c>
      <c r="S38" s="127">
        <f>ROUND($B$5*$B$10*$B$12*$B$16*$B$18*$B$20*$B$22,0)</f>
        <v/>
      </c>
      <c r="T38" s="127">
        <f>ROUND($B$6*$B$10*$B$12*$B$16*$B$17*$B$19*$B$21,0)</f>
        <v/>
      </c>
      <c r="U38" s="127">
        <f>ROUND($B$6*$B$10*$B$12*$B$16*$B$17*$B$19*$B$22,0)</f>
        <v/>
      </c>
      <c r="V38" s="127">
        <f>ROUND($B$6*$B$10*$B$12*$B$16*$B$17*$B$20*$B$21,0)</f>
        <v/>
      </c>
      <c r="W38" s="127">
        <f>ROUND($B$6*$B$10*$B$12*$B$16*$B$17*$B$20*$B$22,0)</f>
        <v/>
      </c>
      <c r="X38" s="127">
        <f>ROUND($B$6*$B$10*$B$12*$B$16*$B$18*$B$19*$B$21,0)</f>
        <v/>
      </c>
      <c r="Y38" s="127">
        <f>ROUND($B$6*$B$10*$B$12*$B$16*$B$18*$B$19*$B$22,0)</f>
        <v/>
      </c>
      <c r="Z38" s="127">
        <f>ROUND($B$6*$B$10*$B$12*$B$16*$B$18*$B$20*$B$21,0)</f>
        <v/>
      </c>
      <c r="AA38" s="127">
        <f>ROUND($B$6*$B$10*$B$12*$B$16*$B$18*$B$20*$B$22,0)</f>
        <v/>
      </c>
      <c r="AB38" s="127">
        <f>ROUND($B$7*$B$10*$B$12*$B$16*$B$17*$B$19*$B$21,0)</f>
        <v/>
      </c>
      <c r="AC38" s="127">
        <f>ROUND($B$7*$B$10*$B$12*$B$16*$B$17*$B$19*$B$22,0)</f>
        <v/>
      </c>
      <c r="AD38" s="127">
        <f>ROUND($B$7*$B$10*$B$12*$B$16*$B$17*$B$20*$B$21,0)</f>
        <v/>
      </c>
      <c r="AE38" s="127">
        <f>ROUND($B$7*$B$10*$B$12*$B$16*$B$17*$B$20*$B$22,0)</f>
        <v/>
      </c>
      <c r="AF38" s="127">
        <f>ROUND($B$7*$B$10*$B$12*$B$16*$B$18*$B$19*$B$21,0)</f>
        <v/>
      </c>
      <c r="AG38" s="127">
        <f>ROUND($B$7*$B$10*$B$12*$B$16*$B$18*$B$19*$B$22,0)</f>
        <v/>
      </c>
      <c r="AH38" s="127">
        <f>ROUND($B$7*$B$10*$B$12*$B$16*$B$18*$B$20*$B$21,0)</f>
        <v/>
      </c>
      <c r="AI38" s="127">
        <f>ROUND($B$7*$B$10*$B$12*$B$16*$B$18*$B$20*$B$22,0)</f>
        <v/>
      </c>
    </row>
    <row r="39" ht="20" customHeight="1" s="62">
      <c r="B39" s="125" t="inlineStr">
        <is>
          <t>4-10 participants</t>
        </is>
      </c>
      <c r="C39" s="129" t="inlineStr">
        <is>
          <t>Personnalisation standard</t>
        </is>
      </c>
      <c r="D39" s="127">
        <f>ROUND($B$4*$B$10*$B$13*$B$15*$B$17*$B$19*$B$21,0)</f>
        <v/>
      </c>
      <c r="E39" s="127">
        <f>ROUND($B$4*$B$10*$B$13*$B$15*$B$17*$B$19*$B$22,0)</f>
        <v/>
      </c>
      <c r="F39" s="127">
        <f>ROUND($B$4*$B$10*$B$13*$B$15*$B$17*$B$20*$B$21,0)</f>
        <v/>
      </c>
      <c r="G39" s="127">
        <f>ROUND($B$4*$B$10*$B$13*$B$15*$B$17*$B$20*$B$22,0)</f>
        <v/>
      </c>
      <c r="H39" s="127">
        <f>ROUND($B$4*$B$10*$B$13*$B$15*$B$18*$B$19*$B$21,0)</f>
        <v/>
      </c>
      <c r="I39" s="127">
        <f>ROUND($B$4*$B$10*$B$13*$B$15*$B$18*$B$19*$B$22,0)</f>
        <v/>
      </c>
      <c r="J39" s="127">
        <f>ROUND($B$4*$B$10*$B$13*$B$15*$B$18*$B$20*$B$21,0)</f>
        <v/>
      </c>
      <c r="K39" s="127">
        <f>ROUND($B$4*$B$10*$B$13*$B$15*$B$18*$B$20*$B$22,0)</f>
        <v/>
      </c>
      <c r="L39" s="127">
        <f>ROUND($B$5*$B$10*$B$13*$B$15*$B$17*$B$19*$B$21,0)</f>
        <v/>
      </c>
      <c r="M39" s="127">
        <f>ROUND($B$5*$B$10*$B$13*$B$15*$B$17*$B$19*$B$22,0)</f>
        <v/>
      </c>
      <c r="N39" s="127">
        <f>ROUND($B$5*$B$10*$B$13*$B$15*$B$17*$B$20*$B$21,0)</f>
        <v/>
      </c>
      <c r="O39" s="127">
        <f>ROUND($B$5*$B$10*$B$13*$B$15*$B$17*$B$20*$B$22,0)</f>
        <v/>
      </c>
      <c r="P39" s="127">
        <f>ROUND($B$5*$B$10*$B$13*$B$15*$B$18*$B$19*$B$21,0)</f>
        <v/>
      </c>
      <c r="Q39" s="127">
        <f>ROUND($B$5*$B$10*$B$13*$B$15*$B$18*$B$19*$B$22,0)</f>
        <v/>
      </c>
      <c r="R39" s="127">
        <f>ROUND($B$5*$B$10*$B$13*$B$15*$B$18*$B$20*$B$21,0)</f>
        <v/>
      </c>
      <c r="S39" s="127">
        <f>ROUND($B$5*$B$10*$B$13*$B$15*$B$18*$B$20*$B$22,0)</f>
        <v/>
      </c>
      <c r="T39" s="127">
        <f>ROUND($B$6*$B$10*$B$13*$B$15*$B$17*$B$19*$B$21,0)</f>
        <v/>
      </c>
      <c r="U39" s="127">
        <f>ROUND($B$6*$B$10*$B$13*$B$15*$B$17*$B$19*$B$22,0)</f>
        <v/>
      </c>
      <c r="V39" s="127">
        <f>ROUND($B$6*$B$10*$B$13*$B$15*$B$17*$B$20*$B$21,0)</f>
        <v/>
      </c>
      <c r="W39" s="127">
        <f>ROUND($B$6*$B$10*$B$13*$B$15*$B$17*$B$20*$B$22,0)</f>
        <v/>
      </c>
      <c r="X39" s="127">
        <f>ROUND($B$6*$B$10*$B$13*$B$15*$B$18*$B$19*$B$21,0)</f>
        <v/>
      </c>
      <c r="Y39" s="127">
        <f>ROUND($B$6*$B$10*$B$13*$B$15*$B$18*$B$19*$B$22,0)</f>
        <v/>
      </c>
      <c r="Z39" s="127">
        <f>ROUND($B$6*$B$10*$B$13*$B$15*$B$18*$B$20*$B$21,0)</f>
        <v/>
      </c>
      <c r="AA39" s="127">
        <f>ROUND($B$6*$B$10*$B$13*$B$15*$B$18*$B$20*$B$22,0)</f>
        <v/>
      </c>
      <c r="AB39" s="127">
        <f>ROUND($B$7*$B$10*$B$13*$B$15*$B$17*$B$19*$B$21,0)</f>
        <v/>
      </c>
      <c r="AC39" s="127">
        <f>ROUND($B$7*$B$10*$B$13*$B$15*$B$17*$B$19*$B$22,0)</f>
        <v/>
      </c>
      <c r="AD39" s="127">
        <f>ROUND($B$7*$B$10*$B$13*$B$15*$B$17*$B$20*$B$21,0)</f>
        <v/>
      </c>
      <c r="AE39" s="127">
        <f>ROUND($B$7*$B$10*$B$13*$B$15*$B$17*$B$20*$B$22,0)</f>
        <v/>
      </c>
      <c r="AF39" s="127">
        <f>ROUND($B$7*$B$10*$B$13*$B$15*$B$18*$B$19*$B$21,0)</f>
        <v/>
      </c>
      <c r="AG39" s="127">
        <f>ROUND($B$7*$B$10*$B$13*$B$15*$B$18*$B$19*$B$22,0)</f>
        <v/>
      </c>
      <c r="AH39" s="127">
        <f>ROUND($B$7*$B$10*$B$13*$B$15*$B$18*$B$20*$B$21,0)</f>
        <v/>
      </c>
      <c r="AI39" s="127">
        <f>ROUND($B$7*$B$10*$B$13*$B$15*$B$18*$B$20*$B$22,0)</f>
        <v/>
      </c>
    </row>
    <row r="40" ht="20" customHeight="1" s="62">
      <c r="C40" s="126" t="inlineStr">
        <is>
          <t>Personnalisation adaptée métier</t>
        </is>
      </c>
      <c r="D40" s="127">
        <f>ROUND($B$4*$B$10*$B$13*$B$16*$B$17*$B$19*$B$21,0)</f>
        <v/>
      </c>
      <c r="E40" s="127">
        <f>ROUND($B$4*$B$10*$B$13*$B$16*$B$17*$B$19*$B$22,0)</f>
        <v/>
      </c>
      <c r="F40" s="127">
        <f>ROUND($B$4*$B$10*$B$13*$B$16*$B$17*$B$20*$B$21,0)</f>
        <v/>
      </c>
      <c r="G40" s="127">
        <f>ROUND($B$4*$B$10*$B$13*$B$16*$B$17*$B$20*$B$22,0)</f>
        <v/>
      </c>
      <c r="H40" s="127">
        <f>ROUND($B$4*$B$10*$B$13*$B$16*$B$18*$B$19*$B$21,0)</f>
        <v/>
      </c>
      <c r="I40" s="127">
        <f>ROUND($B$4*$B$10*$B$13*$B$16*$B$18*$B$19*$B$22,0)</f>
        <v/>
      </c>
      <c r="J40" s="127">
        <f>ROUND($B$4*$B$10*$B$13*$B$16*$B$18*$B$20*$B$21,0)</f>
        <v/>
      </c>
      <c r="K40" s="127">
        <f>ROUND($B$4*$B$10*$B$13*$B$16*$B$18*$B$20*$B$22,0)</f>
        <v/>
      </c>
      <c r="L40" s="127">
        <f>ROUND($B$5*$B$10*$B$13*$B$16*$B$17*$B$19*$B$21,0)</f>
        <v/>
      </c>
      <c r="M40" s="127">
        <f>ROUND($B$5*$B$10*$B$13*$B$16*$B$17*$B$19*$B$22,0)</f>
        <v/>
      </c>
      <c r="N40" s="127">
        <f>ROUND($B$5*$B$10*$B$13*$B$16*$B$17*$B$20*$B$21,0)</f>
        <v/>
      </c>
      <c r="O40" s="127">
        <f>ROUND($B$5*$B$10*$B$13*$B$16*$B$17*$B$20*$B$22,0)</f>
        <v/>
      </c>
      <c r="P40" s="127">
        <f>ROUND($B$5*$B$10*$B$13*$B$16*$B$18*$B$19*$B$21,0)</f>
        <v/>
      </c>
      <c r="Q40" s="127">
        <f>ROUND($B$5*$B$10*$B$13*$B$16*$B$18*$B$19*$B$22,0)</f>
        <v/>
      </c>
      <c r="R40" s="127">
        <f>ROUND($B$5*$B$10*$B$13*$B$16*$B$18*$B$20*$B$21,0)</f>
        <v/>
      </c>
      <c r="S40" s="127">
        <f>ROUND($B$5*$B$10*$B$13*$B$16*$B$18*$B$20*$B$22,0)</f>
        <v/>
      </c>
      <c r="T40" s="127">
        <f>ROUND($B$6*$B$10*$B$13*$B$16*$B$17*$B$19*$B$21,0)</f>
        <v/>
      </c>
      <c r="U40" s="127">
        <f>ROUND($B$6*$B$10*$B$13*$B$16*$B$17*$B$19*$B$22,0)</f>
        <v/>
      </c>
      <c r="V40" s="127">
        <f>ROUND($B$6*$B$10*$B$13*$B$16*$B$17*$B$20*$B$21,0)</f>
        <v/>
      </c>
      <c r="W40" s="127">
        <f>ROUND($B$6*$B$10*$B$13*$B$16*$B$17*$B$20*$B$22,0)</f>
        <v/>
      </c>
      <c r="X40" s="127">
        <f>ROUND($B$6*$B$10*$B$13*$B$16*$B$18*$B$19*$B$21,0)</f>
        <v/>
      </c>
      <c r="Y40" s="127">
        <f>ROUND($B$6*$B$10*$B$13*$B$16*$B$18*$B$19*$B$22,0)</f>
        <v/>
      </c>
      <c r="Z40" s="127">
        <f>ROUND($B$6*$B$10*$B$13*$B$16*$B$18*$B$20*$B$21,0)</f>
        <v/>
      </c>
      <c r="AA40" s="127">
        <f>ROUND($B$6*$B$10*$B$13*$B$16*$B$18*$B$20*$B$22,0)</f>
        <v/>
      </c>
      <c r="AB40" s="127">
        <f>ROUND($B$7*$B$10*$B$13*$B$16*$B$17*$B$19*$B$21,0)</f>
        <v/>
      </c>
      <c r="AC40" s="127">
        <f>ROUND($B$7*$B$10*$B$13*$B$16*$B$17*$B$19*$B$22,0)</f>
        <v/>
      </c>
      <c r="AD40" s="127">
        <f>ROUND($B$7*$B$10*$B$13*$B$16*$B$17*$B$20*$B$21,0)</f>
        <v/>
      </c>
      <c r="AE40" s="127">
        <f>ROUND($B$7*$B$10*$B$13*$B$16*$B$17*$B$20*$B$22,0)</f>
        <v/>
      </c>
      <c r="AF40" s="127">
        <f>ROUND($B$7*$B$10*$B$13*$B$16*$B$18*$B$19*$B$21,0)</f>
        <v/>
      </c>
      <c r="AG40" s="127">
        <f>ROUND($B$7*$B$10*$B$13*$B$16*$B$18*$B$19*$B$22,0)</f>
        <v/>
      </c>
      <c r="AH40" s="127">
        <f>ROUND($B$7*$B$10*$B$13*$B$16*$B$18*$B$20*$B$21,0)</f>
        <v/>
      </c>
      <c r="AI40" s="127">
        <f>ROUND($B$7*$B$10*$B$13*$B$16*$B$18*$B$20*$B$22,0)</f>
        <v/>
      </c>
    </row>
    <row r="41" ht="20" customHeight="1" s="62">
      <c r="B41" s="125" t="inlineStr">
        <is>
          <t>11+ participants</t>
        </is>
      </c>
      <c r="C41" s="125" t="inlineStr">
        <is>
          <t>Personnalisation standard</t>
        </is>
      </c>
      <c r="D41" s="127">
        <f>ROUND($B$4*$B$10*$B$14*$B$15*$B$17*$B$19*$B$21,0)</f>
        <v/>
      </c>
      <c r="E41" s="127">
        <f>ROUND($B$4*$B$10*$B$14*$B$15*$B$17*$B$19*$B$22,0)</f>
        <v/>
      </c>
      <c r="F41" s="127">
        <f>ROUND($B$4*$B$10*$B$14*$B$15*$B$17*$B$20*$B$21,0)</f>
        <v/>
      </c>
      <c r="G41" s="127">
        <f>ROUND($B$4*$B$10*$B$14*$B$15*$B$17*$B$20*$B$22,0)</f>
        <v/>
      </c>
      <c r="H41" s="127">
        <f>ROUND($B$4*$B$10*$B$14*$B$15*$B$18*$B$19*$B$21,0)</f>
        <v/>
      </c>
      <c r="I41" s="127">
        <f>ROUND($B$4*$B$10*$B$14*$B$15*$B$18*$B$19*$B$22,0)</f>
        <v/>
      </c>
      <c r="J41" s="127">
        <f>ROUND($B$4*$B$10*$B$14*$B$15*$B$18*$B$20*$B$21,0)</f>
        <v/>
      </c>
      <c r="K41" s="127">
        <f>ROUND($B$4*$B$10*$B$14*$B$15*$B$18*$B$20*$B$22,0)</f>
        <v/>
      </c>
      <c r="L41" s="127">
        <f>ROUND($B$5*$B$10*$B$14*$B$15*$B$17*$B$19*$B$21,0)</f>
        <v/>
      </c>
      <c r="M41" s="127">
        <f>ROUND($B$5*$B$10*$B$14*$B$15*$B$17*$B$19*$B$22,0)</f>
        <v/>
      </c>
      <c r="N41" s="127">
        <f>ROUND($B$5*$B$10*$B$14*$B$15*$B$17*$B$20*$B$21,0)</f>
        <v/>
      </c>
      <c r="O41" s="127">
        <f>ROUND($B$5*$B$10*$B$14*$B$15*$B$17*$B$20*$B$22,0)</f>
        <v/>
      </c>
      <c r="P41" s="127">
        <f>ROUND($B$5*$B$10*$B$14*$B$15*$B$18*$B$19*$B$21,0)</f>
        <v/>
      </c>
      <c r="Q41" s="127">
        <f>ROUND($B$5*$B$10*$B$14*$B$15*$B$18*$B$19*$B$22,0)</f>
        <v/>
      </c>
      <c r="R41" s="127">
        <f>ROUND($B$5*$B$10*$B$14*$B$15*$B$18*$B$20*$B$21,0)</f>
        <v/>
      </c>
      <c r="S41" s="127">
        <f>ROUND($B$5*$B$10*$B$14*$B$15*$B$18*$B$20*$B$22,0)</f>
        <v/>
      </c>
      <c r="T41" s="127">
        <f>ROUND($B$6*$B$10*$B$14*$B$15*$B$17*$B$19*$B$21,0)</f>
        <v/>
      </c>
      <c r="U41" s="127">
        <f>ROUND($B$6*$B$10*$B$14*$B$15*$B$17*$B$19*$B$22,0)</f>
        <v/>
      </c>
      <c r="V41" s="127">
        <f>ROUND($B$6*$B$10*$B$14*$B$15*$B$17*$B$20*$B$21,0)</f>
        <v/>
      </c>
      <c r="W41" s="127">
        <f>ROUND($B$6*$B$10*$B$14*$B$15*$B$17*$B$20*$B$22,0)</f>
        <v/>
      </c>
      <c r="X41" s="127">
        <f>ROUND($B$6*$B$10*$B$14*$B$15*$B$18*$B$19*$B$21,0)</f>
        <v/>
      </c>
      <c r="Y41" s="127">
        <f>ROUND($B$6*$B$10*$B$14*$B$15*$B$18*$B$19*$B$22,0)</f>
        <v/>
      </c>
      <c r="Z41" s="127">
        <f>ROUND($B$6*$B$10*$B$14*$B$15*$B$18*$B$20*$B$21,0)</f>
        <v/>
      </c>
      <c r="AA41" s="127">
        <f>ROUND($B$6*$B$10*$B$14*$B$15*$B$18*$B$20*$B$22,0)</f>
        <v/>
      </c>
      <c r="AB41" s="127">
        <f>ROUND($B$7*$B$10*$B$14*$B$15*$B$17*$B$19*$B$21,0)</f>
        <v/>
      </c>
      <c r="AC41" s="127">
        <f>ROUND($B$7*$B$10*$B$14*$B$15*$B$17*$B$19*$B$22,0)</f>
        <v/>
      </c>
      <c r="AD41" s="127">
        <f>ROUND($B$7*$B$10*$B$14*$B$15*$B$17*$B$20*$B$21,0)</f>
        <v/>
      </c>
      <c r="AE41" s="127">
        <f>ROUND($B$7*$B$10*$B$14*$B$15*$B$17*$B$20*$B$22,0)</f>
        <v/>
      </c>
      <c r="AF41" s="127">
        <f>ROUND($B$7*$B$10*$B$14*$B$15*$B$18*$B$19*$B$21,0)</f>
        <v/>
      </c>
      <c r="AG41" s="127">
        <f>ROUND($B$7*$B$10*$B$14*$B$15*$B$18*$B$19*$B$22,0)</f>
        <v/>
      </c>
      <c r="AH41" s="127">
        <f>ROUND($B$7*$B$10*$B$14*$B$15*$B$18*$B$20*$B$21,0)</f>
        <v/>
      </c>
      <c r="AI41" s="127">
        <f>ROUND($B$7*$B$10*$B$14*$B$15*$B$18*$B$20*$B$22,0)</f>
        <v/>
      </c>
    </row>
    <row r="42" ht="20" customHeight="1" s="62">
      <c r="C42" s="129" t="inlineStr">
        <is>
          <t>Personnalisation adaptée métier</t>
        </is>
      </c>
      <c r="D42" s="127">
        <f>ROUND($B$4*$B$10*$B$14*$B$16*$B$17*$B$19*$B$21,0)</f>
        <v/>
      </c>
      <c r="E42" s="127">
        <f>ROUND($B$4*$B$10*$B$14*$B$16*$B$17*$B$19*$B$22,0)</f>
        <v/>
      </c>
      <c r="F42" s="127">
        <f>ROUND($B$4*$B$10*$B$14*$B$16*$B$17*$B$20*$B$21,0)</f>
        <v/>
      </c>
      <c r="G42" s="127">
        <f>ROUND($B$4*$B$10*$B$14*$B$16*$B$17*$B$20*$B$22,0)</f>
        <v/>
      </c>
      <c r="H42" s="127">
        <f>ROUND($B$4*$B$10*$B$14*$B$16*$B$18*$B$19*$B$21,0)</f>
        <v/>
      </c>
      <c r="I42" s="127">
        <f>ROUND($B$4*$B$10*$B$14*$B$16*$B$18*$B$19*$B$22,0)</f>
        <v/>
      </c>
      <c r="J42" s="127">
        <f>ROUND($B$4*$B$10*$B$14*$B$16*$B$18*$B$20*$B$21,0)</f>
        <v/>
      </c>
      <c r="K42" s="127">
        <f>ROUND($B$4*$B$10*$B$14*$B$16*$B$18*$B$20*$B$22,0)</f>
        <v/>
      </c>
      <c r="L42" s="127">
        <f>ROUND($B$5*$B$10*$B$14*$B$16*$B$17*$B$19*$B$21,0)</f>
        <v/>
      </c>
      <c r="M42" s="127">
        <f>ROUND($B$5*$B$10*$B$14*$B$16*$B$17*$B$19*$B$22,0)</f>
        <v/>
      </c>
      <c r="N42" s="127">
        <f>ROUND($B$5*$B$10*$B$14*$B$16*$B$17*$B$20*$B$21,0)</f>
        <v/>
      </c>
      <c r="O42" s="127">
        <f>ROUND($B$5*$B$10*$B$14*$B$16*$B$17*$B$20*$B$22,0)</f>
        <v/>
      </c>
      <c r="P42" s="127">
        <f>ROUND($B$5*$B$10*$B$14*$B$16*$B$18*$B$19*$B$21,0)</f>
        <v/>
      </c>
      <c r="Q42" s="127">
        <f>ROUND($B$5*$B$10*$B$14*$B$16*$B$18*$B$19*$B$22,0)</f>
        <v/>
      </c>
      <c r="R42" s="127">
        <f>ROUND($B$5*$B$10*$B$14*$B$16*$B$18*$B$20*$B$21,0)</f>
        <v/>
      </c>
      <c r="S42" s="127">
        <f>ROUND($B$5*$B$10*$B$14*$B$16*$B$18*$B$20*$B$22,0)</f>
        <v/>
      </c>
      <c r="T42" s="127">
        <f>ROUND($B$6*$B$10*$B$14*$B$16*$B$17*$B$19*$B$21,0)</f>
        <v/>
      </c>
      <c r="U42" s="127">
        <f>ROUND($B$6*$B$10*$B$14*$B$16*$B$17*$B$19*$B$22,0)</f>
        <v/>
      </c>
      <c r="V42" s="127">
        <f>ROUND($B$6*$B$10*$B$14*$B$16*$B$17*$B$20*$B$21,0)</f>
        <v/>
      </c>
      <c r="W42" s="127">
        <f>ROUND($B$6*$B$10*$B$14*$B$16*$B$17*$B$20*$B$22,0)</f>
        <v/>
      </c>
      <c r="X42" s="127">
        <f>ROUND($B$6*$B$10*$B$14*$B$16*$B$18*$B$19*$B$21,0)</f>
        <v/>
      </c>
      <c r="Y42" s="127">
        <f>ROUND($B$6*$B$10*$B$14*$B$16*$B$18*$B$19*$B$22,0)</f>
        <v/>
      </c>
      <c r="Z42" s="127">
        <f>ROUND($B$6*$B$10*$B$14*$B$16*$B$18*$B$20*$B$21,0)</f>
        <v/>
      </c>
      <c r="AA42" s="127">
        <f>ROUND($B$6*$B$10*$B$14*$B$16*$B$18*$B$20*$B$22,0)</f>
        <v/>
      </c>
      <c r="AB42" s="127">
        <f>ROUND($B$7*$B$10*$B$14*$B$16*$B$17*$B$19*$B$21,0)</f>
        <v/>
      </c>
      <c r="AC42" s="127">
        <f>ROUND($B$7*$B$10*$B$14*$B$16*$B$17*$B$19*$B$22,0)</f>
        <v/>
      </c>
      <c r="AD42" s="127">
        <f>ROUND($B$7*$B$10*$B$14*$B$16*$B$17*$B$20*$B$21,0)</f>
        <v/>
      </c>
      <c r="AE42" s="127">
        <f>ROUND($B$7*$B$10*$B$14*$B$16*$B$17*$B$20*$B$22,0)</f>
        <v/>
      </c>
      <c r="AF42" s="127">
        <f>ROUND($B$7*$B$10*$B$14*$B$16*$B$18*$B$19*$B$21,0)</f>
        <v/>
      </c>
      <c r="AG42" s="127">
        <f>ROUND($B$7*$B$10*$B$14*$B$16*$B$18*$B$19*$B$22,0)</f>
        <v/>
      </c>
      <c r="AH42" s="127">
        <f>ROUND($B$7*$B$10*$B$14*$B$16*$B$18*$B$20*$B$21,0)</f>
        <v/>
      </c>
      <c r="AI42" s="127">
        <f>ROUND($B$7*$B$10*$B$14*$B$16*$B$18*$B$20*$B$22,0)</f>
        <v/>
      </c>
    </row>
    <row r="43" ht="20" customHeight="1" s="62">
      <c r="A43" s="124" t="inlineStr">
        <is>
          <t>Niveau avancé</t>
        </is>
      </c>
      <c r="B43" s="125" t="inlineStr">
        <is>
          <t>1-3 participants</t>
        </is>
      </c>
      <c r="C43" s="126" t="inlineStr">
        <is>
          <t>Personnalisation standard</t>
        </is>
      </c>
      <c r="D43" s="127">
        <f>ROUND($B$4*$B$11*$B$12*$B$15*$B$17*$B$19*$B$21,0)</f>
        <v/>
      </c>
      <c r="E43" s="127">
        <f>ROUND($B$4*$B$11*$B$12*$B$15*$B$17*$B$19*$B$22,0)</f>
        <v/>
      </c>
      <c r="F43" s="127">
        <f>ROUND($B$4*$B$11*$B$12*$B$15*$B$17*$B$20*$B$21,0)</f>
        <v/>
      </c>
      <c r="G43" s="127">
        <f>ROUND($B$4*$B$11*$B$12*$B$15*$B$17*$B$20*$B$22,0)</f>
        <v/>
      </c>
      <c r="H43" s="127">
        <f>ROUND($B$4*$B$11*$B$12*$B$15*$B$18*$B$19*$B$21,0)</f>
        <v/>
      </c>
      <c r="I43" s="127">
        <f>ROUND($B$4*$B$11*$B$12*$B$15*$B$18*$B$19*$B$22,0)</f>
        <v/>
      </c>
      <c r="J43" s="127">
        <f>ROUND($B$4*$B$11*$B$12*$B$15*$B$18*$B$20*$B$21,0)</f>
        <v/>
      </c>
      <c r="K43" s="127">
        <f>ROUND($B$4*$B$11*$B$12*$B$15*$B$18*$B$20*$B$22,0)</f>
        <v/>
      </c>
      <c r="L43" s="127">
        <f>ROUND($B$5*$B$11*$B$12*$B$15*$B$17*$B$19*$B$21,0)</f>
        <v/>
      </c>
      <c r="M43" s="127">
        <f>ROUND($B$5*$B$11*$B$12*$B$15*$B$17*$B$19*$B$22,0)</f>
        <v/>
      </c>
      <c r="N43" s="127">
        <f>ROUND($B$5*$B$11*$B$12*$B$15*$B$17*$B$20*$B$21,0)</f>
        <v/>
      </c>
      <c r="O43" s="127">
        <f>ROUND($B$5*$B$11*$B$12*$B$15*$B$17*$B$20*$B$22,0)</f>
        <v/>
      </c>
      <c r="P43" s="127">
        <f>ROUND($B$5*$B$11*$B$12*$B$15*$B$18*$B$19*$B$21,0)</f>
        <v/>
      </c>
      <c r="Q43" s="127">
        <f>ROUND($B$5*$B$11*$B$12*$B$15*$B$18*$B$19*$B$22,0)</f>
        <v/>
      </c>
      <c r="R43" s="127">
        <f>ROUND($B$5*$B$11*$B$12*$B$15*$B$18*$B$20*$B$21,0)</f>
        <v/>
      </c>
      <c r="S43" s="127">
        <f>ROUND($B$5*$B$11*$B$12*$B$15*$B$18*$B$20*$B$22,0)</f>
        <v/>
      </c>
      <c r="T43" s="127">
        <f>ROUND($B$6*$B$11*$B$12*$B$15*$B$17*$B$19*$B$21,0)</f>
        <v/>
      </c>
      <c r="U43" s="127">
        <f>ROUND($B$6*$B$11*$B$12*$B$15*$B$17*$B$19*$B$22,0)</f>
        <v/>
      </c>
      <c r="V43" s="127">
        <f>ROUND($B$6*$B$11*$B$12*$B$15*$B$17*$B$20*$B$21,0)</f>
        <v/>
      </c>
      <c r="W43" s="127">
        <f>ROUND($B$6*$B$11*$B$12*$B$15*$B$17*$B$20*$B$22,0)</f>
        <v/>
      </c>
      <c r="X43" s="127">
        <f>ROUND($B$6*$B$11*$B$12*$B$15*$B$18*$B$19*$B$21,0)</f>
        <v/>
      </c>
      <c r="Y43" s="127">
        <f>ROUND($B$6*$B$11*$B$12*$B$15*$B$18*$B$19*$B$22,0)</f>
        <v/>
      </c>
      <c r="Z43" s="127">
        <f>ROUND($B$6*$B$11*$B$12*$B$15*$B$18*$B$20*$B$21,0)</f>
        <v/>
      </c>
      <c r="AA43" s="127">
        <f>ROUND($B$6*$B$11*$B$12*$B$15*$B$18*$B$20*$B$22,0)</f>
        <v/>
      </c>
      <c r="AB43" s="127">
        <f>ROUND($B$7*$B$11*$B$12*$B$15*$B$17*$B$19*$B$21,0)</f>
        <v/>
      </c>
      <c r="AC43" s="127">
        <f>ROUND($B$7*$B$11*$B$12*$B$15*$B$17*$B$19*$B$22,0)</f>
        <v/>
      </c>
      <c r="AD43" s="127">
        <f>ROUND($B$7*$B$11*$B$12*$B$15*$B$17*$B$20*$B$21,0)</f>
        <v/>
      </c>
      <c r="AE43" s="127">
        <f>ROUND($B$7*$B$11*$B$12*$B$15*$B$17*$B$20*$B$22,0)</f>
        <v/>
      </c>
      <c r="AF43" s="127">
        <f>ROUND($B$7*$B$11*$B$12*$B$15*$B$18*$B$19*$B$21,0)</f>
        <v/>
      </c>
      <c r="AG43" s="127">
        <f>ROUND($B$7*$B$11*$B$12*$B$15*$B$18*$B$19*$B$22,0)</f>
        <v/>
      </c>
      <c r="AH43" s="127">
        <f>ROUND($B$7*$B$11*$B$12*$B$15*$B$18*$B$20*$B$21,0)</f>
        <v/>
      </c>
      <c r="AI43" s="127">
        <f>ROUND($B$7*$B$11*$B$12*$B$15*$B$18*$B$20*$B$22,0)</f>
        <v/>
      </c>
    </row>
    <row r="44" ht="20" customHeight="1" s="62">
      <c r="C44" s="125" t="inlineStr">
        <is>
          <t>Personnalisation adaptée métier</t>
        </is>
      </c>
      <c r="D44" s="127">
        <f>ROUND($B$4*$B$11*$B$12*$B$16*$B$17*$B$19*$B$21,0)</f>
        <v/>
      </c>
      <c r="E44" s="127">
        <f>ROUND($B$4*$B$11*$B$12*$B$16*$B$17*$B$19*$B$22,0)</f>
        <v/>
      </c>
      <c r="F44" s="127">
        <f>ROUND($B$4*$B$11*$B$12*$B$16*$B$17*$B$20*$B$21,0)</f>
        <v/>
      </c>
      <c r="G44" s="127">
        <f>ROUND($B$4*$B$11*$B$12*$B$16*$B$17*$B$20*$B$22,0)</f>
        <v/>
      </c>
      <c r="H44" s="127">
        <f>ROUND($B$4*$B$11*$B$12*$B$16*$B$18*$B$19*$B$21,0)</f>
        <v/>
      </c>
      <c r="I44" s="127">
        <f>ROUND($B$4*$B$11*$B$12*$B$16*$B$18*$B$19*$B$22,0)</f>
        <v/>
      </c>
      <c r="J44" s="127">
        <f>ROUND($B$4*$B$11*$B$12*$B$16*$B$18*$B$20*$B$21,0)</f>
        <v/>
      </c>
      <c r="K44" s="127">
        <f>ROUND($B$4*$B$11*$B$12*$B$16*$B$18*$B$20*$B$22,0)</f>
        <v/>
      </c>
      <c r="L44" s="127">
        <f>ROUND($B$5*$B$11*$B$12*$B$16*$B$17*$B$19*$B$21,0)</f>
        <v/>
      </c>
      <c r="M44" s="127">
        <f>ROUND($B$5*$B$11*$B$12*$B$16*$B$17*$B$19*$B$22,0)</f>
        <v/>
      </c>
      <c r="N44" s="127">
        <f>ROUND($B$5*$B$11*$B$12*$B$16*$B$17*$B$20*$B$21,0)</f>
        <v/>
      </c>
      <c r="O44" s="127">
        <f>ROUND($B$5*$B$11*$B$12*$B$16*$B$17*$B$20*$B$22,0)</f>
        <v/>
      </c>
      <c r="P44" s="127">
        <f>ROUND($B$5*$B$11*$B$12*$B$16*$B$18*$B$19*$B$21,0)</f>
        <v/>
      </c>
      <c r="Q44" s="127">
        <f>ROUND($B$5*$B$11*$B$12*$B$16*$B$18*$B$19*$B$22,0)</f>
        <v/>
      </c>
      <c r="R44" s="127">
        <f>ROUND($B$5*$B$11*$B$12*$B$16*$B$18*$B$20*$B$21,0)</f>
        <v/>
      </c>
      <c r="S44" s="127">
        <f>ROUND($B$5*$B$11*$B$12*$B$16*$B$18*$B$20*$B$22,0)</f>
        <v/>
      </c>
      <c r="T44" s="127">
        <f>ROUND($B$6*$B$11*$B$12*$B$16*$B$17*$B$19*$B$21,0)</f>
        <v/>
      </c>
      <c r="U44" s="127">
        <f>ROUND($B$6*$B$11*$B$12*$B$16*$B$17*$B$19*$B$22,0)</f>
        <v/>
      </c>
      <c r="V44" s="127">
        <f>ROUND($B$6*$B$11*$B$12*$B$16*$B$17*$B$20*$B$21,0)</f>
        <v/>
      </c>
      <c r="W44" s="127">
        <f>ROUND($B$6*$B$11*$B$12*$B$16*$B$17*$B$20*$B$22,0)</f>
        <v/>
      </c>
      <c r="X44" s="127">
        <f>ROUND($B$6*$B$11*$B$12*$B$16*$B$18*$B$19*$B$21,0)</f>
        <v/>
      </c>
      <c r="Y44" s="127">
        <f>ROUND($B$6*$B$11*$B$12*$B$16*$B$18*$B$19*$B$22,0)</f>
        <v/>
      </c>
      <c r="Z44" s="127">
        <f>ROUND($B$6*$B$11*$B$12*$B$16*$B$18*$B$20*$B$21,0)</f>
        <v/>
      </c>
      <c r="AA44" s="127">
        <f>ROUND($B$6*$B$11*$B$12*$B$16*$B$18*$B$20*$B$22,0)</f>
        <v/>
      </c>
      <c r="AB44" s="127">
        <f>ROUND($B$7*$B$11*$B$12*$B$16*$B$17*$B$19*$B$21,0)</f>
        <v/>
      </c>
      <c r="AC44" s="127">
        <f>ROUND($B$7*$B$11*$B$12*$B$16*$B$17*$B$19*$B$22,0)</f>
        <v/>
      </c>
      <c r="AD44" s="127">
        <f>ROUND($B$7*$B$11*$B$12*$B$16*$B$17*$B$20*$B$21,0)</f>
        <v/>
      </c>
      <c r="AE44" s="127">
        <f>ROUND($B$7*$B$11*$B$12*$B$16*$B$17*$B$20*$B$22,0)</f>
        <v/>
      </c>
      <c r="AF44" s="127">
        <f>ROUND($B$7*$B$11*$B$12*$B$16*$B$18*$B$19*$B$21,0)</f>
        <v/>
      </c>
      <c r="AG44" s="127">
        <f>ROUND($B$7*$B$11*$B$12*$B$16*$B$18*$B$19*$B$22,0)</f>
        <v/>
      </c>
      <c r="AH44" s="127">
        <f>ROUND($B$7*$B$11*$B$12*$B$16*$B$18*$B$20*$B$21,0)</f>
        <v/>
      </c>
      <c r="AI44" s="127">
        <f>ROUND($B$7*$B$11*$B$12*$B$16*$B$18*$B$20*$B$22,0)</f>
        <v/>
      </c>
    </row>
    <row r="45" ht="20" customHeight="1" s="62">
      <c r="B45" s="125" t="inlineStr">
        <is>
          <t>4-10 participants</t>
        </is>
      </c>
      <c r="C45" s="129" t="inlineStr">
        <is>
          <t>Personnalisation standard</t>
        </is>
      </c>
      <c r="D45" s="127">
        <f>ROUND($B$4*$B$11*$B$13*$B$15*$B$17*$B$19*$B$21,0)</f>
        <v/>
      </c>
      <c r="E45" s="127">
        <f>ROUND($B$4*$B$11*$B$13*$B$15*$B$17*$B$19*$B$22,0)</f>
        <v/>
      </c>
      <c r="F45" s="127">
        <f>ROUND($B$4*$B$11*$B$13*$B$15*$B$17*$B$20*$B$21,0)</f>
        <v/>
      </c>
      <c r="G45" s="127">
        <f>ROUND($B$4*$B$11*$B$13*$B$15*$B$17*$B$20*$B$22,0)</f>
        <v/>
      </c>
      <c r="H45" s="127">
        <f>ROUND($B$4*$B$11*$B$13*$B$15*$B$18*$B$19*$B$21,0)</f>
        <v/>
      </c>
      <c r="I45" s="127">
        <f>ROUND($B$4*$B$11*$B$13*$B$15*$B$18*$B$19*$B$22,0)</f>
        <v/>
      </c>
      <c r="J45" s="127">
        <f>ROUND($B$4*$B$11*$B$13*$B$15*$B$18*$B$20*$B$21,0)</f>
        <v/>
      </c>
      <c r="K45" s="127">
        <f>ROUND($B$4*$B$11*$B$13*$B$15*$B$18*$B$20*$B$22,0)</f>
        <v/>
      </c>
      <c r="L45" s="127">
        <f>ROUND($B$5*$B$11*$B$13*$B$15*$B$17*$B$19*$B$21,0)</f>
        <v/>
      </c>
      <c r="M45" s="127">
        <f>ROUND($B$5*$B$11*$B$13*$B$15*$B$17*$B$19*$B$22,0)</f>
        <v/>
      </c>
      <c r="N45" s="127">
        <f>ROUND($B$5*$B$11*$B$13*$B$15*$B$17*$B$20*$B$21,0)</f>
        <v/>
      </c>
      <c r="O45" s="127">
        <f>ROUND($B$5*$B$11*$B$13*$B$15*$B$17*$B$20*$B$22,0)</f>
        <v/>
      </c>
      <c r="P45" s="127">
        <f>ROUND($B$5*$B$11*$B$13*$B$15*$B$18*$B$19*$B$21,0)</f>
        <v/>
      </c>
      <c r="Q45" s="127">
        <f>ROUND($B$5*$B$11*$B$13*$B$15*$B$18*$B$19*$B$22,0)</f>
        <v/>
      </c>
      <c r="R45" s="127">
        <f>ROUND($B$5*$B$11*$B$13*$B$15*$B$18*$B$20*$B$21,0)</f>
        <v/>
      </c>
      <c r="S45" s="127">
        <f>ROUND($B$5*$B$11*$B$13*$B$15*$B$18*$B$20*$B$22,0)</f>
        <v/>
      </c>
      <c r="T45" s="127">
        <f>ROUND($B$6*$B$11*$B$13*$B$15*$B$17*$B$19*$B$21,0)</f>
        <v/>
      </c>
      <c r="U45" s="127">
        <f>ROUND($B$6*$B$11*$B$13*$B$15*$B$17*$B$19*$B$22,0)</f>
        <v/>
      </c>
      <c r="V45" s="127">
        <f>ROUND($B$6*$B$11*$B$13*$B$15*$B$17*$B$20*$B$21,0)</f>
        <v/>
      </c>
      <c r="W45" s="127">
        <f>ROUND($B$6*$B$11*$B$13*$B$15*$B$17*$B$20*$B$22,0)</f>
        <v/>
      </c>
      <c r="X45" s="127">
        <f>ROUND($B$6*$B$11*$B$13*$B$15*$B$18*$B$19*$B$21,0)</f>
        <v/>
      </c>
      <c r="Y45" s="127">
        <f>ROUND($B$6*$B$11*$B$13*$B$15*$B$18*$B$19*$B$22,0)</f>
        <v/>
      </c>
      <c r="Z45" s="127">
        <f>ROUND($B$6*$B$11*$B$13*$B$15*$B$18*$B$20*$B$21,0)</f>
        <v/>
      </c>
      <c r="AA45" s="127">
        <f>ROUND($B$6*$B$11*$B$13*$B$15*$B$18*$B$20*$B$22,0)</f>
        <v/>
      </c>
      <c r="AB45" s="127">
        <f>ROUND($B$7*$B$11*$B$13*$B$15*$B$17*$B$19*$B$21,0)</f>
        <v/>
      </c>
      <c r="AC45" s="127">
        <f>ROUND($B$7*$B$11*$B$13*$B$15*$B$17*$B$19*$B$22,0)</f>
        <v/>
      </c>
      <c r="AD45" s="127">
        <f>ROUND($B$7*$B$11*$B$13*$B$15*$B$17*$B$20*$B$21,0)</f>
        <v/>
      </c>
      <c r="AE45" s="127">
        <f>ROUND($B$7*$B$11*$B$13*$B$15*$B$17*$B$20*$B$22,0)</f>
        <v/>
      </c>
      <c r="AF45" s="127">
        <f>ROUND($B$7*$B$11*$B$13*$B$15*$B$18*$B$19*$B$21,0)</f>
        <v/>
      </c>
      <c r="AG45" s="127">
        <f>ROUND($B$7*$B$11*$B$13*$B$15*$B$18*$B$19*$B$22,0)</f>
        <v/>
      </c>
      <c r="AH45" s="127">
        <f>ROUND($B$7*$B$11*$B$13*$B$15*$B$18*$B$20*$B$21,0)</f>
        <v/>
      </c>
      <c r="AI45" s="127">
        <f>ROUND($B$7*$B$11*$B$13*$B$15*$B$18*$B$20*$B$22,0)</f>
        <v/>
      </c>
    </row>
    <row r="46" ht="20" customHeight="1" s="62">
      <c r="C46" s="126" t="inlineStr">
        <is>
          <t>Personnalisation adaptée métier</t>
        </is>
      </c>
      <c r="D46" s="127">
        <f>ROUND($B$4*$B$11*$B$13*$B$16*$B$17*$B$19*$B$21,0)</f>
        <v/>
      </c>
      <c r="E46" s="127">
        <f>ROUND($B$4*$B$11*$B$13*$B$16*$B$17*$B$19*$B$22,0)</f>
        <v/>
      </c>
      <c r="F46" s="127">
        <f>ROUND($B$4*$B$11*$B$13*$B$16*$B$17*$B$20*$B$21,0)</f>
        <v/>
      </c>
      <c r="G46" s="127">
        <f>ROUND($B$4*$B$11*$B$13*$B$16*$B$17*$B$20*$B$22,0)</f>
        <v/>
      </c>
      <c r="H46" s="127">
        <f>ROUND($B$4*$B$11*$B$13*$B$16*$B$18*$B$19*$B$21,0)</f>
        <v/>
      </c>
      <c r="I46" s="127">
        <f>ROUND($B$4*$B$11*$B$13*$B$16*$B$18*$B$19*$B$22,0)</f>
        <v/>
      </c>
      <c r="J46" s="127">
        <f>ROUND($B$4*$B$11*$B$13*$B$16*$B$18*$B$20*$B$21,0)</f>
        <v/>
      </c>
      <c r="K46" s="127">
        <f>ROUND($B$4*$B$11*$B$13*$B$16*$B$18*$B$20*$B$22,0)</f>
        <v/>
      </c>
      <c r="L46" s="127">
        <f>ROUND($B$5*$B$11*$B$13*$B$16*$B$17*$B$19*$B$21,0)</f>
        <v/>
      </c>
      <c r="M46" s="127">
        <f>ROUND($B$5*$B$11*$B$13*$B$16*$B$17*$B$19*$B$22,0)</f>
        <v/>
      </c>
      <c r="N46" s="127">
        <f>ROUND($B$5*$B$11*$B$13*$B$16*$B$17*$B$20*$B$21,0)</f>
        <v/>
      </c>
      <c r="O46" s="127">
        <f>ROUND($B$5*$B$11*$B$13*$B$16*$B$17*$B$20*$B$22,0)</f>
        <v/>
      </c>
      <c r="P46" s="127">
        <f>ROUND($B$5*$B$11*$B$13*$B$16*$B$18*$B$19*$B$21,0)</f>
        <v/>
      </c>
      <c r="Q46" s="127">
        <f>ROUND($B$5*$B$11*$B$13*$B$16*$B$18*$B$19*$B$22,0)</f>
        <v/>
      </c>
      <c r="R46" s="127">
        <f>ROUND($B$5*$B$11*$B$13*$B$16*$B$18*$B$20*$B$21,0)</f>
        <v/>
      </c>
      <c r="S46" s="127">
        <f>ROUND($B$5*$B$11*$B$13*$B$16*$B$18*$B$20*$B$22,0)</f>
        <v/>
      </c>
      <c r="T46" s="127">
        <f>ROUND($B$6*$B$11*$B$13*$B$16*$B$17*$B$19*$B$21,0)</f>
        <v/>
      </c>
      <c r="U46" s="127">
        <f>ROUND($B$6*$B$11*$B$13*$B$16*$B$17*$B$19*$B$22,0)</f>
        <v/>
      </c>
      <c r="V46" s="127">
        <f>ROUND($B$6*$B$11*$B$13*$B$16*$B$17*$B$20*$B$21,0)</f>
        <v/>
      </c>
      <c r="W46" s="127">
        <f>ROUND($B$6*$B$11*$B$13*$B$16*$B$17*$B$20*$B$22,0)</f>
        <v/>
      </c>
      <c r="X46" s="127">
        <f>ROUND($B$6*$B$11*$B$13*$B$16*$B$18*$B$19*$B$21,0)</f>
        <v/>
      </c>
      <c r="Y46" s="127">
        <f>ROUND($B$6*$B$11*$B$13*$B$16*$B$18*$B$19*$B$22,0)</f>
        <v/>
      </c>
      <c r="Z46" s="127">
        <f>ROUND($B$6*$B$11*$B$13*$B$16*$B$18*$B$20*$B$21,0)</f>
        <v/>
      </c>
      <c r="AA46" s="127">
        <f>ROUND($B$6*$B$11*$B$13*$B$16*$B$18*$B$20*$B$22,0)</f>
        <v/>
      </c>
      <c r="AB46" s="127">
        <f>ROUND($B$7*$B$11*$B$13*$B$16*$B$17*$B$19*$B$21,0)</f>
        <v/>
      </c>
      <c r="AC46" s="127">
        <f>ROUND($B$7*$B$11*$B$13*$B$16*$B$17*$B$19*$B$22,0)</f>
        <v/>
      </c>
      <c r="AD46" s="127">
        <f>ROUND($B$7*$B$11*$B$13*$B$16*$B$17*$B$20*$B$21,0)</f>
        <v/>
      </c>
      <c r="AE46" s="127">
        <f>ROUND($B$7*$B$11*$B$13*$B$16*$B$17*$B$20*$B$22,0)</f>
        <v/>
      </c>
      <c r="AF46" s="127">
        <f>ROUND($B$7*$B$11*$B$13*$B$16*$B$18*$B$19*$B$21,0)</f>
        <v/>
      </c>
      <c r="AG46" s="127">
        <f>ROUND($B$7*$B$11*$B$13*$B$16*$B$18*$B$19*$B$22,0)</f>
        <v/>
      </c>
      <c r="AH46" s="127">
        <f>ROUND($B$7*$B$11*$B$13*$B$16*$B$18*$B$20*$B$21,0)</f>
        <v/>
      </c>
      <c r="AI46" s="127">
        <f>ROUND($B$7*$B$11*$B$13*$B$16*$B$18*$B$20*$B$22,0)</f>
        <v/>
      </c>
    </row>
    <row r="47" ht="20" customHeight="1" s="62">
      <c r="B47" s="125" t="inlineStr">
        <is>
          <t>11+ participants</t>
        </is>
      </c>
      <c r="C47" s="125" t="inlineStr">
        <is>
          <t>Personnalisation standard</t>
        </is>
      </c>
      <c r="D47" s="127">
        <f>ROUND($B$4*$B$11*$B$14*$B$15*$B$17*$B$19*$B$21,0)</f>
        <v/>
      </c>
      <c r="E47" s="127">
        <f>ROUND($B$4*$B$11*$B$14*$B$15*$B$17*$B$19*$B$22,0)</f>
        <v/>
      </c>
      <c r="F47" s="127">
        <f>ROUND($B$4*$B$11*$B$14*$B$15*$B$17*$B$20*$B$21,0)</f>
        <v/>
      </c>
      <c r="G47" s="127">
        <f>ROUND($B$4*$B$11*$B$14*$B$15*$B$17*$B$20*$B$22,0)</f>
        <v/>
      </c>
      <c r="H47" s="127">
        <f>ROUND($B$4*$B$11*$B$14*$B$15*$B$18*$B$19*$B$21,0)</f>
        <v/>
      </c>
      <c r="I47" s="127">
        <f>ROUND($B$4*$B$11*$B$14*$B$15*$B$18*$B$19*$B$22,0)</f>
        <v/>
      </c>
      <c r="J47" s="127">
        <f>ROUND($B$4*$B$11*$B$14*$B$15*$B$18*$B$20*$B$21,0)</f>
        <v/>
      </c>
      <c r="K47" s="127">
        <f>ROUND($B$4*$B$11*$B$14*$B$15*$B$18*$B$20*$B$22,0)</f>
        <v/>
      </c>
      <c r="L47" s="127">
        <f>ROUND($B$5*$B$11*$B$14*$B$15*$B$17*$B$19*$B$21,0)</f>
        <v/>
      </c>
      <c r="M47" s="127">
        <f>ROUND($B$5*$B$11*$B$14*$B$15*$B$17*$B$19*$B$22,0)</f>
        <v/>
      </c>
      <c r="N47" s="127">
        <f>ROUND($B$5*$B$11*$B$14*$B$15*$B$17*$B$20*$B$21,0)</f>
        <v/>
      </c>
      <c r="O47" s="127">
        <f>ROUND($B$5*$B$11*$B$14*$B$15*$B$17*$B$20*$B$22,0)</f>
        <v/>
      </c>
      <c r="P47" s="127">
        <f>ROUND($B$5*$B$11*$B$14*$B$15*$B$18*$B$19*$B$21,0)</f>
        <v/>
      </c>
      <c r="Q47" s="127">
        <f>ROUND($B$5*$B$11*$B$14*$B$15*$B$18*$B$19*$B$22,0)</f>
        <v/>
      </c>
      <c r="R47" s="127">
        <f>ROUND($B$5*$B$11*$B$14*$B$15*$B$18*$B$20*$B$21,0)</f>
        <v/>
      </c>
      <c r="S47" s="127">
        <f>ROUND($B$5*$B$11*$B$14*$B$15*$B$18*$B$20*$B$22,0)</f>
        <v/>
      </c>
      <c r="T47" s="127">
        <f>ROUND($B$6*$B$11*$B$14*$B$15*$B$17*$B$19*$B$21,0)</f>
        <v/>
      </c>
      <c r="U47" s="127">
        <f>ROUND($B$6*$B$11*$B$14*$B$15*$B$17*$B$19*$B$22,0)</f>
        <v/>
      </c>
      <c r="V47" s="127">
        <f>ROUND($B$6*$B$11*$B$14*$B$15*$B$17*$B$20*$B$21,0)</f>
        <v/>
      </c>
      <c r="W47" s="127">
        <f>ROUND($B$6*$B$11*$B$14*$B$15*$B$17*$B$20*$B$22,0)</f>
        <v/>
      </c>
      <c r="X47" s="127">
        <f>ROUND($B$6*$B$11*$B$14*$B$15*$B$18*$B$19*$B$21,0)</f>
        <v/>
      </c>
      <c r="Y47" s="127">
        <f>ROUND($B$6*$B$11*$B$14*$B$15*$B$18*$B$19*$B$22,0)</f>
        <v/>
      </c>
      <c r="Z47" s="127">
        <f>ROUND($B$6*$B$11*$B$14*$B$15*$B$18*$B$20*$B$21,0)</f>
        <v/>
      </c>
      <c r="AA47" s="127">
        <f>ROUND($B$6*$B$11*$B$14*$B$15*$B$18*$B$20*$B$22,0)</f>
        <v/>
      </c>
      <c r="AB47" s="127">
        <f>ROUND($B$7*$B$11*$B$14*$B$15*$B$17*$B$19*$B$21,0)</f>
        <v/>
      </c>
      <c r="AC47" s="127">
        <f>ROUND($B$7*$B$11*$B$14*$B$15*$B$17*$B$19*$B$22,0)</f>
        <v/>
      </c>
      <c r="AD47" s="127">
        <f>ROUND($B$7*$B$11*$B$14*$B$15*$B$17*$B$20*$B$21,0)</f>
        <v/>
      </c>
      <c r="AE47" s="127">
        <f>ROUND($B$7*$B$11*$B$14*$B$15*$B$17*$B$20*$B$22,0)</f>
        <v/>
      </c>
      <c r="AF47" s="127">
        <f>ROUND($B$7*$B$11*$B$14*$B$15*$B$18*$B$19*$B$21,0)</f>
        <v/>
      </c>
      <c r="AG47" s="127">
        <f>ROUND($B$7*$B$11*$B$14*$B$15*$B$18*$B$19*$B$22,0)</f>
        <v/>
      </c>
      <c r="AH47" s="127">
        <f>ROUND($B$7*$B$11*$B$14*$B$15*$B$18*$B$20*$B$21,0)</f>
        <v/>
      </c>
      <c r="AI47" s="127">
        <f>ROUND($B$7*$B$11*$B$14*$B$15*$B$18*$B$20*$B$22,0)</f>
        <v/>
      </c>
    </row>
    <row r="48" ht="20" customHeight="1" s="62">
      <c r="C48" s="129" t="inlineStr">
        <is>
          <t>Personnalisation adaptée métier</t>
        </is>
      </c>
      <c r="D48" s="127">
        <f>ROUND($B$4*$B$11*$B$14*$B$16*$B$17*$B$19*$B$21,0)</f>
        <v/>
      </c>
      <c r="E48" s="127">
        <f>ROUND($B$4*$B$11*$B$14*$B$16*$B$17*$B$19*$B$22,0)</f>
        <v/>
      </c>
      <c r="F48" s="127">
        <f>ROUND($B$4*$B$11*$B$14*$B$16*$B$17*$B$20*$B$21,0)</f>
        <v/>
      </c>
      <c r="G48" s="127">
        <f>ROUND($B$4*$B$11*$B$14*$B$16*$B$17*$B$20*$B$22,0)</f>
        <v/>
      </c>
      <c r="H48" s="127">
        <f>ROUND($B$4*$B$11*$B$14*$B$16*$B$18*$B$19*$B$21,0)</f>
        <v/>
      </c>
      <c r="I48" s="127">
        <f>ROUND($B$4*$B$11*$B$14*$B$16*$B$18*$B$19*$B$22,0)</f>
        <v/>
      </c>
      <c r="J48" s="127">
        <f>ROUND($B$4*$B$11*$B$14*$B$16*$B$18*$B$20*$B$21,0)</f>
        <v/>
      </c>
      <c r="K48" s="127">
        <f>ROUND($B$4*$B$11*$B$14*$B$16*$B$18*$B$20*$B$22,0)</f>
        <v/>
      </c>
      <c r="L48" s="127">
        <f>ROUND($B$5*$B$11*$B$14*$B$16*$B$17*$B$19*$B$21,0)</f>
        <v/>
      </c>
      <c r="M48" s="127">
        <f>ROUND($B$5*$B$11*$B$14*$B$16*$B$17*$B$19*$B$22,0)</f>
        <v/>
      </c>
      <c r="N48" s="127">
        <f>ROUND($B$5*$B$11*$B$14*$B$16*$B$17*$B$20*$B$21,0)</f>
        <v/>
      </c>
      <c r="O48" s="127">
        <f>ROUND($B$5*$B$11*$B$14*$B$16*$B$17*$B$20*$B$22,0)</f>
        <v/>
      </c>
      <c r="P48" s="127">
        <f>ROUND($B$5*$B$11*$B$14*$B$16*$B$18*$B$19*$B$21,0)</f>
        <v/>
      </c>
      <c r="Q48" s="127">
        <f>ROUND($B$5*$B$11*$B$14*$B$16*$B$18*$B$19*$B$22,0)</f>
        <v/>
      </c>
      <c r="R48" s="127">
        <f>ROUND($B$5*$B$11*$B$14*$B$16*$B$18*$B$20*$B$21,0)</f>
        <v/>
      </c>
      <c r="S48" s="127">
        <f>ROUND($B$5*$B$11*$B$14*$B$16*$B$18*$B$20*$B$22,0)</f>
        <v/>
      </c>
      <c r="T48" s="127">
        <f>ROUND($B$6*$B$11*$B$14*$B$16*$B$17*$B$19*$B$21,0)</f>
        <v/>
      </c>
      <c r="U48" s="127">
        <f>ROUND($B$6*$B$11*$B$14*$B$16*$B$17*$B$19*$B$22,0)</f>
        <v/>
      </c>
      <c r="V48" s="127">
        <f>ROUND($B$6*$B$11*$B$14*$B$16*$B$17*$B$20*$B$21,0)</f>
        <v/>
      </c>
      <c r="W48" s="127">
        <f>ROUND($B$6*$B$11*$B$14*$B$16*$B$17*$B$20*$B$22,0)</f>
        <v/>
      </c>
      <c r="X48" s="127">
        <f>ROUND($B$6*$B$11*$B$14*$B$16*$B$18*$B$19*$B$21,0)</f>
        <v/>
      </c>
      <c r="Y48" s="127">
        <f>ROUND($B$6*$B$11*$B$14*$B$16*$B$18*$B$19*$B$22,0)</f>
        <v/>
      </c>
      <c r="Z48" s="127">
        <f>ROUND($B$6*$B$11*$B$14*$B$16*$B$18*$B$20*$B$21,0)</f>
        <v/>
      </c>
      <c r="AA48" s="127">
        <f>ROUND($B$6*$B$11*$B$14*$B$16*$B$18*$B$20*$B$22,0)</f>
        <v/>
      </c>
      <c r="AB48" s="127">
        <f>ROUND($B$7*$B$11*$B$14*$B$16*$B$17*$B$19*$B$21,0)</f>
        <v/>
      </c>
      <c r="AC48" s="127">
        <f>ROUND($B$7*$B$11*$B$14*$B$16*$B$17*$B$19*$B$22,0)</f>
        <v/>
      </c>
      <c r="AD48" s="127">
        <f>ROUND($B$7*$B$11*$B$14*$B$16*$B$17*$B$20*$B$21,0)</f>
        <v/>
      </c>
      <c r="AE48" s="127">
        <f>ROUND($B$7*$B$11*$B$14*$B$16*$B$17*$B$20*$B$22,0)</f>
        <v/>
      </c>
      <c r="AF48" s="127">
        <f>ROUND($B$7*$B$11*$B$14*$B$16*$B$18*$B$19*$B$21,0)</f>
        <v/>
      </c>
      <c r="AG48" s="127">
        <f>ROUND($B$7*$B$11*$B$14*$B$16*$B$18*$B$19*$B$22,0)</f>
        <v/>
      </c>
      <c r="AH48" s="127">
        <f>ROUND($B$7*$B$11*$B$14*$B$16*$B$18*$B$20*$B$21,0)</f>
        <v/>
      </c>
      <c r="AI48" s="127">
        <f>ROUND($B$7*$B$11*$B$14*$B$16*$B$18*$B$20*$B$22,0)</f>
        <v/>
      </c>
    </row>
  </sheetData>
  <mergeCells count="48">
    <mergeCell ref="A31:A36"/>
    <mergeCell ref="H28:K28"/>
    <mergeCell ref="B47:B48"/>
    <mergeCell ref="P28:S28"/>
    <mergeCell ref="J29:K29"/>
    <mergeCell ref="F29:G29"/>
    <mergeCell ref="P29:Q29"/>
    <mergeCell ref="H29:I29"/>
    <mergeCell ref="R29:S29"/>
    <mergeCell ref="T29:U29"/>
    <mergeCell ref="B43:B44"/>
    <mergeCell ref="AB29:AC29"/>
    <mergeCell ref="AD29:AE29"/>
    <mergeCell ref="B35:B36"/>
    <mergeCell ref="B27:B30"/>
    <mergeCell ref="AB28:AE28"/>
    <mergeCell ref="T28:W28"/>
    <mergeCell ref="AF28:AI28"/>
    <mergeCell ref="V29:W29"/>
    <mergeCell ref="B39:B40"/>
    <mergeCell ref="AF29:AG29"/>
    <mergeCell ref="AH29:AI29"/>
    <mergeCell ref="A1:AI1"/>
    <mergeCell ref="D27:K27"/>
    <mergeCell ref="C27:C30"/>
    <mergeCell ref="A37:A42"/>
    <mergeCell ref="B37:B38"/>
    <mergeCell ref="A25:AI25"/>
    <mergeCell ref="AB27:AI27"/>
    <mergeCell ref="A27:A30"/>
    <mergeCell ref="L28:O28"/>
    <mergeCell ref="L29:M29"/>
    <mergeCell ref="N29:O29"/>
    <mergeCell ref="X29:Y29"/>
    <mergeCell ref="B33:B34"/>
    <mergeCell ref="Z29:AA29"/>
    <mergeCell ref="A3:AI3"/>
    <mergeCell ref="X28:AA28"/>
    <mergeCell ref="B45:B46"/>
    <mergeCell ref="A2:AI2"/>
    <mergeCell ref="D29:E29"/>
    <mergeCell ref="A43:A48"/>
    <mergeCell ref="A8:AI8"/>
    <mergeCell ref="B41:B42"/>
    <mergeCell ref="L27:S27"/>
    <mergeCell ref="T27:AA27"/>
    <mergeCell ref="D28:G28"/>
    <mergeCell ref="B31:B3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D1B69"/>
    <outlinePr summaryBelow="1" summaryRight="1"/>
    <pageSetUpPr/>
  </sheetPr>
  <dimension ref="A1:BK58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4"/>
    <col width="13" customWidth="1" style="62" min="5" max="5"/>
    <col width="13" customWidth="1" style="62" min="6" max="6"/>
    <col width="13" customWidth="1" style="62" min="7" max="7"/>
    <col width="13" customWidth="1" style="62" min="8" max="8"/>
    <col width="13" customWidth="1" style="62" min="9" max="9"/>
    <col width="13" customWidth="1" style="62" min="10" max="10"/>
    <col width="13" customWidth="1" style="62" min="11" max="11"/>
    <col width="13" customWidth="1" style="62" min="12" max="12"/>
    <col width="13" customWidth="1" style="62" min="13" max="13"/>
    <col width="13" customWidth="1" style="62" min="14" max="14"/>
    <col width="13" customWidth="1" style="62" min="15" max="15"/>
    <col width="13" customWidth="1" style="62" min="16" max="16"/>
    <col width="13" customWidth="1" style="62" min="17" max="17"/>
    <col width="13" customWidth="1" style="62" min="18" max="18"/>
    <col width="13" customWidth="1" style="62" min="19" max="19"/>
    <col width="13" customWidth="1" style="62" min="20" max="20"/>
    <col width="13" customWidth="1" style="62" min="21" max="21"/>
    <col width="13" customWidth="1" style="62" min="22" max="22"/>
    <col width="13" customWidth="1" style="62" min="23" max="23"/>
    <col width="13" customWidth="1" style="62" min="24" max="24"/>
    <col width="13" customWidth="1" style="62" min="25" max="25"/>
    <col width="13" customWidth="1" style="62" min="26" max="26"/>
    <col width="13" customWidth="1" style="62" min="27" max="27"/>
    <col width="13" customWidth="1" style="62" min="28" max="28"/>
    <col width="13" customWidth="1" style="62" min="29" max="29"/>
    <col width="13" customWidth="1" style="62" min="30" max="30"/>
    <col width="13" customWidth="1" style="62" min="31" max="31"/>
    <col width="13" customWidth="1" style="62" min="32" max="32"/>
    <col width="13" customWidth="1" style="62" min="33" max="33"/>
    <col width="13" customWidth="1" style="62" min="34" max="34"/>
    <col width="13" customWidth="1" style="62" min="35" max="35"/>
    <col width="13" customWidth="1" style="62" min="36" max="36"/>
    <col width="13" customWidth="1" style="62" min="37" max="37"/>
    <col width="13" customWidth="1" style="62" min="38" max="38"/>
    <col width="13" customWidth="1" style="62" min="39" max="39"/>
    <col width="13" customWidth="1" style="62" min="40" max="40"/>
    <col width="13" customWidth="1" style="62" min="41" max="41"/>
    <col width="13" customWidth="1" style="62" min="42" max="42"/>
    <col width="13" customWidth="1" style="62" min="43" max="43"/>
    <col width="13" customWidth="1" style="62" min="44" max="44"/>
    <col width="13" customWidth="1" style="62" min="45" max="45"/>
    <col width="13" customWidth="1" style="62" min="46" max="46"/>
    <col width="13" customWidth="1" style="62" min="47" max="47"/>
    <col width="13" customWidth="1" style="62" min="48" max="48"/>
    <col width="13" customWidth="1" style="62" min="49" max="49"/>
    <col width="13" customWidth="1" style="62" min="50" max="50"/>
    <col width="13" customWidth="1" style="62" min="51" max="51"/>
    <col width="13" customWidth="1" style="62" min="52" max="52"/>
    <col width="13" customWidth="1" style="62" min="53" max="53"/>
    <col width="13" customWidth="1" style="62" min="54" max="54"/>
    <col width="13" customWidth="1" style="62" min="55" max="55"/>
    <col width="13" customWidth="1" style="62" min="56" max="56"/>
    <col width="13" customWidth="1" style="62" min="57" max="57"/>
    <col width="13" customWidth="1" style="62" min="58" max="58"/>
    <col width="13" customWidth="1" style="62" min="59" max="59"/>
    <col width="13" customWidth="1" style="62" min="60" max="60"/>
    <col width="13" customWidth="1" style="62" min="61" max="61"/>
    <col width="13" customWidth="1" style="62" min="62" max="62"/>
    <col width="13" customWidth="1" style="62" min="63" max="63"/>
  </cols>
  <sheetData>
    <row r="1" ht="34" customHeight="1" s="62">
      <c r="A1" s="108" t="inlineStr">
        <is>
          <t>GRILLE TARIFAIRE — Création d'agents &amp; Automatisation IA</t>
        </is>
      </c>
    </row>
    <row r="2" ht="26" customHeight="1" s="62">
      <c r="A2" s="109" t="inlineStr">
        <is>
          <t>⚙  ZONE DE PARAMÉTRAGE — Remplissez uniquement les cases jaunes. Le tableau se calcule automatiquement.</t>
        </is>
      </c>
    </row>
    <row r="3" ht="22" customHeight="1" s="62">
      <c r="A3" s="110" t="inlineStr">
        <is>
          <t>TARIFS DE BASE  —  Par niveau de prestation</t>
        </is>
      </c>
    </row>
    <row r="4" ht="22" customHeight="1" s="62">
      <c r="A4" s="111" t="inlineStr">
        <is>
          <t>Tarif de base — Agent simple (tâche unique)</t>
        </is>
      </c>
      <c r="B4" s="112" t="n">
        <v>2000</v>
      </c>
      <c r="C4" s="113" t="inlineStr">
        <is>
          <t>Fourchette : 1 000 – 3 000 €</t>
        </is>
      </c>
    </row>
    <row r="5" ht="22" customHeight="1" s="62">
      <c r="A5" s="111" t="inlineStr">
        <is>
          <t>Tarif de base — Agent intermédiaire (multi-étapes)</t>
        </is>
      </c>
      <c r="B5" s="112" t="n">
        <v>6500</v>
      </c>
      <c r="C5" s="113" t="inlineStr">
        <is>
          <t>Fourchette : 3 000 – 10 000 €</t>
        </is>
      </c>
    </row>
    <row r="6" ht="22" customHeight="1" s="62">
      <c r="A6" s="111" t="inlineStr">
        <is>
          <t>Tarif de base — Agent avancé (logique complexe)</t>
        </is>
      </c>
      <c r="B6" s="112" t="n">
        <v>20000</v>
      </c>
      <c r="C6" s="113" t="inlineStr">
        <is>
          <t>Fourchette : 10 000 – 30 000 €</t>
        </is>
      </c>
    </row>
    <row r="7" ht="22" customHeight="1" s="62">
      <c r="A7" s="111" t="inlineStr">
        <is>
          <t>Tarif de base — Système d'agents complet</t>
        </is>
      </c>
      <c r="B7" s="112" t="n">
        <v>65000</v>
      </c>
      <c r="C7" s="113" t="inlineStr">
        <is>
          <t>Fourchette : 30 000 – 100 000 €+</t>
        </is>
      </c>
    </row>
    <row r="8" ht="22" customHeight="1" s="62">
      <c r="A8" s="111" t="inlineStr">
        <is>
          <t>Tarif de base — Maintenance / évolution</t>
        </is>
      </c>
      <c r="B8" s="114" t="n">
        <v>1150</v>
      </c>
      <c r="C8" s="113" t="inlineStr">
        <is>
          <t>Fourchette : 300 – 2 000 €/mois</t>
        </is>
      </c>
    </row>
    <row r="9" ht="22" customHeight="1" s="62">
      <c r="A9" s="115" t="inlineStr">
        <is>
          <t>COEFFICIENTS MULTIPLICATEURS  —  1,00 = neutre. Ex : 1,20 = +20 %</t>
        </is>
      </c>
    </row>
    <row r="10" ht="20" customHeight="1" s="62">
      <c r="A10" s="116" t="inlineStr">
        <is>
          <t>Coeff. nb agents — 1 agent</t>
        </is>
      </c>
      <c r="B10" s="117" t="n">
        <v>0.8</v>
      </c>
      <c r="C10" s="118" t="inlineStr">
        <is>
          <t>Agent unique</t>
        </is>
      </c>
    </row>
    <row r="11" ht="20" customHeight="1" s="62">
      <c r="A11" s="116" t="inlineStr">
        <is>
          <t>Coeff. nb agents — 2-5 agents</t>
        </is>
      </c>
      <c r="B11" s="117" t="n">
        <v>1</v>
      </c>
      <c r="C11" s="118" t="inlineStr">
        <is>
          <t>Référence</t>
        </is>
      </c>
    </row>
    <row r="12" ht="20" customHeight="1" s="62">
      <c r="A12" s="116" t="inlineStr">
        <is>
          <t>Coeff. nb agents — 6+ agents</t>
        </is>
      </c>
      <c r="B12" s="117" t="n">
        <v>1.5</v>
      </c>
      <c r="C12" s="118" t="inlineStr">
        <is>
          <t>Système d'agents</t>
        </is>
      </c>
    </row>
    <row r="13" ht="20" customHeight="1" s="62">
      <c r="A13" s="116" t="inlineStr">
        <is>
          <t>Coeff. outils connectés — 1-2</t>
        </is>
      </c>
      <c r="B13" s="117" t="n">
        <v>0.85</v>
      </c>
      <c r="C13" s="118" t="inlineStr">
        <is>
          <t>Périmètre réduit</t>
        </is>
      </c>
    </row>
    <row r="14" ht="20" customHeight="1" s="62">
      <c r="A14" s="116" t="inlineStr">
        <is>
          <t>Coeff. outils connectés — 3-5</t>
        </is>
      </c>
      <c r="B14" s="117" t="n">
        <v>1</v>
      </c>
      <c r="C14" s="118" t="inlineStr">
        <is>
          <t>Référence</t>
        </is>
      </c>
    </row>
    <row r="15" ht="20" customHeight="1" s="62">
      <c r="A15" s="116" t="inlineStr">
        <is>
          <t>Coeff. outils connectés — 6+</t>
        </is>
      </c>
      <c r="B15" s="117" t="n">
        <v>1.4</v>
      </c>
      <c r="C15" s="118" t="inlineStr">
        <is>
          <t>Écosystème dense</t>
        </is>
      </c>
    </row>
    <row r="16" ht="20" customHeight="1" s="62">
      <c r="A16" s="116" t="inlineStr">
        <is>
          <t>Coeff. technologie — No-code</t>
        </is>
      </c>
      <c r="B16" s="117" t="n">
        <v>0.8</v>
      </c>
      <c r="C16" s="118" t="inlineStr">
        <is>
          <t>Outils visuels</t>
        </is>
      </c>
    </row>
    <row r="17" ht="20" customHeight="1" s="62">
      <c r="A17" s="116" t="inlineStr">
        <is>
          <t>Coeff. technologie — API</t>
        </is>
      </c>
      <c r="B17" s="117" t="n">
        <v>1</v>
      </c>
      <c r="C17" s="118" t="inlineStr">
        <is>
          <t>Référence</t>
        </is>
      </c>
    </row>
    <row r="18" ht="20" customHeight="1" s="62">
      <c r="A18" s="116" t="inlineStr">
        <is>
          <t>Coeff. technologie — Développement</t>
        </is>
      </c>
      <c r="B18" s="117" t="n">
        <v>1.45</v>
      </c>
      <c r="C18" s="118" t="inlineStr">
        <is>
          <t>Code sur mesure</t>
        </is>
      </c>
    </row>
    <row r="19" ht="20" customHeight="1" s="62">
      <c r="A19" s="116" t="inlineStr">
        <is>
          <t>Coeff. autonomie — Assisté</t>
        </is>
      </c>
      <c r="B19" s="117" t="n">
        <v>0.9</v>
      </c>
      <c r="C19" s="118" t="inlineStr">
        <is>
          <t>Supervision humaine</t>
        </is>
      </c>
    </row>
    <row r="20" ht="20" customHeight="1" s="62">
      <c r="A20" s="116" t="inlineStr">
        <is>
          <t>Coeff. autonomie — Semi-autonome</t>
        </is>
      </c>
      <c r="B20" s="117" t="n">
        <v>1</v>
      </c>
      <c r="C20" s="118" t="inlineStr">
        <is>
          <t>Référence</t>
        </is>
      </c>
    </row>
    <row r="21" ht="20" customHeight="1" s="62">
      <c r="A21" s="116" t="inlineStr">
        <is>
          <t>Coeff. autonomie — Totalement autonome</t>
        </is>
      </c>
      <c r="B21" s="117" t="n">
        <v>1.35</v>
      </c>
      <c r="C21" s="118" t="inlineStr">
        <is>
          <t>Décision sans intervention</t>
        </is>
      </c>
    </row>
    <row r="22" ht="20" customHeight="1" s="62">
      <c r="A22" s="116" t="inlineStr">
        <is>
          <t>Coeff. secteur — Standard</t>
        </is>
      </c>
      <c r="B22" s="117" t="n">
        <v>1</v>
      </c>
      <c r="C22" s="118" t="inlineStr">
        <is>
          <t>Référence</t>
        </is>
      </c>
    </row>
    <row r="23" ht="20" customHeight="1" s="62">
      <c r="A23" s="116" t="inlineStr">
        <is>
          <t>Coeff. secteur — Réglementé</t>
        </is>
      </c>
      <c r="B23" s="117" t="n">
        <v>1.25</v>
      </c>
      <c r="C23" s="118" t="inlineStr">
        <is>
          <t>Conformité requise</t>
        </is>
      </c>
    </row>
    <row r="24" ht="20" customHeight="1" s="62">
      <c r="A24" s="116" t="inlineStr">
        <is>
          <t>Coeff. mode — Distanciel</t>
        </is>
      </c>
      <c r="B24" s="117" t="n">
        <v>1</v>
      </c>
      <c r="C24" s="118" t="inlineStr">
        <is>
          <t>Référence</t>
        </is>
      </c>
    </row>
    <row r="25" ht="20" customHeight="1" s="62">
      <c r="A25" s="116" t="inlineStr">
        <is>
          <t>Coeff. mode — Présentiel</t>
        </is>
      </c>
      <c r="B25" s="117" t="n">
        <v>1.15</v>
      </c>
      <c r="C25" s="118" t="inlineStr">
        <is>
          <t>Sessions sur site</t>
        </is>
      </c>
    </row>
    <row r="26" ht="24" customHeight="1" s="62">
      <c r="A26" s="119" t="inlineStr">
        <is>
          <t>▼  GRILLE TARIFAIRE CALCULÉE AUTOMATIQUEMENT  — Les cellules violettes sont en lecture seule (formules).</t>
        </is>
      </c>
    </row>
    <row r="27" ht="6" customHeight="1" s="62"/>
    <row r="28" ht="38" customHeight="1" s="62">
      <c r="A28" s="120" t="inlineStr">
        <is>
          <t>Nombre d'agents</t>
        </is>
      </c>
      <c r="B28" s="121" t="inlineStr">
        <is>
          <t>Outils connectés</t>
        </is>
      </c>
      <c r="C28" s="122" t="inlineStr">
        <is>
          <t>Technologie</t>
        </is>
      </c>
      <c r="D28" s="120" t="inlineStr">
        <is>
          <t>Agent simple (tâche unique)</t>
        </is>
      </c>
      <c r="P28" s="120" t="inlineStr">
        <is>
          <t>Agent intermédiaire (multi-étapes)</t>
        </is>
      </c>
      <c r="AB28" s="120" t="inlineStr">
        <is>
          <t>Agent avancé (logique complexe)</t>
        </is>
      </c>
      <c r="AN28" s="120" t="inlineStr">
        <is>
          <t>Système d'agents complet</t>
        </is>
      </c>
      <c r="AZ28" s="120" t="inlineStr">
        <is>
          <t>Maintenance / évolution</t>
        </is>
      </c>
    </row>
    <row r="29" ht="38" customHeight="1" s="62">
      <c r="D29" s="121" t="inlineStr">
        <is>
          <t>Autonomie assistée</t>
        </is>
      </c>
      <c r="H29" s="121" t="inlineStr">
        <is>
          <t>Autonomie semi-autonome</t>
        </is>
      </c>
      <c r="L29" s="121" t="inlineStr">
        <is>
          <t>Autonomie totale</t>
        </is>
      </c>
      <c r="P29" s="121" t="inlineStr">
        <is>
          <t>Autonomie assistée</t>
        </is>
      </c>
      <c r="T29" s="121" t="inlineStr">
        <is>
          <t>Autonomie semi-autonome</t>
        </is>
      </c>
      <c r="X29" s="121" t="inlineStr">
        <is>
          <t>Autonomie totale</t>
        </is>
      </c>
      <c r="AB29" s="121" t="inlineStr">
        <is>
          <t>Autonomie assistée</t>
        </is>
      </c>
      <c r="AF29" s="121" t="inlineStr">
        <is>
          <t>Autonomie semi-autonome</t>
        </is>
      </c>
      <c r="AJ29" s="121" t="inlineStr">
        <is>
          <t>Autonomie totale</t>
        </is>
      </c>
      <c r="AN29" s="121" t="inlineStr">
        <is>
          <t>Autonomie assistée</t>
        </is>
      </c>
      <c r="AR29" s="121" t="inlineStr">
        <is>
          <t>Autonomie semi-autonome</t>
        </is>
      </c>
      <c r="AV29" s="121" t="inlineStr">
        <is>
          <t>Autonomie totale</t>
        </is>
      </c>
      <c r="AZ29" s="121" t="inlineStr">
        <is>
          <t>Autonomie assistée</t>
        </is>
      </c>
      <c r="BD29" s="121" t="inlineStr">
        <is>
          <t>Autonomie semi-autonome</t>
        </is>
      </c>
      <c r="BH29" s="121" t="inlineStr">
        <is>
          <t>Autonomie totale</t>
        </is>
      </c>
    </row>
    <row r="30" ht="38" customHeight="1" s="62">
      <c r="D30" s="122" t="inlineStr">
        <is>
          <t>Secteur standard</t>
        </is>
      </c>
      <c r="F30" s="122" t="inlineStr">
        <is>
          <t>Secteur réglementé</t>
        </is>
      </c>
      <c r="H30" s="122" t="inlineStr">
        <is>
          <t>Secteur standard</t>
        </is>
      </c>
      <c r="J30" s="122" t="inlineStr">
        <is>
          <t>Secteur réglementé</t>
        </is>
      </c>
      <c r="L30" s="122" t="inlineStr">
        <is>
          <t>Secteur standard</t>
        </is>
      </c>
      <c r="N30" s="122" t="inlineStr">
        <is>
          <t>Secteur réglementé</t>
        </is>
      </c>
      <c r="P30" s="122" t="inlineStr">
        <is>
          <t>Secteur standard</t>
        </is>
      </c>
      <c r="R30" s="122" t="inlineStr">
        <is>
          <t>Secteur réglementé</t>
        </is>
      </c>
      <c r="T30" s="122" t="inlineStr">
        <is>
          <t>Secteur standard</t>
        </is>
      </c>
      <c r="V30" s="122" t="inlineStr">
        <is>
          <t>Secteur réglementé</t>
        </is>
      </c>
      <c r="X30" s="122" t="inlineStr">
        <is>
          <t>Secteur standard</t>
        </is>
      </c>
      <c r="Z30" s="122" t="inlineStr">
        <is>
          <t>Secteur réglementé</t>
        </is>
      </c>
      <c r="AB30" s="122" t="inlineStr">
        <is>
          <t>Secteur standard</t>
        </is>
      </c>
      <c r="AD30" s="122" t="inlineStr">
        <is>
          <t>Secteur réglementé</t>
        </is>
      </c>
      <c r="AF30" s="122" t="inlineStr">
        <is>
          <t>Secteur standard</t>
        </is>
      </c>
      <c r="AH30" s="122" t="inlineStr">
        <is>
          <t>Secteur réglementé</t>
        </is>
      </c>
      <c r="AJ30" s="122" t="inlineStr">
        <is>
          <t>Secteur standard</t>
        </is>
      </c>
      <c r="AL30" s="122" t="inlineStr">
        <is>
          <t>Secteur réglementé</t>
        </is>
      </c>
      <c r="AN30" s="122" t="inlineStr">
        <is>
          <t>Secteur standard</t>
        </is>
      </c>
      <c r="AP30" s="122" t="inlineStr">
        <is>
          <t>Secteur réglementé</t>
        </is>
      </c>
      <c r="AR30" s="122" t="inlineStr">
        <is>
          <t>Secteur standard</t>
        </is>
      </c>
      <c r="AT30" s="122" t="inlineStr">
        <is>
          <t>Secteur réglementé</t>
        </is>
      </c>
      <c r="AV30" s="122" t="inlineStr">
        <is>
          <t>Secteur standard</t>
        </is>
      </c>
      <c r="AX30" s="122" t="inlineStr">
        <is>
          <t>Secteur réglementé</t>
        </is>
      </c>
      <c r="AZ30" s="122" t="inlineStr">
        <is>
          <t>Secteur standard</t>
        </is>
      </c>
      <c r="BB30" s="122" t="inlineStr">
        <is>
          <t>Secteur réglementé</t>
        </is>
      </c>
      <c r="BD30" s="122" t="inlineStr">
        <is>
          <t>Secteur standard</t>
        </is>
      </c>
      <c r="BF30" s="122" t="inlineStr">
        <is>
          <t>Secteur réglementé</t>
        </is>
      </c>
      <c r="BH30" s="122" t="inlineStr">
        <is>
          <t>Secteur standard</t>
        </is>
      </c>
      <c r="BJ30" s="122" t="inlineStr">
        <is>
          <t>Secteur réglementé</t>
        </is>
      </c>
    </row>
    <row r="31" ht="38" customHeight="1" s="62">
      <c r="D31" s="123" t="inlineStr">
        <is>
          <t>Distanciel</t>
        </is>
      </c>
      <c r="E31" s="123" t="inlineStr">
        <is>
          <t>Présentiel</t>
        </is>
      </c>
      <c r="F31" s="123" t="inlineStr">
        <is>
          <t>Distanciel</t>
        </is>
      </c>
      <c r="G31" s="123" t="inlineStr">
        <is>
          <t>Présentiel</t>
        </is>
      </c>
      <c r="H31" s="123" t="inlineStr">
        <is>
          <t>Distanciel</t>
        </is>
      </c>
      <c r="I31" s="123" t="inlineStr">
        <is>
          <t>Présentiel</t>
        </is>
      </c>
      <c r="J31" s="123" t="inlineStr">
        <is>
          <t>Distanciel</t>
        </is>
      </c>
      <c r="K31" s="123" t="inlineStr">
        <is>
          <t>Présentiel</t>
        </is>
      </c>
      <c r="L31" s="123" t="inlineStr">
        <is>
          <t>Distanciel</t>
        </is>
      </c>
      <c r="M31" s="123" t="inlineStr">
        <is>
          <t>Présentiel</t>
        </is>
      </c>
      <c r="N31" s="123" t="inlineStr">
        <is>
          <t>Distanciel</t>
        </is>
      </c>
      <c r="O31" s="123" t="inlineStr">
        <is>
          <t>Présentiel</t>
        </is>
      </c>
      <c r="P31" s="123" t="inlineStr">
        <is>
          <t>Distanciel</t>
        </is>
      </c>
      <c r="Q31" s="123" t="inlineStr">
        <is>
          <t>Présentiel</t>
        </is>
      </c>
      <c r="R31" s="123" t="inlineStr">
        <is>
          <t>Distanciel</t>
        </is>
      </c>
      <c r="S31" s="123" t="inlineStr">
        <is>
          <t>Présentiel</t>
        </is>
      </c>
      <c r="T31" s="123" t="inlineStr">
        <is>
          <t>Distanciel</t>
        </is>
      </c>
      <c r="U31" s="123" t="inlineStr">
        <is>
          <t>Présentiel</t>
        </is>
      </c>
      <c r="V31" s="123" t="inlineStr">
        <is>
          <t>Distanciel</t>
        </is>
      </c>
      <c r="W31" s="123" t="inlineStr">
        <is>
          <t>Présentiel</t>
        </is>
      </c>
      <c r="X31" s="123" t="inlineStr">
        <is>
          <t>Distanciel</t>
        </is>
      </c>
      <c r="Y31" s="123" t="inlineStr">
        <is>
          <t>Présentiel</t>
        </is>
      </c>
      <c r="Z31" s="123" t="inlineStr">
        <is>
          <t>Distanciel</t>
        </is>
      </c>
      <c r="AA31" s="123" t="inlineStr">
        <is>
          <t>Présentiel</t>
        </is>
      </c>
      <c r="AB31" s="123" t="inlineStr">
        <is>
          <t>Distanciel</t>
        </is>
      </c>
      <c r="AC31" s="123" t="inlineStr">
        <is>
          <t>Présentiel</t>
        </is>
      </c>
      <c r="AD31" s="123" t="inlineStr">
        <is>
          <t>Distanciel</t>
        </is>
      </c>
      <c r="AE31" s="123" t="inlineStr">
        <is>
          <t>Présentiel</t>
        </is>
      </c>
      <c r="AF31" s="123" t="inlineStr">
        <is>
          <t>Distanciel</t>
        </is>
      </c>
      <c r="AG31" s="123" t="inlineStr">
        <is>
          <t>Présentiel</t>
        </is>
      </c>
      <c r="AH31" s="123" t="inlineStr">
        <is>
          <t>Distanciel</t>
        </is>
      </c>
      <c r="AI31" s="123" t="inlineStr">
        <is>
          <t>Présentiel</t>
        </is>
      </c>
      <c r="AJ31" s="123" t="inlineStr">
        <is>
          <t>Distanciel</t>
        </is>
      </c>
      <c r="AK31" s="123" t="inlineStr">
        <is>
          <t>Présentiel</t>
        </is>
      </c>
      <c r="AL31" s="123" t="inlineStr">
        <is>
          <t>Distanciel</t>
        </is>
      </c>
      <c r="AM31" s="123" t="inlineStr">
        <is>
          <t>Présentiel</t>
        </is>
      </c>
      <c r="AN31" s="123" t="inlineStr">
        <is>
          <t>Distanciel</t>
        </is>
      </c>
      <c r="AO31" s="123" t="inlineStr">
        <is>
          <t>Présentiel</t>
        </is>
      </c>
      <c r="AP31" s="123" t="inlineStr">
        <is>
          <t>Distanciel</t>
        </is>
      </c>
      <c r="AQ31" s="123" t="inlineStr">
        <is>
          <t>Présentiel</t>
        </is>
      </c>
      <c r="AR31" s="123" t="inlineStr">
        <is>
          <t>Distanciel</t>
        </is>
      </c>
      <c r="AS31" s="123" t="inlineStr">
        <is>
          <t>Présentiel</t>
        </is>
      </c>
      <c r="AT31" s="123" t="inlineStr">
        <is>
          <t>Distanciel</t>
        </is>
      </c>
      <c r="AU31" s="123" t="inlineStr">
        <is>
          <t>Présentiel</t>
        </is>
      </c>
      <c r="AV31" s="123" t="inlineStr">
        <is>
          <t>Distanciel</t>
        </is>
      </c>
      <c r="AW31" s="123" t="inlineStr">
        <is>
          <t>Présentiel</t>
        </is>
      </c>
      <c r="AX31" s="123" t="inlineStr">
        <is>
          <t>Distanciel</t>
        </is>
      </c>
      <c r="AY31" s="123" t="inlineStr">
        <is>
          <t>Présentiel</t>
        </is>
      </c>
      <c r="AZ31" s="123" t="inlineStr">
        <is>
          <t>Distanciel</t>
        </is>
      </c>
      <c r="BA31" s="123" t="inlineStr">
        <is>
          <t>Présentiel</t>
        </is>
      </c>
      <c r="BB31" s="123" t="inlineStr">
        <is>
          <t>Distanciel</t>
        </is>
      </c>
      <c r="BC31" s="123" t="inlineStr">
        <is>
          <t>Présentiel</t>
        </is>
      </c>
      <c r="BD31" s="123" t="inlineStr">
        <is>
          <t>Distanciel</t>
        </is>
      </c>
      <c r="BE31" s="123" t="inlineStr">
        <is>
          <t>Présentiel</t>
        </is>
      </c>
      <c r="BF31" s="123" t="inlineStr">
        <is>
          <t>Distanciel</t>
        </is>
      </c>
      <c r="BG31" s="123" t="inlineStr">
        <is>
          <t>Présentiel</t>
        </is>
      </c>
      <c r="BH31" s="123" t="inlineStr">
        <is>
          <t>Distanciel</t>
        </is>
      </c>
      <c r="BI31" s="123" t="inlineStr">
        <is>
          <t>Présentiel</t>
        </is>
      </c>
      <c r="BJ31" s="123" t="inlineStr">
        <is>
          <t>Distanciel</t>
        </is>
      </c>
      <c r="BK31" s="123" t="inlineStr">
        <is>
          <t>Présentiel</t>
        </is>
      </c>
    </row>
    <row r="32" ht="20" customHeight="1" s="62">
      <c r="A32" s="124" t="inlineStr">
        <is>
          <t>1 agent</t>
        </is>
      </c>
      <c r="B32" s="125" t="inlineStr">
        <is>
          <t>1-2 outils connectés</t>
        </is>
      </c>
      <c r="C32" s="126" t="inlineStr">
        <is>
          <t>Technologie no-code</t>
        </is>
      </c>
      <c r="D32" s="127">
        <f>ROUND($B$4*$B$10*$B$13*$B$16*$B$19*$B$22*$B$24,0)</f>
        <v/>
      </c>
      <c r="E32" s="127">
        <f>ROUND($B$4*$B$10*$B$13*$B$16*$B$19*$B$22*$B$25,0)</f>
        <v/>
      </c>
      <c r="F32" s="127">
        <f>ROUND($B$4*$B$10*$B$13*$B$16*$B$19*$B$23*$B$24,0)</f>
        <v/>
      </c>
      <c r="G32" s="127">
        <f>ROUND($B$4*$B$10*$B$13*$B$16*$B$19*$B$23*$B$25,0)</f>
        <v/>
      </c>
      <c r="H32" s="127">
        <f>ROUND($B$4*$B$10*$B$13*$B$16*$B$20*$B$22*$B$24,0)</f>
        <v/>
      </c>
      <c r="I32" s="127">
        <f>ROUND($B$4*$B$10*$B$13*$B$16*$B$20*$B$22*$B$25,0)</f>
        <v/>
      </c>
      <c r="J32" s="127">
        <f>ROUND($B$4*$B$10*$B$13*$B$16*$B$20*$B$23*$B$24,0)</f>
        <v/>
      </c>
      <c r="K32" s="127">
        <f>ROUND($B$4*$B$10*$B$13*$B$16*$B$20*$B$23*$B$25,0)</f>
        <v/>
      </c>
      <c r="L32" s="127">
        <f>ROUND($B$4*$B$10*$B$13*$B$16*$B$21*$B$22*$B$24,0)</f>
        <v/>
      </c>
      <c r="M32" s="127">
        <f>ROUND($B$4*$B$10*$B$13*$B$16*$B$21*$B$22*$B$25,0)</f>
        <v/>
      </c>
      <c r="N32" s="127">
        <f>ROUND($B$4*$B$10*$B$13*$B$16*$B$21*$B$23*$B$24,0)</f>
        <v/>
      </c>
      <c r="O32" s="127">
        <f>ROUND($B$4*$B$10*$B$13*$B$16*$B$21*$B$23*$B$25,0)</f>
        <v/>
      </c>
      <c r="P32" s="127">
        <f>ROUND($B$5*$B$10*$B$13*$B$16*$B$19*$B$22*$B$24,0)</f>
        <v/>
      </c>
      <c r="Q32" s="127">
        <f>ROUND($B$5*$B$10*$B$13*$B$16*$B$19*$B$22*$B$25,0)</f>
        <v/>
      </c>
      <c r="R32" s="127">
        <f>ROUND($B$5*$B$10*$B$13*$B$16*$B$19*$B$23*$B$24,0)</f>
        <v/>
      </c>
      <c r="S32" s="127">
        <f>ROUND($B$5*$B$10*$B$13*$B$16*$B$19*$B$23*$B$25,0)</f>
        <v/>
      </c>
      <c r="T32" s="127">
        <f>ROUND($B$5*$B$10*$B$13*$B$16*$B$20*$B$22*$B$24,0)</f>
        <v/>
      </c>
      <c r="U32" s="127">
        <f>ROUND($B$5*$B$10*$B$13*$B$16*$B$20*$B$22*$B$25,0)</f>
        <v/>
      </c>
      <c r="V32" s="127">
        <f>ROUND($B$5*$B$10*$B$13*$B$16*$B$20*$B$23*$B$24,0)</f>
        <v/>
      </c>
      <c r="W32" s="127">
        <f>ROUND($B$5*$B$10*$B$13*$B$16*$B$20*$B$23*$B$25,0)</f>
        <v/>
      </c>
      <c r="X32" s="127">
        <f>ROUND($B$5*$B$10*$B$13*$B$16*$B$21*$B$22*$B$24,0)</f>
        <v/>
      </c>
      <c r="Y32" s="127">
        <f>ROUND($B$5*$B$10*$B$13*$B$16*$B$21*$B$22*$B$25,0)</f>
        <v/>
      </c>
      <c r="Z32" s="127">
        <f>ROUND($B$5*$B$10*$B$13*$B$16*$B$21*$B$23*$B$24,0)</f>
        <v/>
      </c>
      <c r="AA32" s="127">
        <f>ROUND($B$5*$B$10*$B$13*$B$16*$B$21*$B$23*$B$25,0)</f>
        <v/>
      </c>
      <c r="AB32" s="127">
        <f>ROUND($B$6*$B$10*$B$13*$B$16*$B$19*$B$22*$B$24,0)</f>
        <v/>
      </c>
      <c r="AC32" s="127">
        <f>ROUND($B$6*$B$10*$B$13*$B$16*$B$19*$B$22*$B$25,0)</f>
        <v/>
      </c>
      <c r="AD32" s="127">
        <f>ROUND($B$6*$B$10*$B$13*$B$16*$B$19*$B$23*$B$24,0)</f>
        <v/>
      </c>
      <c r="AE32" s="127">
        <f>ROUND($B$6*$B$10*$B$13*$B$16*$B$19*$B$23*$B$25,0)</f>
        <v/>
      </c>
      <c r="AF32" s="127">
        <f>ROUND($B$6*$B$10*$B$13*$B$16*$B$20*$B$22*$B$24,0)</f>
        <v/>
      </c>
      <c r="AG32" s="127">
        <f>ROUND($B$6*$B$10*$B$13*$B$16*$B$20*$B$22*$B$25,0)</f>
        <v/>
      </c>
      <c r="AH32" s="127">
        <f>ROUND($B$6*$B$10*$B$13*$B$16*$B$20*$B$23*$B$24,0)</f>
        <v/>
      </c>
      <c r="AI32" s="127">
        <f>ROUND($B$6*$B$10*$B$13*$B$16*$B$20*$B$23*$B$25,0)</f>
        <v/>
      </c>
      <c r="AJ32" s="127">
        <f>ROUND($B$6*$B$10*$B$13*$B$16*$B$21*$B$22*$B$24,0)</f>
        <v/>
      </c>
      <c r="AK32" s="127">
        <f>ROUND($B$6*$B$10*$B$13*$B$16*$B$21*$B$22*$B$25,0)</f>
        <v/>
      </c>
      <c r="AL32" s="127">
        <f>ROUND($B$6*$B$10*$B$13*$B$16*$B$21*$B$23*$B$24,0)</f>
        <v/>
      </c>
      <c r="AM32" s="127">
        <f>ROUND($B$6*$B$10*$B$13*$B$16*$B$21*$B$23*$B$25,0)</f>
        <v/>
      </c>
      <c r="AN32" s="127">
        <f>ROUND($B$7*$B$10*$B$13*$B$16*$B$19*$B$22*$B$24,0)</f>
        <v/>
      </c>
      <c r="AO32" s="127">
        <f>ROUND($B$7*$B$10*$B$13*$B$16*$B$19*$B$22*$B$25,0)</f>
        <v/>
      </c>
      <c r="AP32" s="127">
        <f>ROUND($B$7*$B$10*$B$13*$B$16*$B$19*$B$23*$B$24,0)</f>
        <v/>
      </c>
      <c r="AQ32" s="127">
        <f>ROUND($B$7*$B$10*$B$13*$B$16*$B$19*$B$23*$B$25,0)</f>
        <v/>
      </c>
      <c r="AR32" s="127">
        <f>ROUND($B$7*$B$10*$B$13*$B$16*$B$20*$B$22*$B$24,0)</f>
        <v/>
      </c>
      <c r="AS32" s="127">
        <f>ROUND($B$7*$B$10*$B$13*$B$16*$B$20*$B$22*$B$25,0)</f>
        <v/>
      </c>
      <c r="AT32" s="127">
        <f>ROUND($B$7*$B$10*$B$13*$B$16*$B$20*$B$23*$B$24,0)</f>
        <v/>
      </c>
      <c r="AU32" s="127">
        <f>ROUND($B$7*$B$10*$B$13*$B$16*$B$20*$B$23*$B$25,0)</f>
        <v/>
      </c>
      <c r="AV32" s="127">
        <f>ROUND($B$7*$B$10*$B$13*$B$16*$B$21*$B$22*$B$24,0)</f>
        <v/>
      </c>
      <c r="AW32" s="127">
        <f>ROUND($B$7*$B$10*$B$13*$B$16*$B$21*$B$22*$B$25,0)</f>
        <v/>
      </c>
      <c r="AX32" s="127">
        <f>ROUND($B$7*$B$10*$B$13*$B$16*$B$21*$B$23*$B$24,0)</f>
        <v/>
      </c>
      <c r="AY32" s="127">
        <f>ROUND($B$7*$B$10*$B$13*$B$16*$B$21*$B$23*$B$25,0)</f>
        <v/>
      </c>
      <c r="AZ32" s="128">
        <f>ROUND($B$8*$B$10*$B$13*$B$16*$B$19*$B$22*$B$24,0)</f>
        <v/>
      </c>
      <c r="BA32" s="128">
        <f>ROUND($B$8*$B$10*$B$13*$B$16*$B$19*$B$22*$B$25,0)</f>
        <v/>
      </c>
      <c r="BB32" s="128">
        <f>ROUND($B$8*$B$10*$B$13*$B$16*$B$19*$B$23*$B$24,0)</f>
        <v/>
      </c>
      <c r="BC32" s="128">
        <f>ROUND($B$8*$B$10*$B$13*$B$16*$B$19*$B$23*$B$25,0)</f>
        <v/>
      </c>
      <c r="BD32" s="128">
        <f>ROUND($B$8*$B$10*$B$13*$B$16*$B$20*$B$22*$B$24,0)</f>
        <v/>
      </c>
      <c r="BE32" s="128">
        <f>ROUND($B$8*$B$10*$B$13*$B$16*$B$20*$B$22*$B$25,0)</f>
        <v/>
      </c>
      <c r="BF32" s="128">
        <f>ROUND($B$8*$B$10*$B$13*$B$16*$B$20*$B$23*$B$24,0)</f>
        <v/>
      </c>
      <c r="BG32" s="128">
        <f>ROUND($B$8*$B$10*$B$13*$B$16*$B$20*$B$23*$B$25,0)</f>
        <v/>
      </c>
      <c r="BH32" s="128">
        <f>ROUND($B$8*$B$10*$B$13*$B$16*$B$21*$B$22*$B$24,0)</f>
        <v/>
      </c>
      <c r="BI32" s="128">
        <f>ROUND($B$8*$B$10*$B$13*$B$16*$B$21*$B$22*$B$25,0)</f>
        <v/>
      </c>
      <c r="BJ32" s="128">
        <f>ROUND($B$8*$B$10*$B$13*$B$16*$B$21*$B$23*$B$24,0)</f>
        <v/>
      </c>
      <c r="BK32" s="128">
        <f>ROUND($B$8*$B$10*$B$13*$B$16*$B$21*$B$23*$B$25,0)</f>
        <v/>
      </c>
    </row>
    <row r="33" ht="20" customHeight="1" s="62">
      <c r="C33" s="125" t="inlineStr">
        <is>
          <t>Technologie API</t>
        </is>
      </c>
      <c r="D33" s="127">
        <f>ROUND($B$4*$B$10*$B$13*$B$17*$B$19*$B$22*$B$24,0)</f>
        <v/>
      </c>
      <c r="E33" s="127">
        <f>ROUND($B$4*$B$10*$B$13*$B$17*$B$19*$B$22*$B$25,0)</f>
        <v/>
      </c>
      <c r="F33" s="127">
        <f>ROUND($B$4*$B$10*$B$13*$B$17*$B$19*$B$23*$B$24,0)</f>
        <v/>
      </c>
      <c r="G33" s="127">
        <f>ROUND($B$4*$B$10*$B$13*$B$17*$B$19*$B$23*$B$25,0)</f>
        <v/>
      </c>
      <c r="H33" s="127">
        <f>ROUND($B$4*$B$10*$B$13*$B$17*$B$20*$B$22*$B$24,0)</f>
        <v/>
      </c>
      <c r="I33" s="127">
        <f>ROUND($B$4*$B$10*$B$13*$B$17*$B$20*$B$22*$B$25,0)</f>
        <v/>
      </c>
      <c r="J33" s="127">
        <f>ROUND($B$4*$B$10*$B$13*$B$17*$B$20*$B$23*$B$24,0)</f>
        <v/>
      </c>
      <c r="K33" s="127">
        <f>ROUND($B$4*$B$10*$B$13*$B$17*$B$20*$B$23*$B$25,0)</f>
        <v/>
      </c>
      <c r="L33" s="127">
        <f>ROUND($B$4*$B$10*$B$13*$B$17*$B$21*$B$22*$B$24,0)</f>
        <v/>
      </c>
      <c r="M33" s="127">
        <f>ROUND($B$4*$B$10*$B$13*$B$17*$B$21*$B$22*$B$25,0)</f>
        <v/>
      </c>
      <c r="N33" s="127">
        <f>ROUND($B$4*$B$10*$B$13*$B$17*$B$21*$B$23*$B$24,0)</f>
        <v/>
      </c>
      <c r="O33" s="127">
        <f>ROUND($B$4*$B$10*$B$13*$B$17*$B$21*$B$23*$B$25,0)</f>
        <v/>
      </c>
      <c r="P33" s="127">
        <f>ROUND($B$5*$B$10*$B$13*$B$17*$B$19*$B$22*$B$24,0)</f>
        <v/>
      </c>
      <c r="Q33" s="127">
        <f>ROUND($B$5*$B$10*$B$13*$B$17*$B$19*$B$22*$B$25,0)</f>
        <v/>
      </c>
      <c r="R33" s="127">
        <f>ROUND($B$5*$B$10*$B$13*$B$17*$B$19*$B$23*$B$24,0)</f>
        <v/>
      </c>
      <c r="S33" s="127">
        <f>ROUND($B$5*$B$10*$B$13*$B$17*$B$19*$B$23*$B$25,0)</f>
        <v/>
      </c>
      <c r="T33" s="127">
        <f>ROUND($B$5*$B$10*$B$13*$B$17*$B$20*$B$22*$B$24,0)</f>
        <v/>
      </c>
      <c r="U33" s="127">
        <f>ROUND($B$5*$B$10*$B$13*$B$17*$B$20*$B$22*$B$25,0)</f>
        <v/>
      </c>
      <c r="V33" s="127">
        <f>ROUND($B$5*$B$10*$B$13*$B$17*$B$20*$B$23*$B$24,0)</f>
        <v/>
      </c>
      <c r="W33" s="127">
        <f>ROUND($B$5*$B$10*$B$13*$B$17*$B$20*$B$23*$B$25,0)</f>
        <v/>
      </c>
      <c r="X33" s="127">
        <f>ROUND($B$5*$B$10*$B$13*$B$17*$B$21*$B$22*$B$24,0)</f>
        <v/>
      </c>
      <c r="Y33" s="127">
        <f>ROUND($B$5*$B$10*$B$13*$B$17*$B$21*$B$22*$B$25,0)</f>
        <v/>
      </c>
      <c r="Z33" s="127">
        <f>ROUND($B$5*$B$10*$B$13*$B$17*$B$21*$B$23*$B$24,0)</f>
        <v/>
      </c>
      <c r="AA33" s="127">
        <f>ROUND($B$5*$B$10*$B$13*$B$17*$B$21*$B$23*$B$25,0)</f>
        <v/>
      </c>
      <c r="AB33" s="127">
        <f>ROUND($B$6*$B$10*$B$13*$B$17*$B$19*$B$22*$B$24,0)</f>
        <v/>
      </c>
      <c r="AC33" s="127">
        <f>ROUND($B$6*$B$10*$B$13*$B$17*$B$19*$B$22*$B$25,0)</f>
        <v/>
      </c>
      <c r="AD33" s="127">
        <f>ROUND($B$6*$B$10*$B$13*$B$17*$B$19*$B$23*$B$24,0)</f>
        <v/>
      </c>
      <c r="AE33" s="127">
        <f>ROUND($B$6*$B$10*$B$13*$B$17*$B$19*$B$23*$B$25,0)</f>
        <v/>
      </c>
      <c r="AF33" s="127">
        <f>ROUND($B$6*$B$10*$B$13*$B$17*$B$20*$B$22*$B$24,0)</f>
        <v/>
      </c>
      <c r="AG33" s="127">
        <f>ROUND($B$6*$B$10*$B$13*$B$17*$B$20*$B$22*$B$25,0)</f>
        <v/>
      </c>
      <c r="AH33" s="127">
        <f>ROUND($B$6*$B$10*$B$13*$B$17*$B$20*$B$23*$B$24,0)</f>
        <v/>
      </c>
      <c r="AI33" s="127">
        <f>ROUND($B$6*$B$10*$B$13*$B$17*$B$20*$B$23*$B$25,0)</f>
        <v/>
      </c>
      <c r="AJ33" s="127">
        <f>ROUND($B$6*$B$10*$B$13*$B$17*$B$21*$B$22*$B$24,0)</f>
        <v/>
      </c>
      <c r="AK33" s="127">
        <f>ROUND($B$6*$B$10*$B$13*$B$17*$B$21*$B$22*$B$25,0)</f>
        <v/>
      </c>
      <c r="AL33" s="127">
        <f>ROUND($B$6*$B$10*$B$13*$B$17*$B$21*$B$23*$B$24,0)</f>
        <v/>
      </c>
      <c r="AM33" s="127">
        <f>ROUND($B$6*$B$10*$B$13*$B$17*$B$21*$B$23*$B$25,0)</f>
        <v/>
      </c>
      <c r="AN33" s="127">
        <f>ROUND($B$7*$B$10*$B$13*$B$17*$B$19*$B$22*$B$24,0)</f>
        <v/>
      </c>
      <c r="AO33" s="127">
        <f>ROUND($B$7*$B$10*$B$13*$B$17*$B$19*$B$22*$B$25,0)</f>
        <v/>
      </c>
      <c r="AP33" s="127">
        <f>ROUND($B$7*$B$10*$B$13*$B$17*$B$19*$B$23*$B$24,0)</f>
        <v/>
      </c>
      <c r="AQ33" s="127">
        <f>ROUND($B$7*$B$10*$B$13*$B$17*$B$19*$B$23*$B$25,0)</f>
        <v/>
      </c>
      <c r="AR33" s="127">
        <f>ROUND($B$7*$B$10*$B$13*$B$17*$B$20*$B$22*$B$24,0)</f>
        <v/>
      </c>
      <c r="AS33" s="127">
        <f>ROUND($B$7*$B$10*$B$13*$B$17*$B$20*$B$22*$B$25,0)</f>
        <v/>
      </c>
      <c r="AT33" s="127">
        <f>ROUND($B$7*$B$10*$B$13*$B$17*$B$20*$B$23*$B$24,0)</f>
        <v/>
      </c>
      <c r="AU33" s="127">
        <f>ROUND($B$7*$B$10*$B$13*$B$17*$B$20*$B$23*$B$25,0)</f>
        <v/>
      </c>
      <c r="AV33" s="127">
        <f>ROUND($B$7*$B$10*$B$13*$B$17*$B$21*$B$22*$B$24,0)</f>
        <v/>
      </c>
      <c r="AW33" s="127">
        <f>ROUND($B$7*$B$10*$B$13*$B$17*$B$21*$B$22*$B$25,0)</f>
        <v/>
      </c>
      <c r="AX33" s="127">
        <f>ROUND($B$7*$B$10*$B$13*$B$17*$B$21*$B$23*$B$24,0)</f>
        <v/>
      </c>
      <c r="AY33" s="127">
        <f>ROUND($B$7*$B$10*$B$13*$B$17*$B$21*$B$23*$B$25,0)</f>
        <v/>
      </c>
      <c r="AZ33" s="128">
        <f>ROUND($B$8*$B$10*$B$13*$B$17*$B$19*$B$22*$B$24,0)</f>
        <v/>
      </c>
      <c r="BA33" s="128">
        <f>ROUND($B$8*$B$10*$B$13*$B$17*$B$19*$B$22*$B$25,0)</f>
        <v/>
      </c>
      <c r="BB33" s="128">
        <f>ROUND($B$8*$B$10*$B$13*$B$17*$B$19*$B$23*$B$24,0)</f>
        <v/>
      </c>
      <c r="BC33" s="128">
        <f>ROUND($B$8*$B$10*$B$13*$B$17*$B$19*$B$23*$B$25,0)</f>
        <v/>
      </c>
      <c r="BD33" s="128">
        <f>ROUND($B$8*$B$10*$B$13*$B$17*$B$20*$B$22*$B$24,0)</f>
        <v/>
      </c>
      <c r="BE33" s="128">
        <f>ROUND($B$8*$B$10*$B$13*$B$17*$B$20*$B$22*$B$25,0)</f>
        <v/>
      </c>
      <c r="BF33" s="128">
        <f>ROUND($B$8*$B$10*$B$13*$B$17*$B$20*$B$23*$B$24,0)</f>
        <v/>
      </c>
      <c r="BG33" s="128">
        <f>ROUND($B$8*$B$10*$B$13*$B$17*$B$20*$B$23*$B$25,0)</f>
        <v/>
      </c>
      <c r="BH33" s="128">
        <f>ROUND($B$8*$B$10*$B$13*$B$17*$B$21*$B$22*$B$24,0)</f>
        <v/>
      </c>
      <c r="BI33" s="128">
        <f>ROUND($B$8*$B$10*$B$13*$B$17*$B$21*$B$22*$B$25,0)</f>
        <v/>
      </c>
      <c r="BJ33" s="128">
        <f>ROUND($B$8*$B$10*$B$13*$B$17*$B$21*$B$23*$B$24,0)</f>
        <v/>
      </c>
      <c r="BK33" s="128">
        <f>ROUND($B$8*$B$10*$B$13*$B$17*$B$21*$B$23*$B$25,0)</f>
        <v/>
      </c>
    </row>
    <row r="34" ht="20" customHeight="1" s="62">
      <c r="C34" s="129" t="inlineStr">
        <is>
          <t>Technologie développement</t>
        </is>
      </c>
      <c r="D34" s="127">
        <f>ROUND($B$4*$B$10*$B$13*$B$18*$B$19*$B$22*$B$24,0)</f>
        <v/>
      </c>
      <c r="E34" s="127">
        <f>ROUND($B$4*$B$10*$B$13*$B$18*$B$19*$B$22*$B$25,0)</f>
        <v/>
      </c>
      <c r="F34" s="127">
        <f>ROUND($B$4*$B$10*$B$13*$B$18*$B$19*$B$23*$B$24,0)</f>
        <v/>
      </c>
      <c r="G34" s="127">
        <f>ROUND($B$4*$B$10*$B$13*$B$18*$B$19*$B$23*$B$25,0)</f>
        <v/>
      </c>
      <c r="H34" s="127">
        <f>ROUND($B$4*$B$10*$B$13*$B$18*$B$20*$B$22*$B$24,0)</f>
        <v/>
      </c>
      <c r="I34" s="127">
        <f>ROUND($B$4*$B$10*$B$13*$B$18*$B$20*$B$22*$B$25,0)</f>
        <v/>
      </c>
      <c r="J34" s="127">
        <f>ROUND($B$4*$B$10*$B$13*$B$18*$B$20*$B$23*$B$24,0)</f>
        <v/>
      </c>
      <c r="K34" s="127">
        <f>ROUND($B$4*$B$10*$B$13*$B$18*$B$20*$B$23*$B$25,0)</f>
        <v/>
      </c>
      <c r="L34" s="127">
        <f>ROUND($B$4*$B$10*$B$13*$B$18*$B$21*$B$22*$B$24,0)</f>
        <v/>
      </c>
      <c r="M34" s="127">
        <f>ROUND($B$4*$B$10*$B$13*$B$18*$B$21*$B$22*$B$25,0)</f>
        <v/>
      </c>
      <c r="N34" s="127">
        <f>ROUND($B$4*$B$10*$B$13*$B$18*$B$21*$B$23*$B$24,0)</f>
        <v/>
      </c>
      <c r="O34" s="127">
        <f>ROUND($B$4*$B$10*$B$13*$B$18*$B$21*$B$23*$B$25,0)</f>
        <v/>
      </c>
      <c r="P34" s="127">
        <f>ROUND($B$5*$B$10*$B$13*$B$18*$B$19*$B$22*$B$24,0)</f>
        <v/>
      </c>
      <c r="Q34" s="127">
        <f>ROUND($B$5*$B$10*$B$13*$B$18*$B$19*$B$22*$B$25,0)</f>
        <v/>
      </c>
      <c r="R34" s="127">
        <f>ROUND($B$5*$B$10*$B$13*$B$18*$B$19*$B$23*$B$24,0)</f>
        <v/>
      </c>
      <c r="S34" s="127">
        <f>ROUND($B$5*$B$10*$B$13*$B$18*$B$19*$B$23*$B$25,0)</f>
        <v/>
      </c>
      <c r="T34" s="127">
        <f>ROUND($B$5*$B$10*$B$13*$B$18*$B$20*$B$22*$B$24,0)</f>
        <v/>
      </c>
      <c r="U34" s="127">
        <f>ROUND($B$5*$B$10*$B$13*$B$18*$B$20*$B$22*$B$25,0)</f>
        <v/>
      </c>
      <c r="V34" s="127">
        <f>ROUND($B$5*$B$10*$B$13*$B$18*$B$20*$B$23*$B$24,0)</f>
        <v/>
      </c>
      <c r="W34" s="127">
        <f>ROUND($B$5*$B$10*$B$13*$B$18*$B$20*$B$23*$B$25,0)</f>
        <v/>
      </c>
      <c r="X34" s="127">
        <f>ROUND($B$5*$B$10*$B$13*$B$18*$B$21*$B$22*$B$24,0)</f>
        <v/>
      </c>
      <c r="Y34" s="127">
        <f>ROUND($B$5*$B$10*$B$13*$B$18*$B$21*$B$22*$B$25,0)</f>
        <v/>
      </c>
      <c r="Z34" s="127">
        <f>ROUND($B$5*$B$10*$B$13*$B$18*$B$21*$B$23*$B$24,0)</f>
        <v/>
      </c>
      <c r="AA34" s="127">
        <f>ROUND($B$5*$B$10*$B$13*$B$18*$B$21*$B$23*$B$25,0)</f>
        <v/>
      </c>
      <c r="AB34" s="127">
        <f>ROUND($B$6*$B$10*$B$13*$B$18*$B$19*$B$22*$B$24,0)</f>
        <v/>
      </c>
      <c r="AC34" s="127">
        <f>ROUND($B$6*$B$10*$B$13*$B$18*$B$19*$B$22*$B$25,0)</f>
        <v/>
      </c>
      <c r="AD34" s="127">
        <f>ROUND($B$6*$B$10*$B$13*$B$18*$B$19*$B$23*$B$24,0)</f>
        <v/>
      </c>
      <c r="AE34" s="127">
        <f>ROUND($B$6*$B$10*$B$13*$B$18*$B$19*$B$23*$B$25,0)</f>
        <v/>
      </c>
      <c r="AF34" s="127">
        <f>ROUND($B$6*$B$10*$B$13*$B$18*$B$20*$B$22*$B$24,0)</f>
        <v/>
      </c>
      <c r="AG34" s="127">
        <f>ROUND($B$6*$B$10*$B$13*$B$18*$B$20*$B$22*$B$25,0)</f>
        <v/>
      </c>
      <c r="AH34" s="127">
        <f>ROUND($B$6*$B$10*$B$13*$B$18*$B$20*$B$23*$B$24,0)</f>
        <v/>
      </c>
      <c r="AI34" s="127">
        <f>ROUND($B$6*$B$10*$B$13*$B$18*$B$20*$B$23*$B$25,0)</f>
        <v/>
      </c>
      <c r="AJ34" s="127">
        <f>ROUND($B$6*$B$10*$B$13*$B$18*$B$21*$B$22*$B$24,0)</f>
        <v/>
      </c>
      <c r="AK34" s="127">
        <f>ROUND($B$6*$B$10*$B$13*$B$18*$B$21*$B$22*$B$25,0)</f>
        <v/>
      </c>
      <c r="AL34" s="127">
        <f>ROUND($B$6*$B$10*$B$13*$B$18*$B$21*$B$23*$B$24,0)</f>
        <v/>
      </c>
      <c r="AM34" s="127">
        <f>ROUND($B$6*$B$10*$B$13*$B$18*$B$21*$B$23*$B$25,0)</f>
        <v/>
      </c>
      <c r="AN34" s="127">
        <f>ROUND($B$7*$B$10*$B$13*$B$18*$B$19*$B$22*$B$24,0)</f>
        <v/>
      </c>
      <c r="AO34" s="127">
        <f>ROUND($B$7*$B$10*$B$13*$B$18*$B$19*$B$22*$B$25,0)</f>
        <v/>
      </c>
      <c r="AP34" s="127">
        <f>ROUND($B$7*$B$10*$B$13*$B$18*$B$19*$B$23*$B$24,0)</f>
        <v/>
      </c>
      <c r="AQ34" s="127">
        <f>ROUND($B$7*$B$10*$B$13*$B$18*$B$19*$B$23*$B$25,0)</f>
        <v/>
      </c>
      <c r="AR34" s="127">
        <f>ROUND($B$7*$B$10*$B$13*$B$18*$B$20*$B$22*$B$24,0)</f>
        <v/>
      </c>
      <c r="AS34" s="127">
        <f>ROUND($B$7*$B$10*$B$13*$B$18*$B$20*$B$22*$B$25,0)</f>
        <v/>
      </c>
      <c r="AT34" s="127">
        <f>ROUND($B$7*$B$10*$B$13*$B$18*$B$20*$B$23*$B$24,0)</f>
        <v/>
      </c>
      <c r="AU34" s="127">
        <f>ROUND($B$7*$B$10*$B$13*$B$18*$B$20*$B$23*$B$25,0)</f>
        <v/>
      </c>
      <c r="AV34" s="127">
        <f>ROUND($B$7*$B$10*$B$13*$B$18*$B$21*$B$22*$B$24,0)</f>
        <v/>
      </c>
      <c r="AW34" s="127">
        <f>ROUND($B$7*$B$10*$B$13*$B$18*$B$21*$B$22*$B$25,0)</f>
        <v/>
      </c>
      <c r="AX34" s="127">
        <f>ROUND($B$7*$B$10*$B$13*$B$18*$B$21*$B$23*$B$24,0)</f>
        <v/>
      </c>
      <c r="AY34" s="127">
        <f>ROUND($B$7*$B$10*$B$13*$B$18*$B$21*$B$23*$B$25,0)</f>
        <v/>
      </c>
      <c r="AZ34" s="128">
        <f>ROUND($B$8*$B$10*$B$13*$B$18*$B$19*$B$22*$B$24,0)</f>
        <v/>
      </c>
      <c r="BA34" s="128">
        <f>ROUND($B$8*$B$10*$B$13*$B$18*$B$19*$B$22*$B$25,0)</f>
        <v/>
      </c>
      <c r="BB34" s="128">
        <f>ROUND($B$8*$B$10*$B$13*$B$18*$B$19*$B$23*$B$24,0)</f>
        <v/>
      </c>
      <c r="BC34" s="128">
        <f>ROUND($B$8*$B$10*$B$13*$B$18*$B$19*$B$23*$B$25,0)</f>
        <v/>
      </c>
      <c r="BD34" s="128">
        <f>ROUND($B$8*$B$10*$B$13*$B$18*$B$20*$B$22*$B$24,0)</f>
        <v/>
      </c>
      <c r="BE34" s="128">
        <f>ROUND($B$8*$B$10*$B$13*$B$18*$B$20*$B$22*$B$25,0)</f>
        <v/>
      </c>
      <c r="BF34" s="128">
        <f>ROUND($B$8*$B$10*$B$13*$B$18*$B$20*$B$23*$B$24,0)</f>
        <v/>
      </c>
      <c r="BG34" s="128">
        <f>ROUND($B$8*$B$10*$B$13*$B$18*$B$20*$B$23*$B$25,0)</f>
        <v/>
      </c>
      <c r="BH34" s="128">
        <f>ROUND($B$8*$B$10*$B$13*$B$18*$B$21*$B$22*$B$24,0)</f>
        <v/>
      </c>
      <c r="BI34" s="128">
        <f>ROUND($B$8*$B$10*$B$13*$B$18*$B$21*$B$22*$B$25,0)</f>
        <v/>
      </c>
      <c r="BJ34" s="128">
        <f>ROUND($B$8*$B$10*$B$13*$B$18*$B$21*$B$23*$B$24,0)</f>
        <v/>
      </c>
      <c r="BK34" s="128">
        <f>ROUND($B$8*$B$10*$B$13*$B$18*$B$21*$B$23*$B$25,0)</f>
        <v/>
      </c>
    </row>
    <row r="35" ht="20" customHeight="1" s="62">
      <c r="B35" s="125" t="inlineStr">
        <is>
          <t>3-5 outils connectés</t>
        </is>
      </c>
      <c r="C35" s="126" t="inlineStr">
        <is>
          <t>Technologie no-code</t>
        </is>
      </c>
      <c r="D35" s="127">
        <f>ROUND($B$4*$B$10*$B$14*$B$16*$B$19*$B$22*$B$24,0)</f>
        <v/>
      </c>
      <c r="E35" s="127">
        <f>ROUND($B$4*$B$10*$B$14*$B$16*$B$19*$B$22*$B$25,0)</f>
        <v/>
      </c>
      <c r="F35" s="127">
        <f>ROUND($B$4*$B$10*$B$14*$B$16*$B$19*$B$23*$B$24,0)</f>
        <v/>
      </c>
      <c r="G35" s="127">
        <f>ROUND($B$4*$B$10*$B$14*$B$16*$B$19*$B$23*$B$25,0)</f>
        <v/>
      </c>
      <c r="H35" s="127">
        <f>ROUND($B$4*$B$10*$B$14*$B$16*$B$20*$B$22*$B$24,0)</f>
        <v/>
      </c>
      <c r="I35" s="127">
        <f>ROUND($B$4*$B$10*$B$14*$B$16*$B$20*$B$22*$B$25,0)</f>
        <v/>
      </c>
      <c r="J35" s="127">
        <f>ROUND($B$4*$B$10*$B$14*$B$16*$B$20*$B$23*$B$24,0)</f>
        <v/>
      </c>
      <c r="K35" s="127">
        <f>ROUND($B$4*$B$10*$B$14*$B$16*$B$20*$B$23*$B$25,0)</f>
        <v/>
      </c>
      <c r="L35" s="127">
        <f>ROUND($B$4*$B$10*$B$14*$B$16*$B$21*$B$22*$B$24,0)</f>
        <v/>
      </c>
      <c r="M35" s="127">
        <f>ROUND($B$4*$B$10*$B$14*$B$16*$B$21*$B$22*$B$25,0)</f>
        <v/>
      </c>
      <c r="N35" s="127">
        <f>ROUND($B$4*$B$10*$B$14*$B$16*$B$21*$B$23*$B$24,0)</f>
        <v/>
      </c>
      <c r="O35" s="127">
        <f>ROUND($B$4*$B$10*$B$14*$B$16*$B$21*$B$23*$B$25,0)</f>
        <v/>
      </c>
      <c r="P35" s="127">
        <f>ROUND($B$5*$B$10*$B$14*$B$16*$B$19*$B$22*$B$24,0)</f>
        <v/>
      </c>
      <c r="Q35" s="127">
        <f>ROUND($B$5*$B$10*$B$14*$B$16*$B$19*$B$22*$B$25,0)</f>
        <v/>
      </c>
      <c r="R35" s="127">
        <f>ROUND($B$5*$B$10*$B$14*$B$16*$B$19*$B$23*$B$24,0)</f>
        <v/>
      </c>
      <c r="S35" s="127">
        <f>ROUND($B$5*$B$10*$B$14*$B$16*$B$19*$B$23*$B$25,0)</f>
        <v/>
      </c>
      <c r="T35" s="127">
        <f>ROUND($B$5*$B$10*$B$14*$B$16*$B$20*$B$22*$B$24,0)</f>
        <v/>
      </c>
      <c r="U35" s="127">
        <f>ROUND($B$5*$B$10*$B$14*$B$16*$B$20*$B$22*$B$25,0)</f>
        <v/>
      </c>
      <c r="V35" s="127">
        <f>ROUND($B$5*$B$10*$B$14*$B$16*$B$20*$B$23*$B$24,0)</f>
        <v/>
      </c>
      <c r="W35" s="127">
        <f>ROUND($B$5*$B$10*$B$14*$B$16*$B$20*$B$23*$B$25,0)</f>
        <v/>
      </c>
      <c r="X35" s="127">
        <f>ROUND($B$5*$B$10*$B$14*$B$16*$B$21*$B$22*$B$24,0)</f>
        <v/>
      </c>
      <c r="Y35" s="127">
        <f>ROUND($B$5*$B$10*$B$14*$B$16*$B$21*$B$22*$B$25,0)</f>
        <v/>
      </c>
      <c r="Z35" s="127">
        <f>ROUND($B$5*$B$10*$B$14*$B$16*$B$21*$B$23*$B$24,0)</f>
        <v/>
      </c>
      <c r="AA35" s="127">
        <f>ROUND($B$5*$B$10*$B$14*$B$16*$B$21*$B$23*$B$25,0)</f>
        <v/>
      </c>
      <c r="AB35" s="127">
        <f>ROUND($B$6*$B$10*$B$14*$B$16*$B$19*$B$22*$B$24,0)</f>
        <v/>
      </c>
      <c r="AC35" s="127">
        <f>ROUND($B$6*$B$10*$B$14*$B$16*$B$19*$B$22*$B$25,0)</f>
        <v/>
      </c>
      <c r="AD35" s="127">
        <f>ROUND($B$6*$B$10*$B$14*$B$16*$B$19*$B$23*$B$24,0)</f>
        <v/>
      </c>
      <c r="AE35" s="127">
        <f>ROUND($B$6*$B$10*$B$14*$B$16*$B$19*$B$23*$B$25,0)</f>
        <v/>
      </c>
      <c r="AF35" s="127">
        <f>ROUND($B$6*$B$10*$B$14*$B$16*$B$20*$B$22*$B$24,0)</f>
        <v/>
      </c>
      <c r="AG35" s="127">
        <f>ROUND($B$6*$B$10*$B$14*$B$16*$B$20*$B$22*$B$25,0)</f>
        <v/>
      </c>
      <c r="AH35" s="127">
        <f>ROUND($B$6*$B$10*$B$14*$B$16*$B$20*$B$23*$B$24,0)</f>
        <v/>
      </c>
      <c r="AI35" s="127">
        <f>ROUND($B$6*$B$10*$B$14*$B$16*$B$20*$B$23*$B$25,0)</f>
        <v/>
      </c>
      <c r="AJ35" s="127">
        <f>ROUND($B$6*$B$10*$B$14*$B$16*$B$21*$B$22*$B$24,0)</f>
        <v/>
      </c>
      <c r="AK35" s="127">
        <f>ROUND($B$6*$B$10*$B$14*$B$16*$B$21*$B$22*$B$25,0)</f>
        <v/>
      </c>
      <c r="AL35" s="127">
        <f>ROUND($B$6*$B$10*$B$14*$B$16*$B$21*$B$23*$B$24,0)</f>
        <v/>
      </c>
      <c r="AM35" s="127">
        <f>ROUND($B$6*$B$10*$B$14*$B$16*$B$21*$B$23*$B$25,0)</f>
        <v/>
      </c>
      <c r="AN35" s="127">
        <f>ROUND($B$7*$B$10*$B$14*$B$16*$B$19*$B$22*$B$24,0)</f>
        <v/>
      </c>
      <c r="AO35" s="127">
        <f>ROUND($B$7*$B$10*$B$14*$B$16*$B$19*$B$22*$B$25,0)</f>
        <v/>
      </c>
      <c r="AP35" s="127">
        <f>ROUND($B$7*$B$10*$B$14*$B$16*$B$19*$B$23*$B$24,0)</f>
        <v/>
      </c>
      <c r="AQ35" s="127">
        <f>ROUND($B$7*$B$10*$B$14*$B$16*$B$19*$B$23*$B$25,0)</f>
        <v/>
      </c>
      <c r="AR35" s="127">
        <f>ROUND($B$7*$B$10*$B$14*$B$16*$B$20*$B$22*$B$24,0)</f>
        <v/>
      </c>
      <c r="AS35" s="127">
        <f>ROUND($B$7*$B$10*$B$14*$B$16*$B$20*$B$22*$B$25,0)</f>
        <v/>
      </c>
      <c r="AT35" s="127">
        <f>ROUND($B$7*$B$10*$B$14*$B$16*$B$20*$B$23*$B$24,0)</f>
        <v/>
      </c>
      <c r="AU35" s="127">
        <f>ROUND($B$7*$B$10*$B$14*$B$16*$B$20*$B$23*$B$25,0)</f>
        <v/>
      </c>
      <c r="AV35" s="127">
        <f>ROUND($B$7*$B$10*$B$14*$B$16*$B$21*$B$22*$B$24,0)</f>
        <v/>
      </c>
      <c r="AW35" s="127">
        <f>ROUND($B$7*$B$10*$B$14*$B$16*$B$21*$B$22*$B$25,0)</f>
        <v/>
      </c>
      <c r="AX35" s="127">
        <f>ROUND($B$7*$B$10*$B$14*$B$16*$B$21*$B$23*$B$24,0)</f>
        <v/>
      </c>
      <c r="AY35" s="127">
        <f>ROUND($B$7*$B$10*$B$14*$B$16*$B$21*$B$23*$B$25,0)</f>
        <v/>
      </c>
      <c r="AZ35" s="128">
        <f>ROUND($B$8*$B$10*$B$14*$B$16*$B$19*$B$22*$B$24,0)</f>
        <v/>
      </c>
      <c r="BA35" s="128">
        <f>ROUND($B$8*$B$10*$B$14*$B$16*$B$19*$B$22*$B$25,0)</f>
        <v/>
      </c>
      <c r="BB35" s="128">
        <f>ROUND($B$8*$B$10*$B$14*$B$16*$B$19*$B$23*$B$24,0)</f>
        <v/>
      </c>
      <c r="BC35" s="128">
        <f>ROUND($B$8*$B$10*$B$14*$B$16*$B$19*$B$23*$B$25,0)</f>
        <v/>
      </c>
      <c r="BD35" s="128">
        <f>ROUND($B$8*$B$10*$B$14*$B$16*$B$20*$B$22*$B$24,0)</f>
        <v/>
      </c>
      <c r="BE35" s="128">
        <f>ROUND($B$8*$B$10*$B$14*$B$16*$B$20*$B$22*$B$25,0)</f>
        <v/>
      </c>
      <c r="BF35" s="128">
        <f>ROUND($B$8*$B$10*$B$14*$B$16*$B$20*$B$23*$B$24,0)</f>
        <v/>
      </c>
      <c r="BG35" s="128">
        <f>ROUND($B$8*$B$10*$B$14*$B$16*$B$20*$B$23*$B$25,0)</f>
        <v/>
      </c>
      <c r="BH35" s="128">
        <f>ROUND($B$8*$B$10*$B$14*$B$16*$B$21*$B$22*$B$24,0)</f>
        <v/>
      </c>
      <c r="BI35" s="128">
        <f>ROUND($B$8*$B$10*$B$14*$B$16*$B$21*$B$22*$B$25,0)</f>
        <v/>
      </c>
      <c r="BJ35" s="128">
        <f>ROUND($B$8*$B$10*$B$14*$B$16*$B$21*$B$23*$B$24,0)</f>
        <v/>
      </c>
      <c r="BK35" s="128">
        <f>ROUND($B$8*$B$10*$B$14*$B$16*$B$21*$B$23*$B$25,0)</f>
        <v/>
      </c>
    </row>
    <row r="36" ht="20" customHeight="1" s="62">
      <c r="C36" s="125" t="inlineStr">
        <is>
          <t>Technologie API</t>
        </is>
      </c>
      <c r="D36" s="127">
        <f>ROUND($B$4*$B$10*$B$14*$B$17*$B$19*$B$22*$B$24,0)</f>
        <v/>
      </c>
      <c r="E36" s="127">
        <f>ROUND($B$4*$B$10*$B$14*$B$17*$B$19*$B$22*$B$25,0)</f>
        <v/>
      </c>
      <c r="F36" s="127">
        <f>ROUND($B$4*$B$10*$B$14*$B$17*$B$19*$B$23*$B$24,0)</f>
        <v/>
      </c>
      <c r="G36" s="127">
        <f>ROUND($B$4*$B$10*$B$14*$B$17*$B$19*$B$23*$B$25,0)</f>
        <v/>
      </c>
      <c r="H36" s="127">
        <f>ROUND($B$4*$B$10*$B$14*$B$17*$B$20*$B$22*$B$24,0)</f>
        <v/>
      </c>
      <c r="I36" s="127">
        <f>ROUND($B$4*$B$10*$B$14*$B$17*$B$20*$B$22*$B$25,0)</f>
        <v/>
      </c>
      <c r="J36" s="127">
        <f>ROUND($B$4*$B$10*$B$14*$B$17*$B$20*$B$23*$B$24,0)</f>
        <v/>
      </c>
      <c r="K36" s="127">
        <f>ROUND($B$4*$B$10*$B$14*$B$17*$B$20*$B$23*$B$25,0)</f>
        <v/>
      </c>
      <c r="L36" s="127">
        <f>ROUND($B$4*$B$10*$B$14*$B$17*$B$21*$B$22*$B$24,0)</f>
        <v/>
      </c>
      <c r="M36" s="127">
        <f>ROUND($B$4*$B$10*$B$14*$B$17*$B$21*$B$22*$B$25,0)</f>
        <v/>
      </c>
      <c r="N36" s="127">
        <f>ROUND($B$4*$B$10*$B$14*$B$17*$B$21*$B$23*$B$24,0)</f>
        <v/>
      </c>
      <c r="O36" s="127">
        <f>ROUND($B$4*$B$10*$B$14*$B$17*$B$21*$B$23*$B$25,0)</f>
        <v/>
      </c>
      <c r="P36" s="127">
        <f>ROUND($B$5*$B$10*$B$14*$B$17*$B$19*$B$22*$B$24,0)</f>
        <v/>
      </c>
      <c r="Q36" s="127">
        <f>ROUND($B$5*$B$10*$B$14*$B$17*$B$19*$B$22*$B$25,0)</f>
        <v/>
      </c>
      <c r="R36" s="127">
        <f>ROUND($B$5*$B$10*$B$14*$B$17*$B$19*$B$23*$B$24,0)</f>
        <v/>
      </c>
      <c r="S36" s="127">
        <f>ROUND($B$5*$B$10*$B$14*$B$17*$B$19*$B$23*$B$25,0)</f>
        <v/>
      </c>
      <c r="T36" s="127">
        <f>ROUND($B$5*$B$10*$B$14*$B$17*$B$20*$B$22*$B$24,0)</f>
        <v/>
      </c>
      <c r="U36" s="127">
        <f>ROUND($B$5*$B$10*$B$14*$B$17*$B$20*$B$22*$B$25,0)</f>
        <v/>
      </c>
      <c r="V36" s="127">
        <f>ROUND($B$5*$B$10*$B$14*$B$17*$B$20*$B$23*$B$24,0)</f>
        <v/>
      </c>
      <c r="W36" s="127">
        <f>ROUND($B$5*$B$10*$B$14*$B$17*$B$20*$B$23*$B$25,0)</f>
        <v/>
      </c>
      <c r="X36" s="127">
        <f>ROUND($B$5*$B$10*$B$14*$B$17*$B$21*$B$22*$B$24,0)</f>
        <v/>
      </c>
      <c r="Y36" s="127">
        <f>ROUND($B$5*$B$10*$B$14*$B$17*$B$21*$B$22*$B$25,0)</f>
        <v/>
      </c>
      <c r="Z36" s="127">
        <f>ROUND($B$5*$B$10*$B$14*$B$17*$B$21*$B$23*$B$24,0)</f>
        <v/>
      </c>
      <c r="AA36" s="127">
        <f>ROUND($B$5*$B$10*$B$14*$B$17*$B$21*$B$23*$B$25,0)</f>
        <v/>
      </c>
      <c r="AB36" s="127">
        <f>ROUND($B$6*$B$10*$B$14*$B$17*$B$19*$B$22*$B$24,0)</f>
        <v/>
      </c>
      <c r="AC36" s="127">
        <f>ROUND($B$6*$B$10*$B$14*$B$17*$B$19*$B$22*$B$25,0)</f>
        <v/>
      </c>
      <c r="AD36" s="127">
        <f>ROUND($B$6*$B$10*$B$14*$B$17*$B$19*$B$23*$B$24,0)</f>
        <v/>
      </c>
      <c r="AE36" s="127">
        <f>ROUND($B$6*$B$10*$B$14*$B$17*$B$19*$B$23*$B$25,0)</f>
        <v/>
      </c>
      <c r="AF36" s="127">
        <f>ROUND($B$6*$B$10*$B$14*$B$17*$B$20*$B$22*$B$24,0)</f>
        <v/>
      </c>
      <c r="AG36" s="127">
        <f>ROUND($B$6*$B$10*$B$14*$B$17*$B$20*$B$22*$B$25,0)</f>
        <v/>
      </c>
      <c r="AH36" s="127">
        <f>ROUND($B$6*$B$10*$B$14*$B$17*$B$20*$B$23*$B$24,0)</f>
        <v/>
      </c>
      <c r="AI36" s="127">
        <f>ROUND($B$6*$B$10*$B$14*$B$17*$B$20*$B$23*$B$25,0)</f>
        <v/>
      </c>
      <c r="AJ36" s="127">
        <f>ROUND($B$6*$B$10*$B$14*$B$17*$B$21*$B$22*$B$24,0)</f>
        <v/>
      </c>
      <c r="AK36" s="127">
        <f>ROUND($B$6*$B$10*$B$14*$B$17*$B$21*$B$22*$B$25,0)</f>
        <v/>
      </c>
      <c r="AL36" s="127">
        <f>ROUND($B$6*$B$10*$B$14*$B$17*$B$21*$B$23*$B$24,0)</f>
        <v/>
      </c>
      <c r="AM36" s="127">
        <f>ROUND($B$6*$B$10*$B$14*$B$17*$B$21*$B$23*$B$25,0)</f>
        <v/>
      </c>
      <c r="AN36" s="127">
        <f>ROUND($B$7*$B$10*$B$14*$B$17*$B$19*$B$22*$B$24,0)</f>
        <v/>
      </c>
      <c r="AO36" s="127">
        <f>ROUND($B$7*$B$10*$B$14*$B$17*$B$19*$B$22*$B$25,0)</f>
        <v/>
      </c>
      <c r="AP36" s="127">
        <f>ROUND($B$7*$B$10*$B$14*$B$17*$B$19*$B$23*$B$24,0)</f>
        <v/>
      </c>
      <c r="AQ36" s="127">
        <f>ROUND($B$7*$B$10*$B$14*$B$17*$B$19*$B$23*$B$25,0)</f>
        <v/>
      </c>
      <c r="AR36" s="127">
        <f>ROUND($B$7*$B$10*$B$14*$B$17*$B$20*$B$22*$B$24,0)</f>
        <v/>
      </c>
      <c r="AS36" s="127">
        <f>ROUND($B$7*$B$10*$B$14*$B$17*$B$20*$B$22*$B$25,0)</f>
        <v/>
      </c>
      <c r="AT36" s="127">
        <f>ROUND($B$7*$B$10*$B$14*$B$17*$B$20*$B$23*$B$24,0)</f>
        <v/>
      </c>
      <c r="AU36" s="127">
        <f>ROUND($B$7*$B$10*$B$14*$B$17*$B$20*$B$23*$B$25,0)</f>
        <v/>
      </c>
      <c r="AV36" s="127">
        <f>ROUND($B$7*$B$10*$B$14*$B$17*$B$21*$B$22*$B$24,0)</f>
        <v/>
      </c>
      <c r="AW36" s="127">
        <f>ROUND($B$7*$B$10*$B$14*$B$17*$B$21*$B$22*$B$25,0)</f>
        <v/>
      </c>
      <c r="AX36" s="127">
        <f>ROUND($B$7*$B$10*$B$14*$B$17*$B$21*$B$23*$B$24,0)</f>
        <v/>
      </c>
      <c r="AY36" s="127">
        <f>ROUND($B$7*$B$10*$B$14*$B$17*$B$21*$B$23*$B$25,0)</f>
        <v/>
      </c>
      <c r="AZ36" s="128">
        <f>ROUND($B$8*$B$10*$B$14*$B$17*$B$19*$B$22*$B$24,0)</f>
        <v/>
      </c>
      <c r="BA36" s="128">
        <f>ROUND($B$8*$B$10*$B$14*$B$17*$B$19*$B$22*$B$25,0)</f>
        <v/>
      </c>
      <c r="BB36" s="128">
        <f>ROUND($B$8*$B$10*$B$14*$B$17*$B$19*$B$23*$B$24,0)</f>
        <v/>
      </c>
      <c r="BC36" s="128">
        <f>ROUND($B$8*$B$10*$B$14*$B$17*$B$19*$B$23*$B$25,0)</f>
        <v/>
      </c>
      <c r="BD36" s="128">
        <f>ROUND($B$8*$B$10*$B$14*$B$17*$B$20*$B$22*$B$24,0)</f>
        <v/>
      </c>
      <c r="BE36" s="128">
        <f>ROUND($B$8*$B$10*$B$14*$B$17*$B$20*$B$22*$B$25,0)</f>
        <v/>
      </c>
      <c r="BF36" s="128">
        <f>ROUND($B$8*$B$10*$B$14*$B$17*$B$20*$B$23*$B$24,0)</f>
        <v/>
      </c>
      <c r="BG36" s="128">
        <f>ROUND($B$8*$B$10*$B$14*$B$17*$B$20*$B$23*$B$25,0)</f>
        <v/>
      </c>
      <c r="BH36" s="128">
        <f>ROUND($B$8*$B$10*$B$14*$B$17*$B$21*$B$22*$B$24,0)</f>
        <v/>
      </c>
      <c r="BI36" s="128">
        <f>ROUND($B$8*$B$10*$B$14*$B$17*$B$21*$B$22*$B$25,0)</f>
        <v/>
      </c>
      <c r="BJ36" s="128">
        <f>ROUND($B$8*$B$10*$B$14*$B$17*$B$21*$B$23*$B$24,0)</f>
        <v/>
      </c>
      <c r="BK36" s="128">
        <f>ROUND($B$8*$B$10*$B$14*$B$17*$B$21*$B$23*$B$25,0)</f>
        <v/>
      </c>
    </row>
    <row r="37" ht="20" customHeight="1" s="62">
      <c r="C37" s="129" t="inlineStr">
        <is>
          <t>Technologie développement</t>
        </is>
      </c>
      <c r="D37" s="127">
        <f>ROUND($B$4*$B$10*$B$14*$B$18*$B$19*$B$22*$B$24,0)</f>
        <v/>
      </c>
      <c r="E37" s="127">
        <f>ROUND($B$4*$B$10*$B$14*$B$18*$B$19*$B$22*$B$25,0)</f>
        <v/>
      </c>
      <c r="F37" s="127">
        <f>ROUND($B$4*$B$10*$B$14*$B$18*$B$19*$B$23*$B$24,0)</f>
        <v/>
      </c>
      <c r="G37" s="127">
        <f>ROUND($B$4*$B$10*$B$14*$B$18*$B$19*$B$23*$B$25,0)</f>
        <v/>
      </c>
      <c r="H37" s="127">
        <f>ROUND($B$4*$B$10*$B$14*$B$18*$B$20*$B$22*$B$24,0)</f>
        <v/>
      </c>
      <c r="I37" s="127">
        <f>ROUND($B$4*$B$10*$B$14*$B$18*$B$20*$B$22*$B$25,0)</f>
        <v/>
      </c>
      <c r="J37" s="127">
        <f>ROUND($B$4*$B$10*$B$14*$B$18*$B$20*$B$23*$B$24,0)</f>
        <v/>
      </c>
      <c r="K37" s="127">
        <f>ROUND($B$4*$B$10*$B$14*$B$18*$B$20*$B$23*$B$25,0)</f>
        <v/>
      </c>
      <c r="L37" s="127">
        <f>ROUND($B$4*$B$10*$B$14*$B$18*$B$21*$B$22*$B$24,0)</f>
        <v/>
      </c>
      <c r="M37" s="127">
        <f>ROUND($B$4*$B$10*$B$14*$B$18*$B$21*$B$22*$B$25,0)</f>
        <v/>
      </c>
      <c r="N37" s="127">
        <f>ROUND($B$4*$B$10*$B$14*$B$18*$B$21*$B$23*$B$24,0)</f>
        <v/>
      </c>
      <c r="O37" s="127">
        <f>ROUND($B$4*$B$10*$B$14*$B$18*$B$21*$B$23*$B$25,0)</f>
        <v/>
      </c>
      <c r="P37" s="127">
        <f>ROUND($B$5*$B$10*$B$14*$B$18*$B$19*$B$22*$B$24,0)</f>
        <v/>
      </c>
      <c r="Q37" s="127">
        <f>ROUND($B$5*$B$10*$B$14*$B$18*$B$19*$B$22*$B$25,0)</f>
        <v/>
      </c>
      <c r="R37" s="127">
        <f>ROUND($B$5*$B$10*$B$14*$B$18*$B$19*$B$23*$B$24,0)</f>
        <v/>
      </c>
      <c r="S37" s="127">
        <f>ROUND($B$5*$B$10*$B$14*$B$18*$B$19*$B$23*$B$25,0)</f>
        <v/>
      </c>
      <c r="T37" s="127">
        <f>ROUND($B$5*$B$10*$B$14*$B$18*$B$20*$B$22*$B$24,0)</f>
        <v/>
      </c>
      <c r="U37" s="127">
        <f>ROUND($B$5*$B$10*$B$14*$B$18*$B$20*$B$22*$B$25,0)</f>
        <v/>
      </c>
      <c r="V37" s="127">
        <f>ROUND($B$5*$B$10*$B$14*$B$18*$B$20*$B$23*$B$24,0)</f>
        <v/>
      </c>
      <c r="W37" s="127">
        <f>ROUND($B$5*$B$10*$B$14*$B$18*$B$20*$B$23*$B$25,0)</f>
        <v/>
      </c>
      <c r="X37" s="127">
        <f>ROUND($B$5*$B$10*$B$14*$B$18*$B$21*$B$22*$B$24,0)</f>
        <v/>
      </c>
      <c r="Y37" s="127">
        <f>ROUND($B$5*$B$10*$B$14*$B$18*$B$21*$B$22*$B$25,0)</f>
        <v/>
      </c>
      <c r="Z37" s="127">
        <f>ROUND($B$5*$B$10*$B$14*$B$18*$B$21*$B$23*$B$24,0)</f>
        <v/>
      </c>
      <c r="AA37" s="127">
        <f>ROUND($B$5*$B$10*$B$14*$B$18*$B$21*$B$23*$B$25,0)</f>
        <v/>
      </c>
      <c r="AB37" s="127">
        <f>ROUND($B$6*$B$10*$B$14*$B$18*$B$19*$B$22*$B$24,0)</f>
        <v/>
      </c>
      <c r="AC37" s="127">
        <f>ROUND($B$6*$B$10*$B$14*$B$18*$B$19*$B$22*$B$25,0)</f>
        <v/>
      </c>
      <c r="AD37" s="127">
        <f>ROUND($B$6*$B$10*$B$14*$B$18*$B$19*$B$23*$B$24,0)</f>
        <v/>
      </c>
      <c r="AE37" s="127">
        <f>ROUND($B$6*$B$10*$B$14*$B$18*$B$19*$B$23*$B$25,0)</f>
        <v/>
      </c>
      <c r="AF37" s="127">
        <f>ROUND($B$6*$B$10*$B$14*$B$18*$B$20*$B$22*$B$24,0)</f>
        <v/>
      </c>
      <c r="AG37" s="127">
        <f>ROUND($B$6*$B$10*$B$14*$B$18*$B$20*$B$22*$B$25,0)</f>
        <v/>
      </c>
      <c r="AH37" s="127">
        <f>ROUND($B$6*$B$10*$B$14*$B$18*$B$20*$B$23*$B$24,0)</f>
        <v/>
      </c>
      <c r="AI37" s="127">
        <f>ROUND($B$6*$B$10*$B$14*$B$18*$B$20*$B$23*$B$25,0)</f>
        <v/>
      </c>
      <c r="AJ37" s="127">
        <f>ROUND($B$6*$B$10*$B$14*$B$18*$B$21*$B$22*$B$24,0)</f>
        <v/>
      </c>
      <c r="AK37" s="127">
        <f>ROUND($B$6*$B$10*$B$14*$B$18*$B$21*$B$22*$B$25,0)</f>
        <v/>
      </c>
      <c r="AL37" s="127">
        <f>ROUND($B$6*$B$10*$B$14*$B$18*$B$21*$B$23*$B$24,0)</f>
        <v/>
      </c>
      <c r="AM37" s="127">
        <f>ROUND($B$6*$B$10*$B$14*$B$18*$B$21*$B$23*$B$25,0)</f>
        <v/>
      </c>
      <c r="AN37" s="127">
        <f>ROUND($B$7*$B$10*$B$14*$B$18*$B$19*$B$22*$B$24,0)</f>
        <v/>
      </c>
      <c r="AO37" s="127">
        <f>ROUND($B$7*$B$10*$B$14*$B$18*$B$19*$B$22*$B$25,0)</f>
        <v/>
      </c>
      <c r="AP37" s="127">
        <f>ROUND($B$7*$B$10*$B$14*$B$18*$B$19*$B$23*$B$24,0)</f>
        <v/>
      </c>
      <c r="AQ37" s="127">
        <f>ROUND($B$7*$B$10*$B$14*$B$18*$B$19*$B$23*$B$25,0)</f>
        <v/>
      </c>
      <c r="AR37" s="127">
        <f>ROUND($B$7*$B$10*$B$14*$B$18*$B$20*$B$22*$B$24,0)</f>
        <v/>
      </c>
      <c r="AS37" s="127">
        <f>ROUND($B$7*$B$10*$B$14*$B$18*$B$20*$B$22*$B$25,0)</f>
        <v/>
      </c>
      <c r="AT37" s="127">
        <f>ROUND($B$7*$B$10*$B$14*$B$18*$B$20*$B$23*$B$24,0)</f>
        <v/>
      </c>
      <c r="AU37" s="127">
        <f>ROUND($B$7*$B$10*$B$14*$B$18*$B$20*$B$23*$B$25,0)</f>
        <v/>
      </c>
      <c r="AV37" s="127">
        <f>ROUND($B$7*$B$10*$B$14*$B$18*$B$21*$B$22*$B$24,0)</f>
        <v/>
      </c>
      <c r="AW37" s="127">
        <f>ROUND($B$7*$B$10*$B$14*$B$18*$B$21*$B$22*$B$25,0)</f>
        <v/>
      </c>
      <c r="AX37" s="127">
        <f>ROUND($B$7*$B$10*$B$14*$B$18*$B$21*$B$23*$B$24,0)</f>
        <v/>
      </c>
      <c r="AY37" s="127">
        <f>ROUND($B$7*$B$10*$B$14*$B$18*$B$21*$B$23*$B$25,0)</f>
        <v/>
      </c>
      <c r="AZ37" s="128">
        <f>ROUND($B$8*$B$10*$B$14*$B$18*$B$19*$B$22*$B$24,0)</f>
        <v/>
      </c>
      <c r="BA37" s="128">
        <f>ROUND($B$8*$B$10*$B$14*$B$18*$B$19*$B$22*$B$25,0)</f>
        <v/>
      </c>
      <c r="BB37" s="128">
        <f>ROUND($B$8*$B$10*$B$14*$B$18*$B$19*$B$23*$B$24,0)</f>
        <v/>
      </c>
      <c r="BC37" s="128">
        <f>ROUND($B$8*$B$10*$B$14*$B$18*$B$19*$B$23*$B$25,0)</f>
        <v/>
      </c>
      <c r="BD37" s="128">
        <f>ROUND($B$8*$B$10*$B$14*$B$18*$B$20*$B$22*$B$24,0)</f>
        <v/>
      </c>
      <c r="BE37" s="128">
        <f>ROUND($B$8*$B$10*$B$14*$B$18*$B$20*$B$22*$B$25,0)</f>
        <v/>
      </c>
      <c r="BF37" s="128">
        <f>ROUND($B$8*$B$10*$B$14*$B$18*$B$20*$B$23*$B$24,0)</f>
        <v/>
      </c>
      <c r="BG37" s="128">
        <f>ROUND($B$8*$B$10*$B$14*$B$18*$B$20*$B$23*$B$25,0)</f>
        <v/>
      </c>
      <c r="BH37" s="128">
        <f>ROUND($B$8*$B$10*$B$14*$B$18*$B$21*$B$22*$B$24,0)</f>
        <v/>
      </c>
      <c r="BI37" s="128">
        <f>ROUND($B$8*$B$10*$B$14*$B$18*$B$21*$B$22*$B$25,0)</f>
        <v/>
      </c>
      <c r="BJ37" s="128">
        <f>ROUND($B$8*$B$10*$B$14*$B$18*$B$21*$B$23*$B$24,0)</f>
        <v/>
      </c>
      <c r="BK37" s="128">
        <f>ROUND($B$8*$B$10*$B$14*$B$18*$B$21*$B$23*$B$25,0)</f>
        <v/>
      </c>
    </row>
    <row r="38" ht="20" customHeight="1" s="62">
      <c r="B38" s="125" t="inlineStr">
        <is>
          <t>6+ outils connectés</t>
        </is>
      </c>
      <c r="C38" s="126" t="inlineStr">
        <is>
          <t>Technologie no-code</t>
        </is>
      </c>
      <c r="D38" s="127">
        <f>ROUND($B$4*$B$10*$B$15*$B$16*$B$19*$B$22*$B$24,0)</f>
        <v/>
      </c>
      <c r="E38" s="127">
        <f>ROUND($B$4*$B$10*$B$15*$B$16*$B$19*$B$22*$B$25,0)</f>
        <v/>
      </c>
      <c r="F38" s="127">
        <f>ROUND($B$4*$B$10*$B$15*$B$16*$B$19*$B$23*$B$24,0)</f>
        <v/>
      </c>
      <c r="G38" s="127">
        <f>ROUND($B$4*$B$10*$B$15*$B$16*$B$19*$B$23*$B$25,0)</f>
        <v/>
      </c>
      <c r="H38" s="127">
        <f>ROUND($B$4*$B$10*$B$15*$B$16*$B$20*$B$22*$B$24,0)</f>
        <v/>
      </c>
      <c r="I38" s="127">
        <f>ROUND($B$4*$B$10*$B$15*$B$16*$B$20*$B$22*$B$25,0)</f>
        <v/>
      </c>
      <c r="J38" s="127">
        <f>ROUND($B$4*$B$10*$B$15*$B$16*$B$20*$B$23*$B$24,0)</f>
        <v/>
      </c>
      <c r="K38" s="127">
        <f>ROUND($B$4*$B$10*$B$15*$B$16*$B$20*$B$23*$B$25,0)</f>
        <v/>
      </c>
      <c r="L38" s="127">
        <f>ROUND($B$4*$B$10*$B$15*$B$16*$B$21*$B$22*$B$24,0)</f>
        <v/>
      </c>
      <c r="M38" s="127">
        <f>ROUND($B$4*$B$10*$B$15*$B$16*$B$21*$B$22*$B$25,0)</f>
        <v/>
      </c>
      <c r="N38" s="127">
        <f>ROUND($B$4*$B$10*$B$15*$B$16*$B$21*$B$23*$B$24,0)</f>
        <v/>
      </c>
      <c r="O38" s="127">
        <f>ROUND($B$4*$B$10*$B$15*$B$16*$B$21*$B$23*$B$25,0)</f>
        <v/>
      </c>
      <c r="P38" s="127">
        <f>ROUND($B$5*$B$10*$B$15*$B$16*$B$19*$B$22*$B$24,0)</f>
        <v/>
      </c>
      <c r="Q38" s="127">
        <f>ROUND($B$5*$B$10*$B$15*$B$16*$B$19*$B$22*$B$25,0)</f>
        <v/>
      </c>
      <c r="R38" s="127">
        <f>ROUND($B$5*$B$10*$B$15*$B$16*$B$19*$B$23*$B$24,0)</f>
        <v/>
      </c>
      <c r="S38" s="127">
        <f>ROUND($B$5*$B$10*$B$15*$B$16*$B$19*$B$23*$B$25,0)</f>
        <v/>
      </c>
      <c r="T38" s="127">
        <f>ROUND($B$5*$B$10*$B$15*$B$16*$B$20*$B$22*$B$24,0)</f>
        <v/>
      </c>
      <c r="U38" s="127">
        <f>ROUND($B$5*$B$10*$B$15*$B$16*$B$20*$B$22*$B$25,0)</f>
        <v/>
      </c>
      <c r="V38" s="127">
        <f>ROUND($B$5*$B$10*$B$15*$B$16*$B$20*$B$23*$B$24,0)</f>
        <v/>
      </c>
      <c r="W38" s="127">
        <f>ROUND($B$5*$B$10*$B$15*$B$16*$B$20*$B$23*$B$25,0)</f>
        <v/>
      </c>
      <c r="X38" s="127">
        <f>ROUND($B$5*$B$10*$B$15*$B$16*$B$21*$B$22*$B$24,0)</f>
        <v/>
      </c>
      <c r="Y38" s="127">
        <f>ROUND($B$5*$B$10*$B$15*$B$16*$B$21*$B$22*$B$25,0)</f>
        <v/>
      </c>
      <c r="Z38" s="127">
        <f>ROUND($B$5*$B$10*$B$15*$B$16*$B$21*$B$23*$B$24,0)</f>
        <v/>
      </c>
      <c r="AA38" s="127">
        <f>ROUND($B$5*$B$10*$B$15*$B$16*$B$21*$B$23*$B$25,0)</f>
        <v/>
      </c>
      <c r="AB38" s="127">
        <f>ROUND($B$6*$B$10*$B$15*$B$16*$B$19*$B$22*$B$24,0)</f>
        <v/>
      </c>
      <c r="AC38" s="127">
        <f>ROUND($B$6*$B$10*$B$15*$B$16*$B$19*$B$22*$B$25,0)</f>
        <v/>
      </c>
      <c r="AD38" s="127">
        <f>ROUND($B$6*$B$10*$B$15*$B$16*$B$19*$B$23*$B$24,0)</f>
        <v/>
      </c>
      <c r="AE38" s="127">
        <f>ROUND($B$6*$B$10*$B$15*$B$16*$B$19*$B$23*$B$25,0)</f>
        <v/>
      </c>
      <c r="AF38" s="127">
        <f>ROUND($B$6*$B$10*$B$15*$B$16*$B$20*$B$22*$B$24,0)</f>
        <v/>
      </c>
      <c r="AG38" s="127">
        <f>ROUND($B$6*$B$10*$B$15*$B$16*$B$20*$B$22*$B$25,0)</f>
        <v/>
      </c>
      <c r="AH38" s="127">
        <f>ROUND($B$6*$B$10*$B$15*$B$16*$B$20*$B$23*$B$24,0)</f>
        <v/>
      </c>
      <c r="AI38" s="127">
        <f>ROUND($B$6*$B$10*$B$15*$B$16*$B$20*$B$23*$B$25,0)</f>
        <v/>
      </c>
      <c r="AJ38" s="127">
        <f>ROUND($B$6*$B$10*$B$15*$B$16*$B$21*$B$22*$B$24,0)</f>
        <v/>
      </c>
      <c r="AK38" s="127">
        <f>ROUND($B$6*$B$10*$B$15*$B$16*$B$21*$B$22*$B$25,0)</f>
        <v/>
      </c>
      <c r="AL38" s="127">
        <f>ROUND($B$6*$B$10*$B$15*$B$16*$B$21*$B$23*$B$24,0)</f>
        <v/>
      </c>
      <c r="AM38" s="127">
        <f>ROUND($B$6*$B$10*$B$15*$B$16*$B$21*$B$23*$B$25,0)</f>
        <v/>
      </c>
      <c r="AN38" s="127">
        <f>ROUND($B$7*$B$10*$B$15*$B$16*$B$19*$B$22*$B$24,0)</f>
        <v/>
      </c>
      <c r="AO38" s="127">
        <f>ROUND($B$7*$B$10*$B$15*$B$16*$B$19*$B$22*$B$25,0)</f>
        <v/>
      </c>
      <c r="AP38" s="127">
        <f>ROUND($B$7*$B$10*$B$15*$B$16*$B$19*$B$23*$B$24,0)</f>
        <v/>
      </c>
      <c r="AQ38" s="127">
        <f>ROUND($B$7*$B$10*$B$15*$B$16*$B$19*$B$23*$B$25,0)</f>
        <v/>
      </c>
      <c r="AR38" s="127">
        <f>ROUND($B$7*$B$10*$B$15*$B$16*$B$20*$B$22*$B$24,0)</f>
        <v/>
      </c>
      <c r="AS38" s="127">
        <f>ROUND($B$7*$B$10*$B$15*$B$16*$B$20*$B$22*$B$25,0)</f>
        <v/>
      </c>
      <c r="AT38" s="127">
        <f>ROUND($B$7*$B$10*$B$15*$B$16*$B$20*$B$23*$B$24,0)</f>
        <v/>
      </c>
      <c r="AU38" s="127">
        <f>ROUND($B$7*$B$10*$B$15*$B$16*$B$20*$B$23*$B$25,0)</f>
        <v/>
      </c>
      <c r="AV38" s="127">
        <f>ROUND($B$7*$B$10*$B$15*$B$16*$B$21*$B$22*$B$24,0)</f>
        <v/>
      </c>
      <c r="AW38" s="127">
        <f>ROUND($B$7*$B$10*$B$15*$B$16*$B$21*$B$22*$B$25,0)</f>
        <v/>
      </c>
      <c r="AX38" s="127">
        <f>ROUND($B$7*$B$10*$B$15*$B$16*$B$21*$B$23*$B$24,0)</f>
        <v/>
      </c>
      <c r="AY38" s="127">
        <f>ROUND($B$7*$B$10*$B$15*$B$16*$B$21*$B$23*$B$25,0)</f>
        <v/>
      </c>
      <c r="AZ38" s="128">
        <f>ROUND($B$8*$B$10*$B$15*$B$16*$B$19*$B$22*$B$24,0)</f>
        <v/>
      </c>
      <c r="BA38" s="128">
        <f>ROUND($B$8*$B$10*$B$15*$B$16*$B$19*$B$22*$B$25,0)</f>
        <v/>
      </c>
      <c r="BB38" s="128">
        <f>ROUND($B$8*$B$10*$B$15*$B$16*$B$19*$B$23*$B$24,0)</f>
        <v/>
      </c>
      <c r="BC38" s="128">
        <f>ROUND($B$8*$B$10*$B$15*$B$16*$B$19*$B$23*$B$25,0)</f>
        <v/>
      </c>
      <c r="BD38" s="128">
        <f>ROUND($B$8*$B$10*$B$15*$B$16*$B$20*$B$22*$B$24,0)</f>
        <v/>
      </c>
      <c r="BE38" s="128">
        <f>ROUND($B$8*$B$10*$B$15*$B$16*$B$20*$B$22*$B$25,0)</f>
        <v/>
      </c>
      <c r="BF38" s="128">
        <f>ROUND($B$8*$B$10*$B$15*$B$16*$B$20*$B$23*$B$24,0)</f>
        <v/>
      </c>
      <c r="BG38" s="128">
        <f>ROUND($B$8*$B$10*$B$15*$B$16*$B$20*$B$23*$B$25,0)</f>
        <v/>
      </c>
      <c r="BH38" s="128">
        <f>ROUND($B$8*$B$10*$B$15*$B$16*$B$21*$B$22*$B$24,0)</f>
        <v/>
      </c>
      <c r="BI38" s="128">
        <f>ROUND($B$8*$B$10*$B$15*$B$16*$B$21*$B$22*$B$25,0)</f>
        <v/>
      </c>
      <c r="BJ38" s="128">
        <f>ROUND($B$8*$B$10*$B$15*$B$16*$B$21*$B$23*$B$24,0)</f>
        <v/>
      </c>
      <c r="BK38" s="128">
        <f>ROUND($B$8*$B$10*$B$15*$B$16*$B$21*$B$23*$B$25,0)</f>
        <v/>
      </c>
    </row>
    <row r="39" ht="20" customHeight="1" s="62">
      <c r="C39" s="125" t="inlineStr">
        <is>
          <t>Technologie API</t>
        </is>
      </c>
      <c r="D39" s="127">
        <f>ROUND($B$4*$B$10*$B$15*$B$17*$B$19*$B$22*$B$24,0)</f>
        <v/>
      </c>
      <c r="E39" s="127">
        <f>ROUND($B$4*$B$10*$B$15*$B$17*$B$19*$B$22*$B$25,0)</f>
        <v/>
      </c>
      <c r="F39" s="127">
        <f>ROUND($B$4*$B$10*$B$15*$B$17*$B$19*$B$23*$B$24,0)</f>
        <v/>
      </c>
      <c r="G39" s="127">
        <f>ROUND($B$4*$B$10*$B$15*$B$17*$B$19*$B$23*$B$25,0)</f>
        <v/>
      </c>
      <c r="H39" s="127">
        <f>ROUND($B$4*$B$10*$B$15*$B$17*$B$20*$B$22*$B$24,0)</f>
        <v/>
      </c>
      <c r="I39" s="127">
        <f>ROUND($B$4*$B$10*$B$15*$B$17*$B$20*$B$22*$B$25,0)</f>
        <v/>
      </c>
      <c r="J39" s="127">
        <f>ROUND($B$4*$B$10*$B$15*$B$17*$B$20*$B$23*$B$24,0)</f>
        <v/>
      </c>
      <c r="K39" s="127">
        <f>ROUND($B$4*$B$10*$B$15*$B$17*$B$20*$B$23*$B$25,0)</f>
        <v/>
      </c>
      <c r="L39" s="127">
        <f>ROUND($B$4*$B$10*$B$15*$B$17*$B$21*$B$22*$B$24,0)</f>
        <v/>
      </c>
      <c r="M39" s="127">
        <f>ROUND($B$4*$B$10*$B$15*$B$17*$B$21*$B$22*$B$25,0)</f>
        <v/>
      </c>
      <c r="N39" s="127">
        <f>ROUND($B$4*$B$10*$B$15*$B$17*$B$21*$B$23*$B$24,0)</f>
        <v/>
      </c>
      <c r="O39" s="127">
        <f>ROUND($B$4*$B$10*$B$15*$B$17*$B$21*$B$23*$B$25,0)</f>
        <v/>
      </c>
      <c r="P39" s="127">
        <f>ROUND($B$5*$B$10*$B$15*$B$17*$B$19*$B$22*$B$24,0)</f>
        <v/>
      </c>
      <c r="Q39" s="127">
        <f>ROUND($B$5*$B$10*$B$15*$B$17*$B$19*$B$22*$B$25,0)</f>
        <v/>
      </c>
      <c r="R39" s="127">
        <f>ROUND($B$5*$B$10*$B$15*$B$17*$B$19*$B$23*$B$24,0)</f>
        <v/>
      </c>
      <c r="S39" s="127">
        <f>ROUND($B$5*$B$10*$B$15*$B$17*$B$19*$B$23*$B$25,0)</f>
        <v/>
      </c>
      <c r="T39" s="127">
        <f>ROUND($B$5*$B$10*$B$15*$B$17*$B$20*$B$22*$B$24,0)</f>
        <v/>
      </c>
      <c r="U39" s="127">
        <f>ROUND($B$5*$B$10*$B$15*$B$17*$B$20*$B$22*$B$25,0)</f>
        <v/>
      </c>
      <c r="V39" s="127">
        <f>ROUND($B$5*$B$10*$B$15*$B$17*$B$20*$B$23*$B$24,0)</f>
        <v/>
      </c>
      <c r="W39" s="127">
        <f>ROUND($B$5*$B$10*$B$15*$B$17*$B$20*$B$23*$B$25,0)</f>
        <v/>
      </c>
      <c r="X39" s="127">
        <f>ROUND($B$5*$B$10*$B$15*$B$17*$B$21*$B$22*$B$24,0)</f>
        <v/>
      </c>
      <c r="Y39" s="127">
        <f>ROUND($B$5*$B$10*$B$15*$B$17*$B$21*$B$22*$B$25,0)</f>
        <v/>
      </c>
      <c r="Z39" s="127">
        <f>ROUND($B$5*$B$10*$B$15*$B$17*$B$21*$B$23*$B$24,0)</f>
        <v/>
      </c>
      <c r="AA39" s="127">
        <f>ROUND($B$5*$B$10*$B$15*$B$17*$B$21*$B$23*$B$25,0)</f>
        <v/>
      </c>
      <c r="AB39" s="127">
        <f>ROUND($B$6*$B$10*$B$15*$B$17*$B$19*$B$22*$B$24,0)</f>
        <v/>
      </c>
      <c r="AC39" s="127">
        <f>ROUND($B$6*$B$10*$B$15*$B$17*$B$19*$B$22*$B$25,0)</f>
        <v/>
      </c>
      <c r="AD39" s="127">
        <f>ROUND($B$6*$B$10*$B$15*$B$17*$B$19*$B$23*$B$24,0)</f>
        <v/>
      </c>
      <c r="AE39" s="127">
        <f>ROUND($B$6*$B$10*$B$15*$B$17*$B$19*$B$23*$B$25,0)</f>
        <v/>
      </c>
      <c r="AF39" s="127">
        <f>ROUND($B$6*$B$10*$B$15*$B$17*$B$20*$B$22*$B$24,0)</f>
        <v/>
      </c>
      <c r="AG39" s="127">
        <f>ROUND($B$6*$B$10*$B$15*$B$17*$B$20*$B$22*$B$25,0)</f>
        <v/>
      </c>
      <c r="AH39" s="127">
        <f>ROUND($B$6*$B$10*$B$15*$B$17*$B$20*$B$23*$B$24,0)</f>
        <v/>
      </c>
      <c r="AI39" s="127">
        <f>ROUND($B$6*$B$10*$B$15*$B$17*$B$20*$B$23*$B$25,0)</f>
        <v/>
      </c>
      <c r="AJ39" s="127">
        <f>ROUND($B$6*$B$10*$B$15*$B$17*$B$21*$B$22*$B$24,0)</f>
        <v/>
      </c>
      <c r="AK39" s="127">
        <f>ROUND($B$6*$B$10*$B$15*$B$17*$B$21*$B$22*$B$25,0)</f>
        <v/>
      </c>
      <c r="AL39" s="127">
        <f>ROUND($B$6*$B$10*$B$15*$B$17*$B$21*$B$23*$B$24,0)</f>
        <v/>
      </c>
      <c r="AM39" s="127">
        <f>ROUND($B$6*$B$10*$B$15*$B$17*$B$21*$B$23*$B$25,0)</f>
        <v/>
      </c>
      <c r="AN39" s="127">
        <f>ROUND($B$7*$B$10*$B$15*$B$17*$B$19*$B$22*$B$24,0)</f>
        <v/>
      </c>
      <c r="AO39" s="127">
        <f>ROUND($B$7*$B$10*$B$15*$B$17*$B$19*$B$22*$B$25,0)</f>
        <v/>
      </c>
      <c r="AP39" s="127">
        <f>ROUND($B$7*$B$10*$B$15*$B$17*$B$19*$B$23*$B$24,0)</f>
        <v/>
      </c>
      <c r="AQ39" s="127">
        <f>ROUND($B$7*$B$10*$B$15*$B$17*$B$19*$B$23*$B$25,0)</f>
        <v/>
      </c>
      <c r="AR39" s="127">
        <f>ROUND($B$7*$B$10*$B$15*$B$17*$B$20*$B$22*$B$24,0)</f>
        <v/>
      </c>
      <c r="AS39" s="127">
        <f>ROUND($B$7*$B$10*$B$15*$B$17*$B$20*$B$22*$B$25,0)</f>
        <v/>
      </c>
      <c r="AT39" s="127">
        <f>ROUND($B$7*$B$10*$B$15*$B$17*$B$20*$B$23*$B$24,0)</f>
        <v/>
      </c>
      <c r="AU39" s="127">
        <f>ROUND($B$7*$B$10*$B$15*$B$17*$B$20*$B$23*$B$25,0)</f>
        <v/>
      </c>
      <c r="AV39" s="127">
        <f>ROUND($B$7*$B$10*$B$15*$B$17*$B$21*$B$22*$B$24,0)</f>
        <v/>
      </c>
      <c r="AW39" s="127">
        <f>ROUND($B$7*$B$10*$B$15*$B$17*$B$21*$B$22*$B$25,0)</f>
        <v/>
      </c>
      <c r="AX39" s="127">
        <f>ROUND($B$7*$B$10*$B$15*$B$17*$B$21*$B$23*$B$24,0)</f>
        <v/>
      </c>
      <c r="AY39" s="127">
        <f>ROUND($B$7*$B$10*$B$15*$B$17*$B$21*$B$23*$B$25,0)</f>
        <v/>
      </c>
      <c r="AZ39" s="128">
        <f>ROUND($B$8*$B$10*$B$15*$B$17*$B$19*$B$22*$B$24,0)</f>
        <v/>
      </c>
      <c r="BA39" s="128">
        <f>ROUND($B$8*$B$10*$B$15*$B$17*$B$19*$B$22*$B$25,0)</f>
        <v/>
      </c>
      <c r="BB39" s="128">
        <f>ROUND($B$8*$B$10*$B$15*$B$17*$B$19*$B$23*$B$24,0)</f>
        <v/>
      </c>
      <c r="BC39" s="128">
        <f>ROUND($B$8*$B$10*$B$15*$B$17*$B$19*$B$23*$B$25,0)</f>
        <v/>
      </c>
      <c r="BD39" s="128">
        <f>ROUND($B$8*$B$10*$B$15*$B$17*$B$20*$B$22*$B$24,0)</f>
        <v/>
      </c>
      <c r="BE39" s="128">
        <f>ROUND($B$8*$B$10*$B$15*$B$17*$B$20*$B$22*$B$25,0)</f>
        <v/>
      </c>
      <c r="BF39" s="128">
        <f>ROUND($B$8*$B$10*$B$15*$B$17*$B$20*$B$23*$B$24,0)</f>
        <v/>
      </c>
      <c r="BG39" s="128">
        <f>ROUND($B$8*$B$10*$B$15*$B$17*$B$20*$B$23*$B$25,0)</f>
        <v/>
      </c>
      <c r="BH39" s="128">
        <f>ROUND($B$8*$B$10*$B$15*$B$17*$B$21*$B$22*$B$24,0)</f>
        <v/>
      </c>
      <c r="BI39" s="128">
        <f>ROUND($B$8*$B$10*$B$15*$B$17*$B$21*$B$22*$B$25,0)</f>
        <v/>
      </c>
      <c r="BJ39" s="128">
        <f>ROUND($B$8*$B$10*$B$15*$B$17*$B$21*$B$23*$B$24,0)</f>
        <v/>
      </c>
      <c r="BK39" s="128">
        <f>ROUND($B$8*$B$10*$B$15*$B$17*$B$21*$B$23*$B$25,0)</f>
        <v/>
      </c>
    </row>
    <row r="40" ht="20" customHeight="1" s="62">
      <c r="C40" s="129" t="inlineStr">
        <is>
          <t>Technologie développement</t>
        </is>
      </c>
      <c r="D40" s="127">
        <f>ROUND($B$4*$B$10*$B$15*$B$18*$B$19*$B$22*$B$24,0)</f>
        <v/>
      </c>
      <c r="E40" s="127">
        <f>ROUND($B$4*$B$10*$B$15*$B$18*$B$19*$B$22*$B$25,0)</f>
        <v/>
      </c>
      <c r="F40" s="127">
        <f>ROUND($B$4*$B$10*$B$15*$B$18*$B$19*$B$23*$B$24,0)</f>
        <v/>
      </c>
      <c r="G40" s="127">
        <f>ROUND($B$4*$B$10*$B$15*$B$18*$B$19*$B$23*$B$25,0)</f>
        <v/>
      </c>
      <c r="H40" s="127">
        <f>ROUND($B$4*$B$10*$B$15*$B$18*$B$20*$B$22*$B$24,0)</f>
        <v/>
      </c>
      <c r="I40" s="127">
        <f>ROUND($B$4*$B$10*$B$15*$B$18*$B$20*$B$22*$B$25,0)</f>
        <v/>
      </c>
      <c r="J40" s="127">
        <f>ROUND($B$4*$B$10*$B$15*$B$18*$B$20*$B$23*$B$24,0)</f>
        <v/>
      </c>
      <c r="K40" s="127">
        <f>ROUND($B$4*$B$10*$B$15*$B$18*$B$20*$B$23*$B$25,0)</f>
        <v/>
      </c>
      <c r="L40" s="127">
        <f>ROUND($B$4*$B$10*$B$15*$B$18*$B$21*$B$22*$B$24,0)</f>
        <v/>
      </c>
      <c r="M40" s="127">
        <f>ROUND($B$4*$B$10*$B$15*$B$18*$B$21*$B$22*$B$25,0)</f>
        <v/>
      </c>
      <c r="N40" s="127">
        <f>ROUND($B$4*$B$10*$B$15*$B$18*$B$21*$B$23*$B$24,0)</f>
        <v/>
      </c>
      <c r="O40" s="127">
        <f>ROUND($B$4*$B$10*$B$15*$B$18*$B$21*$B$23*$B$25,0)</f>
        <v/>
      </c>
      <c r="P40" s="127">
        <f>ROUND($B$5*$B$10*$B$15*$B$18*$B$19*$B$22*$B$24,0)</f>
        <v/>
      </c>
      <c r="Q40" s="127">
        <f>ROUND($B$5*$B$10*$B$15*$B$18*$B$19*$B$22*$B$25,0)</f>
        <v/>
      </c>
      <c r="R40" s="127">
        <f>ROUND($B$5*$B$10*$B$15*$B$18*$B$19*$B$23*$B$24,0)</f>
        <v/>
      </c>
      <c r="S40" s="127">
        <f>ROUND($B$5*$B$10*$B$15*$B$18*$B$19*$B$23*$B$25,0)</f>
        <v/>
      </c>
      <c r="T40" s="127">
        <f>ROUND($B$5*$B$10*$B$15*$B$18*$B$20*$B$22*$B$24,0)</f>
        <v/>
      </c>
      <c r="U40" s="127">
        <f>ROUND($B$5*$B$10*$B$15*$B$18*$B$20*$B$22*$B$25,0)</f>
        <v/>
      </c>
      <c r="V40" s="127">
        <f>ROUND($B$5*$B$10*$B$15*$B$18*$B$20*$B$23*$B$24,0)</f>
        <v/>
      </c>
      <c r="W40" s="127">
        <f>ROUND($B$5*$B$10*$B$15*$B$18*$B$20*$B$23*$B$25,0)</f>
        <v/>
      </c>
      <c r="X40" s="127">
        <f>ROUND($B$5*$B$10*$B$15*$B$18*$B$21*$B$22*$B$24,0)</f>
        <v/>
      </c>
      <c r="Y40" s="127">
        <f>ROUND($B$5*$B$10*$B$15*$B$18*$B$21*$B$22*$B$25,0)</f>
        <v/>
      </c>
      <c r="Z40" s="127">
        <f>ROUND($B$5*$B$10*$B$15*$B$18*$B$21*$B$23*$B$24,0)</f>
        <v/>
      </c>
      <c r="AA40" s="127">
        <f>ROUND($B$5*$B$10*$B$15*$B$18*$B$21*$B$23*$B$25,0)</f>
        <v/>
      </c>
      <c r="AB40" s="127">
        <f>ROUND($B$6*$B$10*$B$15*$B$18*$B$19*$B$22*$B$24,0)</f>
        <v/>
      </c>
      <c r="AC40" s="127">
        <f>ROUND($B$6*$B$10*$B$15*$B$18*$B$19*$B$22*$B$25,0)</f>
        <v/>
      </c>
      <c r="AD40" s="127">
        <f>ROUND($B$6*$B$10*$B$15*$B$18*$B$19*$B$23*$B$24,0)</f>
        <v/>
      </c>
      <c r="AE40" s="127">
        <f>ROUND($B$6*$B$10*$B$15*$B$18*$B$19*$B$23*$B$25,0)</f>
        <v/>
      </c>
      <c r="AF40" s="127">
        <f>ROUND($B$6*$B$10*$B$15*$B$18*$B$20*$B$22*$B$24,0)</f>
        <v/>
      </c>
      <c r="AG40" s="127">
        <f>ROUND($B$6*$B$10*$B$15*$B$18*$B$20*$B$22*$B$25,0)</f>
        <v/>
      </c>
      <c r="AH40" s="127">
        <f>ROUND($B$6*$B$10*$B$15*$B$18*$B$20*$B$23*$B$24,0)</f>
        <v/>
      </c>
      <c r="AI40" s="127">
        <f>ROUND($B$6*$B$10*$B$15*$B$18*$B$20*$B$23*$B$25,0)</f>
        <v/>
      </c>
      <c r="AJ40" s="127">
        <f>ROUND($B$6*$B$10*$B$15*$B$18*$B$21*$B$22*$B$24,0)</f>
        <v/>
      </c>
      <c r="AK40" s="127">
        <f>ROUND($B$6*$B$10*$B$15*$B$18*$B$21*$B$22*$B$25,0)</f>
        <v/>
      </c>
      <c r="AL40" s="127">
        <f>ROUND($B$6*$B$10*$B$15*$B$18*$B$21*$B$23*$B$24,0)</f>
        <v/>
      </c>
      <c r="AM40" s="127">
        <f>ROUND($B$6*$B$10*$B$15*$B$18*$B$21*$B$23*$B$25,0)</f>
        <v/>
      </c>
      <c r="AN40" s="127">
        <f>ROUND($B$7*$B$10*$B$15*$B$18*$B$19*$B$22*$B$24,0)</f>
        <v/>
      </c>
      <c r="AO40" s="127">
        <f>ROUND($B$7*$B$10*$B$15*$B$18*$B$19*$B$22*$B$25,0)</f>
        <v/>
      </c>
      <c r="AP40" s="127">
        <f>ROUND($B$7*$B$10*$B$15*$B$18*$B$19*$B$23*$B$24,0)</f>
        <v/>
      </c>
      <c r="AQ40" s="127">
        <f>ROUND($B$7*$B$10*$B$15*$B$18*$B$19*$B$23*$B$25,0)</f>
        <v/>
      </c>
      <c r="AR40" s="127">
        <f>ROUND($B$7*$B$10*$B$15*$B$18*$B$20*$B$22*$B$24,0)</f>
        <v/>
      </c>
      <c r="AS40" s="127">
        <f>ROUND($B$7*$B$10*$B$15*$B$18*$B$20*$B$22*$B$25,0)</f>
        <v/>
      </c>
      <c r="AT40" s="127">
        <f>ROUND($B$7*$B$10*$B$15*$B$18*$B$20*$B$23*$B$24,0)</f>
        <v/>
      </c>
      <c r="AU40" s="127">
        <f>ROUND($B$7*$B$10*$B$15*$B$18*$B$20*$B$23*$B$25,0)</f>
        <v/>
      </c>
      <c r="AV40" s="127">
        <f>ROUND($B$7*$B$10*$B$15*$B$18*$B$21*$B$22*$B$24,0)</f>
        <v/>
      </c>
      <c r="AW40" s="127">
        <f>ROUND($B$7*$B$10*$B$15*$B$18*$B$21*$B$22*$B$25,0)</f>
        <v/>
      </c>
      <c r="AX40" s="127">
        <f>ROUND($B$7*$B$10*$B$15*$B$18*$B$21*$B$23*$B$24,0)</f>
        <v/>
      </c>
      <c r="AY40" s="127">
        <f>ROUND($B$7*$B$10*$B$15*$B$18*$B$21*$B$23*$B$25,0)</f>
        <v/>
      </c>
      <c r="AZ40" s="128">
        <f>ROUND($B$8*$B$10*$B$15*$B$18*$B$19*$B$22*$B$24,0)</f>
        <v/>
      </c>
      <c r="BA40" s="128">
        <f>ROUND($B$8*$B$10*$B$15*$B$18*$B$19*$B$22*$B$25,0)</f>
        <v/>
      </c>
      <c r="BB40" s="128">
        <f>ROUND($B$8*$B$10*$B$15*$B$18*$B$19*$B$23*$B$24,0)</f>
        <v/>
      </c>
      <c r="BC40" s="128">
        <f>ROUND($B$8*$B$10*$B$15*$B$18*$B$19*$B$23*$B$25,0)</f>
        <v/>
      </c>
      <c r="BD40" s="128">
        <f>ROUND($B$8*$B$10*$B$15*$B$18*$B$20*$B$22*$B$24,0)</f>
        <v/>
      </c>
      <c r="BE40" s="128">
        <f>ROUND($B$8*$B$10*$B$15*$B$18*$B$20*$B$22*$B$25,0)</f>
        <v/>
      </c>
      <c r="BF40" s="128">
        <f>ROUND($B$8*$B$10*$B$15*$B$18*$B$20*$B$23*$B$24,0)</f>
        <v/>
      </c>
      <c r="BG40" s="128">
        <f>ROUND($B$8*$B$10*$B$15*$B$18*$B$20*$B$23*$B$25,0)</f>
        <v/>
      </c>
      <c r="BH40" s="128">
        <f>ROUND($B$8*$B$10*$B$15*$B$18*$B$21*$B$22*$B$24,0)</f>
        <v/>
      </c>
      <c r="BI40" s="128">
        <f>ROUND($B$8*$B$10*$B$15*$B$18*$B$21*$B$22*$B$25,0)</f>
        <v/>
      </c>
      <c r="BJ40" s="128">
        <f>ROUND($B$8*$B$10*$B$15*$B$18*$B$21*$B$23*$B$24,0)</f>
        <v/>
      </c>
      <c r="BK40" s="128">
        <f>ROUND($B$8*$B$10*$B$15*$B$18*$B$21*$B$23*$B$25,0)</f>
        <v/>
      </c>
    </row>
    <row r="41" ht="20" customHeight="1" s="62">
      <c r="A41" s="124" t="inlineStr">
        <is>
          <t>2-5 agents</t>
        </is>
      </c>
      <c r="B41" s="125" t="inlineStr">
        <is>
          <t>1-2 outils connectés</t>
        </is>
      </c>
      <c r="C41" s="126" t="inlineStr">
        <is>
          <t>Technologie no-code</t>
        </is>
      </c>
      <c r="D41" s="127">
        <f>ROUND($B$4*$B$11*$B$13*$B$16*$B$19*$B$22*$B$24,0)</f>
        <v/>
      </c>
      <c r="E41" s="127">
        <f>ROUND($B$4*$B$11*$B$13*$B$16*$B$19*$B$22*$B$25,0)</f>
        <v/>
      </c>
      <c r="F41" s="127">
        <f>ROUND($B$4*$B$11*$B$13*$B$16*$B$19*$B$23*$B$24,0)</f>
        <v/>
      </c>
      <c r="G41" s="127">
        <f>ROUND($B$4*$B$11*$B$13*$B$16*$B$19*$B$23*$B$25,0)</f>
        <v/>
      </c>
      <c r="H41" s="127">
        <f>ROUND($B$4*$B$11*$B$13*$B$16*$B$20*$B$22*$B$24,0)</f>
        <v/>
      </c>
      <c r="I41" s="127">
        <f>ROUND($B$4*$B$11*$B$13*$B$16*$B$20*$B$22*$B$25,0)</f>
        <v/>
      </c>
      <c r="J41" s="127">
        <f>ROUND($B$4*$B$11*$B$13*$B$16*$B$20*$B$23*$B$24,0)</f>
        <v/>
      </c>
      <c r="K41" s="127">
        <f>ROUND($B$4*$B$11*$B$13*$B$16*$B$20*$B$23*$B$25,0)</f>
        <v/>
      </c>
      <c r="L41" s="127">
        <f>ROUND($B$4*$B$11*$B$13*$B$16*$B$21*$B$22*$B$24,0)</f>
        <v/>
      </c>
      <c r="M41" s="127">
        <f>ROUND($B$4*$B$11*$B$13*$B$16*$B$21*$B$22*$B$25,0)</f>
        <v/>
      </c>
      <c r="N41" s="127">
        <f>ROUND($B$4*$B$11*$B$13*$B$16*$B$21*$B$23*$B$24,0)</f>
        <v/>
      </c>
      <c r="O41" s="127">
        <f>ROUND($B$4*$B$11*$B$13*$B$16*$B$21*$B$23*$B$25,0)</f>
        <v/>
      </c>
      <c r="P41" s="127">
        <f>ROUND($B$5*$B$11*$B$13*$B$16*$B$19*$B$22*$B$24,0)</f>
        <v/>
      </c>
      <c r="Q41" s="127">
        <f>ROUND($B$5*$B$11*$B$13*$B$16*$B$19*$B$22*$B$25,0)</f>
        <v/>
      </c>
      <c r="R41" s="127">
        <f>ROUND($B$5*$B$11*$B$13*$B$16*$B$19*$B$23*$B$24,0)</f>
        <v/>
      </c>
      <c r="S41" s="127">
        <f>ROUND($B$5*$B$11*$B$13*$B$16*$B$19*$B$23*$B$25,0)</f>
        <v/>
      </c>
      <c r="T41" s="127">
        <f>ROUND($B$5*$B$11*$B$13*$B$16*$B$20*$B$22*$B$24,0)</f>
        <v/>
      </c>
      <c r="U41" s="127">
        <f>ROUND($B$5*$B$11*$B$13*$B$16*$B$20*$B$22*$B$25,0)</f>
        <v/>
      </c>
      <c r="V41" s="127">
        <f>ROUND($B$5*$B$11*$B$13*$B$16*$B$20*$B$23*$B$24,0)</f>
        <v/>
      </c>
      <c r="W41" s="127">
        <f>ROUND($B$5*$B$11*$B$13*$B$16*$B$20*$B$23*$B$25,0)</f>
        <v/>
      </c>
      <c r="X41" s="127">
        <f>ROUND($B$5*$B$11*$B$13*$B$16*$B$21*$B$22*$B$24,0)</f>
        <v/>
      </c>
      <c r="Y41" s="127">
        <f>ROUND($B$5*$B$11*$B$13*$B$16*$B$21*$B$22*$B$25,0)</f>
        <v/>
      </c>
      <c r="Z41" s="127">
        <f>ROUND($B$5*$B$11*$B$13*$B$16*$B$21*$B$23*$B$24,0)</f>
        <v/>
      </c>
      <c r="AA41" s="127">
        <f>ROUND($B$5*$B$11*$B$13*$B$16*$B$21*$B$23*$B$25,0)</f>
        <v/>
      </c>
      <c r="AB41" s="127">
        <f>ROUND($B$6*$B$11*$B$13*$B$16*$B$19*$B$22*$B$24,0)</f>
        <v/>
      </c>
      <c r="AC41" s="127">
        <f>ROUND($B$6*$B$11*$B$13*$B$16*$B$19*$B$22*$B$25,0)</f>
        <v/>
      </c>
      <c r="AD41" s="127">
        <f>ROUND($B$6*$B$11*$B$13*$B$16*$B$19*$B$23*$B$24,0)</f>
        <v/>
      </c>
      <c r="AE41" s="127">
        <f>ROUND($B$6*$B$11*$B$13*$B$16*$B$19*$B$23*$B$25,0)</f>
        <v/>
      </c>
      <c r="AF41" s="127">
        <f>ROUND($B$6*$B$11*$B$13*$B$16*$B$20*$B$22*$B$24,0)</f>
        <v/>
      </c>
      <c r="AG41" s="127">
        <f>ROUND($B$6*$B$11*$B$13*$B$16*$B$20*$B$22*$B$25,0)</f>
        <v/>
      </c>
      <c r="AH41" s="127">
        <f>ROUND($B$6*$B$11*$B$13*$B$16*$B$20*$B$23*$B$24,0)</f>
        <v/>
      </c>
      <c r="AI41" s="127">
        <f>ROUND($B$6*$B$11*$B$13*$B$16*$B$20*$B$23*$B$25,0)</f>
        <v/>
      </c>
      <c r="AJ41" s="127">
        <f>ROUND($B$6*$B$11*$B$13*$B$16*$B$21*$B$22*$B$24,0)</f>
        <v/>
      </c>
      <c r="AK41" s="127">
        <f>ROUND($B$6*$B$11*$B$13*$B$16*$B$21*$B$22*$B$25,0)</f>
        <v/>
      </c>
      <c r="AL41" s="127">
        <f>ROUND($B$6*$B$11*$B$13*$B$16*$B$21*$B$23*$B$24,0)</f>
        <v/>
      </c>
      <c r="AM41" s="127">
        <f>ROUND($B$6*$B$11*$B$13*$B$16*$B$21*$B$23*$B$25,0)</f>
        <v/>
      </c>
      <c r="AN41" s="127">
        <f>ROUND($B$7*$B$11*$B$13*$B$16*$B$19*$B$22*$B$24,0)</f>
        <v/>
      </c>
      <c r="AO41" s="127">
        <f>ROUND($B$7*$B$11*$B$13*$B$16*$B$19*$B$22*$B$25,0)</f>
        <v/>
      </c>
      <c r="AP41" s="127">
        <f>ROUND($B$7*$B$11*$B$13*$B$16*$B$19*$B$23*$B$24,0)</f>
        <v/>
      </c>
      <c r="AQ41" s="127">
        <f>ROUND($B$7*$B$11*$B$13*$B$16*$B$19*$B$23*$B$25,0)</f>
        <v/>
      </c>
      <c r="AR41" s="127">
        <f>ROUND($B$7*$B$11*$B$13*$B$16*$B$20*$B$22*$B$24,0)</f>
        <v/>
      </c>
      <c r="AS41" s="127">
        <f>ROUND($B$7*$B$11*$B$13*$B$16*$B$20*$B$22*$B$25,0)</f>
        <v/>
      </c>
      <c r="AT41" s="127">
        <f>ROUND($B$7*$B$11*$B$13*$B$16*$B$20*$B$23*$B$24,0)</f>
        <v/>
      </c>
      <c r="AU41" s="127">
        <f>ROUND($B$7*$B$11*$B$13*$B$16*$B$20*$B$23*$B$25,0)</f>
        <v/>
      </c>
      <c r="AV41" s="127">
        <f>ROUND($B$7*$B$11*$B$13*$B$16*$B$21*$B$22*$B$24,0)</f>
        <v/>
      </c>
      <c r="AW41" s="127">
        <f>ROUND($B$7*$B$11*$B$13*$B$16*$B$21*$B$22*$B$25,0)</f>
        <v/>
      </c>
      <c r="AX41" s="127">
        <f>ROUND($B$7*$B$11*$B$13*$B$16*$B$21*$B$23*$B$24,0)</f>
        <v/>
      </c>
      <c r="AY41" s="127">
        <f>ROUND($B$7*$B$11*$B$13*$B$16*$B$21*$B$23*$B$25,0)</f>
        <v/>
      </c>
      <c r="AZ41" s="128">
        <f>ROUND($B$8*$B$11*$B$13*$B$16*$B$19*$B$22*$B$24,0)</f>
        <v/>
      </c>
      <c r="BA41" s="128">
        <f>ROUND($B$8*$B$11*$B$13*$B$16*$B$19*$B$22*$B$25,0)</f>
        <v/>
      </c>
      <c r="BB41" s="128">
        <f>ROUND($B$8*$B$11*$B$13*$B$16*$B$19*$B$23*$B$24,0)</f>
        <v/>
      </c>
      <c r="BC41" s="128">
        <f>ROUND($B$8*$B$11*$B$13*$B$16*$B$19*$B$23*$B$25,0)</f>
        <v/>
      </c>
      <c r="BD41" s="128">
        <f>ROUND($B$8*$B$11*$B$13*$B$16*$B$20*$B$22*$B$24,0)</f>
        <v/>
      </c>
      <c r="BE41" s="128">
        <f>ROUND($B$8*$B$11*$B$13*$B$16*$B$20*$B$22*$B$25,0)</f>
        <v/>
      </c>
      <c r="BF41" s="128">
        <f>ROUND($B$8*$B$11*$B$13*$B$16*$B$20*$B$23*$B$24,0)</f>
        <v/>
      </c>
      <c r="BG41" s="128">
        <f>ROUND($B$8*$B$11*$B$13*$B$16*$B$20*$B$23*$B$25,0)</f>
        <v/>
      </c>
      <c r="BH41" s="128">
        <f>ROUND($B$8*$B$11*$B$13*$B$16*$B$21*$B$22*$B$24,0)</f>
        <v/>
      </c>
      <c r="BI41" s="128">
        <f>ROUND($B$8*$B$11*$B$13*$B$16*$B$21*$B$22*$B$25,0)</f>
        <v/>
      </c>
      <c r="BJ41" s="128">
        <f>ROUND($B$8*$B$11*$B$13*$B$16*$B$21*$B$23*$B$24,0)</f>
        <v/>
      </c>
      <c r="BK41" s="128">
        <f>ROUND($B$8*$B$11*$B$13*$B$16*$B$21*$B$23*$B$25,0)</f>
        <v/>
      </c>
    </row>
    <row r="42" ht="20" customHeight="1" s="62">
      <c r="C42" s="125" t="inlineStr">
        <is>
          <t>Technologie API</t>
        </is>
      </c>
      <c r="D42" s="127">
        <f>ROUND($B$4*$B$11*$B$13*$B$17*$B$19*$B$22*$B$24,0)</f>
        <v/>
      </c>
      <c r="E42" s="127">
        <f>ROUND($B$4*$B$11*$B$13*$B$17*$B$19*$B$22*$B$25,0)</f>
        <v/>
      </c>
      <c r="F42" s="127">
        <f>ROUND($B$4*$B$11*$B$13*$B$17*$B$19*$B$23*$B$24,0)</f>
        <v/>
      </c>
      <c r="G42" s="127">
        <f>ROUND($B$4*$B$11*$B$13*$B$17*$B$19*$B$23*$B$25,0)</f>
        <v/>
      </c>
      <c r="H42" s="127">
        <f>ROUND($B$4*$B$11*$B$13*$B$17*$B$20*$B$22*$B$24,0)</f>
        <v/>
      </c>
      <c r="I42" s="127">
        <f>ROUND($B$4*$B$11*$B$13*$B$17*$B$20*$B$22*$B$25,0)</f>
        <v/>
      </c>
      <c r="J42" s="127">
        <f>ROUND($B$4*$B$11*$B$13*$B$17*$B$20*$B$23*$B$24,0)</f>
        <v/>
      </c>
      <c r="K42" s="127">
        <f>ROUND($B$4*$B$11*$B$13*$B$17*$B$20*$B$23*$B$25,0)</f>
        <v/>
      </c>
      <c r="L42" s="127">
        <f>ROUND($B$4*$B$11*$B$13*$B$17*$B$21*$B$22*$B$24,0)</f>
        <v/>
      </c>
      <c r="M42" s="127">
        <f>ROUND($B$4*$B$11*$B$13*$B$17*$B$21*$B$22*$B$25,0)</f>
        <v/>
      </c>
      <c r="N42" s="127">
        <f>ROUND($B$4*$B$11*$B$13*$B$17*$B$21*$B$23*$B$24,0)</f>
        <v/>
      </c>
      <c r="O42" s="127">
        <f>ROUND($B$4*$B$11*$B$13*$B$17*$B$21*$B$23*$B$25,0)</f>
        <v/>
      </c>
      <c r="P42" s="127">
        <f>ROUND($B$5*$B$11*$B$13*$B$17*$B$19*$B$22*$B$24,0)</f>
        <v/>
      </c>
      <c r="Q42" s="127">
        <f>ROUND($B$5*$B$11*$B$13*$B$17*$B$19*$B$22*$B$25,0)</f>
        <v/>
      </c>
      <c r="R42" s="127">
        <f>ROUND($B$5*$B$11*$B$13*$B$17*$B$19*$B$23*$B$24,0)</f>
        <v/>
      </c>
      <c r="S42" s="127">
        <f>ROUND($B$5*$B$11*$B$13*$B$17*$B$19*$B$23*$B$25,0)</f>
        <v/>
      </c>
      <c r="T42" s="127">
        <f>ROUND($B$5*$B$11*$B$13*$B$17*$B$20*$B$22*$B$24,0)</f>
        <v/>
      </c>
      <c r="U42" s="127">
        <f>ROUND($B$5*$B$11*$B$13*$B$17*$B$20*$B$22*$B$25,0)</f>
        <v/>
      </c>
      <c r="V42" s="127">
        <f>ROUND($B$5*$B$11*$B$13*$B$17*$B$20*$B$23*$B$24,0)</f>
        <v/>
      </c>
      <c r="W42" s="127">
        <f>ROUND($B$5*$B$11*$B$13*$B$17*$B$20*$B$23*$B$25,0)</f>
        <v/>
      </c>
      <c r="X42" s="127">
        <f>ROUND($B$5*$B$11*$B$13*$B$17*$B$21*$B$22*$B$24,0)</f>
        <v/>
      </c>
      <c r="Y42" s="127">
        <f>ROUND($B$5*$B$11*$B$13*$B$17*$B$21*$B$22*$B$25,0)</f>
        <v/>
      </c>
      <c r="Z42" s="127">
        <f>ROUND($B$5*$B$11*$B$13*$B$17*$B$21*$B$23*$B$24,0)</f>
        <v/>
      </c>
      <c r="AA42" s="127">
        <f>ROUND($B$5*$B$11*$B$13*$B$17*$B$21*$B$23*$B$25,0)</f>
        <v/>
      </c>
      <c r="AB42" s="127">
        <f>ROUND($B$6*$B$11*$B$13*$B$17*$B$19*$B$22*$B$24,0)</f>
        <v/>
      </c>
      <c r="AC42" s="127">
        <f>ROUND($B$6*$B$11*$B$13*$B$17*$B$19*$B$22*$B$25,0)</f>
        <v/>
      </c>
      <c r="AD42" s="127">
        <f>ROUND($B$6*$B$11*$B$13*$B$17*$B$19*$B$23*$B$24,0)</f>
        <v/>
      </c>
      <c r="AE42" s="127">
        <f>ROUND($B$6*$B$11*$B$13*$B$17*$B$19*$B$23*$B$25,0)</f>
        <v/>
      </c>
      <c r="AF42" s="127">
        <f>ROUND($B$6*$B$11*$B$13*$B$17*$B$20*$B$22*$B$24,0)</f>
        <v/>
      </c>
      <c r="AG42" s="127">
        <f>ROUND($B$6*$B$11*$B$13*$B$17*$B$20*$B$22*$B$25,0)</f>
        <v/>
      </c>
      <c r="AH42" s="127">
        <f>ROUND($B$6*$B$11*$B$13*$B$17*$B$20*$B$23*$B$24,0)</f>
        <v/>
      </c>
      <c r="AI42" s="127">
        <f>ROUND($B$6*$B$11*$B$13*$B$17*$B$20*$B$23*$B$25,0)</f>
        <v/>
      </c>
      <c r="AJ42" s="127">
        <f>ROUND($B$6*$B$11*$B$13*$B$17*$B$21*$B$22*$B$24,0)</f>
        <v/>
      </c>
      <c r="AK42" s="127">
        <f>ROUND($B$6*$B$11*$B$13*$B$17*$B$21*$B$22*$B$25,0)</f>
        <v/>
      </c>
      <c r="AL42" s="127">
        <f>ROUND($B$6*$B$11*$B$13*$B$17*$B$21*$B$23*$B$24,0)</f>
        <v/>
      </c>
      <c r="AM42" s="127">
        <f>ROUND($B$6*$B$11*$B$13*$B$17*$B$21*$B$23*$B$25,0)</f>
        <v/>
      </c>
      <c r="AN42" s="127">
        <f>ROUND($B$7*$B$11*$B$13*$B$17*$B$19*$B$22*$B$24,0)</f>
        <v/>
      </c>
      <c r="AO42" s="127">
        <f>ROUND($B$7*$B$11*$B$13*$B$17*$B$19*$B$22*$B$25,0)</f>
        <v/>
      </c>
      <c r="AP42" s="127">
        <f>ROUND($B$7*$B$11*$B$13*$B$17*$B$19*$B$23*$B$24,0)</f>
        <v/>
      </c>
      <c r="AQ42" s="127">
        <f>ROUND($B$7*$B$11*$B$13*$B$17*$B$19*$B$23*$B$25,0)</f>
        <v/>
      </c>
      <c r="AR42" s="127">
        <f>ROUND($B$7*$B$11*$B$13*$B$17*$B$20*$B$22*$B$24,0)</f>
        <v/>
      </c>
      <c r="AS42" s="127">
        <f>ROUND($B$7*$B$11*$B$13*$B$17*$B$20*$B$22*$B$25,0)</f>
        <v/>
      </c>
      <c r="AT42" s="127">
        <f>ROUND($B$7*$B$11*$B$13*$B$17*$B$20*$B$23*$B$24,0)</f>
        <v/>
      </c>
      <c r="AU42" s="127">
        <f>ROUND($B$7*$B$11*$B$13*$B$17*$B$20*$B$23*$B$25,0)</f>
        <v/>
      </c>
      <c r="AV42" s="127">
        <f>ROUND($B$7*$B$11*$B$13*$B$17*$B$21*$B$22*$B$24,0)</f>
        <v/>
      </c>
      <c r="AW42" s="127">
        <f>ROUND($B$7*$B$11*$B$13*$B$17*$B$21*$B$22*$B$25,0)</f>
        <v/>
      </c>
      <c r="AX42" s="127">
        <f>ROUND($B$7*$B$11*$B$13*$B$17*$B$21*$B$23*$B$24,0)</f>
        <v/>
      </c>
      <c r="AY42" s="127">
        <f>ROUND($B$7*$B$11*$B$13*$B$17*$B$21*$B$23*$B$25,0)</f>
        <v/>
      </c>
      <c r="AZ42" s="128">
        <f>ROUND($B$8*$B$11*$B$13*$B$17*$B$19*$B$22*$B$24,0)</f>
        <v/>
      </c>
      <c r="BA42" s="128">
        <f>ROUND($B$8*$B$11*$B$13*$B$17*$B$19*$B$22*$B$25,0)</f>
        <v/>
      </c>
      <c r="BB42" s="128">
        <f>ROUND($B$8*$B$11*$B$13*$B$17*$B$19*$B$23*$B$24,0)</f>
        <v/>
      </c>
      <c r="BC42" s="128">
        <f>ROUND($B$8*$B$11*$B$13*$B$17*$B$19*$B$23*$B$25,0)</f>
        <v/>
      </c>
      <c r="BD42" s="128">
        <f>ROUND($B$8*$B$11*$B$13*$B$17*$B$20*$B$22*$B$24,0)</f>
        <v/>
      </c>
      <c r="BE42" s="128">
        <f>ROUND($B$8*$B$11*$B$13*$B$17*$B$20*$B$22*$B$25,0)</f>
        <v/>
      </c>
      <c r="BF42" s="128">
        <f>ROUND($B$8*$B$11*$B$13*$B$17*$B$20*$B$23*$B$24,0)</f>
        <v/>
      </c>
      <c r="BG42" s="128">
        <f>ROUND($B$8*$B$11*$B$13*$B$17*$B$20*$B$23*$B$25,0)</f>
        <v/>
      </c>
      <c r="BH42" s="128">
        <f>ROUND($B$8*$B$11*$B$13*$B$17*$B$21*$B$22*$B$24,0)</f>
        <v/>
      </c>
      <c r="BI42" s="128">
        <f>ROUND($B$8*$B$11*$B$13*$B$17*$B$21*$B$22*$B$25,0)</f>
        <v/>
      </c>
      <c r="BJ42" s="128">
        <f>ROUND($B$8*$B$11*$B$13*$B$17*$B$21*$B$23*$B$24,0)</f>
        <v/>
      </c>
      <c r="BK42" s="128">
        <f>ROUND($B$8*$B$11*$B$13*$B$17*$B$21*$B$23*$B$25,0)</f>
        <v/>
      </c>
    </row>
    <row r="43" ht="20" customHeight="1" s="62">
      <c r="C43" s="129" t="inlineStr">
        <is>
          <t>Technologie développement</t>
        </is>
      </c>
      <c r="D43" s="127">
        <f>ROUND($B$4*$B$11*$B$13*$B$18*$B$19*$B$22*$B$24,0)</f>
        <v/>
      </c>
      <c r="E43" s="127">
        <f>ROUND($B$4*$B$11*$B$13*$B$18*$B$19*$B$22*$B$25,0)</f>
        <v/>
      </c>
      <c r="F43" s="127">
        <f>ROUND($B$4*$B$11*$B$13*$B$18*$B$19*$B$23*$B$24,0)</f>
        <v/>
      </c>
      <c r="G43" s="127">
        <f>ROUND($B$4*$B$11*$B$13*$B$18*$B$19*$B$23*$B$25,0)</f>
        <v/>
      </c>
      <c r="H43" s="127">
        <f>ROUND($B$4*$B$11*$B$13*$B$18*$B$20*$B$22*$B$24,0)</f>
        <v/>
      </c>
      <c r="I43" s="127">
        <f>ROUND($B$4*$B$11*$B$13*$B$18*$B$20*$B$22*$B$25,0)</f>
        <v/>
      </c>
      <c r="J43" s="127">
        <f>ROUND($B$4*$B$11*$B$13*$B$18*$B$20*$B$23*$B$24,0)</f>
        <v/>
      </c>
      <c r="K43" s="127">
        <f>ROUND($B$4*$B$11*$B$13*$B$18*$B$20*$B$23*$B$25,0)</f>
        <v/>
      </c>
      <c r="L43" s="127">
        <f>ROUND($B$4*$B$11*$B$13*$B$18*$B$21*$B$22*$B$24,0)</f>
        <v/>
      </c>
      <c r="M43" s="127">
        <f>ROUND($B$4*$B$11*$B$13*$B$18*$B$21*$B$22*$B$25,0)</f>
        <v/>
      </c>
      <c r="N43" s="127">
        <f>ROUND($B$4*$B$11*$B$13*$B$18*$B$21*$B$23*$B$24,0)</f>
        <v/>
      </c>
      <c r="O43" s="127">
        <f>ROUND($B$4*$B$11*$B$13*$B$18*$B$21*$B$23*$B$25,0)</f>
        <v/>
      </c>
      <c r="P43" s="127">
        <f>ROUND($B$5*$B$11*$B$13*$B$18*$B$19*$B$22*$B$24,0)</f>
        <v/>
      </c>
      <c r="Q43" s="127">
        <f>ROUND($B$5*$B$11*$B$13*$B$18*$B$19*$B$22*$B$25,0)</f>
        <v/>
      </c>
      <c r="R43" s="127">
        <f>ROUND($B$5*$B$11*$B$13*$B$18*$B$19*$B$23*$B$24,0)</f>
        <v/>
      </c>
      <c r="S43" s="127">
        <f>ROUND($B$5*$B$11*$B$13*$B$18*$B$19*$B$23*$B$25,0)</f>
        <v/>
      </c>
      <c r="T43" s="127">
        <f>ROUND($B$5*$B$11*$B$13*$B$18*$B$20*$B$22*$B$24,0)</f>
        <v/>
      </c>
      <c r="U43" s="127">
        <f>ROUND($B$5*$B$11*$B$13*$B$18*$B$20*$B$22*$B$25,0)</f>
        <v/>
      </c>
      <c r="V43" s="127">
        <f>ROUND($B$5*$B$11*$B$13*$B$18*$B$20*$B$23*$B$24,0)</f>
        <v/>
      </c>
      <c r="W43" s="127">
        <f>ROUND($B$5*$B$11*$B$13*$B$18*$B$20*$B$23*$B$25,0)</f>
        <v/>
      </c>
      <c r="X43" s="127">
        <f>ROUND($B$5*$B$11*$B$13*$B$18*$B$21*$B$22*$B$24,0)</f>
        <v/>
      </c>
      <c r="Y43" s="127">
        <f>ROUND($B$5*$B$11*$B$13*$B$18*$B$21*$B$22*$B$25,0)</f>
        <v/>
      </c>
      <c r="Z43" s="127">
        <f>ROUND($B$5*$B$11*$B$13*$B$18*$B$21*$B$23*$B$24,0)</f>
        <v/>
      </c>
      <c r="AA43" s="127">
        <f>ROUND($B$5*$B$11*$B$13*$B$18*$B$21*$B$23*$B$25,0)</f>
        <v/>
      </c>
      <c r="AB43" s="127">
        <f>ROUND($B$6*$B$11*$B$13*$B$18*$B$19*$B$22*$B$24,0)</f>
        <v/>
      </c>
      <c r="AC43" s="127">
        <f>ROUND($B$6*$B$11*$B$13*$B$18*$B$19*$B$22*$B$25,0)</f>
        <v/>
      </c>
      <c r="AD43" s="127">
        <f>ROUND($B$6*$B$11*$B$13*$B$18*$B$19*$B$23*$B$24,0)</f>
        <v/>
      </c>
      <c r="AE43" s="127">
        <f>ROUND($B$6*$B$11*$B$13*$B$18*$B$19*$B$23*$B$25,0)</f>
        <v/>
      </c>
      <c r="AF43" s="127">
        <f>ROUND($B$6*$B$11*$B$13*$B$18*$B$20*$B$22*$B$24,0)</f>
        <v/>
      </c>
      <c r="AG43" s="127">
        <f>ROUND($B$6*$B$11*$B$13*$B$18*$B$20*$B$22*$B$25,0)</f>
        <v/>
      </c>
      <c r="AH43" s="127">
        <f>ROUND($B$6*$B$11*$B$13*$B$18*$B$20*$B$23*$B$24,0)</f>
        <v/>
      </c>
      <c r="AI43" s="127">
        <f>ROUND($B$6*$B$11*$B$13*$B$18*$B$20*$B$23*$B$25,0)</f>
        <v/>
      </c>
      <c r="AJ43" s="127">
        <f>ROUND($B$6*$B$11*$B$13*$B$18*$B$21*$B$22*$B$24,0)</f>
        <v/>
      </c>
      <c r="AK43" s="127">
        <f>ROUND($B$6*$B$11*$B$13*$B$18*$B$21*$B$22*$B$25,0)</f>
        <v/>
      </c>
      <c r="AL43" s="127">
        <f>ROUND($B$6*$B$11*$B$13*$B$18*$B$21*$B$23*$B$24,0)</f>
        <v/>
      </c>
      <c r="AM43" s="127">
        <f>ROUND($B$6*$B$11*$B$13*$B$18*$B$21*$B$23*$B$25,0)</f>
        <v/>
      </c>
      <c r="AN43" s="127">
        <f>ROUND($B$7*$B$11*$B$13*$B$18*$B$19*$B$22*$B$24,0)</f>
        <v/>
      </c>
      <c r="AO43" s="127">
        <f>ROUND($B$7*$B$11*$B$13*$B$18*$B$19*$B$22*$B$25,0)</f>
        <v/>
      </c>
      <c r="AP43" s="127">
        <f>ROUND($B$7*$B$11*$B$13*$B$18*$B$19*$B$23*$B$24,0)</f>
        <v/>
      </c>
      <c r="AQ43" s="127">
        <f>ROUND($B$7*$B$11*$B$13*$B$18*$B$19*$B$23*$B$25,0)</f>
        <v/>
      </c>
      <c r="AR43" s="127">
        <f>ROUND($B$7*$B$11*$B$13*$B$18*$B$20*$B$22*$B$24,0)</f>
        <v/>
      </c>
      <c r="AS43" s="127">
        <f>ROUND($B$7*$B$11*$B$13*$B$18*$B$20*$B$22*$B$25,0)</f>
        <v/>
      </c>
      <c r="AT43" s="127">
        <f>ROUND($B$7*$B$11*$B$13*$B$18*$B$20*$B$23*$B$24,0)</f>
        <v/>
      </c>
      <c r="AU43" s="127">
        <f>ROUND($B$7*$B$11*$B$13*$B$18*$B$20*$B$23*$B$25,0)</f>
        <v/>
      </c>
      <c r="AV43" s="127">
        <f>ROUND($B$7*$B$11*$B$13*$B$18*$B$21*$B$22*$B$24,0)</f>
        <v/>
      </c>
      <c r="AW43" s="127">
        <f>ROUND($B$7*$B$11*$B$13*$B$18*$B$21*$B$22*$B$25,0)</f>
        <v/>
      </c>
      <c r="AX43" s="127">
        <f>ROUND($B$7*$B$11*$B$13*$B$18*$B$21*$B$23*$B$24,0)</f>
        <v/>
      </c>
      <c r="AY43" s="127">
        <f>ROUND($B$7*$B$11*$B$13*$B$18*$B$21*$B$23*$B$25,0)</f>
        <v/>
      </c>
      <c r="AZ43" s="128">
        <f>ROUND($B$8*$B$11*$B$13*$B$18*$B$19*$B$22*$B$24,0)</f>
        <v/>
      </c>
      <c r="BA43" s="128">
        <f>ROUND($B$8*$B$11*$B$13*$B$18*$B$19*$B$22*$B$25,0)</f>
        <v/>
      </c>
      <c r="BB43" s="128">
        <f>ROUND($B$8*$B$11*$B$13*$B$18*$B$19*$B$23*$B$24,0)</f>
        <v/>
      </c>
      <c r="BC43" s="128">
        <f>ROUND($B$8*$B$11*$B$13*$B$18*$B$19*$B$23*$B$25,0)</f>
        <v/>
      </c>
      <c r="BD43" s="128">
        <f>ROUND($B$8*$B$11*$B$13*$B$18*$B$20*$B$22*$B$24,0)</f>
        <v/>
      </c>
      <c r="BE43" s="128">
        <f>ROUND($B$8*$B$11*$B$13*$B$18*$B$20*$B$22*$B$25,0)</f>
        <v/>
      </c>
      <c r="BF43" s="128">
        <f>ROUND($B$8*$B$11*$B$13*$B$18*$B$20*$B$23*$B$24,0)</f>
        <v/>
      </c>
      <c r="BG43" s="128">
        <f>ROUND($B$8*$B$11*$B$13*$B$18*$B$20*$B$23*$B$25,0)</f>
        <v/>
      </c>
      <c r="BH43" s="128">
        <f>ROUND($B$8*$B$11*$B$13*$B$18*$B$21*$B$22*$B$24,0)</f>
        <v/>
      </c>
      <c r="BI43" s="128">
        <f>ROUND($B$8*$B$11*$B$13*$B$18*$B$21*$B$22*$B$25,0)</f>
        <v/>
      </c>
      <c r="BJ43" s="128">
        <f>ROUND($B$8*$B$11*$B$13*$B$18*$B$21*$B$23*$B$24,0)</f>
        <v/>
      </c>
      <c r="BK43" s="128">
        <f>ROUND($B$8*$B$11*$B$13*$B$18*$B$21*$B$23*$B$25,0)</f>
        <v/>
      </c>
    </row>
    <row r="44" ht="20" customHeight="1" s="62">
      <c r="B44" s="125" t="inlineStr">
        <is>
          <t>3-5 outils connectés</t>
        </is>
      </c>
      <c r="C44" s="126" t="inlineStr">
        <is>
          <t>Technologie no-code</t>
        </is>
      </c>
      <c r="D44" s="127">
        <f>ROUND($B$4*$B$11*$B$14*$B$16*$B$19*$B$22*$B$24,0)</f>
        <v/>
      </c>
      <c r="E44" s="127">
        <f>ROUND($B$4*$B$11*$B$14*$B$16*$B$19*$B$22*$B$25,0)</f>
        <v/>
      </c>
      <c r="F44" s="127">
        <f>ROUND($B$4*$B$11*$B$14*$B$16*$B$19*$B$23*$B$24,0)</f>
        <v/>
      </c>
      <c r="G44" s="127">
        <f>ROUND($B$4*$B$11*$B$14*$B$16*$B$19*$B$23*$B$25,0)</f>
        <v/>
      </c>
      <c r="H44" s="127">
        <f>ROUND($B$4*$B$11*$B$14*$B$16*$B$20*$B$22*$B$24,0)</f>
        <v/>
      </c>
      <c r="I44" s="127">
        <f>ROUND($B$4*$B$11*$B$14*$B$16*$B$20*$B$22*$B$25,0)</f>
        <v/>
      </c>
      <c r="J44" s="127">
        <f>ROUND($B$4*$B$11*$B$14*$B$16*$B$20*$B$23*$B$24,0)</f>
        <v/>
      </c>
      <c r="K44" s="127">
        <f>ROUND($B$4*$B$11*$B$14*$B$16*$B$20*$B$23*$B$25,0)</f>
        <v/>
      </c>
      <c r="L44" s="127">
        <f>ROUND($B$4*$B$11*$B$14*$B$16*$B$21*$B$22*$B$24,0)</f>
        <v/>
      </c>
      <c r="M44" s="127">
        <f>ROUND($B$4*$B$11*$B$14*$B$16*$B$21*$B$22*$B$25,0)</f>
        <v/>
      </c>
      <c r="N44" s="127">
        <f>ROUND($B$4*$B$11*$B$14*$B$16*$B$21*$B$23*$B$24,0)</f>
        <v/>
      </c>
      <c r="O44" s="127">
        <f>ROUND($B$4*$B$11*$B$14*$B$16*$B$21*$B$23*$B$25,0)</f>
        <v/>
      </c>
      <c r="P44" s="127">
        <f>ROUND($B$5*$B$11*$B$14*$B$16*$B$19*$B$22*$B$24,0)</f>
        <v/>
      </c>
      <c r="Q44" s="127">
        <f>ROUND($B$5*$B$11*$B$14*$B$16*$B$19*$B$22*$B$25,0)</f>
        <v/>
      </c>
      <c r="R44" s="127">
        <f>ROUND($B$5*$B$11*$B$14*$B$16*$B$19*$B$23*$B$24,0)</f>
        <v/>
      </c>
      <c r="S44" s="127">
        <f>ROUND($B$5*$B$11*$B$14*$B$16*$B$19*$B$23*$B$25,0)</f>
        <v/>
      </c>
      <c r="T44" s="127">
        <f>ROUND($B$5*$B$11*$B$14*$B$16*$B$20*$B$22*$B$24,0)</f>
        <v/>
      </c>
      <c r="U44" s="127">
        <f>ROUND($B$5*$B$11*$B$14*$B$16*$B$20*$B$22*$B$25,0)</f>
        <v/>
      </c>
      <c r="V44" s="127">
        <f>ROUND($B$5*$B$11*$B$14*$B$16*$B$20*$B$23*$B$24,0)</f>
        <v/>
      </c>
      <c r="W44" s="127">
        <f>ROUND($B$5*$B$11*$B$14*$B$16*$B$20*$B$23*$B$25,0)</f>
        <v/>
      </c>
      <c r="X44" s="127">
        <f>ROUND($B$5*$B$11*$B$14*$B$16*$B$21*$B$22*$B$24,0)</f>
        <v/>
      </c>
      <c r="Y44" s="127">
        <f>ROUND($B$5*$B$11*$B$14*$B$16*$B$21*$B$22*$B$25,0)</f>
        <v/>
      </c>
      <c r="Z44" s="127">
        <f>ROUND($B$5*$B$11*$B$14*$B$16*$B$21*$B$23*$B$24,0)</f>
        <v/>
      </c>
      <c r="AA44" s="127">
        <f>ROUND($B$5*$B$11*$B$14*$B$16*$B$21*$B$23*$B$25,0)</f>
        <v/>
      </c>
      <c r="AB44" s="127">
        <f>ROUND($B$6*$B$11*$B$14*$B$16*$B$19*$B$22*$B$24,0)</f>
        <v/>
      </c>
      <c r="AC44" s="127">
        <f>ROUND($B$6*$B$11*$B$14*$B$16*$B$19*$B$22*$B$25,0)</f>
        <v/>
      </c>
      <c r="AD44" s="127">
        <f>ROUND($B$6*$B$11*$B$14*$B$16*$B$19*$B$23*$B$24,0)</f>
        <v/>
      </c>
      <c r="AE44" s="127">
        <f>ROUND($B$6*$B$11*$B$14*$B$16*$B$19*$B$23*$B$25,0)</f>
        <v/>
      </c>
      <c r="AF44" s="127">
        <f>ROUND($B$6*$B$11*$B$14*$B$16*$B$20*$B$22*$B$24,0)</f>
        <v/>
      </c>
      <c r="AG44" s="127">
        <f>ROUND($B$6*$B$11*$B$14*$B$16*$B$20*$B$22*$B$25,0)</f>
        <v/>
      </c>
      <c r="AH44" s="127">
        <f>ROUND($B$6*$B$11*$B$14*$B$16*$B$20*$B$23*$B$24,0)</f>
        <v/>
      </c>
      <c r="AI44" s="127">
        <f>ROUND($B$6*$B$11*$B$14*$B$16*$B$20*$B$23*$B$25,0)</f>
        <v/>
      </c>
      <c r="AJ44" s="127">
        <f>ROUND($B$6*$B$11*$B$14*$B$16*$B$21*$B$22*$B$24,0)</f>
        <v/>
      </c>
      <c r="AK44" s="127">
        <f>ROUND($B$6*$B$11*$B$14*$B$16*$B$21*$B$22*$B$25,0)</f>
        <v/>
      </c>
      <c r="AL44" s="127">
        <f>ROUND($B$6*$B$11*$B$14*$B$16*$B$21*$B$23*$B$24,0)</f>
        <v/>
      </c>
      <c r="AM44" s="127">
        <f>ROUND($B$6*$B$11*$B$14*$B$16*$B$21*$B$23*$B$25,0)</f>
        <v/>
      </c>
      <c r="AN44" s="127">
        <f>ROUND($B$7*$B$11*$B$14*$B$16*$B$19*$B$22*$B$24,0)</f>
        <v/>
      </c>
      <c r="AO44" s="127">
        <f>ROUND($B$7*$B$11*$B$14*$B$16*$B$19*$B$22*$B$25,0)</f>
        <v/>
      </c>
      <c r="AP44" s="127">
        <f>ROUND($B$7*$B$11*$B$14*$B$16*$B$19*$B$23*$B$24,0)</f>
        <v/>
      </c>
      <c r="AQ44" s="127">
        <f>ROUND($B$7*$B$11*$B$14*$B$16*$B$19*$B$23*$B$25,0)</f>
        <v/>
      </c>
      <c r="AR44" s="127">
        <f>ROUND($B$7*$B$11*$B$14*$B$16*$B$20*$B$22*$B$24,0)</f>
        <v/>
      </c>
      <c r="AS44" s="127">
        <f>ROUND($B$7*$B$11*$B$14*$B$16*$B$20*$B$22*$B$25,0)</f>
        <v/>
      </c>
      <c r="AT44" s="127">
        <f>ROUND($B$7*$B$11*$B$14*$B$16*$B$20*$B$23*$B$24,0)</f>
        <v/>
      </c>
      <c r="AU44" s="127">
        <f>ROUND($B$7*$B$11*$B$14*$B$16*$B$20*$B$23*$B$25,0)</f>
        <v/>
      </c>
      <c r="AV44" s="127">
        <f>ROUND($B$7*$B$11*$B$14*$B$16*$B$21*$B$22*$B$24,0)</f>
        <v/>
      </c>
      <c r="AW44" s="127">
        <f>ROUND($B$7*$B$11*$B$14*$B$16*$B$21*$B$22*$B$25,0)</f>
        <v/>
      </c>
      <c r="AX44" s="127">
        <f>ROUND($B$7*$B$11*$B$14*$B$16*$B$21*$B$23*$B$24,0)</f>
        <v/>
      </c>
      <c r="AY44" s="127">
        <f>ROUND($B$7*$B$11*$B$14*$B$16*$B$21*$B$23*$B$25,0)</f>
        <v/>
      </c>
      <c r="AZ44" s="128">
        <f>ROUND($B$8*$B$11*$B$14*$B$16*$B$19*$B$22*$B$24,0)</f>
        <v/>
      </c>
      <c r="BA44" s="128">
        <f>ROUND($B$8*$B$11*$B$14*$B$16*$B$19*$B$22*$B$25,0)</f>
        <v/>
      </c>
      <c r="BB44" s="128">
        <f>ROUND($B$8*$B$11*$B$14*$B$16*$B$19*$B$23*$B$24,0)</f>
        <v/>
      </c>
      <c r="BC44" s="128">
        <f>ROUND($B$8*$B$11*$B$14*$B$16*$B$19*$B$23*$B$25,0)</f>
        <v/>
      </c>
      <c r="BD44" s="128">
        <f>ROUND($B$8*$B$11*$B$14*$B$16*$B$20*$B$22*$B$24,0)</f>
        <v/>
      </c>
      <c r="BE44" s="128">
        <f>ROUND($B$8*$B$11*$B$14*$B$16*$B$20*$B$22*$B$25,0)</f>
        <v/>
      </c>
      <c r="BF44" s="128">
        <f>ROUND($B$8*$B$11*$B$14*$B$16*$B$20*$B$23*$B$24,0)</f>
        <v/>
      </c>
      <c r="BG44" s="128">
        <f>ROUND($B$8*$B$11*$B$14*$B$16*$B$20*$B$23*$B$25,0)</f>
        <v/>
      </c>
      <c r="BH44" s="128">
        <f>ROUND($B$8*$B$11*$B$14*$B$16*$B$21*$B$22*$B$24,0)</f>
        <v/>
      </c>
      <c r="BI44" s="128">
        <f>ROUND($B$8*$B$11*$B$14*$B$16*$B$21*$B$22*$B$25,0)</f>
        <v/>
      </c>
      <c r="BJ44" s="128">
        <f>ROUND($B$8*$B$11*$B$14*$B$16*$B$21*$B$23*$B$24,0)</f>
        <v/>
      </c>
      <c r="BK44" s="128">
        <f>ROUND($B$8*$B$11*$B$14*$B$16*$B$21*$B$23*$B$25,0)</f>
        <v/>
      </c>
    </row>
    <row r="45" ht="20" customHeight="1" s="62">
      <c r="C45" s="125" t="inlineStr">
        <is>
          <t>Technologie API</t>
        </is>
      </c>
      <c r="D45" s="127">
        <f>ROUND($B$4*$B$11*$B$14*$B$17*$B$19*$B$22*$B$24,0)</f>
        <v/>
      </c>
      <c r="E45" s="127">
        <f>ROUND($B$4*$B$11*$B$14*$B$17*$B$19*$B$22*$B$25,0)</f>
        <v/>
      </c>
      <c r="F45" s="127">
        <f>ROUND($B$4*$B$11*$B$14*$B$17*$B$19*$B$23*$B$24,0)</f>
        <v/>
      </c>
      <c r="G45" s="127">
        <f>ROUND($B$4*$B$11*$B$14*$B$17*$B$19*$B$23*$B$25,0)</f>
        <v/>
      </c>
      <c r="H45" s="127">
        <f>ROUND($B$4*$B$11*$B$14*$B$17*$B$20*$B$22*$B$24,0)</f>
        <v/>
      </c>
      <c r="I45" s="127">
        <f>ROUND($B$4*$B$11*$B$14*$B$17*$B$20*$B$22*$B$25,0)</f>
        <v/>
      </c>
      <c r="J45" s="127">
        <f>ROUND($B$4*$B$11*$B$14*$B$17*$B$20*$B$23*$B$24,0)</f>
        <v/>
      </c>
      <c r="K45" s="127">
        <f>ROUND($B$4*$B$11*$B$14*$B$17*$B$20*$B$23*$B$25,0)</f>
        <v/>
      </c>
      <c r="L45" s="127">
        <f>ROUND($B$4*$B$11*$B$14*$B$17*$B$21*$B$22*$B$24,0)</f>
        <v/>
      </c>
      <c r="M45" s="127">
        <f>ROUND($B$4*$B$11*$B$14*$B$17*$B$21*$B$22*$B$25,0)</f>
        <v/>
      </c>
      <c r="N45" s="127">
        <f>ROUND($B$4*$B$11*$B$14*$B$17*$B$21*$B$23*$B$24,0)</f>
        <v/>
      </c>
      <c r="O45" s="127">
        <f>ROUND($B$4*$B$11*$B$14*$B$17*$B$21*$B$23*$B$25,0)</f>
        <v/>
      </c>
      <c r="P45" s="127">
        <f>ROUND($B$5*$B$11*$B$14*$B$17*$B$19*$B$22*$B$24,0)</f>
        <v/>
      </c>
      <c r="Q45" s="127">
        <f>ROUND($B$5*$B$11*$B$14*$B$17*$B$19*$B$22*$B$25,0)</f>
        <v/>
      </c>
      <c r="R45" s="127">
        <f>ROUND($B$5*$B$11*$B$14*$B$17*$B$19*$B$23*$B$24,0)</f>
        <v/>
      </c>
      <c r="S45" s="127">
        <f>ROUND($B$5*$B$11*$B$14*$B$17*$B$19*$B$23*$B$25,0)</f>
        <v/>
      </c>
      <c r="T45" s="127">
        <f>ROUND($B$5*$B$11*$B$14*$B$17*$B$20*$B$22*$B$24,0)</f>
        <v/>
      </c>
      <c r="U45" s="127">
        <f>ROUND($B$5*$B$11*$B$14*$B$17*$B$20*$B$22*$B$25,0)</f>
        <v/>
      </c>
      <c r="V45" s="127">
        <f>ROUND($B$5*$B$11*$B$14*$B$17*$B$20*$B$23*$B$24,0)</f>
        <v/>
      </c>
      <c r="W45" s="127">
        <f>ROUND($B$5*$B$11*$B$14*$B$17*$B$20*$B$23*$B$25,0)</f>
        <v/>
      </c>
      <c r="X45" s="127">
        <f>ROUND($B$5*$B$11*$B$14*$B$17*$B$21*$B$22*$B$24,0)</f>
        <v/>
      </c>
      <c r="Y45" s="127">
        <f>ROUND($B$5*$B$11*$B$14*$B$17*$B$21*$B$22*$B$25,0)</f>
        <v/>
      </c>
      <c r="Z45" s="127">
        <f>ROUND($B$5*$B$11*$B$14*$B$17*$B$21*$B$23*$B$24,0)</f>
        <v/>
      </c>
      <c r="AA45" s="127">
        <f>ROUND($B$5*$B$11*$B$14*$B$17*$B$21*$B$23*$B$25,0)</f>
        <v/>
      </c>
      <c r="AB45" s="127">
        <f>ROUND($B$6*$B$11*$B$14*$B$17*$B$19*$B$22*$B$24,0)</f>
        <v/>
      </c>
      <c r="AC45" s="127">
        <f>ROUND($B$6*$B$11*$B$14*$B$17*$B$19*$B$22*$B$25,0)</f>
        <v/>
      </c>
      <c r="AD45" s="127">
        <f>ROUND($B$6*$B$11*$B$14*$B$17*$B$19*$B$23*$B$24,0)</f>
        <v/>
      </c>
      <c r="AE45" s="127">
        <f>ROUND($B$6*$B$11*$B$14*$B$17*$B$19*$B$23*$B$25,0)</f>
        <v/>
      </c>
      <c r="AF45" s="127">
        <f>ROUND($B$6*$B$11*$B$14*$B$17*$B$20*$B$22*$B$24,0)</f>
        <v/>
      </c>
      <c r="AG45" s="127">
        <f>ROUND($B$6*$B$11*$B$14*$B$17*$B$20*$B$22*$B$25,0)</f>
        <v/>
      </c>
      <c r="AH45" s="127">
        <f>ROUND($B$6*$B$11*$B$14*$B$17*$B$20*$B$23*$B$24,0)</f>
        <v/>
      </c>
      <c r="AI45" s="127">
        <f>ROUND($B$6*$B$11*$B$14*$B$17*$B$20*$B$23*$B$25,0)</f>
        <v/>
      </c>
      <c r="AJ45" s="127">
        <f>ROUND($B$6*$B$11*$B$14*$B$17*$B$21*$B$22*$B$24,0)</f>
        <v/>
      </c>
      <c r="AK45" s="127">
        <f>ROUND($B$6*$B$11*$B$14*$B$17*$B$21*$B$22*$B$25,0)</f>
        <v/>
      </c>
      <c r="AL45" s="127">
        <f>ROUND($B$6*$B$11*$B$14*$B$17*$B$21*$B$23*$B$24,0)</f>
        <v/>
      </c>
      <c r="AM45" s="127">
        <f>ROUND($B$6*$B$11*$B$14*$B$17*$B$21*$B$23*$B$25,0)</f>
        <v/>
      </c>
      <c r="AN45" s="127">
        <f>ROUND($B$7*$B$11*$B$14*$B$17*$B$19*$B$22*$B$24,0)</f>
        <v/>
      </c>
      <c r="AO45" s="127">
        <f>ROUND($B$7*$B$11*$B$14*$B$17*$B$19*$B$22*$B$25,0)</f>
        <v/>
      </c>
      <c r="AP45" s="127">
        <f>ROUND($B$7*$B$11*$B$14*$B$17*$B$19*$B$23*$B$24,0)</f>
        <v/>
      </c>
      <c r="AQ45" s="127">
        <f>ROUND($B$7*$B$11*$B$14*$B$17*$B$19*$B$23*$B$25,0)</f>
        <v/>
      </c>
      <c r="AR45" s="127">
        <f>ROUND($B$7*$B$11*$B$14*$B$17*$B$20*$B$22*$B$24,0)</f>
        <v/>
      </c>
      <c r="AS45" s="127">
        <f>ROUND($B$7*$B$11*$B$14*$B$17*$B$20*$B$22*$B$25,0)</f>
        <v/>
      </c>
      <c r="AT45" s="127">
        <f>ROUND($B$7*$B$11*$B$14*$B$17*$B$20*$B$23*$B$24,0)</f>
        <v/>
      </c>
      <c r="AU45" s="127">
        <f>ROUND($B$7*$B$11*$B$14*$B$17*$B$20*$B$23*$B$25,0)</f>
        <v/>
      </c>
      <c r="AV45" s="127">
        <f>ROUND($B$7*$B$11*$B$14*$B$17*$B$21*$B$22*$B$24,0)</f>
        <v/>
      </c>
      <c r="AW45" s="127">
        <f>ROUND($B$7*$B$11*$B$14*$B$17*$B$21*$B$22*$B$25,0)</f>
        <v/>
      </c>
      <c r="AX45" s="127">
        <f>ROUND($B$7*$B$11*$B$14*$B$17*$B$21*$B$23*$B$24,0)</f>
        <v/>
      </c>
      <c r="AY45" s="127">
        <f>ROUND($B$7*$B$11*$B$14*$B$17*$B$21*$B$23*$B$25,0)</f>
        <v/>
      </c>
      <c r="AZ45" s="128">
        <f>ROUND($B$8*$B$11*$B$14*$B$17*$B$19*$B$22*$B$24,0)</f>
        <v/>
      </c>
      <c r="BA45" s="128">
        <f>ROUND($B$8*$B$11*$B$14*$B$17*$B$19*$B$22*$B$25,0)</f>
        <v/>
      </c>
      <c r="BB45" s="128">
        <f>ROUND($B$8*$B$11*$B$14*$B$17*$B$19*$B$23*$B$24,0)</f>
        <v/>
      </c>
      <c r="BC45" s="128">
        <f>ROUND($B$8*$B$11*$B$14*$B$17*$B$19*$B$23*$B$25,0)</f>
        <v/>
      </c>
      <c r="BD45" s="128">
        <f>ROUND($B$8*$B$11*$B$14*$B$17*$B$20*$B$22*$B$24,0)</f>
        <v/>
      </c>
      <c r="BE45" s="128">
        <f>ROUND($B$8*$B$11*$B$14*$B$17*$B$20*$B$22*$B$25,0)</f>
        <v/>
      </c>
      <c r="BF45" s="128">
        <f>ROUND($B$8*$B$11*$B$14*$B$17*$B$20*$B$23*$B$24,0)</f>
        <v/>
      </c>
      <c r="BG45" s="128">
        <f>ROUND($B$8*$B$11*$B$14*$B$17*$B$20*$B$23*$B$25,0)</f>
        <v/>
      </c>
      <c r="BH45" s="128">
        <f>ROUND($B$8*$B$11*$B$14*$B$17*$B$21*$B$22*$B$24,0)</f>
        <v/>
      </c>
      <c r="BI45" s="128">
        <f>ROUND($B$8*$B$11*$B$14*$B$17*$B$21*$B$22*$B$25,0)</f>
        <v/>
      </c>
      <c r="BJ45" s="128">
        <f>ROUND($B$8*$B$11*$B$14*$B$17*$B$21*$B$23*$B$24,0)</f>
        <v/>
      </c>
      <c r="BK45" s="128">
        <f>ROUND($B$8*$B$11*$B$14*$B$17*$B$21*$B$23*$B$25,0)</f>
        <v/>
      </c>
    </row>
    <row r="46" ht="20" customHeight="1" s="62">
      <c r="C46" s="129" t="inlineStr">
        <is>
          <t>Technologie développement</t>
        </is>
      </c>
      <c r="D46" s="127">
        <f>ROUND($B$4*$B$11*$B$14*$B$18*$B$19*$B$22*$B$24,0)</f>
        <v/>
      </c>
      <c r="E46" s="127">
        <f>ROUND($B$4*$B$11*$B$14*$B$18*$B$19*$B$22*$B$25,0)</f>
        <v/>
      </c>
      <c r="F46" s="127">
        <f>ROUND($B$4*$B$11*$B$14*$B$18*$B$19*$B$23*$B$24,0)</f>
        <v/>
      </c>
      <c r="G46" s="127">
        <f>ROUND($B$4*$B$11*$B$14*$B$18*$B$19*$B$23*$B$25,0)</f>
        <v/>
      </c>
      <c r="H46" s="127">
        <f>ROUND($B$4*$B$11*$B$14*$B$18*$B$20*$B$22*$B$24,0)</f>
        <v/>
      </c>
      <c r="I46" s="127">
        <f>ROUND($B$4*$B$11*$B$14*$B$18*$B$20*$B$22*$B$25,0)</f>
        <v/>
      </c>
      <c r="J46" s="127">
        <f>ROUND($B$4*$B$11*$B$14*$B$18*$B$20*$B$23*$B$24,0)</f>
        <v/>
      </c>
      <c r="K46" s="127">
        <f>ROUND($B$4*$B$11*$B$14*$B$18*$B$20*$B$23*$B$25,0)</f>
        <v/>
      </c>
      <c r="L46" s="127">
        <f>ROUND($B$4*$B$11*$B$14*$B$18*$B$21*$B$22*$B$24,0)</f>
        <v/>
      </c>
      <c r="M46" s="127">
        <f>ROUND($B$4*$B$11*$B$14*$B$18*$B$21*$B$22*$B$25,0)</f>
        <v/>
      </c>
      <c r="N46" s="127">
        <f>ROUND($B$4*$B$11*$B$14*$B$18*$B$21*$B$23*$B$24,0)</f>
        <v/>
      </c>
      <c r="O46" s="127">
        <f>ROUND($B$4*$B$11*$B$14*$B$18*$B$21*$B$23*$B$25,0)</f>
        <v/>
      </c>
      <c r="P46" s="127">
        <f>ROUND($B$5*$B$11*$B$14*$B$18*$B$19*$B$22*$B$24,0)</f>
        <v/>
      </c>
      <c r="Q46" s="127">
        <f>ROUND($B$5*$B$11*$B$14*$B$18*$B$19*$B$22*$B$25,0)</f>
        <v/>
      </c>
      <c r="R46" s="127">
        <f>ROUND($B$5*$B$11*$B$14*$B$18*$B$19*$B$23*$B$24,0)</f>
        <v/>
      </c>
      <c r="S46" s="127">
        <f>ROUND($B$5*$B$11*$B$14*$B$18*$B$19*$B$23*$B$25,0)</f>
        <v/>
      </c>
      <c r="T46" s="127">
        <f>ROUND($B$5*$B$11*$B$14*$B$18*$B$20*$B$22*$B$24,0)</f>
        <v/>
      </c>
      <c r="U46" s="127">
        <f>ROUND($B$5*$B$11*$B$14*$B$18*$B$20*$B$22*$B$25,0)</f>
        <v/>
      </c>
      <c r="V46" s="127">
        <f>ROUND($B$5*$B$11*$B$14*$B$18*$B$20*$B$23*$B$24,0)</f>
        <v/>
      </c>
      <c r="W46" s="127">
        <f>ROUND($B$5*$B$11*$B$14*$B$18*$B$20*$B$23*$B$25,0)</f>
        <v/>
      </c>
      <c r="X46" s="127">
        <f>ROUND($B$5*$B$11*$B$14*$B$18*$B$21*$B$22*$B$24,0)</f>
        <v/>
      </c>
      <c r="Y46" s="127">
        <f>ROUND($B$5*$B$11*$B$14*$B$18*$B$21*$B$22*$B$25,0)</f>
        <v/>
      </c>
      <c r="Z46" s="127">
        <f>ROUND($B$5*$B$11*$B$14*$B$18*$B$21*$B$23*$B$24,0)</f>
        <v/>
      </c>
      <c r="AA46" s="127">
        <f>ROUND($B$5*$B$11*$B$14*$B$18*$B$21*$B$23*$B$25,0)</f>
        <v/>
      </c>
      <c r="AB46" s="127">
        <f>ROUND($B$6*$B$11*$B$14*$B$18*$B$19*$B$22*$B$24,0)</f>
        <v/>
      </c>
      <c r="AC46" s="127">
        <f>ROUND($B$6*$B$11*$B$14*$B$18*$B$19*$B$22*$B$25,0)</f>
        <v/>
      </c>
      <c r="AD46" s="127">
        <f>ROUND($B$6*$B$11*$B$14*$B$18*$B$19*$B$23*$B$24,0)</f>
        <v/>
      </c>
      <c r="AE46" s="127">
        <f>ROUND($B$6*$B$11*$B$14*$B$18*$B$19*$B$23*$B$25,0)</f>
        <v/>
      </c>
      <c r="AF46" s="127">
        <f>ROUND($B$6*$B$11*$B$14*$B$18*$B$20*$B$22*$B$24,0)</f>
        <v/>
      </c>
      <c r="AG46" s="127">
        <f>ROUND($B$6*$B$11*$B$14*$B$18*$B$20*$B$22*$B$25,0)</f>
        <v/>
      </c>
      <c r="AH46" s="127">
        <f>ROUND($B$6*$B$11*$B$14*$B$18*$B$20*$B$23*$B$24,0)</f>
        <v/>
      </c>
      <c r="AI46" s="127">
        <f>ROUND($B$6*$B$11*$B$14*$B$18*$B$20*$B$23*$B$25,0)</f>
        <v/>
      </c>
      <c r="AJ46" s="127">
        <f>ROUND($B$6*$B$11*$B$14*$B$18*$B$21*$B$22*$B$24,0)</f>
        <v/>
      </c>
      <c r="AK46" s="127">
        <f>ROUND($B$6*$B$11*$B$14*$B$18*$B$21*$B$22*$B$25,0)</f>
        <v/>
      </c>
      <c r="AL46" s="127">
        <f>ROUND($B$6*$B$11*$B$14*$B$18*$B$21*$B$23*$B$24,0)</f>
        <v/>
      </c>
      <c r="AM46" s="127">
        <f>ROUND($B$6*$B$11*$B$14*$B$18*$B$21*$B$23*$B$25,0)</f>
        <v/>
      </c>
      <c r="AN46" s="127">
        <f>ROUND($B$7*$B$11*$B$14*$B$18*$B$19*$B$22*$B$24,0)</f>
        <v/>
      </c>
      <c r="AO46" s="127">
        <f>ROUND($B$7*$B$11*$B$14*$B$18*$B$19*$B$22*$B$25,0)</f>
        <v/>
      </c>
      <c r="AP46" s="127">
        <f>ROUND($B$7*$B$11*$B$14*$B$18*$B$19*$B$23*$B$24,0)</f>
        <v/>
      </c>
      <c r="AQ46" s="127">
        <f>ROUND($B$7*$B$11*$B$14*$B$18*$B$19*$B$23*$B$25,0)</f>
        <v/>
      </c>
      <c r="AR46" s="127">
        <f>ROUND($B$7*$B$11*$B$14*$B$18*$B$20*$B$22*$B$24,0)</f>
        <v/>
      </c>
      <c r="AS46" s="127">
        <f>ROUND($B$7*$B$11*$B$14*$B$18*$B$20*$B$22*$B$25,0)</f>
        <v/>
      </c>
      <c r="AT46" s="127">
        <f>ROUND($B$7*$B$11*$B$14*$B$18*$B$20*$B$23*$B$24,0)</f>
        <v/>
      </c>
      <c r="AU46" s="127">
        <f>ROUND($B$7*$B$11*$B$14*$B$18*$B$20*$B$23*$B$25,0)</f>
        <v/>
      </c>
      <c r="AV46" s="127">
        <f>ROUND($B$7*$B$11*$B$14*$B$18*$B$21*$B$22*$B$24,0)</f>
        <v/>
      </c>
      <c r="AW46" s="127">
        <f>ROUND($B$7*$B$11*$B$14*$B$18*$B$21*$B$22*$B$25,0)</f>
        <v/>
      </c>
      <c r="AX46" s="127">
        <f>ROUND($B$7*$B$11*$B$14*$B$18*$B$21*$B$23*$B$24,0)</f>
        <v/>
      </c>
      <c r="AY46" s="127">
        <f>ROUND($B$7*$B$11*$B$14*$B$18*$B$21*$B$23*$B$25,0)</f>
        <v/>
      </c>
      <c r="AZ46" s="128">
        <f>ROUND($B$8*$B$11*$B$14*$B$18*$B$19*$B$22*$B$24,0)</f>
        <v/>
      </c>
      <c r="BA46" s="128">
        <f>ROUND($B$8*$B$11*$B$14*$B$18*$B$19*$B$22*$B$25,0)</f>
        <v/>
      </c>
      <c r="BB46" s="128">
        <f>ROUND($B$8*$B$11*$B$14*$B$18*$B$19*$B$23*$B$24,0)</f>
        <v/>
      </c>
      <c r="BC46" s="128">
        <f>ROUND($B$8*$B$11*$B$14*$B$18*$B$19*$B$23*$B$25,0)</f>
        <v/>
      </c>
      <c r="BD46" s="128">
        <f>ROUND($B$8*$B$11*$B$14*$B$18*$B$20*$B$22*$B$24,0)</f>
        <v/>
      </c>
      <c r="BE46" s="128">
        <f>ROUND($B$8*$B$11*$B$14*$B$18*$B$20*$B$22*$B$25,0)</f>
        <v/>
      </c>
      <c r="BF46" s="128">
        <f>ROUND($B$8*$B$11*$B$14*$B$18*$B$20*$B$23*$B$24,0)</f>
        <v/>
      </c>
      <c r="BG46" s="128">
        <f>ROUND($B$8*$B$11*$B$14*$B$18*$B$20*$B$23*$B$25,0)</f>
        <v/>
      </c>
      <c r="BH46" s="128">
        <f>ROUND($B$8*$B$11*$B$14*$B$18*$B$21*$B$22*$B$24,0)</f>
        <v/>
      </c>
      <c r="BI46" s="128">
        <f>ROUND($B$8*$B$11*$B$14*$B$18*$B$21*$B$22*$B$25,0)</f>
        <v/>
      </c>
      <c r="BJ46" s="128">
        <f>ROUND($B$8*$B$11*$B$14*$B$18*$B$21*$B$23*$B$24,0)</f>
        <v/>
      </c>
      <c r="BK46" s="128">
        <f>ROUND($B$8*$B$11*$B$14*$B$18*$B$21*$B$23*$B$25,0)</f>
        <v/>
      </c>
    </row>
    <row r="47" ht="20" customHeight="1" s="62">
      <c r="B47" s="125" t="inlineStr">
        <is>
          <t>6+ outils connectés</t>
        </is>
      </c>
      <c r="C47" s="126" t="inlineStr">
        <is>
          <t>Technologie no-code</t>
        </is>
      </c>
      <c r="D47" s="127">
        <f>ROUND($B$4*$B$11*$B$15*$B$16*$B$19*$B$22*$B$24,0)</f>
        <v/>
      </c>
      <c r="E47" s="127">
        <f>ROUND($B$4*$B$11*$B$15*$B$16*$B$19*$B$22*$B$25,0)</f>
        <v/>
      </c>
      <c r="F47" s="127">
        <f>ROUND($B$4*$B$11*$B$15*$B$16*$B$19*$B$23*$B$24,0)</f>
        <v/>
      </c>
      <c r="G47" s="127">
        <f>ROUND($B$4*$B$11*$B$15*$B$16*$B$19*$B$23*$B$25,0)</f>
        <v/>
      </c>
      <c r="H47" s="127">
        <f>ROUND($B$4*$B$11*$B$15*$B$16*$B$20*$B$22*$B$24,0)</f>
        <v/>
      </c>
      <c r="I47" s="127">
        <f>ROUND($B$4*$B$11*$B$15*$B$16*$B$20*$B$22*$B$25,0)</f>
        <v/>
      </c>
      <c r="J47" s="127">
        <f>ROUND($B$4*$B$11*$B$15*$B$16*$B$20*$B$23*$B$24,0)</f>
        <v/>
      </c>
      <c r="K47" s="127">
        <f>ROUND($B$4*$B$11*$B$15*$B$16*$B$20*$B$23*$B$25,0)</f>
        <v/>
      </c>
      <c r="L47" s="127">
        <f>ROUND($B$4*$B$11*$B$15*$B$16*$B$21*$B$22*$B$24,0)</f>
        <v/>
      </c>
      <c r="M47" s="127">
        <f>ROUND($B$4*$B$11*$B$15*$B$16*$B$21*$B$22*$B$25,0)</f>
        <v/>
      </c>
      <c r="N47" s="127">
        <f>ROUND($B$4*$B$11*$B$15*$B$16*$B$21*$B$23*$B$24,0)</f>
        <v/>
      </c>
      <c r="O47" s="127">
        <f>ROUND($B$4*$B$11*$B$15*$B$16*$B$21*$B$23*$B$25,0)</f>
        <v/>
      </c>
      <c r="P47" s="127">
        <f>ROUND($B$5*$B$11*$B$15*$B$16*$B$19*$B$22*$B$24,0)</f>
        <v/>
      </c>
      <c r="Q47" s="127">
        <f>ROUND($B$5*$B$11*$B$15*$B$16*$B$19*$B$22*$B$25,0)</f>
        <v/>
      </c>
      <c r="R47" s="127">
        <f>ROUND($B$5*$B$11*$B$15*$B$16*$B$19*$B$23*$B$24,0)</f>
        <v/>
      </c>
      <c r="S47" s="127">
        <f>ROUND($B$5*$B$11*$B$15*$B$16*$B$19*$B$23*$B$25,0)</f>
        <v/>
      </c>
      <c r="T47" s="127">
        <f>ROUND($B$5*$B$11*$B$15*$B$16*$B$20*$B$22*$B$24,0)</f>
        <v/>
      </c>
      <c r="U47" s="127">
        <f>ROUND($B$5*$B$11*$B$15*$B$16*$B$20*$B$22*$B$25,0)</f>
        <v/>
      </c>
      <c r="V47" s="127">
        <f>ROUND($B$5*$B$11*$B$15*$B$16*$B$20*$B$23*$B$24,0)</f>
        <v/>
      </c>
      <c r="W47" s="127">
        <f>ROUND($B$5*$B$11*$B$15*$B$16*$B$20*$B$23*$B$25,0)</f>
        <v/>
      </c>
      <c r="X47" s="127">
        <f>ROUND($B$5*$B$11*$B$15*$B$16*$B$21*$B$22*$B$24,0)</f>
        <v/>
      </c>
      <c r="Y47" s="127">
        <f>ROUND($B$5*$B$11*$B$15*$B$16*$B$21*$B$22*$B$25,0)</f>
        <v/>
      </c>
      <c r="Z47" s="127">
        <f>ROUND($B$5*$B$11*$B$15*$B$16*$B$21*$B$23*$B$24,0)</f>
        <v/>
      </c>
      <c r="AA47" s="127">
        <f>ROUND($B$5*$B$11*$B$15*$B$16*$B$21*$B$23*$B$25,0)</f>
        <v/>
      </c>
      <c r="AB47" s="127">
        <f>ROUND($B$6*$B$11*$B$15*$B$16*$B$19*$B$22*$B$24,0)</f>
        <v/>
      </c>
      <c r="AC47" s="127">
        <f>ROUND($B$6*$B$11*$B$15*$B$16*$B$19*$B$22*$B$25,0)</f>
        <v/>
      </c>
      <c r="AD47" s="127">
        <f>ROUND($B$6*$B$11*$B$15*$B$16*$B$19*$B$23*$B$24,0)</f>
        <v/>
      </c>
      <c r="AE47" s="127">
        <f>ROUND($B$6*$B$11*$B$15*$B$16*$B$19*$B$23*$B$25,0)</f>
        <v/>
      </c>
      <c r="AF47" s="127">
        <f>ROUND($B$6*$B$11*$B$15*$B$16*$B$20*$B$22*$B$24,0)</f>
        <v/>
      </c>
      <c r="AG47" s="127">
        <f>ROUND($B$6*$B$11*$B$15*$B$16*$B$20*$B$22*$B$25,0)</f>
        <v/>
      </c>
      <c r="AH47" s="127">
        <f>ROUND($B$6*$B$11*$B$15*$B$16*$B$20*$B$23*$B$24,0)</f>
        <v/>
      </c>
      <c r="AI47" s="127">
        <f>ROUND($B$6*$B$11*$B$15*$B$16*$B$20*$B$23*$B$25,0)</f>
        <v/>
      </c>
      <c r="AJ47" s="127">
        <f>ROUND($B$6*$B$11*$B$15*$B$16*$B$21*$B$22*$B$24,0)</f>
        <v/>
      </c>
      <c r="AK47" s="127">
        <f>ROUND($B$6*$B$11*$B$15*$B$16*$B$21*$B$22*$B$25,0)</f>
        <v/>
      </c>
      <c r="AL47" s="127">
        <f>ROUND($B$6*$B$11*$B$15*$B$16*$B$21*$B$23*$B$24,0)</f>
        <v/>
      </c>
      <c r="AM47" s="127">
        <f>ROUND($B$6*$B$11*$B$15*$B$16*$B$21*$B$23*$B$25,0)</f>
        <v/>
      </c>
      <c r="AN47" s="127">
        <f>ROUND($B$7*$B$11*$B$15*$B$16*$B$19*$B$22*$B$24,0)</f>
        <v/>
      </c>
      <c r="AO47" s="127">
        <f>ROUND($B$7*$B$11*$B$15*$B$16*$B$19*$B$22*$B$25,0)</f>
        <v/>
      </c>
      <c r="AP47" s="127">
        <f>ROUND($B$7*$B$11*$B$15*$B$16*$B$19*$B$23*$B$24,0)</f>
        <v/>
      </c>
      <c r="AQ47" s="127">
        <f>ROUND($B$7*$B$11*$B$15*$B$16*$B$19*$B$23*$B$25,0)</f>
        <v/>
      </c>
      <c r="AR47" s="127">
        <f>ROUND($B$7*$B$11*$B$15*$B$16*$B$20*$B$22*$B$24,0)</f>
        <v/>
      </c>
      <c r="AS47" s="127">
        <f>ROUND($B$7*$B$11*$B$15*$B$16*$B$20*$B$22*$B$25,0)</f>
        <v/>
      </c>
      <c r="AT47" s="127">
        <f>ROUND($B$7*$B$11*$B$15*$B$16*$B$20*$B$23*$B$24,0)</f>
        <v/>
      </c>
      <c r="AU47" s="127">
        <f>ROUND($B$7*$B$11*$B$15*$B$16*$B$20*$B$23*$B$25,0)</f>
        <v/>
      </c>
      <c r="AV47" s="127">
        <f>ROUND($B$7*$B$11*$B$15*$B$16*$B$21*$B$22*$B$24,0)</f>
        <v/>
      </c>
      <c r="AW47" s="127">
        <f>ROUND($B$7*$B$11*$B$15*$B$16*$B$21*$B$22*$B$25,0)</f>
        <v/>
      </c>
      <c r="AX47" s="127">
        <f>ROUND($B$7*$B$11*$B$15*$B$16*$B$21*$B$23*$B$24,0)</f>
        <v/>
      </c>
      <c r="AY47" s="127">
        <f>ROUND($B$7*$B$11*$B$15*$B$16*$B$21*$B$23*$B$25,0)</f>
        <v/>
      </c>
      <c r="AZ47" s="128">
        <f>ROUND($B$8*$B$11*$B$15*$B$16*$B$19*$B$22*$B$24,0)</f>
        <v/>
      </c>
      <c r="BA47" s="128">
        <f>ROUND($B$8*$B$11*$B$15*$B$16*$B$19*$B$22*$B$25,0)</f>
        <v/>
      </c>
      <c r="BB47" s="128">
        <f>ROUND($B$8*$B$11*$B$15*$B$16*$B$19*$B$23*$B$24,0)</f>
        <v/>
      </c>
      <c r="BC47" s="128">
        <f>ROUND($B$8*$B$11*$B$15*$B$16*$B$19*$B$23*$B$25,0)</f>
        <v/>
      </c>
      <c r="BD47" s="128">
        <f>ROUND($B$8*$B$11*$B$15*$B$16*$B$20*$B$22*$B$24,0)</f>
        <v/>
      </c>
      <c r="BE47" s="128">
        <f>ROUND($B$8*$B$11*$B$15*$B$16*$B$20*$B$22*$B$25,0)</f>
        <v/>
      </c>
      <c r="BF47" s="128">
        <f>ROUND($B$8*$B$11*$B$15*$B$16*$B$20*$B$23*$B$24,0)</f>
        <v/>
      </c>
      <c r="BG47" s="128">
        <f>ROUND($B$8*$B$11*$B$15*$B$16*$B$20*$B$23*$B$25,0)</f>
        <v/>
      </c>
      <c r="BH47" s="128">
        <f>ROUND($B$8*$B$11*$B$15*$B$16*$B$21*$B$22*$B$24,0)</f>
        <v/>
      </c>
      <c r="BI47" s="128">
        <f>ROUND($B$8*$B$11*$B$15*$B$16*$B$21*$B$22*$B$25,0)</f>
        <v/>
      </c>
      <c r="BJ47" s="128">
        <f>ROUND($B$8*$B$11*$B$15*$B$16*$B$21*$B$23*$B$24,0)</f>
        <v/>
      </c>
      <c r="BK47" s="128">
        <f>ROUND($B$8*$B$11*$B$15*$B$16*$B$21*$B$23*$B$25,0)</f>
        <v/>
      </c>
    </row>
    <row r="48" ht="20" customHeight="1" s="62">
      <c r="C48" s="125" t="inlineStr">
        <is>
          <t>Technologie API</t>
        </is>
      </c>
      <c r="D48" s="127">
        <f>ROUND($B$4*$B$11*$B$15*$B$17*$B$19*$B$22*$B$24,0)</f>
        <v/>
      </c>
      <c r="E48" s="127">
        <f>ROUND($B$4*$B$11*$B$15*$B$17*$B$19*$B$22*$B$25,0)</f>
        <v/>
      </c>
      <c r="F48" s="127">
        <f>ROUND($B$4*$B$11*$B$15*$B$17*$B$19*$B$23*$B$24,0)</f>
        <v/>
      </c>
      <c r="G48" s="127">
        <f>ROUND($B$4*$B$11*$B$15*$B$17*$B$19*$B$23*$B$25,0)</f>
        <v/>
      </c>
      <c r="H48" s="127">
        <f>ROUND($B$4*$B$11*$B$15*$B$17*$B$20*$B$22*$B$24,0)</f>
        <v/>
      </c>
      <c r="I48" s="127">
        <f>ROUND($B$4*$B$11*$B$15*$B$17*$B$20*$B$22*$B$25,0)</f>
        <v/>
      </c>
      <c r="J48" s="127">
        <f>ROUND($B$4*$B$11*$B$15*$B$17*$B$20*$B$23*$B$24,0)</f>
        <v/>
      </c>
      <c r="K48" s="127">
        <f>ROUND($B$4*$B$11*$B$15*$B$17*$B$20*$B$23*$B$25,0)</f>
        <v/>
      </c>
      <c r="L48" s="127">
        <f>ROUND($B$4*$B$11*$B$15*$B$17*$B$21*$B$22*$B$24,0)</f>
        <v/>
      </c>
      <c r="M48" s="127">
        <f>ROUND($B$4*$B$11*$B$15*$B$17*$B$21*$B$22*$B$25,0)</f>
        <v/>
      </c>
      <c r="N48" s="127">
        <f>ROUND($B$4*$B$11*$B$15*$B$17*$B$21*$B$23*$B$24,0)</f>
        <v/>
      </c>
      <c r="O48" s="127">
        <f>ROUND($B$4*$B$11*$B$15*$B$17*$B$21*$B$23*$B$25,0)</f>
        <v/>
      </c>
      <c r="P48" s="127">
        <f>ROUND($B$5*$B$11*$B$15*$B$17*$B$19*$B$22*$B$24,0)</f>
        <v/>
      </c>
      <c r="Q48" s="127">
        <f>ROUND($B$5*$B$11*$B$15*$B$17*$B$19*$B$22*$B$25,0)</f>
        <v/>
      </c>
      <c r="R48" s="127">
        <f>ROUND($B$5*$B$11*$B$15*$B$17*$B$19*$B$23*$B$24,0)</f>
        <v/>
      </c>
      <c r="S48" s="127">
        <f>ROUND($B$5*$B$11*$B$15*$B$17*$B$19*$B$23*$B$25,0)</f>
        <v/>
      </c>
      <c r="T48" s="127">
        <f>ROUND($B$5*$B$11*$B$15*$B$17*$B$20*$B$22*$B$24,0)</f>
        <v/>
      </c>
      <c r="U48" s="127">
        <f>ROUND($B$5*$B$11*$B$15*$B$17*$B$20*$B$22*$B$25,0)</f>
        <v/>
      </c>
      <c r="V48" s="127">
        <f>ROUND($B$5*$B$11*$B$15*$B$17*$B$20*$B$23*$B$24,0)</f>
        <v/>
      </c>
      <c r="W48" s="127">
        <f>ROUND($B$5*$B$11*$B$15*$B$17*$B$20*$B$23*$B$25,0)</f>
        <v/>
      </c>
      <c r="X48" s="127">
        <f>ROUND($B$5*$B$11*$B$15*$B$17*$B$21*$B$22*$B$24,0)</f>
        <v/>
      </c>
      <c r="Y48" s="127">
        <f>ROUND($B$5*$B$11*$B$15*$B$17*$B$21*$B$22*$B$25,0)</f>
        <v/>
      </c>
      <c r="Z48" s="127">
        <f>ROUND($B$5*$B$11*$B$15*$B$17*$B$21*$B$23*$B$24,0)</f>
        <v/>
      </c>
      <c r="AA48" s="127">
        <f>ROUND($B$5*$B$11*$B$15*$B$17*$B$21*$B$23*$B$25,0)</f>
        <v/>
      </c>
      <c r="AB48" s="127">
        <f>ROUND($B$6*$B$11*$B$15*$B$17*$B$19*$B$22*$B$24,0)</f>
        <v/>
      </c>
      <c r="AC48" s="127">
        <f>ROUND($B$6*$B$11*$B$15*$B$17*$B$19*$B$22*$B$25,0)</f>
        <v/>
      </c>
      <c r="AD48" s="127">
        <f>ROUND($B$6*$B$11*$B$15*$B$17*$B$19*$B$23*$B$24,0)</f>
        <v/>
      </c>
      <c r="AE48" s="127">
        <f>ROUND($B$6*$B$11*$B$15*$B$17*$B$19*$B$23*$B$25,0)</f>
        <v/>
      </c>
      <c r="AF48" s="127">
        <f>ROUND($B$6*$B$11*$B$15*$B$17*$B$20*$B$22*$B$24,0)</f>
        <v/>
      </c>
      <c r="AG48" s="127">
        <f>ROUND($B$6*$B$11*$B$15*$B$17*$B$20*$B$22*$B$25,0)</f>
        <v/>
      </c>
      <c r="AH48" s="127">
        <f>ROUND($B$6*$B$11*$B$15*$B$17*$B$20*$B$23*$B$24,0)</f>
        <v/>
      </c>
      <c r="AI48" s="127">
        <f>ROUND($B$6*$B$11*$B$15*$B$17*$B$20*$B$23*$B$25,0)</f>
        <v/>
      </c>
      <c r="AJ48" s="127">
        <f>ROUND($B$6*$B$11*$B$15*$B$17*$B$21*$B$22*$B$24,0)</f>
        <v/>
      </c>
      <c r="AK48" s="127">
        <f>ROUND($B$6*$B$11*$B$15*$B$17*$B$21*$B$22*$B$25,0)</f>
        <v/>
      </c>
      <c r="AL48" s="127">
        <f>ROUND($B$6*$B$11*$B$15*$B$17*$B$21*$B$23*$B$24,0)</f>
        <v/>
      </c>
      <c r="AM48" s="127">
        <f>ROUND($B$6*$B$11*$B$15*$B$17*$B$21*$B$23*$B$25,0)</f>
        <v/>
      </c>
      <c r="AN48" s="127">
        <f>ROUND($B$7*$B$11*$B$15*$B$17*$B$19*$B$22*$B$24,0)</f>
        <v/>
      </c>
      <c r="AO48" s="127">
        <f>ROUND($B$7*$B$11*$B$15*$B$17*$B$19*$B$22*$B$25,0)</f>
        <v/>
      </c>
      <c r="AP48" s="127">
        <f>ROUND($B$7*$B$11*$B$15*$B$17*$B$19*$B$23*$B$24,0)</f>
        <v/>
      </c>
      <c r="AQ48" s="127">
        <f>ROUND($B$7*$B$11*$B$15*$B$17*$B$19*$B$23*$B$25,0)</f>
        <v/>
      </c>
      <c r="AR48" s="127">
        <f>ROUND($B$7*$B$11*$B$15*$B$17*$B$20*$B$22*$B$24,0)</f>
        <v/>
      </c>
      <c r="AS48" s="127">
        <f>ROUND($B$7*$B$11*$B$15*$B$17*$B$20*$B$22*$B$25,0)</f>
        <v/>
      </c>
      <c r="AT48" s="127">
        <f>ROUND($B$7*$B$11*$B$15*$B$17*$B$20*$B$23*$B$24,0)</f>
        <v/>
      </c>
      <c r="AU48" s="127">
        <f>ROUND($B$7*$B$11*$B$15*$B$17*$B$20*$B$23*$B$25,0)</f>
        <v/>
      </c>
      <c r="AV48" s="127">
        <f>ROUND($B$7*$B$11*$B$15*$B$17*$B$21*$B$22*$B$24,0)</f>
        <v/>
      </c>
      <c r="AW48" s="127">
        <f>ROUND($B$7*$B$11*$B$15*$B$17*$B$21*$B$22*$B$25,0)</f>
        <v/>
      </c>
      <c r="AX48" s="127">
        <f>ROUND($B$7*$B$11*$B$15*$B$17*$B$21*$B$23*$B$24,0)</f>
        <v/>
      </c>
      <c r="AY48" s="127">
        <f>ROUND($B$7*$B$11*$B$15*$B$17*$B$21*$B$23*$B$25,0)</f>
        <v/>
      </c>
      <c r="AZ48" s="128">
        <f>ROUND($B$8*$B$11*$B$15*$B$17*$B$19*$B$22*$B$24,0)</f>
        <v/>
      </c>
      <c r="BA48" s="128">
        <f>ROUND($B$8*$B$11*$B$15*$B$17*$B$19*$B$22*$B$25,0)</f>
        <v/>
      </c>
      <c r="BB48" s="128">
        <f>ROUND($B$8*$B$11*$B$15*$B$17*$B$19*$B$23*$B$24,0)</f>
        <v/>
      </c>
      <c r="BC48" s="128">
        <f>ROUND($B$8*$B$11*$B$15*$B$17*$B$19*$B$23*$B$25,0)</f>
        <v/>
      </c>
      <c r="BD48" s="128">
        <f>ROUND($B$8*$B$11*$B$15*$B$17*$B$20*$B$22*$B$24,0)</f>
        <v/>
      </c>
      <c r="BE48" s="128">
        <f>ROUND($B$8*$B$11*$B$15*$B$17*$B$20*$B$22*$B$25,0)</f>
        <v/>
      </c>
      <c r="BF48" s="128">
        <f>ROUND($B$8*$B$11*$B$15*$B$17*$B$20*$B$23*$B$24,0)</f>
        <v/>
      </c>
      <c r="BG48" s="128">
        <f>ROUND($B$8*$B$11*$B$15*$B$17*$B$20*$B$23*$B$25,0)</f>
        <v/>
      </c>
      <c r="BH48" s="128">
        <f>ROUND($B$8*$B$11*$B$15*$B$17*$B$21*$B$22*$B$24,0)</f>
        <v/>
      </c>
      <c r="BI48" s="128">
        <f>ROUND($B$8*$B$11*$B$15*$B$17*$B$21*$B$22*$B$25,0)</f>
        <v/>
      </c>
      <c r="BJ48" s="128">
        <f>ROUND($B$8*$B$11*$B$15*$B$17*$B$21*$B$23*$B$24,0)</f>
        <v/>
      </c>
      <c r="BK48" s="128">
        <f>ROUND($B$8*$B$11*$B$15*$B$17*$B$21*$B$23*$B$25,0)</f>
        <v/>
      </c>
    </row>
    <row r="49" ht="20" customHeight="1" s="62">
      <c r="C49" s="129" t="inlineStr">
        <is>
          <t>Technologie développement</t>
        </is>
      </c>
      <c r="D49" s="127">
        <f>ROUND($B$4*$B$11*$B$15*$B$18*$B$19*$B$22*$B$24,0)</f>
        <v/>
      </c>
      <c r="E49" s="127">
        <f>ROUND($B$4*$B$11*$B$15*$B$18*$B$19*$B$22*$B$25,0)</f>
        <v/>
      </c>
      <c r="F49" s="127">
        <f>ROUND($B$4*$B$11*$B$15*$B$18*$B$19*$B$23*$B$24,0)</f>
        <v/>
      </c>
      <c r="G49" s="127">
        <f>ROUND($B$4*$B$11*$B$15*$B$18*$B$19*$B$23*$B$25,0)</f>
        <v/>
      </c>
      <c r="H49" s="127">
        <f>ROUND($B$4*$B$11*$B$15*$B$18*$B$20*$B$22*$B$24,0)</f>
        <v/>
      </c>
      <c r="I49" s="127">
        <f>ROUND($B$4*$B$11*$B$15*$B$18*$B$20*$B$22*$B$25,0)</f>
        <v/>
      </c>
      <c r="J49" s="127">
        <f>ROUND($B$4*$B$11*$B$15*$B$18*$B$20*$B$23*$B$24,0)</f>
        <v/>
      </c>
      <c r="K49" s="127">
        <f>ROUND($B$4*$B$11*$B$15*$B$18*$B$20*$B$23*$B$25,0)</f>
        <v/>
      </c>
      <c r="L49" s="127">
        <f>ROUND($B$4*$B$11*$B$15*$B$18*$B$21*$B$22*$B$24,0)</f>
        <v/>
      </c>
      <c r="M49" s="127">
        <f>ROUND($B$4*$B$11*$B$15*$B$18*$B$21*$B$22*$B$25,0)</f>
        <v/>
      </c>
      <c r="N49" s="127">
        <f>ROUND($B$4*$B$11*$B$15*$B$18*$B$21*$B$23*$B$24,0)</f>
        <v/>
      </c>
      <c r="O49" s="127">
        <f>ROUND($B$4*$B$11*$B$15*$B$18*$B$21*$B$23*$B$25,0)</f>
        <v/>
      </c>
      <c r="P49" s="127">
        <f>ROUND($B$5*$B$11*$B$15*$B$18*$B$19*$B$22*$B$24,0)</f>
        <v/>
      </c>
      <c r="Q49" s="127">
        <f>ROUND($B$5*$B$11*$B$15*$B$18*$B$19*$B$22*$B$25,0)</f>
        <v/>
      </c>
      <c r="R49" s="127">
        <f>ROUND($B$5*$B$11*$B$15*$B$18*$B$19*$B$23*$B$24,0)</f>
        <v/>
      </c>
      <c r="S49" s="127">
        <f>ROUND($B$5*$B$11*$B$15*$B$18*$B$19*$B$23*$B$25,0)</f>
        <v/>
      </c>
      <c r="T49" s="127">
        <f>ROUND($B$5*$B$11*$B$15*$B$18*$B$20*$B$22*$B$24,0)</f>
        <v/>
      </c>
      <c r="U49" s="127">
        <f>ROUND($B$5*$B$11*$B$15*$B$18*$B$20*$B$22*$B$25,0)</f>
        <v/>
      </c>
      <c r="V49" s="127">
        <f>ROUND($B$5*$B$11*$B$15*$B$18*$B$20*$B$23*$B$24,0)</f>
        <v/>
      </c>
      <c r="W49" s="127">
        <f>ROUND($B$5*$B$11*$B$15*$B$18*$B$20*$B$23*$B$25,0)</f>
        <v/>
      </c>
      <c r="X49" s="127">
        <f>ROUND($B$5*$B$11*$B$15*$B$18*$B$21*$B$22*$B$24,0)</f>
        <v/>
      </c>
      <c r="Y49" s="127">
        <f>ROUND($B$5*$B$11*$B$15*$B$18*$B$21*$B$22*$B$25,0)</f>
        <v/>
      </c>
      <c r="Z49" s="127">
        <f>ROUND($B$5*$B$11*$B$15*$B$18*$B$21*$B$23*$B$24,0)</f>
        <v/>
      </c>
      <c r="AA49" s="127">
        <f>ROUND($B$5*$B$11*$B$15*$B$18*$B$21*$B$23*$B$25,0)</f>
        <v/>
      </c>
      <c r="AB49" s="127">
        <f>ROUND($B$6*$B$11*$B$15*$B$18*$B$19*$B$22*$B$24,0)</f>
        <v/>
      </c>
      <c r="AC49" s="127">
        <f>ROUND($B$6*$B$11*$B$15*$B$18*$B$19*$B$22*$B$25,0)</f>
        <v/>
      </c>
      <c r="AD49" s="127">
        <f>ROUND($B$6*$B$11*$B$15*$B$18*$B$19*$B$23*$B$24,0)</f>
        <v/>
      </c>
      <c r="AE49" s="127">
        <f>ROUND($B$6*$B$11*$B$15*$B$18*$B$19*$B$23*$B$25,0)</f>
        <v/>
      </c>
      <c r="AF49" s="127">
        <f>ROUND($B$6*$B$11*$B$15*$B$18*$B$20*$B$22*$B$24,0)</f>
        <v/>
      </c>
      <c r="AG49" s="127">
        <f>ROUND($B$6*$B$11*$B$15*$B$18*$B$20*$B$22*$B$25,0)</f>
        <v/>
      </c>
      <c r="AH49" s="127">
        <f>ROUND($B$6*$B$11*$B$15*$B$18*$B$20*$B$23*$B$24,0)</f>
        <v/>
      </c>
      <c r="AI49" s="127">
        <f>ROUND($B$6*$B$11*$B$15*$B$18*$B$20*$B$23*$B$25,0)</f>
        <v/>
      </c>
      <c r="AJ49" s="127">
        <f>ROUND($B$6*$B$11*$B$15*$B$18*$B$21*$B$22*$B$24,0)</f>
        <v/>
      </c>
      <c r="AK49" s="127">
        <f>ROUND($B$6*$B$11*$B$15*$B$18*$B$21*$B$22*$B$25,0)</f>
        <v/>
      </c>
      <c r="AL49" s="127">
        <f>ROUND($B$6*$B$11*$B$15*$B$18*$B$21*$B$23*$B$24,0)</f>
        <v/>
      </c>
      <c r="AM49" s="127">
        <f>ROUND($B$6*$B$11*$B$15*$B$18*$B$21*$B$23*$B$25,0)</f>
        <v/>
      </c>
      <c r="AN49" s="127">
        <f>ROUND($B$7*$B$11*$B$15*$B$18*$B$19*$B$22*$B$24,0)</f>
        <v/>
      </c>
      <c r="AO49" s="127">
        <f>ROUND($B$7*$B$11*$B$15*$B$18*$B$19*$B$22*$B$25,0)</f>
        <v/>
      </c>
      <c r="AP49" s="127">
        <f>ROUND($B$7*$B$11*$B$15*$B$18*$B$19*$B$23*$B$24,0)</f>
        <v/>
      </c>
      <c r="AQ49" s="127">
        <f>ROUND($B$7*$B$11*$B$15*$B$18*$B$19*$B$23*$B$25,0)</f>
        <v/>
      </c>
      <c r="AR49" s="127">
        <f>ROUND($B$7*$B$11*$B$15*$B$18*$B$20*$B$22*$B$24,0)</f>
        <v/>
      </c>
      <c r="AS49" s="127">
        <f>ROUND($B$7*$B$11*$B$15*$B$18*$B$20*$B$22*$B$25,0)</f>
        <v/>
      </c>
      <c r="AT49" s="127">
        <f>ROUND($B$7*$B$11*$B$15*$B$18*$B$20*$B$23*$B$24,0)</f>
        <v/>
      </c>
      <c r="AU49" s="127">
        <f>ROUND($B$7*$B$11*$B$15*$B$18*$B$20*$B$23*$B$25,0)</f>
        <v/>
      </c>
      <c r="AV49" s="127">
        <f>ROUND($B$7*$B$11*$B$15*$B$18*$B$21*$B$22*$B$24,0)</f>
        <v/>
      </c>
      <c r="AW49" s="127">
        <f>ROUND($B$7*$B$11*$B$15*$B$18*$B$21*$B$22*$B$25,0)</f>
        <v/>
      </c>
      <c r="AX49" s="127">
        <f>ROUND($B$7*$B$11*$B$15*$B$18*$B$21*$B$23*$B$24,0)</f>
        <v/>
      </c>
      <c r="AY49" s="127">
        <f>ROUND($B$7*$B$11*$B$15*$B$18*$B$21*$B$23*$B$25,0)</f>
        <v/>
      </c>
      <c r="AZ49" s="128">
        <f>ROUND($B$8*$B$11*$B$15*$B$18*$B$19*$B$22*$B$24,0)</f>
        <v/>
      </c>
      <c r="BA49" s="128">
        <f>ROUND($B$8*$B$11*$B$15*$B$18*$B$19*$B$22*$B$25,0)</f>
        <v/>
      </c>
      <c r="BB49" s="128">
        <f>ROUND($B$8*$B$11*$B$15*$B$18*$B$19*$B$23*$B$24,0)</f>
        <v/>
      </c>
      <c r="BC49" s="128">
        <f>ROUND($B$8*$B$11*$B$15*$B$18*$B$19*$B$23*$B$25,0)</f>
        <v/>
      </c>
      <c r="BD49" s="128">
        <f>ROUND($B$8*$B$11*$B$15*$B$18*$B$20*$B$22*$B$24,0)</f>
        <v/>
      </c>
      <c r="BE49" s="128">
        <f>ROUND($B$8*$B$11*$B$15*$B$18*$B$20*$B$22*$B$25,0)</f>
        <v/>
      </c>
      <c r="BF49" s="128">
        <f>ROUND($B$8*$B$11*$B$15*$B$18*$B$20*$B$23*$B$24,0)</f>
        <v/>
      </c>
      <c r="BG49" s="128">
        <f>ROUND($B$8*$B$11*$B$15*$B$18*$B$20*$B$23*$B$25,0)</f>
        <v/>
      </c>
      <c r="BH49" s="128">
        <f>ROUND($B$8*$B$11*$B$15*$B$18*$B$21*$B$22*$B$24,0)</f>
        <v/>
      </c>
      <c r="BI49" s="128">
        <f>ROUND($B$8*$B$11*$B$15*$B$18*$B$21*$B$22*$B$25,0)</f>
        <v/>
      </c>
      <c r="BJ49" s="128">
        <f>ROUND($B$8*$B$11*$B$15*$B$18*$B$21*$B$23*$B$24,0)</f>
        <v/>
      </c>
      <c r="BK49" s="128">
        <f>ROUND($B$8*$B$11*$B$15*$B$18*$B$21*$B$23*$B$25,0)</f>
        <v/>
      </c>
    </row>
    <row r="50" ht="20" customHeight="1" s="62">
      <c r="A50" s="124" t="inlineStr">
        <is>
          <t>6+ agents</t>
        </is>
      </c>
      <c r="B50" s="125" t="inlineStr">
        <is>
          <t>1-2 outils connectés</t>
        </is>
      </c>
      <c r="C50" s="126" t="inlineStr">
        <is>
          <t>Technologie no-code</t>
        </is>
      </c>
      <c r="D50" s="127">
        <f>ROUND($B$4*$B$12*$B$13*$B$16*$B$19*$B$22*$B$24,0)</f>
        <v/>
      </c>
      <c r="E50" s="127">
        <f>ROUND($B$4*$B$12*$B$13*$B$16*$B$19*$B$22*$B$25,0)</f>
        <v/>
      </c>
      <c r="F50" s="127">
        <f>ROUND($B$4*$B$12*$B$13*$B$16*$B$19*$B$23*$B$24,0)</f>
        <v/>
      </c>
      <c r="G50" s="127">
        <f>ROUND($B$4*$B$12*$B$13*$B$16*$B$19*$B$23*$B$25,0)</f>
        <v/>
      </c>
      <c r="H50" s="127">
        <f>ROUND($B$4*$B$12*$B$13*$B$16*$B$20*$B$22*$B$24,0)</f>
        <v/>
      </c>
      <c r="I50" s="127">
        <f>ROUND($B$4*$B$12*$B$13*$B$16*$B$20*$B$22*$B$25,0)</f>
        <v/>
      </c>
      <c r="J50" s="127">
        <f>ROUND($B$4*$B$12*$B$13*$B$16*$B$20*$B$23*$B$24,0)</f>
        <v/>
      </c>
      <c r="K50" s="127">
        <f>ROUND($B$4*$B$12*$B$13*$B$16*$B$20*$B$23*$B$25,0)</f>
        <v/>
      </c>
      <c r="L50" s="127">
        <f>ROUND($B$4*$B$12*$B$13*$B$16*$B$21*$B$22*$B$24,0)</f>
        <v/>
      </c>
      <c r="M50" s="127">
        <f>ROUND($B$4*$B$12*$B$13*$B$16*$B$21*$B$22*$B$25,0)</f>
        <v/>
      </c>
      <c r="N50" s="127">
        <f>ROUND($B$4*$B$12*$B$13*$B$16*$B$21*$B$23*$B$24,0)</f>
        <v/>
      </c>
      <c r="O50" s="127">
        <f>ROUND($B$4*$B$12*$B$13*$B$16*$B$21*$B$23*$B$25,0)</f>
        <v/>
      </c>
      <c r="P50" s="127">
        <f>ROUND($B$5*$B$12*$B$13*$B$16*$B$19*$B$22*$B$24,0)</f>
        <v/>
      </c>
      <c r="Q50" s="127">
        <f>ROUND($B$5*$B$12*$B$13*$B$16*$B$19*$B$22*$B$25,0)</f>
        <v/>
      </c>
      <c r="R50" s="127">
        <f>ROUND($B$5*$B$12*$B$13*$B$16*$B$19*$B$23*$B$24,0)</f>
        <v/>
      </c>
      <c r="S50" s="127">
        <f>ROUND($B$5*$B$12*$B$13*$B$16*$B$19*$B$23*$B$25,0)</f>
        <v/>
      </c>
      <c r="T50" s="127">
        <f>ROUND($B$5*$B$12*$B$13*$B$16*$B$20*$B$22*$B$24,0)</f>
        <v/>
      </c>
      <c r="U50" s="127">
        <f>ROUND($B$5*$B$12*$B$13*$B$16*$B$20*$B$22*$B$25,0)</f>
        <v/>
      </c>
      <c r="V50" s="127">
        <f>ROUND($B$5*$B$12*$B$13*$B$16*$B$20*$B$23*$B$24,0)</f>
        <v/>
      </c>
      <c r="W50" s="127">
        <f>ROUND($B$5*$B$12*$B$13*$B$16*$B$20*$B$23*$B$25,0)</f>
        <v/>
      </c>
      <c r="X50" s="127">
        <f>ROUND($B$5*$B$12*$B$13*$B$16*$B$21*$B$22*$B$24,0)</f>
        <v/>
      </c>
      <c r="Y50" s="127">
        <f>ROUND($B$5*$B$12*$B$13*$B$16*$B$21*$B$22*$B$25,0)</f>
        <v/>
      </c>
      <c r="Z50" s="127">
        <f>ROUND($B$5*$B$12*$B$13*$B$16*$B$21*$B$23*$B$24,0)</f>
        <v/>
      </c>
      <c r="AA50" s="127">
        <f>ROUND($B$5*$B$12*$B$13*$B$16*$B$21*$B$23*$B$25,0)</f>
        <v/>
      </c>
      <c r="AB50" s="127">
        <f>ROUND($B$6*$B$12*$B$13*$B$16*$B$19*$B$22*$B$24,0)</f>
        <v/>
      </c>
      <c r="AC50" s="127">
        <f>ROUND($B$6*$B$12*$B$13*$B$16*$B$19*$B$22*$B$25,0)</f>
        <v/>
      </c>
      <c r="AD50" s="127">
        <f>ROUND($B$6*$B$12*$B$13*$B$16*$B$19*$B$23*$B$24,0)</f>
        <v/>
      </c>
      <c r="AE50" s="127">
        <f>ROUND($B$6*$B$12*$B$13*$B$16*$B$19*$B$23*$B$25,0)</f>
        <v/>
      </c>
      <c r="AF50" s="127">
        <f>ROUND($B$6*$B$12*$B$13*$B$16*$B$20*$B$22*$B$24,0)</f>
        <v/>
      </c>
      <c r="AG50" s="127">
        <f>ROUND($B$6*$B$12*$B$13*$B$16*$B$20*$B$22*$B$25,0)</f>
        <v/>
      </c>
      <c r="AH50" s="127">
        <f>ROUND($B$6*$B$12*$B$13*$B$16*$B$20*$B$23*$B$24,0)</f>
        <v/>
      </c>
      <c r="AI50" s="127">
        <f>ROUND($B$6*$B$12*$B$13*$B$16*$B$20*$B$23*$B$25,0)</f>
        <v/>
      </c>
      <c r="AJ50" s="127">
        <f>ROUND($B$6*$B$12*$B$13*$B$16*$B$21*$B$22*$B$24,0)</f>
        <v/>
      </c>
      <c r="AK50" s="127">
        <f>ROUND($B$6*$B$12*$B$13*$B$16*$B$21*$B$22*$B$25,0)</f>
        <v/>
      </c>
      <c r="AL50" s="127">
        <f>ROUND($B$6*$B$12*$B$13*$B$16*$B$21*$B$23*$B$24,0)</f>
        <v/>
      </c>
      <c r="AM50" s="127">
        <f>ROUND($B$6*$B$12*$B$13*$B$16*$B$21*$B$23*$B$25,0)</f>
        <v/>
      </c>
      <c r="AN50" s="127">
        <f>ROUND($B$7*$B$12*$B$13*$B$16*$B$19*$B$22*$B$24,0)</f>
        <v/>
      </c>
      <c r="AO50" s="127">
        <f>ROUND($B$7*$B$12*$B$13*$B$16*$B$19*$B$22*$B$25,0)</f>
        <v/>
      </c>
      <c r="AP50" s="127">
        <f>ROUND($B$7*$B$12*$B$13*$B$16*$B$19*$B$23*$B$24,0)</f>
        <v/>
      </c>
      <c r="AQ50" s="127">
        <f>ROUND($B$7*$B$12*$B$13*$B$16*$B$19*$B$23*$B$25,0)</f>
        <v/>
      </c>
      <c r="AR50" s="127">
        <f>ROUND($B$7*$B$12*$B$13*$B$16*$B$20*$B$22*$B$24,0)</f>
        <v/>
      </c>
      <c r="AS50" s="127">
        <f>ROUND($B$7*$B$12*$B$13*$B$16*$B$20*$B$22*$B$25,0)</f>
        <v/>
      </c>
      <c r="AT50" s="127">
        <f>ROUND($B$7*$B$12*$B$13*$B$16*$B$20*$B$23*$B$24,0)</f>
        <v/>
      </c>
      <c r="AU50" s="127">
        <f>ROUND($B$7*$B$12*$B$13*$B$16*$B$20*$B$23*$B$25,0)</f>
        <v/>
      </c>
      <c r="AV50" s="127">
        <f>ROUND($B$7*$B$12*$B$13*$B$16*$B$21*$B$22*$B$24,0)</f>
        <v/>
      </c>
      <c r="AW50" s="127">
        <f>ROUND($B$7*$B$12*$B$13*$B$16*$B$21*$B$22*$B$25,0)</f>
        <v/>
      </c>
      <c r="AX50" s="127">
        <f>ROUND($B$7*$B$12*$B$13*$B$16*$B$21*$B$23*$B$24,0)</f>
        <v/>
      </c>
      <c r="AY50" s="127">
        <f>ROUND($B$7*$B$12*$B$13*$B$16*$B$21*$B$23*$B$25,0)</f>
        <v/>
      </c>
      <c r="AZ50" s="128">
        <f>ROUND($B$8*$B$12*$B$13*$B$16*$B$19*$B$22*$B$24,0)</f>
        <v/>
      </c>
      <c r="BA50" s="128">
        <f>ROUND($B$8*$B$12*$B$13*$B$16*$B$19*$B$22*$B$25,0)</f>
        <v/>
      </c>
      <c r="BB50" s="128">
        <f>ROUND($B$8*$B$12*$B$13*$B$16*$B$19*$B$23*$B$24,0)</f>
        <v/>
      </c>
      <c r="BC50" s="128">
        <f>ROUND($B$8*$B$12*$B$13*$B$16*$B$19*$B$23*$B$25,0)</f>
        <v/>
      </c>
      <c r="BD50" s="128">
        <f>ROUND($B$8*$B$12*$B$13*$B$16*$B$20*$B$22*$B$24,0)</f>
        <v/>
      </c>
      <c r="BE50" s="128">
        <f>ROUND($B$8*$B$12*$B$13*$B$16*$B$20*$B$22*$B$25,0)</f>
        <v/>
      </c>
      <c r="BF50" s="128">
        <f>ROUND($B$8*$B$12*$B$13*$B$16*$B$20*$B$23*$B$24,0)</f>
        <v/>
      </c>
      <c r="BG50" s="128">
        <f>ROUND($B$8*$B$12*$B$13*$B$16*$B$20*$B$23*$B$25,0)</f>
        <v/>
      </c>
      <c r="BH50" s="128">
        <f>ROUND($B$8*$B$12*$B$13*$B$16*$B$21*$B$22*$B$24,0)</f>
        <v/>
      </c>
      <c r="BI50" s="128">
        <f>ROUND($B$8*$B$12*$B$13*$B$16*$B$21*$B$22*$B$25,0)</f>
        <v/>
      </c>
      <c r="BJ50" s="128">
        <f>ROUND($B$8*$B$12*$B$13*$B$16*$B$21*$B$23*$B$24,0)</f>
        <v/>
      </c>
      <c r="BK50" s="128">
        <f>ROUND($B$8*$B$12*$B$13*$B$16*$B$21*$B$23*$B$25,0)</f>
        <v/>
      </c>
    </row>
    <row r="51" ht="20" customHeight="1" s="62">
      <c r="C51" s="125" t="inlineStr">
        <is>
          <t>Technologie API</t>
        </is>
      </c>
      <c r="D51" s="127">
        <f>ROUND($B$4*$B$12*$B$13*$B$17*$B$19*$B$22*$B$24,0)</f>
        <v/>
      </c>
      <c r="E51" s="127">
        <f>ROUND($B$4*$B$12*$B$13*$B$17*$B$19*$B$22*$B$25,0)</f>
        <v/>
      </c>
      <c r="F51" s="127">
        <f>ROUND($B$4*$B$12*$B$13*$B$17*$B$19*$B$23*$B$24,0)</f>
        <v/>
      </c>
      <c r="G51" s="127">
        <f>ROUND($B$4*$B$12*$B$13*$B$17*$B$19*$B$23*$B$25,0)</f>
        <v/>
      </c>
      <c r="H51" s="127">
        <f>ROUND($B$4*$B$12*$B$13*$B$17*$B$20*$B$22*$B$24,0)</f>
        <v/>
      </c>
      <c r="I51" s="127">
        <f>ROUND($B$4*$B$12*$B$13*$B$17*$B$20*$B$22*$B$25,0)</f>
        <v/>
      </c>
      <c r="J51" s="127">
        <f>ROUND($B$4*$B$12*$B$13*$B$17*$B$20*$B$23*$B$24,0)</f>
        <v/>
      </c>
      <c r="K51" s="127">
        <f>ROUND($B$4*$B$12*$B$13*$B$17*$B$20*$B$23*$B$25,0)</f>
        <v/>
      </c>
      <c r="L51" s="127">
        <f>ROUND($B$4*$B$12*$B$13*$B$17*$B$21*$B$22*$B$24,0)</f>
        <v/>
      </c>
      <c r="M51" s="127">
        <f>ROUND($B$4*$B$12*$B$13*$B$17*$B$21*$B$22*$B$25,0)</f>
        <v/>
      </c>
      <c r="N51" s="127">
        <f>ROUND($B$4*$B$12*$B$13*$B$17*$B$21*$B$23*$B$24,0)</f>
        <v/>
      </c>
      <c r="O51" s="127">
        <f>ROUND($B$4*$B$12*$B$13*$B$17*$B$21*$B$23*$B$25,0)</f>
        <v/>
      </c>
      <c r="P51" s="127">
        <f>ROUND($B$5*$B$12*$B$13*$B$17*$B$19*$B$22*$B$24,0)</f>
        <v/>
      </c>
      <c r="Q51" s="127">
        <f>ROUND($B$5*$B$12*$B$13*$B$17*$B$19*$B$22*$B$25,0)</f>
        <v/>
      </c>
      <c r="R51" s="127">
        <f>ROUND($B$5*$B$12*$B$13*$B$17*$B$19*$B$23*$B$24,0)</f>
        <v/>
      </c>
      <c r="S51" s="127">
        <f>ROUND($B$5*$B$12*$B$13*$B$17*$B$19*$B$23*$B$25,0)</f>
        <v/>
      </c>
      <c r="T51" s="127">
        <f>ROUND($B$5*$B$12*$B$13*$B$17*$B$20*$B$22*$B$24,0)</f>
        <v/>
      </c>
      <c r="U51" s="127">
        <f>ROUND($B$5*$B$12*$B$13*$B$17*$B$20*$B$22*$B$25,0)</f>
        <v/>
      </c>
      <c r="V51" s="127">
        <f>ROUND($B$5*$B$12*$B$13*$B$17*$B$20*$B$23*$B$24,0)</f>
        <v/>
      </c>
      <c r="W51" s="127">
        <f>ROUND($B$5*$B$12*$B$13*$B$17*$B$20*$B$23*$B$25,0)</f>
        <v/>
      </c>
      <c r="X51" s="127">
        <f>ROUND($B$5*$B$12*$B$13*$B$17*$B$21*$B$22*$B$24,0)</f>
        <v/>
      </c>
      <c r="Y51" s="127">
        <f>ROUND($B$5*$B$12*$B$13*$B$17*$B$21*$B$22*$B$25,0)</f>
        <v/>
      </c>
      <c r="Z51" s="127">
        <f>ROUND($B$5*$B$12*$B$13*$B$17*$B$21*$B$23*$B$24,0)</f>
        <v/>
      </c>
      <c r="AA51" s="127">
        <f>ROUND($B$5*$B$12*$B$13*$B$17*$B$21*$B$23*$B$25,0)</f>
        <v/>
      </c>
      <c r="AB51" s="127">
        <f>ROUND($B$6*$B$12*$B$13*$B$17*$B$19*$B$22*$B$24,0)</f>
        <v/>
      </c>
      <c r="AC51" s="127">
        <f>ROUND($B$6*$B$12*$B$13*$B$17*$B$19*$B$22*$B$25,0)</f>
        <v/>
      </c>
      <c r="AD51" s="127">
        <f>ROUND($B$6*$B$12*$B$13*$B$17*$B$19*$B$23*$B$24,0)</f>
        <v/>
      </c>
      <c r="AE51" s="127">
        <f>ROUND($B$6*$B$12*$B$13*$B$17*$B$19*$B$23*$B$25,0)</f>
        <v/>
      </c>
      <c r="AF51" s="127">
        <f>ROUND($B$6*$B$12*$B$13*$B$17*$B$20*$B$22*$B$24,0)</f>
        <v/>
      </c>
      <c r="AG51" s="127">
        <f>ROUND($B$6*$B$12*$B$13*$B$17*$B$20*$B$22*$B$25,0)</f>
        <v/>
      </c>
      <c r="AH51" s="127">
        <f>ROUND($B$6*$B$12*$B$13*$B$17*$B$20*$B$23*$B$24,0)</f>
        <v/>
      </c>
      <c r="AI51" s="127">
        <f>ROUND($B$6*$B$12*$B$13*$B$17*$B$20*$B$23*$B$25,0)</f>
        <v/>
      </c>
      <c r="AJ51" s="127">
        <f>ROUND($B$6*$B$12*$B$13*$B$17*$B$21*$B$22*$B$24,0)</f>
        <v/>
      </c>
      <c r="AK51" s="127">
        <f>ROUND($B$6*$B$12*$B$13*$B$17*$B$21*$B$22*$B$25,0)</f>
        <v/>
      </c>
      <c r="AL51" s="127">
        <f>ROUND($B$6*$B$12*$B$13*$B$17*$B$21*$B$23*$B$24,0)</f>
        <v/>
      </c>
      <c r="AM51" s="127">
        <f>ROUND($B$6*$B$12*$B$13*$B$17*$B$21*$B$23*$B$25,0)</f>
        <v/>
      </c>
      <c r="AN51" s="127">
        <f>ROUND($B$7*$B$12*$B$13*$B$17*$B$19*$B$22*$B$24,0)</f>
        <v/>
      </c>
      <c r="AO51" s="127">
        <f>ROUND($B$7*$B$12*$B$13*$B$17*$B$19*$B$22*$B$25,0)</f>
        <v/>
      </c>
      <c r="AP51" s="127">
        <f>ROUND($B$7*$B$12*$B$13*$B$17*$B$19*$B$23*$B$24,0)</f>
        <v/>
      </c>
      <c r="AQ51" s="127">
        <f>ROUND($B$7*$B$12*$B$13*$B$17*$B$19*$B$23*$B$25,0)</f>
        <v/>
      </c>
      <c r="AR51" s="127">
        <f>ROUND($B$7*$B$12*$B$13*$B$17*$B$20*$B$22*$B$24,0)</f>
        <v/>
      </c>
      <c r="AS51" s="127">
        <f>ROUND($B$7*$B$12*$B$13*$B$17*$B$20*$B$22*$B$25,0)</f>
        <v/>
      </c>
      <c r="AT51" s="127">
        <f>ROUND($B$7*$B$12*$B$13*$B$17*$B$20*$B$23*$B$24,0)</f>
        <v/>
      </c>
      <c r="AU51" s="127">
        <f>ROUND($B$7*$B$12*$B$13*$B$17*$B$20*$B$23*$B$25,0)</f>
        <v/>
      </c>
      <c r="AV51" s="127">
        <f>ROUND($B$7*$B$12*$B$13*$B$17*$B$21*$B$22*$B$24,0)</f>
        <v/>
      </c>
      <c r="AW51" s="127">
        <f>ROUND($B$7*$B$12*$B$13*$B$17*$B$21*$B$22*$B$25,0)</f>
        <v/>
      </c>
      <c r="AX51" s="127">
        <f>ROUND($B$7*$B$12*$B$13*$B$17*$B$21*$B$23*$B$24,0)</f>
        <v/>
      </c>
      <c r="AY51" s="127">
        <f>ROUND($B$7*$B$12*$B$13*$B$17*$B$21*$B$23*$B$25,0)</f>
        <v/>
      </c>
      <c r="AZ51" s="128">
        <f>ROUND($B$8*$B$12*$B$13*$B$17*$B$19*$B$22*$B$24,0)</f>
        <v/>
      </c>
      <c r="BA51" s="128">
        <f>ROUND($B$8*$B$12*$B$13*$B$17*$B$19*$B$22*$B$25,0)</f>
        <v/>
      </c>
      <c r="BB51" s="128">
        <f>ROUND($B$8*$B$12*$B$13*$B$17*$B$19*$B$23*$B$24,0)</f>
        <v/>
      </c>
      <c r="BC51" s="128">
        <f>ROUND($B$8*$B$12*$B$13*$B$17*$B$19*$B$23*$B$25,0)</f>
        <v/>
      </c>
      <c r="BD51" s="128">
        <f>ROUND($B$8*$B$12*$B$13*$B$17*$B$20*$B$22*$B$24,0)</f>
        <v/>
      </c>
      <c r="BE51" s="128">
        <f>ROUND($B$8*$B$12*$B$13*$B$17*$B$20*$B$22*$B$25,0)</f>
        <v/>
      </c>
      <c r="BF51" s="128">
        <f>ROUND($B$8*$B$12*$B$13*$B$17*$B$20*$B$23*$B$24,0)</f>
        <v/>
      </c>
      <c r="BG51" s="128">
        <f>ROUND($B$8*$B$12*$B$13*$B$17*$B$20*$B$23*$B$25,0)</f>
        <v/>
      </c>
      <c r="BH51" s="128">
        <f>ROUND($B$8*$B$12*$B$13*$B$17*$B$21*$B$22*$B$24,0)</f>
        <v/>
      </c>
      <c r="BI51" s="128">
        <f>ROUND($B$8*$B$12*$B$13*$B$17*$B$21*$B$22*$B$25,0)</f>
        <v/>
      </c>
      <c r="BJ51" s="128">
        <f>ROUND($B$8*$B$12*$B$13*$B$17*$B$21*$B$23*$B$24,0)</f>
        <v/>
      </c>
      <c r="BK51" s="128">
        <f>ROUND($B$8*$B$12*$B$13*$B$17*$B$21*$B$23*$B$25,0)</f>
        <v/>
      </c>
    </row>
    <row r="52" ht="20" customHeight="1" s="62">
      <c r="C52" s="129" t="inlineStr">
        <is>
          <t>Technologie développement</t>
        </is>
      </c>
      <c r="D52" s="127">
        <f>ROUND($B$4*$B$12*$B$13*$B$18*$B$19*$B$22*$B$24,0)</f>
        <v/>
      </c>
      <c r="E52" s="127">
        <f>ROUND($B$4*$B$12*$B$13*$B$18*$B$19*$B$22*$B$25,0)</f>
        <v/>
      </c>
      <c r="F52" s="127">
        <f>ROUND($B$4*$B$12*$B$13*$B$18*$B$19*$B$23*$B$24,0)</f>
        <v/>
      </c>
      <c r="G52" s="127">
        <f>ROUND($B$4*$B$12*$B$13*$B$18*$B$19*$B$23*$B$25,0)</f>
        <v/>
      </c>
      <c r="H52" s="127">
        <f>ROUND($B$4*$B$12*$B$13*$B$18*$B$20*$B$22*$B$24,0)</f>
        <v/>
      </c>
      <c r="I52" s="127">
        <f>ROUND($B$4*$B$12*$B$13*$B$18*$B$20*$B$22*$B$25,0)</f>
        <v/>
      </c>
      <c r="J52" s="127">
        <f>ROUND($B$4*$B$12*$B$13*$B$18*$B$20*$B$23*$B$24,0)</f>
        <v/>
      </c>
      <c r="K52" s="127">
        <f>ROUND($B$4*$B$12*$B$13*$B$18*$B$20*$B$23*$B$25,0)</f>
        <v/>
      </c>
      <c r="L52" s="127">
        <f>ROUND($B$4*$B$12*$B$13*$B$18*$B$21*$B$22*$B$24,0)</f>
        <v/>
      </c>
      <c r="M52" s="127">
        <f>ROUND($B$4*$B$12*$B$13*$B$18*$B$21*$B$22*$B$25,0)</f>
        <v/>
      </c>
      <c r="N52" s="127">
        <f>ROUND($B$4*$B$12*$B$13*$B$18*$B$21*$B$23*$B$24,0)</f>
        <v/>
      </c>
      <c r="O52" s="127">
        <f>ROUND($B$4*$B$12*$B$13*$B$18*$B$21*$B$23*$B$25,0)</f>
        <v/>
      </c>
      <c r="P52" s="127">
        <f>ROUND($B$5*$B$12*$B$13*$B$18*$B$19*$B$22*$B$24,0)</f>
        <v/>
      </c>
      <c r="Q52" s="127">
        <f>ROUND($B$5*$B$12*$B$13*$B$18*$B$19*$B$22*$B$25,0)</f>
        <v/>
      </c>
      <c r="R52" s="127">
        <f>ROUND($B$5*$B$12*$B$13*$B$18*$B$19*$B$23*$B$24,0)</f>
        <v/>
      </c>
      <c r="S52" s="127">
        <f>ROUND($B$5*$B$12*$B$13*$B$18*$B$19*$B$23*$B$25,0)</f>
        <v/>
      </c>
      <c r="T52" s="127">
        <f>ROUND($B$5*$B$12*$B$13*$B$18*$B$20*$B$22*$B$24,0)</f>
        <v/>
      </c>
      <c r="U52" s="127">
        <f>ROUND($B$5*$B$12*$B$13*$B$18*$B$20*$B$22*$B$25,0)</f>
        <v/>
      </c>
      <c r="V52" s="127">
        <f>ROUND($B$5*$B$12*$B$13*$B$18*$B$20*$B$23*$B$24,0)</f>
        <v/>
      </c>
      <c r="W52" s="127">
        <f>ROUND($B$5*$B$12*$B$13*$B$18*$B$20*$B$23*$B$25,0)</f>
        <v/>
      </c>
      <c r="X52" s="127">
        <f>ROUND($B$5*$B$12*$B$13*$B$18*$B$21*$B$22*$B$24,0)</f>
        <v/>
      </c>
      <c r="Y52" s="127">
        <f>ROUND($B$5*$B$12*$B$13*$B$18*$B$21*$B$22*$B$25,0)</f>
        <v/>
      </c>
      <c r="Z52" s="127">
        <f>ROUND($B$5*$B$12*$B$13*$B$18*$B$21*$B$23*$B$24,0)</f>
        <v/>
      </c>
      <c r="AA52" s="127">
        <f>ROUND($B$5*$B$12*$B$13*$B$18*$B$21*$B$23*$B$25,0)</f>
        <v/>
      </c>
      <c r="AB52" s="127">
        <f>ROUND($B$6*$B$12*$B$13*$B$18*$B$19*$B$22*$B$24,0)</f>
        <v/>
      </c>
      <c r="AC52" s="127">
        <f>ROUND($B$6*$B$12*$B$13*$B$18*$B$19*$B$22*$B$25,0)</f>
        <v/>
      </c>
      <c r="AD52" s="127">
        <f>ROUND($B$6*$B$12*$B$13*$B$18*$B$19*$B$23*$B$24,0)</f>
        <v/>
      </c>
      <c r="AE52" s="127">
        <f>ROUND($B$6*$B$12*$B$13*$B$18*$B$19*$B$23*$B$25,0)</f>
        <v/>
      </c>
      <c r="AF52" s="127">
        <f>ROUND($B$6*$B$12*$B$13*$B$18*$B$20*$B$22*$B$24,0)</f>
        <v/>
      </c>
      <c r="AG52" s="127">
        <f>ROUND($B$6*$B$12*$B$13*$B$18*$B$20*$B$22*$B$25,0)</f>
        <v/>
      </c>
      <c r="AH52" s="127">
        <f>ROUND($B$6*$B$12*$B$13*$B$18*$B$20*$B$23*$B$24,0)</f>
        <v/>
      </c>
      <c r="AI52" s="127">
        <f>ROUND($B$6*$B$12*$B$13*$B$18*$B$20*$B$23*$B$25,0)</f>
        <v/>
      </c>
      <c r="AJ52" s="127">
        <f>ROUND($B$6*$B$12*$B$13*$B$18*$B$21*$B$22*$B$24,0)</f>
        <v/>
      </c>
      <c r="AK52" s="127">
        <f>ROUND($B$6*$B$12*$B$13*$B$18*$B$21*$B$22*$B$25,0)</f>
        <v/>
      </c>
      <c r="AL52" s="127">
        <f>ROUND($B$6*$B$12*$B$13*$B$18*$B$21*$B$23*$B$24,0)</f>
        <v/>
      </c>
      <c r="AM52" s="127">
        <f>ROUND($B$6*$B$12*$B$13*$B$18*$B$21*$B$23*$B$25,0)</f>
        <v/>
      </c>
      <c r="AN52" s="127">
        <f>ROUND($B$7*$B$12*$B$13*$B$18*$B$19*$B$22*$B$24,0)</f>
        <v/>
      </c>
      <c r="AO52" s="127">
        <f>ROUND($B$7*$B$12*$B$13*$B$18*$B$19*$B$22*$B$25,0)</f>
        <v/>
      </c>
      <c r="AP52" s="127">
        <f>ROUND($B$7*$B$12*$B$13*$B$18*$B$19*$B$23*$B$24,0)</f>
        <v/>
      </c>
      <c r="AQ52" s="127">
        <f>ROUND($B$7*$B$12*$B$13*$B$18*$B$19*$B$23*$B$25,0)</f>
        <v/>
      </c>
      <c r="AR52" s="127">
        <f>ROUND($B$7*$B$12*$B$13*$B$18*$B$20*$B$22*$B$24,0)</f>
        <v/>
      </c>
      <c r="AS52" s="127">
        <f>ROUND($B$7*$B$12*$B$13*$B$18*$B$20*$B$22*$B$25,0)</f>
        <v/>
      </c>
      <c r="AT52" s="127">
        <f>ROUND($B$7*$B$12*$B$13*$B$18*$B$20*$B$23*$B$24,0)</f>
        <v/>
      </c>
      <c r="AU52" s="127">
        <f>ROUND($B$7*$B$12*$B$13*$B$18*$B$20*$B$23*$B$25,0)</f>
        <v/>
      </c>
      <c r="AV52" s="127">
        <f>ROUND($B$7*$B$12*$B$13*$B$18*$B$21*$B$22*$B$24,0)</f>
        <v/>
      </c>
      <c r="AW52" s="127">
        <f>ROUND($B$7*$B$12*$B$13*$B$18*$B$21*$B$22*$B$25,0)</f>
        <v/>
      </c>
      <c r="AX52" s="127">
        <f>ROUND($B$7*$B$12*$B$13*$B$18*$B$21*$B$23*$B$24,0)</f>
        <v/>
      </c>
      <c r="AY52" s="127">
        <f>ROUND($B$7*$B$12*$B$13*$B$18*$B$21*$B$23*$B$25,0)</f>
        <v/>
      </c>
      <c r="AZ52" s="128">
        <f>ROUND($B$8*$B$12*$B$13*$B$18*$B$19*$B$22*$B$24,0)</f>
        <v/>
      </c>
      <c r="BA52" s="128">
        <f>ROUND($B$8*$B$12*$B$13*$B$18*$B$19*$B$22*$B$25,0)</f>
        <v/>
      </c>
      <c r="BB52" s="128">
        <f>ROUND($B$8*$B$12*$B$13*$B$18*$B$19*$B$23*$B$24,0)</f>
        <v/>
      </c>
      <c r="BC52" s="128">
        <f>ROUND($B$8*$B$12*$B$13*$B$18*$B$19*$B$23*$B$25,0)</f>
        <v/>
      </c>
      <c r="BD52" s="128">
        <f>ROUND($B$8*$B$12*$B$13*$B$18*$B$20*$B$22*$B$24,0)</f>
        <v/>
      </c>
      <c r="BE52" s="128">
        <f>ROUND($B$8*$B$12*$B$13*$B$18*$B$20*$B$22*$B$25,0)</f>
        <v/>
      </c>
      <c r="BF52" s="128">
        <f>ROUND($B$8*$B$12*$B$13*$B$18*$B$20*$B$23*$B$24,0)</f>
        <v/>
      </c>
      <c r="BG52" s="128">
        <f>ROUND($B$8*$B$12*$B$13*$B$18*$B$20*$B$23*$B$25,0)</f>
        <v/>
      </c>
      <c r="BH52" s="128">
        <f>ROUND($B$8*$B$12*$B$13*$B$18*$B$21*$B$22*$B$24,0)</f>
        <v/>
      </c>
      <c r="BI52" s="128">
        <f>ROUND($B$8*$B$12*$B$13*$B$18*$B$21*$B$22*$B$25,0)</f>
        <v/>
      </c>
      <c r="BJ52" s="128">
        <f>ROUND($B$8*$B$12*$B$13*$B$18*$B$21*$B$23*$B$24,0)</f>
        <v/>
      </c>
      <c r="BK52" s="128">
        <f>ROUND($B$8*$B$12*$B$13*$B$18*$B$21*$B$23*$B$25,0)</f>
        <v/>
      </c>
    </row>
    <row r="53" ht="20" customHeight="1" s="62">
      <c r="B53" s="125" t="inlineStr">
        <is>
          <t>3-5 outils connectés</t>
        </is>
      </c>
      <c r="C53" s="126" t="inlineStr">
        <is>
          <t>Technologie no-code</t>
        </is>
      </c>
      <c r="D53" s="127">
        <f>ROUND($B$4*$B$12*$B$14*$B$16*$B$19*$B$22*$B$24,0)</f>
        <v/>
      </c>
      <c r="E53" s="127">
        <f>ROUND($B$4*$B$12*$B$14*$B$16*$B$19*$B$22*$B$25,0)</f>
        <v/>
      </c>
      <c r="F53" s="127">
        <f>ROUND($B$4*$B$12*$B$14*$B$16*$B$19*$B$23*$B$24,0)</f>
        <v/>
      </c>
      <c r="G53" s="127">
        <f>ROUND($B$4*$B$12*$B$14*$B$16*$B$19*$B$23*$B$25,0)</f>
        <v/>
      </c>
      <c r="H53" s="127">
        <f>ROUND($B$4*$B$12*$B$14*$B$16*$B$20*$B$22*$B$24,0)</f>
        <v/>
      </c>
      <c r="I53" s="127">
        <f>ROUND($B$4*$B$12*$B$14*$B$16*$B$20*$B$22*$B$25,0)</f>
        <v/>
      </c>
      <c r="J53" s="127">
        <f>ROUND($B$4*$B$12*$B$14*$B$16*$B$20*$B$23*$B$24,0)</f>
        <v/>
      </c>
      <c r="K53" s="127">
        <f>ROUND($B$4*$B$12*$B$14*$B$16*$B$20*$B$23*$B$25,0)</f>
        <v/>
      </c>
      <c r="L53" s="127">
        <f>ROUND($B$4*$B$12*$B$14*$B$16*$B$21*$B$22*$B$24,0)</f>
        <v/>
      </c>
      <c r="M53" s="127">
        <f>ROUND($B$4*$B$12*$B$14*$B$16*$B$21*$B$22*$B$25,0)</f>
        <v/>
      </c>
      <c r="N53" s="127">
        <f>ROUND($B$4*$B$12*$B$14*$B$16*$B$21*$B$23*$B$24,0)</f>
        <v/>
      </c>
      <c r="O53" s="127">
        <f>ROUND($B$4*$B$12*$B$14*$B$16*$B$21*$B$23*$B$25,0)</f>
        <v/>
      </c>
      <c r="P53" s="127">
        <f>ROUND($B$5*$B$12*$B$14*$B$16*$B$19*$B$22*$B$24,0)</f>
        <v/>
      </c>
      <c r="Q53" s="127">
        <f>ROUND($B$5*$B$12*$B$14*$B$16*$B$19*$B$22*$B$25,0)</f>
        <v/>
      </c>
      <c r="R53" s="127">
        <f>ROUND($B$5*$B$12*$B$14*$B$16*$B$19*$B$23*$B$24,0)</f>
        <v/>
      </c>
      <c r="S53" s="127">
        <f>ROUND($B$5*$B$12*$B$14*$B$16*$B$19*$B$23*$B$25,0)</f>
        <v/>
      </c>
      <c r="T53" s="127">
        <f>ROUND($B$5*$B$12*$B$14*$B$16*$B$20*$B$22*$B$24,0)</f>
        <v/>
      </c>
      <c r="U53" s="127">
        <f>ROUND($B$5*$B$12*$B$14*$B$16*$B$20*$B$22*$B$25,0)</f>
        <v/>
      </c>
      <c r="V53" s="127">
        <f>ROUND($B$5*$B$12*$B$14*$B$16*$B$20*$B$23*$B$24,0)</f>
        <v/>
      </c>
      <c r="W53" s="127">
        <f>ROUND($B$5*$B$12*$B$14*$B$16*$B$20*$B$23*$B$25,0)</f>
        <v/>
      </c>
      <c r="X53" s="127">
        <f>ROUND($B$5*$B$12*$B$14*$B$16*$B$21*$B$22*$B$24,0)</f>
        <v/>
      </c>
      <c r="Y53" s="127">
        <f>ROUND($B$5*$B$12*$B$14*$B$16*$B$21*$B$22*$B$25,0)</f>
        <v/>
      </c>
      <c r="Z53" s="127">
        <f>ROUND($B$5*$B$12*$B$14*$B$16*$B$21*$B$23*$B$24,0)</f>
        <v/>
      </c>
      <c r="AA53" s="127">
        <f>ROUND($B$5*$B$12*$B$14*$B$16*$B$21*$B$23*$B$25,0)</f>
        <v/>
      </c>
      <c r="AB53" s="127">
        <f>ROUND($B$6*$B$12*$B$14*$B$16*$B$19*$B$22*$B$24,0)</f>
        <v/>
      </c>
      <c r="AC53" s="127">
        <f>ROUND($B$6*$B$12*$B$14*$B$16*$B$19*$B$22*$B$25,0)</f>
        <v/>
      </c>
      <c r="AD53" s="127">
        <f>ROUND($B$6*$B$12*$B$14*$B$16*$B$19*$B$23*$B$24,0)</f>
        <v/>
      </c>
      <c r="AE53" s="127">
        <f>ROUND($B$6*$B$12*$B$14*$B$16*$B$19*$B$23*$B$25,0)</f>
        <v/>
      </c>
      <c r="AF53" s="127">
        <f>ROUND($B$6*$B$12*$B$14*$B$16*$B$20*$B$22*$B$24,0)</f>
        <v/>
      </c>
      <c r="AG53" s="127">
        <f>ROUND($B$6*$B$12*$B$14*$B$16*$B$20*$B$22*$B$25,0)</f>
        <v/>
      </c>
      <c r="AH53" s="127">
        <f>ROUND($B$6*$B$12*$B$14*$B$16*$B$20*$B$23*$B$24,0)</f>
        <v/>
      </c>
      <c r="AI53" s="127">
        <f>ROUND($B$6*$B$12*$B$14*$B$16*$B$20*$B$23*$B$25,0)</f>
        <v/>
      </c>
      <c r="AJ53" s="127">
        <f>ROUND($B$6*$B$12*$B$14*$B$16*$B$21*$B$22*$B$24,0)</f>
        <v/>
      </c>
      <c r="AK53" s="127">
        <f>ROUND($B$6*$B$12*$B$14*$B$16*$B$21*$B$22*$B$25,0)</f>
        <v/>
      </c>
      <c r="AL53" s="127">
        <f>ROUND($B$6*$B$12*$B$14*$B$16*$B$21*$B$23*$B$24,0)</f>
        <v/>
      </c>
      <c r="AM53" s="127">
        <f>ROUND($B$6*$B$12*$B$14*$B$16*$B$21*$B$23*$B$25,0)</f>
        <v/>
      </c>
      <c r="AN53" s="127">
        <f>ROUND($B$7*$B$12*$B$14*$B$16*$B$19*$B$22*$B$24,0)</f>
        <v/>
      </c>
      <c r="AO53" s="127">
        <f>ROUND($B$7*$B$12*$B$14*$B$16*$B$19*$B$22*$B$25,0)</f>
        <v/>
      </c>
      <c r="AP53" s="127">
        <f>ROUND($B$7*$B$12*$B$14*$B$16*$B$19*$B$23*$B$24,0)</f>
        <v/>
      </c>
      <c r="AQ53" s="127">
        <f>ROUND($B$7*$B$12*$B$14*$B$16*$B$19*$B$23*$B$25,0)</f>
        <v/>
      </c>
      <c r="AR53" s="127">
        <f>ROUND($B$7*$B$12*$B$14*$B$16*$B$20*$B$22*$B$24,0)</f>
        <v/>
      </c>
      <c r="AS53" s="127">
        <f>ROUND($B$7*$B$12*$B$14*$B$16*$B$20*$B$22*$B$25,0)</f>
        <v/>
      </c>
      <c r="AT53" s="127">
        <f>ROUND($B$7*$B$12*$B$14*$B$16*$B$20*$B$23*$B$24,0)</f>
        <v/>
      </c>
      <c r="AU53" s="127">
        <f>ROUND($B$7*$B$12*$B$14*$B$16*$B$20*$B$23*$B$25,0)</f>
        <v/>
      </c>
      <c r="AV53" s="127">
        <f>ROUND($B$7*$B$12*$B$14*$B$16*$B$21*$B$22*$B$24,0)</f>
        <v/>
      </c>
      <c r="AW53" s="127">
        <f>ROUND($B$7*$B$12*$B$14*$B$16*$B$21*$B$22*$B$25,0)</f>
        <v/>
      </c>
      <c r="AX53" s="127">
        <f>ROUND($B$7*$B$12*$B$14*$B$16*$B$21*$B$23*$B$24,0)</f>
        <v/>
      </c>
      <c r="AY53" s="127">
        <f>ROUND($B$7*$B$12*$B$14*$B$16*$B$21*$B$23*$B$25,0)</f>
        <v/>
      </c>
      <c r="AZ53" s="128">
        <f>ROUND($B$8*$B$12*$B$14*$B$16*$B$19*$B$22*$B$24,0)</f>
        <v/>
      </c>
      <c r="BA53" s="128">
        <f>ROUND($B$8*$B$12*$B$14*$B$16*$B$19*$B$22*$B$25,0)</f>
        <v/>
      </c>
      <c r="BB53" s="128">
        <f>ROUND($B$8*$B$12*$B$14*$B$16*$B$19*$B$23*$B$24,0)</f>
        <v/>
      </c>
      <c r="BC53" s="128">
        <f>ROUND($B$8*$B$12*$B$14*$B$16*$B$19*$B$23*$B$25,0)</f>
        <v/>
      </c>
      <c r="BD53" s="128">
        <f>ROUND($B$8*$B$12*$B$14*$B$16*$B$20*$B$22*$B$24,0)</f>
        <v/>
      </c>
      <c r="BE53" s="128">
        <f>ROUND($B$8*$B$12*$B$14*$B$16*$B$20*$B$22*$B$25,0)</f>
        <v/>
      </c>
      <c r="BF53" s="128">
        <f>ROUND($B$8*$B$12*$B$14*$B$16*$B$20*$B$23*$B$24,0)</f>
        <v/>
      </c>
      <c r="BG53" s="128">
        <f>ROUND($B$8*$B$12*$B$14*$B$16*$B$20*$B$23*$B$25,0)</f>
        <v/>
      </c>
      <c r="BH53" s="128">
        <f>ROUND($B$8*$B$12*$B$14*$B$16*$B$21*$B$22*$B$24,0)</f>
        <v/>
      </c>
      <c r="BI53" s="128">
        <f>ROUND($B$8*$B$12*$B$14*$B$16*$B$21*$B$22*$B$25,0)</f>
        <v/>
      </c>
      <c r="BJ53" s="128">
        <f>ROUND($B$8*$B$12*$B$14*$B$16*$B$21*$B$23*$B$24,0)</f>
        <v/>
      </c>
      <c r="BK53" s="128">
        <f>ROUND($B$8*$B$12*$B$14*$B$16*$B$21*$B$23*$B$25,0)</f>
        <v/>
      </c>
    </row>
    <row r="54" ht="20" customHeight="1" s="62">
      <c r="C54" s="125" t="inlineStr">
        <is>
          <t>Technologie API</t>
        </is>
      </c>
      <c r="D54" s="127">
        <f>ROUND($B$4*$B$12*$B$14*$B$17*$B$19*$B$22*$B$24,0)</f>
        <v/>
      </c>
      <c r="E54" s="127">
        <f>ROUND($B$4*$B$12*$B$14*$B$17*$B$19*$B$22*$B$25,0)</f>
        <v/>
      </c>
      <c r="F54" s="127">
        <f>ROUND($B$4*$B$12*$B$14*$B$17*$B$19*$B$23*$B$24,0)</f>
        <v/>
      </c>
      <c r="G54" s="127">
        <f>ROUND($B$4*$B$12*$B$14*$B$17*$B$19*$B$23*$B$25,0)</f>
        <v/>
      </c>
      <c r="H54" s="127">
        <f>ROUND($B$4*$B$12*$B$14*$B$17*$B$20*$B$22*$B$24,0)</f>
        <v/>
      </c>
      <c r="I54" s="127">
        <f>ROUND($B$4*$B$12*$B$14*$B$17*$B$20*$B$22*$B$25,0)</f>
        <v/>
      </c>
      <c r="J54" s="127">
        <f>ROUND($B$4*$B$12*$B$14*$B$17*$B$20*$B$23*$B$24,0)</f>
        <v/>
      </c>
      <c r="K54" s="127">
        <f>ROUND($B$4*$B$12*$B$14*$B$17*$B$20*$B$23*$B$25,0)</f>
        <v/>
      </c>
      <c r="L54" s="127">
        <f>ROUND($B$4*$B$12*$B$14*$B$17*$B$21*$B$22*$B$24,0)</f>
        <v/>
      </c>
      <c r="M54" s="127">
        <f>ROUND($B$4*$B$12*$B$14*$B$17*$B$21*$B$22*$B$25,0)</f>
        <v/>
      </c>
      <c r="N54" s="127">
        <f>ROUND($B$4*$B$12*$B$14*$B$17*$B$21*$B$23*$B$24,0)</f>
        <v/>
      </c>
      <c r="O54" s="127">
        <f>ROUND($B$4*$B$12*$B$14*$B$17*$B$21*$B$23*$B$25,0)</f>
        <v/>
      </c>
      <c r="P54" s="127">
        <f>ROUND($B$5*$B$12*$B$14*$B$17*$B$19*$B$22*$B$24,0)</f>
        <v/>
      </c>
      <c r="Q54" s="127">
        <f>ROUND($B$5*$B$12*$B$14*$B$17*$B$19*$B$22*$B$25,0)</f>
        <v/>
      </c>
      <c r="R54" s="127">
        <f>ROUND($B$5*$B$12*$B$14*$B$17*$B$19*$B$23*$B$24,0)</f>
        <v/>
      </c>
      <c r="S54" s="127">
        <f>ROUND($B$5*$B$12*$B$14*$B$17*$B$19*$B$23*$B$25,0)</f>
        <v/>
      </c>
      <c r="T54" s="127">
        <f>ROUND($B$5*$B$12*$B$14*$B$17*$B$20*$B$22*$B$24,0)</f>
        <v/>
      </c>
      <c r="U54" s="127">
        <f>ROUND($B$5*$B$12*$B$14*$B$17*$B$20*$B$22*$B$25,0)</f>
        <v/>
      </c>
      <c r="V54" s="127">
        <f>ROUND($B$5*$B$12*$B$14*$B$17*$B$20*$B$23*$B$24,0)</f>
        <v/>
      </c>
      <c r="W54" s="127">
        <f>ROUND($B$5*$B$12*$B$14*$B$17*$B$20*$B$23*$B$25,0)</f>
        <v/>
      </c>
      <c r="X54" s="127">
        <f>ROUND($B$5*$B$12*$B$14*$B$17*$B$21*$B$22*$B$24,0)</f>
        <v/>
      </c>
      <c r="Y54" s="127">
        <f>ROUND($B$5*$B$12*$B$14*$B$17*$B$21*$B$22*$B$25,0)</f>
        <v/>
      </c>
      <c r="Z54" s="127">
        <f>ROUND($B$5*$B$12*$B$14*$B$17*$B$21*$B$23*$B$24,0)</f>
        <v/>
      </c>
      <c r="AA54" s="127">
        <f>ROUND($B$5*$B$12*$B$14*$B$17*$B$21*$B$23*$B$25,0)</f>
        <v/>
      </c>
      <c r="AB54" s="127">
        <f>ROUND($B$6*$B$12*$B$14*$B$17*$B$19*$B$22*$B$24,0)</f>
        <v/>
      </c>
      <c r="AC54" s="127">
        <f>ROUND($B$6*$B$12*$B$14*$B$17*$B$19*$B$22*$B$25,0)</f>
        <v/>
      </c>
      <c r="AD54" s="127">
        <f>ROUND($B$6*$B$12*$B$14*$B$17*$B$19*$B$23*$B$24,0)</f>
        <v/>
      </c>
      <c r="AE54" s="127">
        <f>ROUND($B$6*$B$12*$B$14*$B$17*$B$19*$B$23*$B$25,0)</f>
        <v/>
      </c>
      <c r="AF54" s="127">
        <f>ROUND($B$6*$B$12*$B$14*$B$17*$B$20*$B$22*$B$24,0)</f>
        <v/>
      </c>
      <c r="AG54" s="127">
        <f>ROUND($B$6*$B$12*$B$14*$B$17*$B$20*$B$22*$B$25,0)</f>
        <v/>
      </c>
      <c r="AH54" s="127">
        <f>ROUND($B$6*$B$12*$B$14*$B$17*$B$20*$B$23*$B$24,0)</f>
        <v/>
      </c>
      <c r="AI54" s="127">
        <f>ROUND($B$6*$B$12*$B$14*$B$17*$B$20*$B$23*$B$25,0)</f>
        <v/>
      </c>
      <c r="AJ54" s="127">
        <f>ROUND($B$6*$B$12*$B$14*$B$17*$B$21*$B$22*$B$24,0)</f>
        <v/>
      </c>
      <c r="AK54" s="127">
        <f>ROUND($B$6*$B$12*$B$14*$B$17*$B$21*$B$22*$B$25,0)</f>
        <v/>
      </c>
      <c r="AL54" s="127">
        <f>ROUND($B$6*$B$12*$B$14*$B$17*$B$21*$B$23*$B$24,0)</f>
        <v/>
      </c>
      <c r="AM54" s="127">
        <f>ROUND($B$6*$B$12*$B$14*$B$17*$B$21*$B$23*$B$25,0)</f>
        <v/>
      </c>
      <c r="AN54" s="127">
        <f>ROUND($B$7*$B$12*$B$14*$B$17*$B$19*$B$22*$B$24,0)</f>
        <v/>
      </c>
      <c r="AO54" s="127">
        <f>ROUND($B$7*$B$12*$B$14*$B$17*$B$19*$B$22*$B$25,0)</f>
        <v/>
      </c>
      <c r="AP54" s="127">
        <f>ROUND($B$7*$B$12*$B$14*$B$17*$B$19*$B$23*$B$24,0)</f>
        <v/>
      </c>
      <c r="AQ54" s="127">
        <f>ROUND($B$7*$B$12*$B$14*$B$17*$B$19*$B$23*$B$25,0)</f>
        <v/>
      </c>
      <c r="AR54" s="127">
        <f>ROUND($B$7*$B$12*$B$14*$B$17*$B$20*$B$22*$B$24,0)</f>
        <v/>
      </c>
      <c r="AS54" s="127">
        <f>ROUND($B$7*$B$12*$B$14*$B$17*$B$20*$B$22*$B$25,0)</f>
        <v/>
      </c>
      <c r="AT54" s="127">
        <f>ROUND($B$7*$B$12*$B$14*$B$17*$B$20*$B$23*$B$24,0)</f>
        <v/>
      </c>
      <c r="AU54" s="127">
        <f>ROUND($B$7*$B$12*$B$14*$B$17*$B$20*$B$23*$B$25,0)</f>
        <v/>
      </c>
      <c r="AV54" s="127">
        <f>ROUND($B$7*$B$12*$B$14*$B$17*$B$21*$B$22*$B$24,0)</f>
        <v/>
      </c>
      <c r="AW54" s="127">
        <f>ROUND($B$7*$B$12*$B$14*$B$17*$B$21*$B$22*$B$25,0)</f>
        <v/>
      </c>
      <c r="AX54" s="127">
        <f>ROUND($B$7*$B$12*$B$14*$B$17*$B$21*$B$23*$B$24,0)</f>
        <v/>
      </c>
      <c r="AY54" s="127">
        <f>ROUND($B$7*$B$12*$B$14*$B$17*$B$21*$B$23*$B$25,0)</f>
        <v/>
      </c>
      <c r="AZ54" s="128">
        <f>ROUND($B$8*$B$12*$B$14*$B$17*$B$19*$B$22*$B$24,0)</f>
        <v/>
      </c>
      <c r="BA54" s="128">
        <f>ROUND($B$8*$B$12*$B$14*$B$17*$B$19*$B$22*$B$25,0)</f>
        <v/>
      </c>
      <c r="BB54" s="128">
        <f>ROUND($B$8*$B$12*$B$14*$B$17*$B$19*$B$23*$B$24,0)</f>
        <v/>
      </c>
      <c r="BC54" s="128">
        <f>ROUND($B$8*$B$12*$B$14*$B$17*$B$19*$B$23*$B$25,0)</f>
        <v/>
      </c>
      <c r="BD54" s="128">
        <f>ROUND($B$8*$B$12*$B$14*$B$17*$B$20*$B$22*$B$24,0)</f>
        <v/>
      </c>
      <c r="BE54" s="128">
        <f>ROUND($B$8*$B$12*$B$14*$B$17*$B$20*$B$22*$B$25,0)</f>
        <v/>
      </c>
      <c r="BF54" s="128">
        <f>ROUND($B$8*$B$12*$B$14*$B$17*$B$20*$B$23*$B$24,0)</f>
        <v/>
      </c>
      <c r="BG54" s="128">
        <f>ROUND($B$8*$B$12*$B$14*$B$17*$B$20*$B$23*$B$25,0)</f>
        <v/>
      </c>
      <c r="BH54" s="128">
        <f>ROUND($B$8*$B$12*$B$14*$B$17*$B$21*$B$22*$B$24,0)</f>
        <v/>
      </c>
      <c r="BI54" s="128">
        <f>ROUND($B$8*$B$12*$B$14*$B$17*$B$21*$B$22*$B$25,0)</f>
        <v/>
      </c>
      <c r="BJ54" s="128">
        <f>ROUND($B$8*$B$12*$B$14*$B$17*$B$21*$B$23*$B$24,0)</f>
        <v/>
      </c>
      <c r="BK54" s="128">
        <f>ROUND($B$8*$B$12*$B$14*$B$17*$B$21*$B$23*$B$25,0)</f>
        <v/>
      </c>
    </row>
    <row r="55" ht="20" customHeight="1" s="62">
      <c r="C55" s="129" t="inlineStr">
        <is>
          <t>Technologie développement</t>
        </is>
      </c>
      <c r="D55" s="127">
        <f>ROUND($B$4*$B$12*$B$14*$B$18*$B$19*$B$22*$B$24,0)</f>
        <v/>
      </c>
      <c r="E55" s="127">
        <f>ROUND($B$4*$B$12*$B$14*$B$18*$B$19*$B$22*$B$25,0)</f>
        <v/>
      </c>
      <c r="F55" s="127">
        <f>ROUND($B$4*$B$12*$B$14*$B$18*$B$19*$B$23*$B$24,0)</f>
        <v/>
      </c>
      <c r="G55" s="127">
        <f>ROUND($B$4*$B$12*$B$14*$B$18*$B$19*$B$23*$B$25,0)</f>
        <v/>
      </c>
      <c r="H55" s="127">
        <f>ROUND($B$4*$B$12*$B$14*$B$18*$B$20*$B$22*$B$24,0)</f>
        <v/>
      </c>
      <c r="I55" s="127">
        <f>ROUND($B$4*$B$12*$B$14*$B$18*$B$20*$B$22*$B$25,0)</f>
        <v/>
      </c>
      <c r="J55" s="127">
        <f>ROUND($B$4*$B$12*$B$14*$B$18*$B$20*$B$23*$B$24,0)</f>
        <v/>
      </c>
      <c r="K55" s="127">
        <f>ROUND($B$4*$B$12*$B$14*$B$18*$B$20*$B$23*$B$25,0)</f>
        <v/>
      </c>
      <c r="L55" s="127">
        <f>ROUND($B$4*$B$12*$B$14*$B$18*$B$21*$B$22*$B$24,0)</f>
        <v/>
      </c>
      <c r="M55" s="127">
        <f>ROUND($B$4*$B$12*$B$14*$B$18*$B$21*$B$22*$B$25,0)</f>
        <v/>
      </c>
      <c r="N55" s="127">
        <f>ROUND($B$4*$B$12*$B$14*$B$18*$B$21*$B$23*$B$24,0)</f>
        <v/>
      </c>
      <c r="O55" s="127">
        <f>ROUND($B$4*$B$12*$B$14*$B$18*$B$21*$B$23*$B$25,0)</f>
        <v/>
      </c>
      <c r="P55" s="127">
        <f>ROUND($B$5*$B$12*$B$14*$B$18*$B$19*$B$22*$B$24,0)</f>
        <v/>
      </c>
      <c r="Q55" s="127">
        <f>ROUND($B$5*$B$12*$B$14*$B$18*$B$19*$B$22*$B$25,0)</f>
        <v/>
      </c>
      <c r="R55" s="127">
        <f>ROUND($B$5*$B$12*$B$14*$B$18*$B$19*$B$23*$B$24,0)</f>
        <v/>
      </c>
      <c r="S55" s="127">
        <f>ROUND($B$5*$B$12*$B$14*$B$18*$B$19*$B$23*$B$25,0)</f>
        <v/>
      </c>
      <c r="T55" s="127">
        <f>ROUND($B$5*$B$12*$B$14*$B$18*$B$20*$B$22*$B$24,0)</f>
        <v/>
      </c>
      <c r="U55" s="127">
        <f>ROUND($B$5*$B$12*$B$14*$B$18*$B$20*$B$22*$B$25,0)</f>
        <v/>
      </c>
      <c r="V55" s="127">
        <f>ROUND($B$5*$B$12*$B$14*$B$18*$B$20*$B$23*$B$24,0)</f>
        <v/>
      </c>
      <c r="W55" s="127">
        <f>ROUND($B$5*$B$12*$B$14*$B$18*$B$20*$B$23*$B$25,0)</f>
        <v/>
      </c>
      <c r="X55" s="127">
        <f>ROUND($B$5*$B$12*$B$14*$B$18*$B$21*$B$22*$B$24,0)</f>
        <v/>
      </c>
      <c r="Y55" s="127">
        <f>ROUND($B$5*$B$12*$B$14*$B$18*$B$21*$B$22*$B$25,0)</f>
        <v/>
      </c>
      <c r="Z55" s="127">
        <f>ROUND($B$5*$B$12*$B$14*$B$18*$B$21*$B$23*$B$24,0)</f>
        <v/>
      </c>
      <c r="AA55" s="127">
        <f>ROUND($B$5*$B$12*$B$14*$B$18*$B$21*$B$23*$B$25,0)</f>
        <v/>
      </c>
      <c r="AB55" s="127">
        <f>ROUND($B$6*$B$12*$B$14*$B$18*$B$19*$B$22*$B$24,0)</f>
        <v/>
      </c>
      <c r="AC55" s="127">
        <f>ROUND($B$6*$B$12*$B$14*$B$18*$B$19*$B$22*$B$25,0)</f>
        <v/>
      </c>
      <c r="AD55" s="127">
        <f>ROUND($B$6*$B$12*$B$14*$B$18*$B$19*$B$23*$B$24,0)</f>
        <v/>
      </c>
      <c r="AE55" s="127">
        <f>ROUND($B$6*$B$12*$B$14*$B$18*$B$19*$B$23*$B$25,0)</f>
        <v/>
      </c>
      <c r="AF55" s="127">
        <f>ROUND($B$6*$B$12*$B$14*$B$18*$B$20*$B$22*$B$24,0)</f>
        <v/>
      </c>
      <c r="AG55" s="127">
        <f>ROUND($B$6*$B$12*$B$14*$B$18*$B$20*$B$22*$B$25,0)</f>
        <v/>
      </c>
      <c r="AH55" s="127">
        <f>ROUND($B$6*$B$12*$B$14*$B$18*$B$20*$B$23*$B$24,0)</f>
        <v/>
      </c>
      <c r="AI55" s="127">
        <f>ROUND($B$6*$B$12*$B$14*$B$18*$B$20*$B$23*$B$25,0)</f>
        <v/>
      </c>
      <c r="AJ55" s="127">
        <f>ROUND($B$6*$B$12*$B$14*$B$18*$B$21*$B$22*$B$24,0)</f>
        <v/>
      </c>
      <c r="AK55" s="127">
        <f>ROUND($B$6*$B$12*$B$14*$B$18*$B$21*$B$22*$B$25,0)</f>
        <v/>
      </c>
      <c r="AL55" s="127">
        <f>ROUND($B$6*$B$12*$B$14*$B$18*$B$21*$B$23*$B$24,0)</f>
        <v/>
      </c>
      <c r="AM55" s="127">
        <f>ROUND($B$6*$B$12*$B$14*$B$18*$B$21*$B$23*$B$25,0)</f>
        <v/>
      </c>
      <c r="AN55" s="127">
        <f>ROUND($B$7*$B$12*$B$14*$B$18*$B$19*$B$22*$B$24,0)</f>
        <v/>
      </c>
      <c r="AO55" s="127">
        <f>ROUND($B$7*$B$12*$B$14*$B$18*$B$19*$B$22*$B$25,0)</f>
        <v/>
      </c>
      <c r="AP55" s="127">
        <f>ROUND($B$7*$B$12*$B$14*$B$18*$B$19*$B$23*$B$24,0)</f>
        <v/>
      </c>
      <c r="AQ55" s="127">
        <f>ROUND($B$7*$B$12*$B$14*$B$18*$B$19*$B$23*$B$25,0)</f>
        <v/>
      </c>
      <c r="AR55" s="127">
        <f>ROUND($B$7*$B$12*$B$14*$B$18*$B$20*$B$22*$B$24,0)</f>
        <v/>
      </c>
      <c r="AS55" s="127">
        <f>ROUND($B$7*$B$12*$B$14*$B$18*$B$20*$B$22*$B$25,0)</f>
        <v/>
      </c>
      <c r="AT55" s="127">
        <f>ROUND($B$7*$B$12*$B$14*$B$18*$B$20*$B$23*$B$24,0)</f>
        <v/>
      </c>
      <c r="AU55" s="127">
        <f>ROUND($B$7*$B$12*$B$14*$B$18*$B$20*$B$23*$B$25,0)</f>
        <v/>
      </c>
      <c r="AV55" s="127">
        <f>ROUND($B$7*$B$12*$B$14*$B$18*$B$21*$B$22*$B$24,0)</f>
        <v/>
      </c>
      <c r="AW55" s="127">
        <f>ROUND($B$7*$B$12*$B$14*$B$18*$B$21*$B$22*$B$25,0)</f>
        <v/>
      </c>
      <c r="AX55" s="127">
        <f>ROUND($B$7*$B$12*$B$14*$B$18*$B$21*$B$23*$B$24,0)</f>
        <v/>
      </c>
      <c r="AY55" s="127">
        <f>ROUND($B$7*$B$12*$B$14*$B$18*$B$21*$B$23*$B$25,0)</f>
        <v/>
      </c>
      <c r="AZ55" s="128">
        <f>ROUND($B$8*$B$12*$B$14*$B$18*$B$19*$B$22*$B$24,0)</f>
        <v/>
      </c>
      <c r="BA55" s="128">
        <f>ROUND($B$8*$B$12*$B$14*$B$18*$B$19*$B$22*$B$25,0)</f>
        <v/>
      </c>
      <c r="BB55" s="128">
        <f>ROUND($B$8*$B$12*$B$14*$B$18*$B$19*$B$23*$B$24,0)</f>
        <v/>
      </c>
      <c r="BC55" s="128">
        <f>ROUND($B$8*$B$12*$B$14*$B$18*$B$19*$B$23*$B$25,0)</f>
        <v/>
      </c>
      <c r="BD55" s="128">
        <f>ROUND($B$8*$B$12*$B$14*$B$18*$B$20*$B$22*$B$24,0)</f>
        <v/>
      </c>
      <c r="BE55" s="128">
        <f>ROUND($B$8*$B$12*$B$14*$B$18*$B$20*$B$22*$B$25,0)</f>
        <v/>
      </c>
      <c r="BF55" s="128">
        <f>ROUND($B$8*$B$12*$B$14*$B$18*$B$20*$B$23*$B$24,0)</f>
        <v/>
      </c>
      <c r="BG55" s="128">
        <f>ROUND($B$8*$B$12*$B$14*$B$18*$B$20*$B$23*$B$25,0)</f>
        <v/>
      </c>
      <c r="BH55" s="128">
        <f>ROUND($B$8*$B$12*$B$14*$B$18*$B$21*$B$22*$B$24,0)</f>
        <v/>
      </c>
      <c r="BI55" s="128">
        <f>ROUND($B$8*$B$12*$B$14*$B$18*$B$21*$B$22*$B$25,0)</f>
        <v/>
      </c>
      <c r="BJ55" s="128">
        <f>ROUND($B$8*$B$12*$B$14*$B$18*$B$21*$B$23*$B$24,0)</f>
        <v/>
      </c>
      <c r="BK55" s="128">
        <f>ROUND($B$8*$B$12*$B$14*$B$18*$B$21*$B$23*$B$25,0)</f>
        <v/>
      </c>
    </row>
    <row r="56" ht="20" customHeight="1" s="62">
      <c r="B56" s="125" t="inlineStr">
        <is>
          <t>6+ outils connectés</t>
        </is>
      </c>
      <c r="C56" s="126" t="inlineStr">
        <is>
          <t>Technologie no-code</t>
        </is>
      </c>
      <c r="D56" s="127">
        <f>ROUND($B$4*$B$12*$B$15*$B$16*$B$19*$B$22*$B$24,0)</f>
        <v/>
      </c>
      <c r="E56" s="127">
        <f>ROUND($B$4*$B$12*$B$15*$B$16*$B$19*$B$22*$B$25,0)</f>
        <v/>
      </c>
      <c r="F56" s="127">
        <f>ROUND($B$4*$B$12*$B$15*$B$16*$B$19*$B$23*$B$24,0)</f>
        <v/>
      </c>
      <c r="G56" s="127">
        <f>ROUND($B$4*$B$12*$B$15*$B$16*$B$19*$B$23*$B$25,0)</f>
        <v/>
      </c>
      <c r="H56" s="127">
        <f>ROUND($B$4*$B$12*$B$15*$B$16*$B$20*$B$22*$B$24,0)</f>
        <v/>
      </c>
      <c r="I56" s="127">
        <f>ROUND($B$4*$B$12*$B$15*$B$16*$B$20*$B$22*$B$25,0)</f>
        <v/>
      </c>
      <c r="J56" s="127">
        <f>ROUND($B$4*$B$12*$B$15*$B$16*$B$20*$B$23*$B$24,0)</f>
        <v/>
      </c>
      <c r="K56" s="127">
        <f>ROUND($B$4*$B$12*$B$15*$B$16*$B$20*$B$23*$B$25,0)</f>
        <v/>
      </c>
      <c r="L56" s="127">
        <f>ROUND($B$4*$B$12*$B$15*$B$16*$B$21*$B$22*$B$24,0)</f>
        <v/>
      </c>
      <c r="M56" s="127">
        <f>ROUND($B$4*$B$12*$B$15*$B$16*$B$21*$B$22*$B$25,0)</f>
        <v/>
      </c>
      <c r="N56" s="127">
        <f>ROUND($B$4*$B$12*$B$15*$B$16*$B$21*$B$23*$B$24,0)</f>
        <v/>
      </c>
      <c r="O56" s="127">
        <f>ROUND($B$4*$B$12*$B$15*$B$16*$B$21*$B$23*$B$25,0)</f>
        <v/>
      </c>
      <c r="P56" s="127">
        <f>ROUND($B$5*$B$12*$B$15*$B$16*$B$19*$B$22*$B$24,0)</f>
        <v/>
      </c>
      <c r="Q56" s="127">
        <f>ROUND($B$5*$B$12*$B$15*$B$16*$B$19*$B$22*$B$25,0)</f>
        <v/>
      </c>
      <c r="R56" s="127">
        <f>ROUND($B$5*$B$12*$B$15*$B$16*$B$19*$B$23*$B$24,0)</f>
        <v/>
      </c>
      <c r="S56" s="127">
        <f>ROUND($B$5*$B$12*$B$15*$B$16*$B$19*$B$23*$B$25,0)</f>
        <v/>
      </c>
      <c r="T56" s="127">
        <f>ROUND($B$5*$B$12*$B$15*$B$16*$B$20*$B$22*$B$24,0)</f>
        <v/>
      </c>
      <c r="U56" s="127">
        <f>ROUND($B$5*$B$12*$B$15*$B$16*$B$20*$B$22*$B$25,0)</f>
        <v/>
      </c>
      <c r="V56" s="127">
        <f>ROUND($B$5*$B$12*$B$15*$B$16*$B$20*$B$23*$B$24,0)</f>
        <v/>
      </c>
      <c r="W56" s="127">
        <f>ROUND($B$5*$B$12*$B$15*$B$16*$B$20*$B$23*$B$25,0)</f>
        <v/>
      </c>
      <c r="X56" s="127">
        <f>ROUND($B$5*$B$12*$B$15*$B$16*$B$21*$B$22*$B$24,0)</f>
        <v/>
      </c>
      <c r="Y56" s="127">
        <f>ROUND($B$5*$B$12*$B$15*$B$16*$B$21*$B$22*$B$25,0)</f>
        <v/>
      </c>
      <c r="Z56" s="127">
        <f>ROUND($B$5*$B$12*$B$15*$B$16*$B$21*$B$23*$B$24,0)</f>
        <v/>
      </c>
      <c r="AA56" s="127">
        <f>ROUND($B$5*$B$12*$B$15*$B$16*$B$21*$B$23*$B$25,0)</f>
        <v/>
      </c>
      <c r="AB56" s="127">
        <f>ROUND($B$6*$B$12*$B$15*$B$16*$B$19*$B$22*$B$24,0)</f>
        <v/>
      </c>
      <c r="AC56" s="127">
        <f>ROUND($B$6*$B$12*$B$15*$B$16*$B$19*$B$22*$B$25,0)</f>
        <v/>
      </c>
      <c r="AD56" s="127">
        <f>ROUND($B$6*$B$12*$B$15*$B$16*$B$19*$B$23*$B$24,0)</f>
        <v/>
      </c>
      <c r="AE56" s="127">
        <f>ROUND($B$6*$B$12*$B$15*$B$16*$B$19*$B$23*$B$25,0)</f>
        <v/>
      </c>
      <c r="AF56" s="127">
        <f>ROUND($B$6*$B$12*$B$15*$B$16*$B$20*$B$22*$B$24,0)</f>
        <v/>
      </c>
      <c r="AG56" s="127">
        <f>ROUND($B$6*$B$12*$B$15*$B$16*$B$20*$B$22*$B$25,0)</f>
        <v/>
      </c>
      <c r="AH56" s="127">
        <f>ROUND($B$6*$B$12*$B$15*$B$16*$B$20*$B$23*$B$24,0)</f>
        <v/>
      </c>
      <c r="AI56" s="127">
        <f>ROUND($B$6*$B$12*$B$15*$B$16*$B$20*$B$23*$B$25,0)</f>
        <v/>
      </c>
      <c r="AJ56" s="127">
        <f>ROUND($B$6*$B$12*$B$15*$B$16*$B$21*$B$22*$B$24,0)</f>
        <v/>
      </c>
      <c r="AK56" s="127">
        <f>ROUND($B$6*$B$12*$B$15*$B$16*$B$21*$B$22*$B$25,0)</f>
        <v/>
      </c>
      <c r="AL56" s="127">
        <f>ROUND($B$6*$B$12*$B$15*$B$16*$B$21*$B$23*$B$24,0)</f>
        <v/>
      </c>
      <c r="AM56" s="127">
        <f>ROUND($B$6*$B$12*$B$15*$B$16*$B$21*$B$23*$B$25,0)</f>
        <v/>
      </c>
      <c r="AN56" s="127">
        <f>ROUND($B$7*$B$12*$B$15*$B$16*$B$19*$B$22*$B$24,0)</f>
        <v/>
      </c>
      <c r="AO56" s="127">
        <f>ROUND($B$7*$B$12*$B$15*$B$16*$B$19*$B$22*$B$25,0)</f>
        <v/>
      </c>
      <c r="AP56" s="127">
        <f>ROUND($B$7*$B$12*$B$15*$B$16*$B$19*$B$23*$B$24,0)</f>
        <v/>
      </c>
      <c r="AQ56" s="127">
        <f>ROUND($B$7*$B$12*$B$15*$B$16*$B$19*$B$23*$B$25,0)</f>
        <v/>
      </c>
      <c r="AR56" s="127">
        <f>ROUND($B$7*$B$12*$B$15*$B$16*$B$20*$B$22*$B$24,0)</f>
        <v/>
      </c>
      <c r="AS56" s="127">
        <f>ROUND($B$7*$B$12*$B$15*$B$16*$B$20*$B$22*$B$25,0)</f>
        <v/>
      </c>
      <c r="AT56" s="127">
        <f>ROUND($B$7*$B$12*$B$15*$B$16*$B$20*$B$23*$B$24,0)</f>
        <v/>
      </c>
      <c r="AU56" s="127">
        <f>ROUND($B$7*$B$12*$B$15*$B$16*$B$20*$B$23*$B$25,0)</f>
        <v/>
      </c>
      <c r="AV56" s="127">
        <f>ROUND($B$7*$B$12*$B$15*$B$16*$B$21*$B$22*$B$24,0)</f>
        <v/>
      </c>
      <c r="AW56" s="127">
        <f>ROUND($B$7*$B$12*$B$15*$B$16*$B$21*$B$22*$B$25,0)</f>
        <v/>
      </c>
      <c r="AX56" s="127">
        <f>ROUND($B$7*$B$12*$B$15*$B$16*$B$21*$B$23*$B$24,0)</f>
        <v/>
      </c>
      <c r="AY56" s="127">
        <f>ROUND($B$7*$B$12*$B$15*$B$16*$B$21*$B$23*$B$25,0)</f>
        <v/>
      </c>
      <c r="AZ56" s="128">
        <f>ROUND($B$8*$B$12*$B$15*$B$16*$B$19*$B$22*$B$24,0)</f>
        <v/>
      </c>
      <c r="BA56" s="128">
        <f>ROUND($B$8*$B$12*$B$15*$B$16*$B$19*$B$22*$B$25,0)</f>
        <v/>
      </c>
      <c r="BB56" s="128">
        <f>ROUND($B$8*$B$12*$B$15*$B$16*$B$19*$B$23*$B$24,0)</f>
        <v/>
      </c>
      <c r="BC56" s="128">
        <f>ROUND($B$8*$B$12*$B$15*$B$16*$B$19*$B$23*$B$25,0)</f>
        <v/>
      </c>
      <c r="BD56" s="128">
        <f>ROUND($B$8*$B$12*$B$15*$B$16*$B$20*$B$22*$B$24,0)</f>
        <v/>
      </c>
      <c r="BE56" s="128">
        <f>ROUND($B$8*$B$12*$B$15*$B$16*$B$20*$B$22*$B$25,0)</f>
        <v/>
      </c>
      <c r="BF56" s="128">
        <f>ROUND($B$8*$B$12*$B$15*$B$16*$B$20*$B$23*$B$24,0)</f>
        <v/>
      </c>
      <c r="BG56" s="128">
        <f>ROUND($B$8*$B$12*$B$15*$B$16*$B$20*$B$23*$B$25,0)</f>
        <v/>
      </c>
      <c r="BH56" s="128">
        <f>ROUND($B$8*$B$12*$B$15*$B$16*$B$21*$B$22*$B$24,0)</f>
        <v/>
      </c>
      <c r="BI56" s="128">
        <f>ROUND($B$8*$B$12*$B$15*$B$16*$B$21*$B$22*$B$25,0)</f>
        <v/>
      </c>
      <c r="BJ56" s="128">
        <f>ROUND($B$8*$B$12*$B$15*$B$16*$B$21*$B$23*$B$24,0)</f>
        <v/>
      </c>
      <c r="BK56" s="128">
        <f>ROUND($B$8*$B$12*$B$15*$B$16*$B$21*$B$23*$B$25,0)</f>
        <v/>
      </c>
    </row>
    <row r="57" ht="20" customHeight="1" s="62">
      <c r="C57" s="125" t="inlineStr">
        <is>
          <t>Technologie API</t>
        </is>
      </c>
      <c r="D57" s="127">
        <f>ROUND($B$4*$B$12*$B$15*$B$17*$B$19*$B$22*$B$24,0)</f>
        <v/>
      </c>
      <c r="E57" s="127">
        <f>ROUND($B$4*$B$12*$B$15*$B$17*$B$19*$B$22*$B$25,0)</f>
        <v/>
      </c>
      <c r="F57" s="127">
        <f>ROUND($B$4*$B$12*$B$15*$B$17*$B$19*$B$23*$B$24,0)</f>
        <v/>
      </c>
      <c r="G57" s="127">
        <f>ROUND($B$4*$B$12*$B$15*$B$17*$B$19*$B$23*$B$25,0)</f>
        <v/>
      </c>
      <c r="H57" s="127">
        <f>ROUND($B$4*$B$12*$B$15*$B$17*$B$20*$B$22*$B$24,0)</f>
        <v/>
      </c>
      <c r="I57" s="127">
        <f>ROUND($B$4*$B$12*$B$15*$B$17*$B$20*$B$22*$B$25,0)</f>
        <v/>
      </c>
      <c r="J57" s="127">
        <f>ROUND($B$4*$B$12*$B$15*$B$17*$B$20*$B$23*$B$24,0)</f>
        <v/>
      </c>
      <c r="K57" s="127">
        <f>ROUND($B$4*$B$12*$B$15*$B$17*$B$20*$B$23*$B$25,0)</f>
        <v/>
      </c>
      <c r="L57" s="127">
        <f>ROUND($B$4*$B$12*$B$15*$B$17*$B$21*$B$22*$B$24,0)</f>
        <v/>
      </c>
      <c r="M57" s="127">
        <f>ROUND($B$4*$B$12*$B$15*$B$17*$B$21*$B$22*$B$25,0)</f>
        <v/>
      </c>
      <c r="N57" s="127">
        <f>ROUND($B$4*$B$12*$B$15*$B$17*$B$21*$B$23*$B$24,0)</f>
        <v/>
      </c>
      <c r="O57" s="127">
        <f>ROUND($B$4*$B$12*$B$15*$B$17*$B$21*$B$23*$B$25,0)</f>
        <v/>
      </c>
      <c r="P57" s="127">
        <f>ROUND($B$5*$B$12*$B$15*$B$17*$B$19*$B$22*$B$24,0)</f>
        <v/>
      </c>
      <c r="Q57" s="127">
        <f>ROUND($B$5*$B$12*$B$15*$B$17*$B$19*$B$22*$B$25,0)</f>
        <v/>
      </c>
      <c r="R57" s="127">
        <f>ROUND($B$5*$B$12*$B$15*$B$17*$B$19*$B$23*$B$24,0)</f>
        <v/>
      </c>
      <c r="S57" s="127">
        <f>ROUND($B$5*$B$12*$B$15*$B$17*$B$19*$B$23*$B$25,0)</f>
        <v/>
      </c>
      <c r="T57" s="127">
        <f>ROUND($B$5*$B$12*$B$15*$B$17*$B$20*$B$22*$B$24,0)</f>
        <v/>
      </c>
      <c r="U57" s="127">
        <f>ROUND($B$5*$B$12*$B$15*$B$17*$B$20*$B$22*$B$25,0)</f>
        <v/>
      </c>
      <c r="V57" s="127">
        <f>ROUND($B$5*$B$12*$B$15*$B$17*$B$20*$B$23*$B$24,0)</f>
        <v/>
      </c>
      <c r="W57" s="127">
        <f>ROUND($B$5*$B$12*$B$15*$B$17*$B$20*$B$23*$B$25,0)</f>
        <v/>
      </c>
      <c r="X57" s="127">
        <f>ROUND($B$5*$B$12*$B$15*$B$17*$B$21*$B$22*$B$24,0)</f>
        <v/>
      </c>
      <c r="Y57" s="127">
        <f>ROUND($B$5*$B$12*$B$15*$B$17*$B$21*$B$22*$B$25,0)</f>
        <v/>
      </c>
      <c r="Z57" s="127">
        <f>ROUND($B$5*$B$12*$B$15*$B$17*$B$21*$B$23*$B$24,0)</f>
        <v/>
      </c>
      <c r="AA57" s="127">
        <f>ROUND($B$5*$B$12*$B$15*$B$17*$B$21*$B$23*$B$25,0)</f>
        <v/>
      </c>
      <c r="AB57" s="127">
        <f>ROUND($B$6*$B$12*$B$15*$B$17*$B$19*$B$22*$B$24,0)</f>
        <v/>
      </c>
      <c r="AC57" s="127">
        <f>ROUND($B$6*$B$12*$B$15*$B$17*$B$19*$B$22*$B$25,0)</f>
        <v/>
      </c>
      <c r="AD57" s="127">
        <f>ROUND($B$6*$B$12*$B$15*$B$17*$B$19*$B$23*$B$24,0)</f>
        <v/>
      </c>
      <c r="AE57" s="127">
        <f>ROUND($B$6*$B$12*$B$15*$B$17*$B$19*$B$23*$B$25,0)</f>
        <v/>
      </c>
      <c r="AF57" s="127">
        <f>ROUND($B$6*$B$12*$B$15*$B$17*$B$20*$B$22*$B$24,0)</f>
        <v/>
      </c>
      <c r="AG57" s="127">
        <f>ROUND($B$6*$B$12*$B$15*$B$17*$B$20*$B$22*$B$25,0)</f>
        <v/>
      </c>
      <c r="AH57" s="127">
        <f>ROUND($B$6*$B$12*$B$15*$B$17*$B$20*$B$23*$B$24,0)</f>
        <v/>
      </c>
      <c r="AI57" s="127">
        <f>ROUND($B$6*$B$12*$B$15*$B$17*$B$20*$B$23*$B$25,0)</f>
        <v/>
      </c>
      <c r="AJ57" s="127">
        <f>ROUND($B$6*$B$12*$B$15*$B$17*$B$21*$B$22*$B$24,0)</f>
        <v/>
      </c>
      <c r="AK57" s="127">
        <f>ROUND($B$6*$B$12*$B$15*$B$17*$B$21*$B$22*$B$25,0)</f>
        <v/>
      </c>
      <c r="AL57" s="127">
        <f>ROUND($B$6*$B$12*$B$15*$B$17*$B$21*$B$23*$B$24,0)</f>
        <v/>
      </c>
      <c r="AM57" s="127">
        <f>ROUND($B$6*$B$12*$B$15*$B$17*$B$21*$B$23*$B$25,0)</f>
        <v/>
      </c>
      <c r="AN57" s="127">
        <f>ROUND($B$7*$B$12*$B$15*$B$17*$B$19*$B$22*$B$24,0)</f>
        <v/>
      </c>
      <c r="AO57" s="127">
        <f>ROUND($B$7*$B$12*$B$15*$B$17*$B$19*$B$22*$B$25,0)</f>
        <v/>
      </c>
      <c r="AP57" s="127">
        <f>ROUND($B$7*$B$12*$B$15*$B$17*$B$19*$B$23*$B$24,0)</f>
        <v/>
      </c>
      <c r="AQ57" s="127">
        <f>ROUND($B$7*$B$12*$B$15*$B$17*$B$19*$B$23*$B$25,0)</f>
        <v/>
      </c>
      <c r="AR57" s="127">
        <f>ROUND($B$7*$B$12*$B$15*$B$17*$B$20*$B$22*$B$24,0)</f>
        <v/>
      </c>
      <c r="AS57" s="127">
        <f>ROUND($B$7*$B$12*$B$15*$B$17*$B$20*$B$22*$B$25,0)</f>
        <v/>
      </c>
      <c r="AT57" s="127">
        <f>ROUND($B$7*$B$12*$B$15*$B$17*$B$20*$B$23*$B$24,0)</f>
        <v/>
      </c>
      <c r="AU57" s="127">
        <f>ROUND($B$7*$B$12*$B$15*$B$17*$B$20*$B$23*$B$25,0)</f>
        <v/>
      </c>
      <c r="AV57" s="127">
        <f>ROUND($B$7*$B$12*$B$15*$B$17*$B$21*$B$22*$B$24,0)</f>
        <v/>
      </c>
      <c r="AW57" s="127">
        <f>ROUND($B$7*$B$12*$B$15*$B$17*$B$21*$B$22*$B$25,0)</f>
        <v/>
      </c>
      <c r="AX57" s="127">
        <f>ROUND($B$7*$B$12*$B$15*$B$17*$B$21*$B$23*$B$24,0)</f>
        <v/>
      </c>
      <c r="AY57" s="127">
        <f>ROUND($B$7*$B$12*$B$15*$B$17*$B$21*$B$23*$B$25,0)</f>
        <v/>
      </c>
      <c r="AZ57" s="128">
        <f>ROUND($B$8*$B$12*$B$15*$B$17*$B$19*$B$22*$B$24,0)</f>
        <v/>
      </c>
      <c r="BA57" s="128">
        <f>ROUND($B$8*$B$12*$B$15*$B$17*$B$19*$B$22*$B$25,0)</f>
        <v/>
      </c>
      <c r="BB57" s="128">
        <f>ROUND($B$8*$B$12*$B$15*$B$17*$B$19*$B$23*$B$24,0)</f>
        <v/>
      </c>
      <c r="BC57" s="128">
        <f>ROUND($B$8*$B$12*$B$15*$B$17*$B$19*$B$23*$B$25,0)</f>
        <v/>
      </c>
      <c r="BD57" s="128">
        <f>ROUND($B$8*$B$12*$B$15*$B$17*$B$20*$B$22*$B$24,0)</f>
        <v/>
      </c>
      <c r="BE57" s="128">
        <f>ROUND($B$8*$B$12*$B$15*$B$17*$B$20*$B$22*$B$25,0)</f>
        <v/>
      </c>
      <c r="BF57" s="128">
        <f>ROUND($B$8*$B$12*$B$15*$B$17*$B$20*$B$23*$B$24,0)</f>
        <v/>
      </c>
      <c r="BG57" s="128">
        <f>ROUND($B$8*$B$12*$B$15*$B$17*$B$20*$B$23*$B$25,0)</f>
        <v/>
      </c>
      <c r="BH57" s="128">
        <f>ROUND($B$8*$B$12*$B$15*$B$17*$B$21*$B$22*$B$24,0)</f>
        <v/>
      </c>
      <c r="BI57" s="128">
        <f>ROUND($B$8*$B$12*$B$15*$B$17*$B$21*$B$22*$B$25,0)</f>
        <v/>
      </c>
      <c r="BJ57" s="128">
        <f>ROUND($B$8*$B$12*$B$15*$B$17*$B$21*$B$23*$B$24,0)</f>
        <v/>
      </c>
      <c r="BK57" s="128">
        <f>ROUND($B$8*$B$12*$B$15*$B$17*$B$21*$B$23*$B$25,0)</f>
        <v/>
      </c>
    </row>
    <row r="58" ht="20" customHeight="1" s="62">
      <c r="C58" s="129" t="inlineStr">
        <is>
          <t>Technologie développement</t>
        </is>
      </c>
      <c r="D58" s="127">
        <f>ROUND($B$4*$B$12*$B$15*$B$18*$B$19*$B$22*$B$24,0)</f>
        <v/>
      </c>
      <c r="E58" s="127">
        <f>ROUND($B$4*$B$12*$B$15*$B$18*$B$19*$B$22*$B$25,0)</f>
        <v/>
      </c>
      <c r="F58" s="127">
        <f>ROUND($B$4*$B$12*$B$15*$B$18*$B$19*$B$23*$B$24,0)</f>
        <v/>
      </c>
      <c r="G58" s="127">
        <f>ROUND($B$4*$B$12*$B$15*$B$18*$B$19*$B$23*$B$25,0)</f>
        <v/>
      </c>
      <c r="H58" s="127">
        <f>ROUND($B$4*$B$12*$B$15*$B$18*$B$20*$B$22*$B$24,0)</f>
        <v/>
      </c>
      <c r="I58" s="127">
        <f>ROUND($B$4*$B$12*$B$15*$B$18*$B$20*$B$22*$B$25,0)</f>
        <v/>
      </c>
      <c r="J58" s="127">
        <f>ROUND($B$4*$B$12*$B$15*$B$18*$B$20*$B$23*$B$24,0)</f>
        <v/>
      </c>
      <c r="K58" s="127">
        <f>ROUND($B$4*$B$12*$B$15*$B$18*$B$20*$B$23*$B$25,0)</f>
        <v/>
      </c>
      <c r="L58" s="127">
        <f>ROUND($B$4*$B$12*$B$15*$B$18*$B$21*$B$22*$B$24,0)</f>
        <v/>
      </c>
      <c r="M58" s="127">
        <f>ROUND($B$4*$B$12*$B$15*$B$18*$B$21*$B$22*$B$25,0)</f>
        <v/>
      </c>
      <c r="N58" s="127">
        <f>ROUND($B$4*$B$12*$B$15*$B$18*$B$21*$B$23*$B$24,0)</f>
        <v/>
      </c>
      <c r="O58" s="127">
        <f>ROUND($B$4*$B$12*$B$15*$B$18*$B$21*$B$23*$B$25,0)</f>
        <v/>
      </c>
      <c r="P58" s="127">
        <f>ROUND($B$5*$B$12*$B$15*$B$18*$B$19*$B$22*$B$24,0)</f>
        <v/>
      </c>
      <c r="Q58" s="127">
        <f>ROUND($B$5*$B$12*$B$15*$B$18*$B$19*$B$22*$B$25,0)</f>
        <v/>
      </c>
      <c r="R58" s="127">
        <f>ROUND($B$5*$B$12*$B$15*$B$18*$B$19*$B$23*$B$24,0)</f>
        <v/>
      </c>
      <c r="S58" s="127">
        <f>ROUND($B$5*$B$12*$B$15*$B$18*$B$19*$B$23*$B$25,0)</f>
        <v/>
      </c>
      <c r="T58" s="127">
        <f>ROUND($B$5*$B$12*$B$15*$B$18*$B$20*$B$22*$B$24,0)</f>
        <v/>
      </c>
      <c r="U58" s="127">
        <f>ROUND($B$5*$B$12*$B$15*$B$18*$B$20*$B$22*$B$25,0)</f>
        <v/>
      </c>
      <c r="V58" s="127">
        <f>ROUND($B$5*$B$12*$B$15*$B$18*$B$20*$B$23*$B$24,0)</f>
        <v/>
      </c>
      <c r="W58" s="127">
        <f>ROUND($B$5*$B$12*$B$15*$B$18*$B$20*$B$23*$B$25,0)</f>
        <v/>
      </c>
      <c r="X58" s="127">
        <f>ROUND($B$5*$B$12*$B$15*$B$18*$B$21*$B$22*$B$24,0)</f>
        <v/>
      </c>
      <c r="Y58" s="127">
        <f>ROUND($B$5*$B$12*$B$15*$B$18*$B$21*$B$22*$B$25,0)</f>
        <v/>
      </c>
      <c r="Z58" s="127">
        <f>ROUND($B$5*$B$12*$B$15*$B$18*$B$21*$B$23*$B$24,0)</f>
        <v/>
      </c>
      <c r="AA58" s="127">
        <f>ROUND($B$5*$B$12*$B$15*$B$18*$B$21*$B$23*$B$25,0)</f>
        <v/>
      </c>
      <c r="AB58" s="127">
        <f>ROUND($B$6*$B$12*$B$15*$B$18*$B$19*$B$22*$B$24,0)</f>
        <v/>
      </c>
      <c r="AC58" s="127">
        <f>ROUND($B$6*$B$12*$B$15*$B$18*$B$19*$B$22*$B$25,0)</f>
        <v/>
      </c>
      <c r="AD58" s="127">
        <f>ROUND($B$6*$B$12*$B$15*$B$18*$B$19*$B$23*$B$24,0)</f>
        <v/>
      </c>
      <c r="AE58" s="127">
        <f>ROUND($B$6*$B$12*$B$15*$B$18*$B$19*$B$23*$B$25,0)</f>
        <v/>
      </c>
      <c r="AF58" s="127">
        <f>ROUND($B$6*$B$12*$B$15*$B$18*$B$20*$B$22*$B$24,0)</f>
        <v/>
      </c>
      <c r="AG58" s="127">
        <f>ROUND($B$6*$B$12*$B$15*$B$18*$B$20*$B$22*$B$25,0)</f>
        <v/>
      </c>
      <c r="AH58" s="127">
        <f>ROUND($B$6*$B$12*$B$15*$B$18*$B$20*$B$23*$B$24,0)</f>
        <v/>
      </c>
      <c r="AI58" s="127">
        <f>ROUND($B$6*$B$12*$B$15*$B$18*$B$20*$B$23*$B$25,0)</f>
        <v/>
      </c>
      <c r="AJ58" s="127">
        <f>ROUND($B$6*$B$12*$B$15*$B$18*$B$21*$B$22*$B$24,0)</f>
        <v/>
      </c>
      <c r="AK58" s="127">
        <f>ROUND($B$6*$B$12*$B$15*$B$18*$B$21*$B$22*$B$25,0)</f>
        <v/>
      </c>
      <c r="AL58" s="127">
        <f>ROUND($B$6*$B$12*$B$15*$B$18*$B$21*$B$23*$B$24,0)</f>
        <v/>
      </c>
      <c r="AM58" s="127">
        <f>ROUND($B$6*$B$12*$B$15*$B$18*$B$21*$B$23*$B$25,0)</f>
        <v/>
      </c>
      <c r="AN58" s="127">
        <f>ROUND($B$7*$B$12*$B$15*$B$18*$B$19*$B$22*$B$24,0)</f>
        <v/>
      </c>
      <c r="AO58" s="127">
        <f>ROUND($B$7*$B$12*$B$15*$B$18*$B$19*$B$22*$B$25,0)</f>
        <v/>
      </c>
      <c r="AP58" s="127">
        <f>ROUND($B$7*$B$12*$B$15*$B$18*$B$19*$B$23*$B$24,0)</f>
        <v/>
      </c>
      <c r="AQ58" s="127">
        <f>ROUND($B$7*$B$12*$B$15*$B$18*$B$19*$B$23*$B$25,0)</f>
        <v/>
      </c>
      <c r="AR58" s="127">
        <f>ROUND($B$7*$B$12*$B$15*$B$18*$B$20*$B$22*$B$24,0)</f>
        <v/>
      </c>
      <c r="AS58" s="127">
        <f>ROUND($B$7*$B$12*$B$15*$B$18*$B$20*$B$22*$B$25,0)</f>
        <v/>
      </c>
      <c r="AT58" s="127">
        <f>ROUND($B$7*$B$12*$B$15*$B$18*$B$20*$B$23*$B$24,0)</f>
        <v/>
      </c>
      <c r="AU58" s="127">
        <f>ROUND($B$7*$B$12*$B$15*$B$18*$B$20*$B$23*$B$25,0)</f>
        <v/>
      </c>
      <c r="AV58" s="127">
        <f>ROUND($B$7*$B$12*$B$15*$B$18*$B$21*$B$22*$B$24,0)</f>
        <v/>
      </c>
      <c r="AW58" s="127">
        <f>ROUND($B$7*$B$12*$B$15*$B$18*$B$21*$B$22*$B$25,0)</f>
        <v/>
      </c>
      <c r="AX58" s="127">
        <f>ROUND($B$7*$B$12*$B$15*$B$18*$B$21*$B$23*$B$24,0)</f>
        <v/>
      </c>
      <c r="AY58" s="127">
        <f>ROUND($B$7*$B$12*$B$15*$B$18*$B$21*$B$23*$B$25,0)</f>
        <v/>
      </c>
      <c r="AZ58" s="128">
        <f>ROUND($B$8*$B$12*$B$15*$B$18*$B$19*$B$22*$B$24,0)</f>
        <v/>
      </c>
      <c r="BA58" s="128">
        <f>ROUND($B$8*$B$12*$B$15*$B$18*$B$19*$B$22*$B$25,0)</f>
        <v/>
      </c>
      <c r="BB58" s="128">
        <f>ROUND($B$8*$B$12*$B$15*$B$18*$B$19*$B$23*$B$24,0)</f>
        <v/>
      </c>
      <c r="BC58" s="128">
        <f>ROUND($B$8*$B$12*$B$15*$B$18*$B$19*$B$23*$B$25,0)</f>
        <v/>
      </c>
      <c r="BD58" s="128">
        <f>ROUND($B$8*$B$12*$B$15*$B$18*$B$20*$B$22*$B$24,0)</f>
        <v/>
      </c>
      <c r="BE58" s="128">
        <f>ROUND($B$8*$B$12*$B$15*$B$18*$B$20*$B$22*$B$25,0)</f>
        <v/>
      </c>
      <c r="BF58" s="128">
        <f>ROUND($B$8*$B$12*$B$15*$B$18*$B$20*$B$23*$B$24,0)</f>
        <v/>
      </c>
      <c r="BG58" s="128">
        <f>ROUND($B$8*$B$12*$B$15*$B$18*$B$20*$B$23*$B$25,0)</f>
        <v/>
      </c>
      <c r="BH58" s="128">
        <f>ROUND($B$8*$B$12*$B$15*$B$18*$B$21*$B$22*$B$24,0)</f>
        <v/>
      </c>
      <c r="BI58" s="128">
        <f>ROUND($B$8*$B$12*$B$15*$B$18*$B$21*$B$22*$B$25,0)</f>
        <v/>
      </c>
      <c r="BJ58" s="128">
        <f>ROUND($B$8*$B$12*$B$15*$B$18*$B$21*$B$23*$B$24,0)</f>
        <v/>
      </c>
      <c r="BK58" s="128">
        <f>ROUND($B$8*$B$12*$B$15*$B$18*$B$21*$B$23*$B$25,0)</f>
        <v/>
      </c>
    </row>
  </sheetData>
  <mergeCells count="70">
    <mergeCell ref="Z30:AA30"/>
    <mergeCell ref="B53:B55"/>
    <mergeCell ref="AB30:AC30"/>
    <mergeCell ref="T30:U30"/>
    <mergeCell ref="AL30:AM30"/>
    <mergeCell ref="AN30:AO30"/>
    <mergeCell ref="A50:A58"/>
    <mergeCell ref="A41:A49"/>
    <mergeCell ref="AJ29:AM29"/>
    <mergeCell ref="A1:BK1"/>
    <mergeCell ref="D29:G29"/>
    <mergeCell ref="AR29:AU29"/>
    <mergeCell ref="A32:A40"/>
    <mergeCell ref="AZ29:BC29"/>
    <mergeCell ref="J30:K30"/>
    <mergeCell ref="F30:G30"/>
    <mergeCell ref="R30:S30"/>
    <mergeCell ref="AZ30:BA30"/>
    <mergeCell ref="D28:O28"/>
    <mergeCell ref="BB30:BC30"/>
    <mergeCell ref="B35:B37"/>
    <mergeCell ref="P28:AA28"/>
    <mergeCell ref="P29:S29"/>
    <mergeCell ref="B56:B58"/>
    <mergeCell ref="H29:K29"/>
    <mergeCell ref="B41:B43"/>
    <mergeCell ref="T29:W29"/>
    <mergeCell ref="B47:B49"/>
    <mergeCell ref="B32:B34"/>
    <mergeCell ref="B50:B52"/>
    <mergeCell ref="AB29:AE29"/>
    <mergeCell ref="B28:B31"/>
    <mergeCell ref="L30:M30"/>
    <mergeCell ref="V30:W30"/>
    <mergeCell ref="A26:BK26"/>
    <mergeCell ref="A3:BK3"/>
    <mergeCell ref="X30:Y30"/>
    <mergeCell ref="AD30:AE30"/>
    <mergeCell ref="AF30:AG30"/>
    <mergeCell ref="A2:BK2"/>
    <mergeCell ref="AJ30:AK30"/>
    <mergeCell ref="AP30:AQ30"/>
    <mergeCell ref="AB28:AM28"/>
    <mergeCell ref="AR30:AS30"/>
    <mergeCell ref="AF29:AI29"/>
    <mergeCell ref="AN28:AY28"/>
    <mergeCell ref="AN29:AQ29"/>
    <mergeCell ref="AH30:AI30"/>
    <mergeCell ref="C28:C31"/>
    <mergeCell ref="AV29:AY29"/>
    <mergeCell ref="BD29:BG29"/>
    <mergeCell ref="D30:E30"/>
    <mergeCell ref="N30:O30"/>
    <mergeCell ref="P30:Q30"/>
    <mergeCell ref="AV30:AW30"/>
    <mergeCell ref="AX30:AY30"/>
    <mergeCell ref="BD30:BE30"/>
    <mergeCell ref="BF30:BG30"/>
    <mergeCell ref="A28:A31"/>
    <mergeCell ref="B44:B46"/>
    <mergeCell ref="AZ28:BK28"/>
    <mergeCell ref="BJ30:BK30"/>
    <mergeCell ref="AT30:AU30"/>
    <mergeCell ref="B38:B40"/>
    <mergeCell ref="L29:O29"/>
    <mergeCell ref="X29:AA29"/>
    <mergeCell ref="A9:BK9"/>
    <mergeCell ref="BH29:BK29"/>
    <mergeCell ref="H30:I30"/>
    <mergeCell ref="BH30:BI3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2D1B69"/>
    <outlinePr summaryBelow="1" summaryRight="1"/>
    <pageSetUpPr/>
  </sheetPr>
  <dimension ref="A1:BK58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4"/>
    <col width="13" customWidth="1" style="62" min="5" max="5"/>
    <col width="13" customWidth="1" style="62" min="6" max="6"/>
    <col width="13" customWidth="1" style="62" min="7" max="7"/>
    <col width="13" customWidth="1" style="62" min="8" max="8"/>
    <col width="13" customWidth="1" style="62" min="9" max="9"/>
    <col width="13" customWidth="1" style="62" min="10" max="10"/>
    <col width="13" customWidth="1" style="62" min="11" max="11"/>
    <col width="13" customWidth="1" style="62" min="12" max="12"/>
    <col width="13" customWidth="1" style="62" min="13" max="13"/>
    <col width="13" customWidth="1" style="62" min="14" max="14"/>
    <col width="13" customWidth="1" style="62" min="15" max="15"/>
    <col width="13" customWidth="1" style="62" min="16" max="16"/>
    <col width="13" customWidth="1" style="62" min="17" max="17"/>
    <col width="13" customWidth="1" style="62" min="18" max="18"/>
    <col width="13" customWidth="1" style="62" min="19" max="19"/>
    <col width="13" customWidth="1" style="62" min="20" max="20"/>
    <col width="13" customWidth="1" style="62" min="21" max="21"/>
    <col width="13" customWidth="1" style="62" min="22" max="22"/>
    <col width="13" customWidth="1" style="62" min="23" max="23"/>
    <col width="13" customWidth="1" style="62" min="24" max="24"/>
    <col width="13" customWidth="1" style="62" min="25" max="25"/>
    <col width="13" customWidth="1" style="62" min="26" max="26"/>
    <col width="13" customWidth="1" style="62" min="27" max="27"/>
    <col width="13" customWidth="1" style="62" min="28" max="28"/>
    <col width="13" customWidth="1" style="62" min="29" max="29"/>
    <col width="13" customWidth="1" style="62" min="30" max="30"/>
    <col width="13" customWidth="1" style="62" min="31" max="31"/>
    <col width="13" customWidth="1" style="62" min="32" max="32"/>
    <col width="13" customWidth="1" style="62" min="33" max="33"/>
    <col width="13" customWidth="1" style="62" min="34" max="34"/>
    <col width="13" customWidth="1" style="62" min="35" max="35"/>
    <col width="13" customWidth="1" style="62" min="36" max="36"/>
    <col width="13" customWidth="1" style="62" min="37" max="37"/>
    <col width="13" customWidth="1" style="62" min="38" max="38"/>
    <col width="13" customWidth="1" style="62" min="39" max="39"/>
    <col width="13" customWidth="1" style="62" min="40" max="40"/>
    <col width="13" customWidth="1" style="62" min="41" max="41"/>
    <col width="13" customWidth="1" style="62" min="42" max="42"/>
    <col width="13" customWidth="1" style="62" min="43" max="43"/>
    <col width="13" customWidth="1" style="62" min="44" max="44"/>
    <col width="13" customWidth="1" style="62" min="45" max="45"/>
    <col width="13" customWidth="1" style="62" min="46" max="46"/>
    <col width="13" customWidth="1" style="62" min="47" max="47"/>
    <col width="13" customWidth="1" style="62" min="48" max="48"/>
    <col width="13" customWidth="1" style="62" min="49" max="49"/>
    <col width="13" customWidth="1" style="62" min="50" max="50"/>
    <col width="13" customWidth="1" style="62" min="51" max="51"/>
    <col width="13" customWidth="1" style="62" min="52" max="52"/>
    <col width="13" customWidth="1" style="62" min="53" max="53"/>
    <col width="13" customWidth="1" style="62" min="54" max="54"/>
    <col width="13" customWidth="1" style="62" min="55" max="55"/>
    <col width="13" customWidth="1" style="62" min="56" max="56"/>
    <col width="13" customWidth="1" style="62" min="57" max="57"/>
    <col width="13" customWidth="1" style="62" min="58" max="58"/>
    <col width="13" customWidth="1" style="62" min="59" max="59"/>
    <col width="13" customWidth="1" style="62" min="60" max="60"/>
    <col width="13" customWidth="1" style="62" min="61" max="61"/>
    <col width="13" customWidth="1" style="62" min="62" max="62"/>
    <col width="13" customWidth="1" style="62" min="63" max="63"/>
  </cols>
  <sheetData>
    <row r="1" ht="34" customHeight="1" s="62">
      <c r="A1" s="108" t="inlineStr">
        <is>
          <t>GRILLE TARIFAIRE — Chat IA sur site internet</t>
        </is>
      </c>
    </row>
    <row r="2" ht="26" customHeight="1" s="62">
      <c r="A2" s="109" t="inlineStr">
        <is>
          <t>⚙  ZONE DE PARAMÉTRAGE — Remplissez uniquement les cases jaunes. Le tableau se calcule automatiquement.</t>
        </is>
      </c>
    </row>
    <row r="3" ht="22" customHeight="1" s="62">
      <c r="A3" s="110" t="inlineStr">
        <is>
          <t>TARIFS DE BASE  —  Par niveau de prestation</t>
        </is>
      </c>
    </row>
    <row r="4" ht="22" customHeight="1" s="62">
      <c r="A4" s="111" t="inlineStr">
        <is>
          <t>Tarif de base — Chat simple (FAQ automatisée)</t>
        </is>
      </c>
      <c r="B4" s="112" t="n">
        <v>2000</v>
      </c>
      <c r="C4" s="113" t="inlineStr">
        <is>
          <t>Fourchette : 1 000 – 3 000 €</t>
        </is>
      </c>
    </row>
    <row r="5" ht="22" customHeight="1" s="62">
      <c r="A5" s="111" t="inlineStr">
        <is>
          <t>Tarif de base — Chat avancé (qualification + scénar.)</t>
        </is>
      </c>
      <c r="B5" s="112" t="n">
        <v>5500</v>
      </c>
      <c r="C5" s="113" t="inlineStr">
        <is>
          <t>Fourchette : 3 000 – 8 000 €</t>
        </is>
      </c>
    </row>
    <row r="6" ht="22" customHeight="1" s="62">
      <c r="A6" s="111" t="inlineStr">
        <is>
          <t>Tarif de base — Chat intelligent connecté (CRM…)</t>
        </is>
      </c>
      <c r="B6" s="112" t="n">
        <v>14000</v>
      </c>
      <c r="C6" s="113" t="inlineStr">
        <is>
          <t>Fourchette : 8 000 – 20 000 €</t>
        </is>
      </c>
    </row>
    <row r="7" ht="22" customHeight="1" s="62">
      <c r="A7" s="111" t="inlineStr">
        <is>
          <t>Tarif de base — Solution complète personnalisée</t>
        </is>
      </c>
      <c r="B7" s="112" t="n">
        <v>35000</v>
      </c>
      <c r="C7" s="113" t="inlineStr">
        <is>
          <t>Fourchette : 20 000 – 50 000 €+</t>
        </is>
      </c>
    </row>
    <row r="8" ht="22" customHeight="1" s="62">
      <c r="A8" s="111" t="inlineStr">
        <is>
          <t>Tarif de base — Maintenance / amélioration continue</t>
        </is>
      </c>
      <c r="B8" s="114" t="n">
        <v>550</v>
      </c>
      <c r="C8" s="113" t="inlineStr">
        <is>
          <t>Fourchette : 100 – 1 000 €/mois</t>
        </is>
      </c>
    </row>
    <row r="9" ht="22" customHeight="1" s="62">
      <c r="A9" s="115" t="inlineStr">
        <is>
          <t>COEFFICIENTS MULTIPLICATEURS  —  1,00 = neutre. Ex : 1,20 = +20 %</t>
        </is>
      </c>
    </row>
    <row r="10" ht="20" customHeight="1" s="62">
      <c r="A10" s="116" t="inlineStr">
        <is>
          <t>Coeff. scénarios — 1-5 scénarios</t>
        </is>
      </c>
      <c r="B10" s="117" t="n">
        <v>0.8</v>
      </c>
      <c r="C10" s="118" t="inlineStr">
        <is>
          <t>Chatbot simple</t>
        </is>
      </c>
    </row>
    <row r="11" ht="20" customHeight="1" s="62">
      <c r="A11" s="116" t="inlineStr">
        <is>
          <t>Coeff. scénarios — 6-15 scénarios</t>
        </is>
      </c>
      <c r="B11" s="117" t="n">
        <v>1</v>
      </c>
      <c r="C11" s="118" t="inlineStr">
        <is>
          <t>Référence</t>
        </is>
      </c>
    </row>
    <row r="12" ht="20" customHeight="1" s="62">
      <c r="A12" s="116" t="inlineStr">
        <is>
          <t>Coeff. scénarios — 16+ scénarios</t>
        </is>
      </c>
      <c r="B12" s="117" t="n">
        <v>1.45</v>
      </c>
      <c r="C12" s="118" t="inlineStr">
        <is>
          <t>Chatbot complexe</t>
        </is>
      </c>
    </row>
    <row r="13" ht="20" customHeight="1" s="62">
      <c r="A13" s="116" t="inlineStr">
        <is>
          <t>Coeff. intégrations — Aucune</t>
        </is>
      </c>
      <c r="B13" s="117" t="n">
        <v>0.85</v>
      </c>
      <c r="C13" s="118" t="inlineStr">
        <is>
          <t>Chatbot autonome</t>
        </is>
      </c>
    </row>
    <row r="14" ht="20" customHeight="1" s="62">
      <c r="A14" s="116" t="inlineStr">
        <is>
          <t>Coeff. intégrations — 1-2 outils</t>
        </is>
      </c>
      <c r="B14" s="117" t="n">
        <v>1</v>
      </c>
      <c r="C14" s="118" t="inlineStr">
        <is>
          <t>Référence</t>
        </is>
      </c>
    </row>
    <row r="15" ht="20" customHeight="1" s="62">
      <c r="A15" s="116" t="inlineStr">
        <is>
          <t>Coeff. intégrations — 3+ outils</t>
        </is>
      </c>
      <c r="B15" s="117" t="n">
        <v>1.4</v>
      </c>
      <c r="C15" s="118" t="inlineStr">
        <is>
          <t>Écosystème connecté</t>
        </is>
      </c>
    </row>
    <row r="16" ht="20" customHeight="1" s="62">
      <c r="A16" s="116" t="inlineStr">
        <is>
          <t>Coeff. trafic — Faible (&lt; 1k/mois)</t>
        </is>
      </c>
      <c r="B16" s="117" t="n">
        <v>0.85</v>
      </c>
      <c r="C16" s="118" t="inlineStr">
        <is>
          <t>Petit site</t>
        </is>
      </c>
    </row>
    <row r="17" ht="20" customHeight="1" s="62">
      <c r="A17" s="116" t="inlineStr">
        <is>
          <t>Coeff. trafic — Moyen (1k-10k/mois)</t>
        </is>
      </c>
      <c r="B17" s="117" t="n">
        <v>1</v>
      </c>
      <c r="C17" s="118" t="inlineStr">
        <is>
          <t>Référence</t>
        </is>
      </c>
    </row>
    <row r="18" ht="20" customHeight="1" s="62">
      <c r="A18" s="116" t="inlineStr">
        <is>
          <t>Coeff. trafic — Élevé (10k+/mois)</t>
        </is>
      </c>
      <c r="B18" s="117" t="n">
        <v>1.3</v>
      </c>
      <c r="C18" s="118" t="inlineStr">
        <is>
          <t>Fort volume d'interactions</t>
        </is>
      </c>
    </row>
    <row r="19" ht="20" customHeight="1" s="62">
      <c r="A19" s="116" t="inlineStr">
        <is>
          <t>Coeff. langues — 1 langue</t>
        </is>
      </c>
      <c r="B19" s="117" t="n">
        <v>1</v>
      </c>
      <c r="C19" s="118" t="inlineStr">
        <is>
          <t>Référence</t>
        </is>
      </c>
    </row>
    <row r="20" ht="20" customHeight="1" s="62">
      <c r="A20" s="116" t="inlineStr">
        <is>
          <t>Coeff. langues — 2-3 langues</t>
        </is>
      </c>
      <c r="B20" s="117" t="n">
        <v>1.2</v>
      </c>
      <c r="C20" s="118" t="inlineStr">
        <is>
          <t>Multilingue</t>
        </is>
      </c>
    </row>
    <row r="21" ht="20" customHeight="1" s="62">
      <c r="A21" s="116" t="inlineStr">
        <is>
          <t>Coeff. langues — 4+ langues</t>
        </is>
      </c>
      <c r="B21" s="117" t="n">
        <v>1.45</v>
      </c>
      <c r="C21" s="118" t="inlineStr">
        <is>
          <t>Internationalisation</t>
        </is>
      </c>
    </row>
    <row r="22" ht="20" customHeight="1" s="62">
      <c r="A22" s="116" t="inlineStr">
        <is>
          <t>Coeff. sécurité — Standard</t>
        </is>
      </c>
      <c r="B22" s="117" t="n">
        <v>1</v>
      </c>
      <c r="C22" s="118" t="inlineStr">
        <is>
          <t>Référence</t>
        </is>
      </c>
    </row>
    <row r="23" ht="20" customHeight="1" s="62">
      <c r="A23" s="116" t="inlineStr">
        <is>
          <t>Coeff. sécurité — Renforcée (RGPD…)</t>
        </is>
      </c>
      <c r="B23" s="117" t="n">
        <v>1.25</v>
      </c>
      <c r="C23" s="118" t="inlineStr">
        <is>
          <t>Données sensibles</t>
        </is>
      </c>
    </row>
    <row r="24" ht="20" customHeight="1" s="62">
      <c r="A24" s="116" t="inlineStr">
        <is>
          <t>Coeff. mode — Distanciel</t>
        </is>
      </c>
      <c r="B24" s="117" t="n">
        <v>1</v>
      </c>
      <c r="C24" s="118" t="inlineStr">
        <is>
          <t>Référence</t>
        </is>
      </c>
    </row>
    <row r="25" ht="20" customHeight="1" s="62">
      <c r="A25" s="116" t="inlineStr">
        <is>
          <t>Coeff. mode — Présentiel</t>
        </is>
      </c>
      <c r="B25" s="117" t="n">
        <v>1.15</v>
      </c>
      <c r="C25" s="118" t="inlineStr">
        <is>
          <t>Sessions sur site</t>
        </is>
      </c>
    </row>
    <row r="26" ht="24" customHeight="1" s="62">
      <c r="A26" s="119" t="inlineStr">
        <is>
          <t>▼  GRILLE TARIFAIRE CALCULÉE AUTOMATIQUEMENT  — Les cellules violettes sont en lecture seule (formules).</t>
        </is>
      </c>
    </row>
    <row r="27" ht="6" customHeight="1" s="62"/>
    <row r="28" ht="38" customHeight="1" s="62">
      <c r="A28" s="120" t="inlineStr">
        <is>
          <t>Nombre de scénarios</t>
        </is>
      </c>
      <c r="B28" s="121" t="inlineStr">
        <is>
          <t>Intégrations outils</t>
        </is>
      </c>
      <c r="C28" s="122" t="inlineStr">
        <is>
          <t>Volume de trafic</t>
        </is>
      </c>
      <c r="D28" s="120" t="inlineStr">
        <is>
          <t>Chat simple (FAQ automatisée)</t>
        </is>
      </c>
      <c r="P28" s="120" t="inlineStr">
        <is>
          <t>Chat avancé (qualification + scénar.)</t>
        </is>
      </c>
      <c r="AB28" s="120" t="inlineStr">
        <is>
          <t>Chat intelligent connecté (CRM…)</t>
        </is>
      </c>
      <c r="AN28" s="120" t="inlineStr">
        <is>
          <t>Solution complète personnalisée</t>
        </is>
      </c>
      <c r="AZ28" s="120" t="inlineStr">
        <is>
          <t>Maintenance / amélioration continue</t>
        </is>
      </c>
    </row>
    <row r="29" ht="38" customHeight="1" s="62">
      <c r="D29" s="121" t="inlineStr">
        <is>
          <t>1 langue</t>
        </is>
      </c>
      <c r="H29" s="121" t="inlineStr">
        <is>
          <t>2-3 langues</t>
        </is>
      </c>
      <c r="L29" s="121" t="inlineStr">
        <is>
          <t>4+ langues</t>
        </is>
      </c>
      <c r="P29" s="121" t="inlineStr">
        <is>
          <t>1 langue</t>
        </is>
      </c>
      <c r="T29" s="121" t="inlineStr">
        <is>
          <t>2-3 langues</t>
        </is>
      </c>
      <c r="X29" s="121" t="inlineStr">
        <is>
          <t>4+ langues</t>
        </is>
      </c>
      <c r="AB29" s="121" t="inlineStr">
        <is>
          <t>1 langue</t>
        </is>
      </c>
      <c r="AF29" s="121" t="inlineStr">
        <is>
          <t>2-3 langues</t>
        </is>
      </c>
      <c r="AJ29" s="121" t="inlineStr">
        <is>
          <t>4+ langues</t>
        </is>
      </c>
      <c r="AN29" s="121" t="inlineStr">
        <is>
          <t>1 langue</t>
        </is>
      </c>
      <c r="AR29" s="121" t="inlineStr">
        <is>
          <t>2-3 langues</t>
        </is>
      </c>
      <c r="AV29" s="121" t="inlineStr">
        <is>
          <t>4+ langues</t>
        </is>
      </c>
      <c r="AZ29" s="121" t="inlineStr">
        <is>
          <t>1 langue</t>
        </is>
      </c>
      <c r="BD29" s="121" t="inlineStr">
        <is>
          <t>2-3 langues</t>
        </is>
      </c>
      <c r="BH29" s="121" t="inlineStr">
        <is>
          <t>4+ langues</t>
        </is>
      </c>
    </row>
    <row r="30" ht="38" customHeight="1" s="62">
      <c r="D30" s="122" t="inlineStr">
        <is>
          <t>Sécurité standard</t>
        </is>
      </c>
      <c r="F30" s="122" t="inlineStr">
        <is>
          <t>Sécurité renforcée (RGPD…)</t>
        </is>
      </c>
      <c r="H30" s="122" t="inlineStr">
        <is>
          <t>Sécurité standard</t>
        </is>
      </c>
      <c r="J30" s="122" t="inlineStr">
        <is>
          <t>Sécurité renforcée (RGPD…)</t>
        </is>
      </c>
      <c r="L30" s="122" t="inlineStr">
        <is>
          <t>Sécurité standard</t>
        </is>
      </c>
      <c r="N30" s="122" t="inlineStr">
        <is>
          <t>Sécurité renforcée (RGPD…)</t>
        </is>
      </c>
      <c r="P30" s="122" t="inlineStr">
        <is>
          <t>Sécurité standard</t>
        </is>
      </c>
      <c r="R30" s="122" t="inlineStr">
        <is>
          <t>Sécurité renforcée (RGPD…)</t>
        </is>
      </c>
      <c r="T30" s="122" t="inlineStr">
        <is>
          <t>Sécurité standard</t>
        </is>
      </c>
      <c r="V30" s="122" t="inlineStr">
        <is>
          <t>Sécurité renforcée (RGPD…)</t>
        </is>
      </c>
      <c r="X30" s="122" t="inlineStr">
        <is>
          <t>Sécurité standard</t>
        </is>
      </c>
      <c r="Z30" s="122" t="inlineStr">
        <is>
          <t>Sécurité renforcée (RGPD…)</t>
        </is>
      </c>
      <c r="AB30" s="122" t="inlineStr">
        <is>
          <t>Sécurité standard</t>
        </is>
      </c>
      <c r="AD30" s="122" t="inlineStr">
        <is>
          <t>Sécurité renforcée (RGPD…)</t>
        </is>
      </c>
      <c r="AF30" s="122" t="inlineStr">
        <is>
          <t>Sécurité standard</t>
        </is>
      </c>
      <c r="AH30" s="122" t="inlineStr">
        <is>
          <t>Sécurité renforcée (RGPD…)</t>
        </is>
      </c>
      <c r="AJ30" s="122" t="inlineStr">
        <is>
          <t>Sécurité standard</t>
        </is>
      </c>
      <c r="AL30" s="122" t="inlineStr">
        <is>
          <t>Sécurité renforcée (RGPD…)</t>
        </is>
      </c>
      <c r="AN30" s="122" t="inlineStr">
        <is>
          <t>Sécurité standard</t>
        </is>
      </c>
      <c r="AP30" s="122" t="inlineStr">
        <is>
          <t>Sécurité renforcée (RGPD…)</t>
        </is>
      </c>
      <c r="AR30" s="122" t="inlineStr">
        <is>
          <t>Sécurité standard</t>
        </is>
      </c>
      <c r="AT30" s="122" t="inlineStr">
        <is>
          <t>Sécurité renforcée (RGPD…)</t>
        </is>
      </c>
      <c r="AV30" s="122" t="inlineStr">
        <is>
          <t>Sécurité standard</t>
        </is>
      </c>
      <c r="AX30" s="122" t="inlineStr">
        <is>
          <t>Sécurité renforcée (RGPD…)</t>
        </is>
      </c>
      <c r="AZ30" s="122" t="inlineStr">
        <is>
          <t>Sécurité standard</t>
        </is>
      </c>
      <c r="BB30" s="122" t="inlineStr">
        <is>
          <t>Sécurité renforcée (RGPD…)</t>
        </is>
      </c>
      <c r="BD30" s="122" t="inlineStr">
        <is>
          <t>Sécurité standard</t>
        </is>
      </c>
      <c r="BF30" s="122" t="inlineStr">
        <is>
          <t>Sécurité renforcée (RGPD…)</t>
        </is>
      </c>
      <c r="BH30" s="122" t="inlineStr">
        <is>
          <t>Sécurité standard</t>
        </is>
      </c>
      <c r="BJ30" s="122" t="inlineStr">
        <is>
          <t>Sécurité renforcée (RGPD…)</t>
        </is>
      </c>
    </row>
    <row r="31" ht="38" customHeight="1" s="62">
      <c r="D31" s="123" t="inlineStr">
        <is>
          <t>Distanciel</t>
        </is>
      </c>
      <c r="E31" s="123" t="inlineStr">
        <is>
          <t>Présentiel</t>
        </is>
      </c>
      <c r="F31" s="123" t="inlineStr">
        <is>
          <t>Distanciel</t>
        </is>
      </c>
      <c r="G31" s="123" t="inlineStr">
        <is>
          <t>Présentiel</t>
        </is>
      </c>
      <c r="H31" s="123" t="inlineStr">
        <is>
          <t>Distanciel</t>
        </is>
      </c>
      <c r="I31" s="123" t="inlineStr">
        <is>
          <t>Présentiel</t>
        </is>
      </c>
      <c r="J31" s="123" t="inlineStr">
        <is>
          <t>Distanciel</t>
        </is>
      </c>
      <c r="K31" s="123" t="inlineStr">
        <is>
          <t>Présentiel</t>
        </is>
      </c>
      <c r="L31" s="123" t="inlineStr">
        <is>
          <t>Distanciel</t>
        </is>
      </c>
      <c r="M31" s="123" t="inlineStr">
        <is>
          <t>Présentiel</t>
        </is>
      </c>
      <c r="N31" s="123" t="inlineStr">
        <is>
          <t>Distanciel</t>
        </is>
      </c>
      <c r="O31" s="123" t="inlineStr">
        <is>
          <t>Présentiel</t>
        </is>
      </c>
      <c r="P31" s="123" t="inlineStr">
        <is>
          <t>Distanciel</t>
        </is>
      </c>
      <c r="Q31" s="123" t="inlineStr">
        <is>
          <t>Présentiel</t>
        </is>
      </c>
      <c r="R31" s="123" t="inlineStr">
        <is>
          <t>Distanciel</t>
        </is>
      </c>
      <c r="S31" s="123" t="inlineStr">
        <is>
          <t>Présentiel</t>
        </is>
      </c>
      <c r="T31" s="123" t="inlineStr">
        <is>
          <t>Distanciel</t>
        </is>
      </c>
      <c r="U31" s="123" t="inlineStr">
        <is>
          <t>Présentiel</t>
        </is>
      </c>
      <c r="V31" s="123" t="inlineStr">
        <is>
          <t>Distanciel</t>
        </is>
      </c>
      <c r="W31" s="123" t="inlineStr">
        <is>
          <t>Présentiel</t>
        </is>
      </c>
      <c r="X31" s="123" t="inlineStr">
        <is>
          <t>Distanciel</t>
        </is>
      </c>
      <c r="Y31" s="123" t="inlineStr">
        <is>
          <t>Présentiel</t>
        </is>
      </c>
      <c r="Z31" s="123" t="inlineStr">
        <is>
          <t>Distanciel</t>
        </is>
      </c>
      <c r="AA31" s="123" t="inlineStr">
        <is>
          <t>Présentiel</t>
        </is>
      </c>
      <c r="AB31" s="123" t="inlineStr">
        <is>
          <t>Distanciel</t>
        </is>
      </c>
      <c r="AC31" s="123" t="inlineStr">
        <is>
          <t>Présentiel</t>
        </is>
      </c>
      <c r="AD31" s="123" t="inlineStr">
        <is>
          <t>Distanciel</t>
        </is>
      </c>
      <c r="AE31" s="123" t="inlineStr">
        <is>
          <t>Présentiel</t>
        </is>
      </c>
      <c r="AF31" s="123" t="inlineStr">
        <is>
          <t>Distanciel</t>
        </is>
      </c>
      <c r="AG31" s="123" t="inlineStr">
        <is>
          <t>Présentiel</t>
        </is>
      </c>
      <c r="AH31" s="123" t="inlineStr">
        <is>
          <t>Distanciel</t>
        </is>
      </c>
      <c r="AI31" s="123" t="inlineStr">
        <is>
          <t>Présentiel</t>
        </is>
      </c>
      <c r="AJ31" s="123" t="inlineStr">
        <is>
          <t>Distanciel</t>
        </is>
      </c>
      <c r="AK31" s="123" t="inlineStr">
        <is>
          <t>Présentiel</t>
        </is>
      </c>
      <c r="AL31" s="123" t="inlineStr">
        <is>
          <t>Distanciel</t>
        </is>
      </c>
      <c r="AM31" s="123" t="inlineStr">
        <is>
          <t>Présentiel</t>
        </is>
      </c>
      <c r="AN31" s="123" t="inlineStr">
        <is>
          <t>Distanciel</t>
        </is>
      </c>
      <c r="AO31" s="123" t="inlineStr">
        <is>
          <t>Présentiel</t>
        </is>
      </c>
      <c r="AP31" s="123" t="inlineStr">
        <is>
          <t>Distanciel</t>
        </is>
      </c>
      <c r="AQ31" s="123" t="inlineStr">
        <is>
          <t>Présentiel</t>
        </is>
      </c>
      <c r="AR31" s="123" t="inlineStr">
        <is>
          <t>Distanciel</t>
        </is>
      </c>
      <c r="AS31" s="123" t="inlineStr">
        <is>
          <t>Présentiel</t>
        </is>
      </c>
      <c r="AT31" s="123" t="inlineStr">
        <is>
          <t>Distanciel</t>
        </is>
      </c>
      <c r="AU31" s="123" t="inlineStr">
        <is>
          <t>Présentiel</t>
        </is>
      </c>
      <c r="AV31" s="123" t="inlineStr">
        <is>
          <t>Distanciel</t>
        </is>
      </c>
      <c r="AW31" s="123" t="inlineStr">
        <is>
          <t>Présentiel</t>
        </is>
      </c>
      <c r="AX31" s="123" t="inlineStr">
        <is>
          <t>Distanciel</t>
        </is>
      </c>
      <c r="AY31" s="123" t="inlineStr">
        <is>
          <t>Présentiel</t>
        </is>
      </c>
      <c r="AZ31" s="123" t="inlineStr">
        <is>
          <t>Distanciel</t>
        </is>
      </c>
      <c r="BA31" s="123" t="inlineStr">
        <is>
          <t>Présentiel</t>
        </is>
      </c>
      <c r="BB31" s="123" t="inlineStr">
        <is>
          <t>Distanciel</t>
        </is>
      </c>
      <c r="BC31" s="123" t="inlineStr">
        <is>
          <t>Présentiel</t>
        </is>
      </c>
      <c r="BD31" s="123" t="inlineStr">
        <is>
          <t>Distanciel</t>
        </is>
      </c>
      <c r="BE31" s="123" t="inlineStr">
        <is>
          <t>Présentiel</t>
        </is>
      </c>
      <c r="BF31" s="123" t="inlineStr">
        <is>
          <t>Distanciel</t>
        </is>
      </c>
      <c r="BG31" s="123" t="inlineStr">
        <is>
          <t>Présentiel</t>
        </is>
      </c>
      <c r="BH31" s="123" t="inlineStr">
        <is>
          <t>Distanciel</t>
        </is>
      </c>
      <c r="BI31" s="123" t="inlineStr">
        <is>
          <t>Présentiel</t>
        </is>
      </c>
      <c r="BJ31" s="123" t="inlineStr">
        <is>
          <t>Distanciel</t>
        </is>
      </c>
      <c r="BK31" s="123" t="inlineStr">
        <is>
          <t>Présentiel</t>
        </is>
      </c>
    </row>
    <row r="32" ht="20" customHeight="1" s="62">
      <c r="A32" s="124" t="inlineStr">
        <is>
          <t>1-5 scénarios</t>
        </is>
      </c>
      <c r="B32" s="125" t="inlineStr">
        <is>
          <t>Aucune intégration</t>
        </is>
      </c>
      <c r="C32" s="126" t="inlineStr">
        <is>
          <t>Trafic faible (&lt; 1k/mois)</t>
        </is>
      </c>
      <c r="D32" s="127">
        <f>ROUND($B$4*$B$10*$B$13*$B$16*$B$19*$B$22*$B$24,0)</f>
        <v/>
      </c>
      <c r="E32" s="127">
        <f>ROUND($B$4*$B$10*$B$13*$B$16*$B$19*$B$22*$B$25,0)</f>
        <v/>
      </c>
      <c r="F32" s="127">
        <f>ROUND($B$4*$B$10*$B$13*$B$16*$B$19*$B$23*$B$24,0)</f>
        <v/>
      </c>
      <c r="G32" s="127">
        <f>ROUND($B$4*$B$10*$B$13*$B$16*$B$19*$B$23*$B$25,0)</f>
        <v/>
      </c>
      <c r="H32" s="127">
        <f>ROUND($B$4*$B$10*$B$13*$B$16*$B$20*$B$22*$B$24,0)</f>
        <v/>
      </c>
      <c r="I32" s="127">
        <f>ROUND($B$4*$B$10*$B$13*$B$16*$B$20*$B$22*$B$25,0)</f>
        <v/>
      </c>
      <c r="J32" s="127">
        <f>ROUND($B$4*$B$10*$B$13*$B$16*$B$20*$B$23*$B$24,0)</f>
        <v/>
      </c>
      <c r="K32" s="127">
        <f>ROUND($B$4*$B$10*$B$13*$B$16*$B$20*$B$23*$B$25,0)</f>
        <v/>
      </c>
      <c r="L32" s="127">
        <f>ROUND($B$4*$B$10*$B$13*$B$16*$B$21*$B$22*$B$24,0)</f>
        <v/>
      </c>
      <c r="M32" s="127">
        <f>ROUND($B$4*$B$10*$B$13*$B$16*$B$21*$B$22*$B$25,0)</f>
        <v/>
      </c>
      <c r="N32" s="127">
        <f>ROUND($B$4*$B$10*$B$13*$B$16*$B$21*$B$23*$B$24,0)</f>
        <v/>
      </c>
      <c r="O32" s="127">
        <f>ROUND($B$4*$B$10*$B$13*$B$16*$B$21*$B$23*$B$25,0)</f>
        <v/>
      </c>
      <c r="P32" s="127">
        <f>ROUND($B$5*$B$10*$B$13*$B$16*$B$19*$B$22*$B$24,0)</f>
        <v/>
      </c>
      <c r="Q32" s="127">
        <f>ROUND($B$5*$B$10*$B$13*$B$16*$B$19*$B$22*$B$25,0)</f>
        <v/>
      </c>
      <c r="R32" s="127">
        <f>ROUND($B$5*$B$10*$B$13*$B$16*$B$19*$B$23*$B$24,0)</f>
        <v/>
      </c>
      <c r="S32" s="127">
        <f>ROUND($B$5*$B$10*$B$13*$B$16*$B$19*$B$23*$B$25,0)</f>
        <v/>
      </c>
      <c r="T32" s="127">
        <f>ROUND($B$5*$B$10*$B$13*$B$16*$B$20*$B$22*$B$24,0)</f>
        <v/>
      </c>
      <c r="U32" s="127">
        <f>ROUND($B$5*$B$10*$B$13*$B$16*$B$20*$B$22*$B$25,0)</f>
        <v/>
      </c>
      <c r="V32" s="127">
        <f>ROUND($B$5*$B$10*$B$13*$B$16*$B$20*$B$23*$B$24,0)</f>
        <v/>
      </c>
      <c r="W32" s="127">
        <f>ROUND($B$5*$B$10*$B$13*$B$16*$B$20*$B$23*$B$25,0)</f>
        <v/>
      </c>
      <c r="X32" s="127">
        <f>ROUND($B$5*$B$10*$B$13*$B$16*$B$21*$B$22*$B$24,0)</f>
        <v/>
      </c>
      <c r="Y32" s="127">
        <f>ROUND($B$5*$B$10*$B$13*$B$16*$B$21*$B$22*$B$25,0)</f>
        <v/>
      </c>
      <c r="Z32" s="127">
        <f>ROUND($B$5*$B$10*$B$13*$B$16*$B$21*$B$23*$B$24,0)</f>
        <v/>
      </c>
      <c r="AA32" s="127">
        <f>ROUND($B$5*$B$10*$B$13*$B$16*$B$21*$B$23*$B$25,0)</f>
        <v/>
      </c>
      <c r="AB32" s="127">
        <f>ROUND($B$6*$B$10*$B$13*$B$16*$B$19*$B$22*$B$24,0)</f>
        <v/>
      </c>
      <c r="AC32" s="127">
        <f>ROUND($B$6*$B$10*$B$13*$B$16*$B$19*$B$22*$B$25,0)</f>
        <v/>
      </c>
      <c r="AD32" s="127">
        <f>ROUND($B$6*$B$10*$B$13*$B$16*$B$19*$B$23*$B$24,0)</f>
        <v/>
      </c>
      <c r="AE32" s="127">
        <f>ROUND($B$6*$B$10*$B$13*$B$16*$B$19*$B$23*$B$25,0)</f>
        <v/>
      </c>
      <c r="AF32" s="127">
        <f>ROUND($B$6*$B$10*$B$13*$B$16*$B$20*$B$22*$B$24,0)</f>
        <v/>
      </c>
      <c r="AG32" s="127">
        <f>ROUND($B$6*$B$10*$B$13*$B$16*$B$20*$B$22*$B$25,0)</f>
        <v/>
      </c>
      <c r="AH32" s="127">
        <f>ROUND($B$6*$B$10*$B$13*$B$16*$B$20*$B$23*$B$24,0)</f>
        <v/>
      </c>
      <c r="AI32" s="127">
        <f>ROUND($B$6*$B$10*$B$13*$B$16*$B$20*$B$23*$B$25,0)</f>
        <v/>
      </c>
      <c r="AJ32" s="127">
        <f>ROUND($B$6*$B$10*$B$13*$B$16*$B$21*$B$22*$B$24,0)</f>
        <v/>
      </c>
      <c r="AK32" s="127">
        <f>ROUND($B$6*$B$10*$B$13*$B$16*$B$21*$B$22*$B$25,0)</f>
        <v/>
      </c>
      <c r="AL32" s="127">
        <f>ROUND($B$6*$B$10*$B$13*$B$16*$B$21*$B$23*$B$24,0)</f>
        <v/>
      </c>
      <c r="AM32" s="127">
        <f>ROUND($B$6*$B$10*$B$13*$B$16*$B$21*$B$23*$B$25,0)</f>
        <v/>
      </c>
      <c r="AN32" s="127">
        <f>ROUND($B$7*$B$10*$B$13*$B$16*$B$19*$B$22*$B$24,0)</f>
        <v/>
      </c>
      <c r="AO32" s="127">
        <f>ROUND($B$7*$B$10*$B$13*$B$16*$B$19*$B$22*$B$25,0)</f>
        <v/>
      </c>
      <c r="AP32" s="127">
        <f>ROUND($B$7*$B$10*$B$13*$B$16*$B$19*$B$23*$B$24,0)</f>
        <v/>
      </c>
      <c r="AQ32" s="127">
        <f>ROUND($B$7*$B$10*$B$13*$B$16*$B$19*$B$23*$B$25,0)</f>
        <v/>
      </c>
      <c r="AR32" s="127">
        <f>ROUND($B$7*$B$10*$B$13*$B$16*$B$20*$B$22*$B$24,0)</f>
        <v/>
      </c>
      <c r="AS32" s="127">
        <f>ROUND($B$7*$B$10*$B$13*$B$16*$B$20*$B$22*$B$25,0)</f>
        <v/>
      </c>
      <c r="AT32" s="127">
        <f>ROUND($B$7*$B$10*$B$13*$B$16*$B$20*$B$23*$B$24,0)</f>
        <v/>
      </c>
      <c r="AU32" s="127">
        <f>ROUND($B$7*$B$10*$B$13*$B$16*$B$20*$B$23*$B$25,0)</f>
        <v/>
      </c>
      <c r="AV32" s="127">
        <f>ROUND($B$7*$B$10*$B$13*$B$16*$B$21*$B$22*$B$24,0)</f>
        <v/>
      </c>
      <c r="AW32" s="127">
        <f>ROUND($B$7*$B$10*$B$13*$B$16*$B$21*$B$22*$B$25,0)</f>
        <v/>
      </c>
      <c r="AX32" s="127">
        <f>ROUND($B$7*$B$10*$B$13*$B$16*$B$21*$B$23*$B$24,0)</f>
        <v/>
      </c>
      <c r="AY32" s="127">
        <f>ROUND($B$7*$B$10*$B$13*$B$16*$B$21*$B$23*$B$25,0)</f>
        <v/>
      </c>
      <c r="AZ32" s="128">
        <f>ROUND($B$8*$B$10*$B$13*$B$16*$B$19*$B$22*$B$24,0)</f>
        <v/>
      </c>
      <c r="BA32" s="128">
        <f>ROUND($B$8*$B$10*$B$13*$B$16*$B$19*$B$22*$B$25,0)</f>
        <v/>
      </c>
      <c r="BB32" s="128">
        <f>ROUND($B$8*$B$10*$B$13*$B$16*$B$19*$B$23*$B$24,0)</f>
        <v/>
      </c>
      <c r="BC32" s="128">
        <f>ROUND($B$8*$B$10*$B$13*$B$16*$B$19*$B$23*$B$25,0)</f>
        <v/>
      </c>
      <c r="BD32" s="128">
        <f>ROUND($B$8*$B$10*$B$13*$B$16*$B$20*$B$22*$B$24,0)</f>
        <v/>
      </c>
      <c r="BE32" s="128">
        <f>ROUND($B$8*$B$10*$B$13*$B$16*$B$20*$B$22*$B$25,0)</f>
        <v/>
      </c>
      <c r="BF32" s="128">
        <f>ROUND($B$8*$B$10*$B$13*$B$16*$B$20*$B$23*$B$24,0)</f>
        <v/>
      </c>
      <c r="BG32" s="128">
        <f>ROUND($B$8*$B$10*$B$13*$B$16*$B$20*$B$23*$B$25,0)</f>
        <v/>
      </c>
      <c r="BH32" s="128">
        <f>ROUND($B$8*$B$10*$B$13*$B$16*$B$21*$B$22*$B$24,0)</f>
        <v/>
      </c>
      <c r="BI32" s="128">
        <f>ROUND($B$8*$B$10*$B$13*$B$16*$B$21*$B$22*$B$25,0)</f>
        <v/>
      </c>
      <c r="BJ32" s="128">
        <f>ROUND($B$8*$B$10*$B$13*$B$16*$B$21*$B$23*$B$24,0)</f>
        <v/>
      </c>
      <c r="BK32" s="128">
        <f>ROUND($B$8*$B$10*$B$13*$B$16*$B$21*$B$23*$B$25,0)</f>
        <v/>
      </c>
    </row>
    <row r="33" ht="20" customHeight="1" s="62">
      <c r="C33" s="125" t="inlineStr">
        <is>
          <t>Trafic moyen (1k-10k/mois)</t>
        </is>
      </c>
      <c r="D33" s="127">
        <f>ROUND($B$4*$B$10*$B$13*$B$17*$B$19*$B$22*$B$24,0)</f>
        <v/>
      </c>
      <c r="E33" s="127">
        <f>ROUND($B$4*$B$10*$B$13*$B$17*$B$19*$B$22*$B$25,0)</f>
        <v/>
      </c>
      <c r="F33" s="127">
        <f>ROUND($B$4*$B$10*$B$13*$B$17*$B$19*$B$23*$B$24,0)</f>
        <v/>
      </c>
      <c r="G33" s="127">
        <f>ROUND($B$4*$B$10*$B$13*$B$17*$B$19*$B$23*$B$25,0)</f>
        <v/>
      </c>
      <c r="H33" s="127">
        <f>ROUND($B$4*$B$10*$B$13*$B$17*$B$20*$B$22*$B$24,0)</f>
        <v/>
      </c>
      <c r="I33" s="127">
        <f>ROUND($B$4*$B$10*$B$13*$B$17*$B$20*$B$22*$B$25,0)</f>
        <v/>
      </c>
      <c r="J33" s="127">
        <f>ROUND($B$4*$B$10*$B$13*$B$17*$B$20*$B$23*$B$24,0)</f>
        <v/>
      </c>
      <c r="K33" s="127">
        <f>ROUND($B$4*$B$10*$B$13*$B$17*$B$20*$B$23*$B$25,0)</f>
        <v/>
      </c>
      <c r="L33" s="127">
        <f>ROUND($B$4*$B$10*$B$13*$B$17*$B$21*$B$22*$B$24,0)</f>
        <v/>
      </c>
      <c r="M33" s="127">
        <f>ROUND($B$4*$B$10*$B$13*$B$17*$B$21*$B$22*$B$25,0)</f>
        <v/>
      </c>
      <c r="N33" s="127">
        <f>ROUND($B$4*$B$10*$B$13*$B$17*$B$21*$B$23*$B$24,0)</f>
        <v/>
      </c>
      <c r="O33" s="127">
        <f>ROUND($B$4*$B$10*$B$13*$B$17*$B$21*$B$23*$B$25,0)</f>
        <v/>
      </c>
      <c r="P33" s="127">
        <f>ROUND($B$5*$B$10*$B$13*$B$17*$B$19*$B$22*$B$24,0)</f>
        <v/>
      </c>
      <c r="Q33" s="127">
        <f>ROUND($B$5*$B$10*$B$13*$B$17*$B$19*$B$22*$B$25,0)</f>
        <v/>
      </c>
      <c r="R33" s="127">
        <f>ROUND($B$5*$B$10*$B$13*$B$17*$B$19*$B$23*$B$24,0)</f>
        <v/>
      </c>
      <c r="S33" s="127">
        <f>ROUND($B$5*$B$10*$B$13*$B$17*$B$19*$B$23*$B$25,0)</f>
        <v/>
      </c>
      <c r="T33" s="127">
        <f>ROUND($B$5*$B$10*$B$13*$B$17*$B$20*$B$22*$B$24,0)</f>
        <v/>
      </c>
      <c r="U33" s="127">
        <f>ROUND($B$5*$B$10*$B$13*$B$17*$B$20*$B$22*$B$25,0)</f>
        <v/>
      </c>
      <c r="V33" s="127">
        <f>ROUND($B$5*$B$10*$B$13*$B$17*$B$20*$B$23*$B$24,0)</f>
        <v/>
      </c>
      <c r="W33" s="127">
        <f>ROUND($B$5*$B$10*$B$13*$B$17*$B$20*$B$23*$B$25,0)</f>
        <v/>
      </c>
      <c r="X33" s="127">
        <f>ROUND($B$5*$B$10*$B$13*$B$17*$B$21*$B$22*$B$24,0)</f>
        <v/>
      </c>
      <c r="Y33" s="127">
        <f>ROUND($B$5*$B$10*$B$13*$B$17*$B$21*$B$22*$B$25,0)</f>
        <v/>
      </c>
      <c r="Z33" s="127">
        <f>ROUND($B$5*$B$10*$B$13*$B$17*$B$21*$B$23*$B$24,0)</f>
        <v/>
      </c>
      <c r="AA33" s="127">
        <f>ROUND($B$5*$B$10*$B$13*$B$17*$B$21*$B$23*$B$25,0)</f>
        <v/>
      </c>
      <c r="AB33" s="127">
        <f>ROUND($B$6*$B$10*$B$13*$B$17*$B$19*$B$22*$B$24,0)</f>
        <v/>
      </c>
      <c r="AC33" s="127">
        <f>ROUND($B$6*$B$10*$B$13*$B$17*$B$19*$B$22*$B$25,0)</f>
        <v/>
      </c>
      <c r="AD33" s="127">
        <f>ROUND($B$6*$B$10*$B$13*$B$17*$B$19*$B$23*$B$24,0)</f>
        <v/>
      </c>
      <c r="AE33" s="127">
        <f>ROUND($B$6*$B$10*$B$13*$B$17*$B$19*$B$23*$B$25,0)</f>
        <v/>
      </c>
      <c r="AF33" s="127">
        <f>ROUND($B$6*$B$10*$B$13*$B$17*$B$20*$B$22*$B$24,0)</f>
        <v/>
      </c>
      <c r="AG33" s="127">
        <f>ROUND($B$6*$B$10*$B$13*$B$17*$B$20*$B$22*$B$25,0)</f>
        <v/>
      </c>
      <c r="AH33" s="127">
        <f>ROUND($B$6*$B$10*$B$13*$B$17*$B$20*$B$23*$B$24,0)</f>
        <v/>
      </c>
      <c r="AI33" s="127">
        <f>ROUND($B$6*$B$10*$B$13*$B$17*$B$20*$B$23*$B$25,0)</f>
        <v/>
      </c>
      <c r="AJ33" s="127">
        <f>ROUND($B$6*$B$10*$B$13*$B$17*$B$21*$B$22*$B$24,0)</f>
        <v/>
      </c>
      <c r="AK33" s="127">
        <f>ROUND($B$6*$B$10*$B$13*$B$17*$B$21*$B$22*$B$25,0)</f>
        <v/>
      </c>
      <c r="AL33" s="127">
        <f>ROUND($B$6*$B$10*$B$13*$B$17*$B$21*$B$23*$B$24,0)</f>
        <v/>
      </c>
      <c r="AM33" s="127">
        <f>ROUND($B$6*$B$10*$B$13*$B$17*$B$21*$B$23*$B$25,0)</f>
        <v/>
      </c>
      <c r="AN33" s="127">
        <f>ROUND($B$7*$B$10*$B$13*$B$17*$B$19*$B$22*$B$24,0)</f>
        <v/>
      </c>
      <c r="AO33" s="127">
        <f>ROUND($B$7*$B$10*$B$13*$B$17*$B$19*$B$22*$B$25,0)</f>
        <v/>
      </c>
      <c r="AP33" s="127">
        <f>ROUND($B$7*$B$10*$B$13*$B$17*$B$19*$B$23*$B$24,0)</f>
        <v/>
      </c>
      <c r="AQ33" s="127">
        <f>ROUND($B$7*$B$10*$B$13*$B$17*$B$19*$B$23*$B$25,0)</f>
        <v/>
      </c>
      <c r="AR33" s="127">
        <f>ROUND($B$7*$B$10*$B$13*$B$17*$B$20*$B$22*$B$24,0)</f>
        <v/>
      </c>
      <c r="AS33" s="127">
        <f>ROUND($B$7*$B$10*$B$13*$B$17*$B$20*$B$22*$B$25,0)</f>
        <v/>
      </c>
      <c r="AT33" s="127">
        <f>ROUND($B$7*$B$10*$B$13*$B$17*$B$20*$B$23*$B$24,0)</f>
        <v/>
      </c>
      <c r="AU33" s="127">
        <f>ROUND($B$7*$B$10*$B$13*$B$17*$B$20*$B$23*$B$25,0)</f>
        <v/>
      </c>
      <c r="AV33" s="127">
        <f>ROUND($B$7*$B$10*$B$13*$B$17*$B$21*$B$22*$B$24,0)</f>
        <v/>
      </c>
      <c r="AW33" s="127">
        <f>ROUND($B$7*$B$10*$B$13*$B$17*$B$21*$B$22*$B$25,0)</f>
        <v/>
      </c>
      <c r="AX33" s="127">
        <f>ROUND($B$7*$B$10*$B$13*$B$17*$B$21*$B$23*$B$24,0)</f>
        <v/>
      </c>
      <c r="AY33" s="127">
        <f>ROUND($B$7*$B$10*$B$13*$B$17*$B$21*$B$23*$B$25,0)</f>
        <v/>
      </c>
      <c r="AZ33" s="128">
        <f>ROUND($B$8*$B$10*$B$13*$B$17*$B$19*$B$22*$B$24,0)</f>
        <v/>
      </c>
      <c r="BA33" s="128">
        <f>ROUND($B$8*$B$10*$B$13*$B$17*$B$19*$B$22*$B$25,0)</f>
        <v/>
      </c>
      <c r="BB33" s="128">
        <f>ROUND($B$8*$B$10*$B$13*$B$17*$B$19*$B$23*$B$24,0)</f>
        <v/>
      </c>
      <c r="BC33" s="128">
        <f>ROUND($B$8*$B$10*$B$13*$B$17*$B$19*$B$23*$B$25,0)</f>
        <v/>
      </c>
      <c r="BD33" s="128">
        <f>ROUND($B$8*$B$10*$B$13*$B$17*$B$20*$B$22*$B$24,0)</f>
        <v/>
      </c>
      <c r="BE33" s="128">
        <f>ROUND($B$8*$B$10*$B$13*$B$17*$B$20*$B$22*$B$25,0)</f>
        <v/>
      </c>
      <c r="BF33" s="128">
        <f>ROUND($B$8*$B$10*$B$13*$B$17*$B$20*$B$23*$B$24,0)</f>
        <v/>
      </c>
      <c r="BG33" s="128">
        <f>ROUND($B$8*$B$10*$B$13*$B$17*$B$20*$B$23*$B$25,0)</f>
        <v/>
      </c>
      <c r="BH33" s="128">
        <f>ROUND($B$8*$B$10*$B$13*$B$17*$B$21*$B$22*$B$24,0)</f>
        <v/>
      </c>
      <c r="BI33" s="128">
        <f>ROUND($B$8*$B$10*$B$13*$B$17*$B$21*$B$22*$B$25,0)</f>
        <v/>
      </c>
      <c r="BJ33" s="128">
        <f>ROUND($B$8*$B$10*$B$13*$B$17*$B$21*$B$23*$B$24,0)</f>
        <v/>
      </c>
      <c r="BK33" s="128">
        <f>ROUND($B$8*$B$10*$B$13*$B$17*$B$21*$B$23*$B$25,0)</f>
        <v/>
      </c>
    </row>
    <row r="34" ht="20" customHeight="1" s="62">
      <c r="C34" s="129" t="inlineStr">
        <is>
          <t>Trafic élevé (10k+/mois)</t>
        </is>
      </c>
      <c r="D34" s="127">
        <f>ROUND($B$4*$B$10*$B$13*$B$18*$B$19*$B$22*$B$24,0)</f>
        <v/>
      </c>
      <c r="E34" s="127">
        <f>ROUND($B$4*$B$10*$B$13*$B$18*$B$19*$B$22*$B$25,0)</f>
        <v/>
      </c>
      <c r="F34" s="127">
        <f>ROUND($B$4*$B$10*$B$13*$B$18*$B$19*$B$23*$B$24,0)</f>
        <v/>
      </c>
      <c r="G34" s="127">
        <f>ROUND($B$4*$B$10*$B$13*$B$18*$B$19*$B$23*$B$25,0)</f>
        <v/>
      </c>
      <c r="H34" s="127">
        <f>ROUND($B$4*$B$10*$B$13*$B$18*$B$20*$B$22*$B$24,0)</f>
        <v/>
      </c>
      <c r="I34" s="127">
        <f>ROUND($B$4*$B$10*$B$13*$B$18*$B$20*$B$22*$B$25,0)</f>
        <v/>
      </c>
      <c r="J34" s="127">
        <f>ROUND($B$4*$B$10*$B$13*$B$18*$B$20*$B$23*$B$24,0)</f>
        <v/>
      </c>
      <c r="K34" s="127">
        <f>ROUND($B$4*$B$10*$B$13*$B$18*$B$20*$B$23*$B$25,0)</f>
        <v/>
      </c>
      <c r="L34" s="127">
        <f>ROUND($B$4*$B$10*$B$13*$B$18*$B$21*$B$22*$B$24,0)</f>
        <v/>
      </c>
      <c r="M34" s="127">
        <f>ROUND($B$4*$B$10*$B$13*$B$18*$B$21*$B$22*$B$25,0)</f>
        <v/>
      </c>
      <c r="N34" s="127">
        <f>ROUND($B$4*$B$10*$B$13*$B$18*$B$21*$B$23*$B$24,0)</f>
        <v/>
      </c>
      <c r="O34" s="127">
        <f>ROUND($B$4*$B$10*$B$13*$B$18*$B$21*$B$23*$B$25,0)</f>
        <v/>
      </c>
      <c r="P34" s="127">
        <f>ROUND($B$5*$B$10*$B$13*$B$18*$B$19*$B$22*$B$24,0)</f>
        <v/>
      </c>
      <c r="Q34" s="127">
        <f>ROUND($B$5*$B$10*$B$13*$B$18*$B$19*$B$22*$B$25,0)</f>
        <v/>
      </c>
      <c r="R34" s="127">
        <f>ROUND($B$5*$B$10*$B$13*$B$18*$B$19*$B$23*$B$24,0)</f>
        <v/>
      </c>
      <c r="S34" s="127">
        <f>ROUND($B$5*$B$10*$B$13*$B$18*$B$19*$B$23*$B$25,0)</f>
        <v/>
      </c>
      <c r="T34" s="127">
        <f>ROUND($B$5*$B$10*$B$13*$B$18*$B$20*$B$22*$B$24,0)</f>
        <v/>
      </c>
      <c r="U34" s="127">
        <f>ROUND($B$5*$B$10*$B$13*$B$18*$B$20*$B$22*$B$25,0)</f>
        <v/>
      </c>
      <c r="V34" s="127">
        <f>ROUND($B$5*$B$10*$B$13*$B$18*$B$20*$B$23*$B$24,0)</f>
        <v/>
      </c>
      <c r="W34" s="127">
        <f>ROUND($B$5*$B$10*$B$13*$B$18*$B$20*$B$23*$B$25,0)</f>
        <v/>
      </c>
      <c r="X34" s="127">
        <f>ROUND($B$5*$B$10*$B$13*$B$18*$B$21*$B$22*$B$24,0)</f>
        <v/>
      </c>
      <c r="Y34" s="127">
        <f>ROUND($B$5*$B$10*$B$13*$B$18*$B$21*$B$22*$B$25,0)</f>
        <v/>
      </c>
      <c r="Z34" s="127">
        <f>ROUND($B$5*$B$10*$B$13*$B$18*$B$21*$B$23*$B$24,0)</f>
        <v/>
      </c>
      <c r="AA34" s="127">
        <f>ROUND($B$5*$B$10*$B$13*$B$18*$B$21*$B$23*$B$25,0)</f>
        <v/>
      </c>
      <c r="AB34" s="127">
        <f>ROUND($B$6*$B$10*$B$13*$B$18*$B$19*$B$22*$B$24,0)</f>
        <v/>
      </c>
      <c r="AC34" s="127">
        <f>ROUND($B$6*$B$10*$B$13*$B$18*$B$19*$B$22*$B$25,0)</f>
        <v/>
      </c>
      <c r="AD34" s="127">
        <f>ROUND($B$6*$B$10*$B$13*$B$18*$B$19*$B$23*$B$24,0)</f>
        <v/>
      </c>
      <c r="AE34" s="127">
        <f>ROUND($B$6*$B$10*$B$13*$B$18*$B$19*$B$23*$B$25,0)</f>
        <v/>
      </c>
      <c r="AF34" s="127">
        <f>ROUND($B$6*$B$10*$B$13*$B$18*$B$20*$B$22*$B$24,0)</f>
        <v/>
      </c>
      <c r="AG34" s="127">
        <f>ROUND($B$6*$B$10*$B$13*$B$18*$B$20*$B$22*$B$25,0)</f>
        <v/>
      </c>
      <c r="AH34" s="127">
        <f>ROUND($B$6*$B$10*$B$13*$B$18*$B$20*$B$23*$B$24,0)</f>
        <v/>
      </c>
      <c r="AI34" s="127">
        <f>ROUND($B$6*$B$10*$B$13*$B$18*$B$20*$B$23*$B$25,0)</f>
        <v/>
      </c>
      <c r="AJ34" s="127">
        <f>ROUND($B$6*$B$10*$B$13*$B$18*$B$21*$B$22*$B$24,0)</f>
        <v/>
      </c>
      <c r="AK34" s="127">
        <f>ROUND($B$6*$B$10*$B$13*$B$18*$B$21*$B$22*$B$25,0)</f>
        <v/>
      </c>
      <c r="AL34" s="127">
        <f>ROUND($B$6*$B$10*$B$13*$B$18*$B$21*$B$23*$B$24,0)</f>
        <v/>
      </c>
      <c r="AM34" s="127">
        <f>ROUND($B$6*$B$10*$B$13*$B$18*$B$21*$B$23*$B$25,0)</f>
        <v/>
      </c>
      <c r="AN34" s="127">
        <f>ROUND($B$7*$B$10*$B$13*$B$18*$B$19*$B$22*$B$24,0)</f>
        <v/>
      </c>
      <c r="AO34" s="127">
        <f>ROUND($B$7*$B$10*$B$13*$B$18*$B$19*$B$22*$B$25,0)</f>
        <v/>
      </c>
      <c r="AP34" s="127">
        <f>ROUND($B$7*$B$10*$B$13*$B$18*$B$19*$B$23*$B$24,0)</f>
        <v/>
      </c>
      <c r="AQ34" s="127">
        <f>ROUND($B$7*$B$10*$B$13*$B$18*$B$19*$B$23*$B$25,0)</f>
        <v/>
      </c>
      <c r="AR34" s="127">
        <f>ROUND($B$7*$B$10*$B$13*$B$18*$B$20*$B$22*$B$24,0)</f>
        <v/>
      </c>
      <c r="AS34" s="127">
        <f>ROUND($B$7*$B$10*$B$13*$B$18*$B$20*$B$22*$B$25,0)</f>
        <v/>
      </c>
      <c r="AT34" s="127">
        <f>ROUND($B$7*$B$10*$B$13*$B$18*$B$20*$B$23*$B$24,0)</f>
        <v/>
      </c>
      <c r="AU34" s="127">
        <f>ROUND($B$7*$B$10*$B$13*$B$18*$B$20*$B$23*$B$25,0)</f>
        <v/>
      </c>
      <c r="AV34" s="127">
        <f>ROUND($B$7*$B$10*$B$13*$B$18*$B$21*$B$22*$B$24,0)</f>
        <v/>
      </c>
      <c r="AW34" s="127">
        <f>ROUND($B$7*$B$10*$B$13*$B$18*$B$21*$B$22*$B$25,0)</f>
        <v/>
      </c>
      <c r="AX34" s="127">
        <f>ROUND($B$7*$B$10*$B$13*$B$18*$B$21*$B$23*$B$24,0)</f>
        <v/>
      </c>
      <c r="AY34" s="127">
        <f>ROUND($B$7*$B$10*$B$13*$B$18*$B$21*$B$23*$B$25,0)</f>
        <v/>
      </c>
      <c r="AZ34" s="128">
        <f>ROUND($B$8*$B$10*$B$13*$B$18*$B$19*$B$22*$B$24,0)</f>
        <v/>
      </c>
      <c r="BA34" s="128">
        <f>ROUND($B$8*$B$10*$B$13*$B$18*$B$19*$B$22*$B$25,0)</f>
        <v/>
      </c>
      <c r="BB34" s="128">
        <f>ROUND($B$8*$B$10*$B$13*$B$18*$B$19*$B$23*$B$24,0)</f>
        <v/>
      </c>
      <c r="BC34" s="128">
        <f>ROUND($B$8*$B$10*$B$13*$B$18*$B$19*$B$23*$B$25,0)</f>
        <v/>
      </c>
      <c r="BD34" s="128">
        <f>ROUND($B$8*$B$10*$B$13*$B$18*$B$20*$B$22*$B$24,0)</f>
        <v/>
      </c>
      <c r="BE34" s="128">
        <f>ROUND($B$8*$B$10*$B$13*$B$18*$B$20*$B$22*$B$25,0)</f>
        <v/>
      </c>
      <c r="BF34" s="128">
        <f>ROUND($B$8*$B$10*$B$13*$B$18*$B$20*$B$23*$B$24,0)</f>
        <v/>
      </c>
      <c r="BG34" s="128">
        <f>ROUND($B$8*$B$10*$B$13*$B$18*$B$20*$B$23*$B$25,0)</f>
        <v/>
      </c>
      <c r="BH34" s="128">
        <f>ROUND($B$8*$B$10*$B$13*$B$18*$B$21*$B$22*$B$24,0)</f>
        <v/>
      </c>
      <c r="BI34" s="128">
        <f>ROUND($B$8*$B$10*$B$13*$B$18*$B$21*$B$22*$B$25,0)</f>
        <v/>
      </c>
      <c r="BJ34" s="128">
        <f>ROUND($B$8*$B$10*$B$13*$B$18*$B$21*$B$23*$B$24,0)</f>
        <v/>
      </c>
      <c r="BK34" s="128">
        <f>ROUND($B$8*$B$10*$B$13*$B$18*$B$21*$B$23*$B$25,0)</f>
        <v/>
      </c>
    </row>
    <row r="35" ht="20" customHeight="1" s="62">
      <c r="B35" s="125" t="inlineStr">
        <is>
          <t>1-2 outils intégrés</t>
        </is>
      </c>
      <c r="C35" s="126" t="inlineStr">
        <is>
          <t>Trafic faible (&lt; 1k/mois)</t>
        </is>
      </c>
      <c r="D35" s="127">
        <f>ROUND($B$4*$B$10*$B$14*$B$16*$B$19*$B$22*$B$24,0)</f>
        <v/>
      </c>
      <c r="E35" s="127">
        <f>ROUND($B$4*$B$10*$B$14*$B$16*$B$19*$B$22*$B$25,0)</f>
        <v/>
      </c>
      <c r="F35" s="127">
        <f>ROUND($B$4*$B$10*$B$14*$B$16*$B$19*$B$23*$B$24,0)</f>
        <v/>
      </c>
      <c r="G35" s="127">
        <f>ROUND($B$4*$B$10*$B$14*$B$16*$B$19*$B$23*$B$25,0)</f>
        <v/>
      </c>
      <c r="H35" s="127">
        <f>ROUND($B$4*$B$10*$B$14*$B$16*$B$20*$B$22*$B$24,0)</f>
        <v/>
      </c>
      <c r="I35" s="127">
        <f>ROUND($B$4*$B$10*$B$14*$B$16*$B$20*$B$22*$B$25,0)</f>
        <v/>
      </c>
      <c r="J35" s="127">
        <f>ROUND($B$4*$B$10*$B$14*$B$16*$B$20*$B$23*$B$24,0)</f>
        <v/>
      </c>
      <c r="K35" s="127">
        <f>ROUND($B$4*$B$10*$B$14*$B$16*$B$20*$B$23*$B$25,0)</f>
        <v/>
      </c>
      <c r="L35" s="127">
        <f>ROUND($B$4*$B$10*$B$14*$B$16*$B$21*$B$22*$B$24,0)</f>
        <v/>
      </c>
      <c r="M35" s="127">
        <f>ROUND($B$4*$B$10*$B$14*$B$16*$B$21*$B$22*$B$25,0)</f>
        <v/>
      </c>
      <c r="N35" s="127">
        <f>ROUND($B$4*$B$10*$B$14*$B$16*$B$21*$B$23*$B$24,0)</f>
        <v/>
      </c>
      <c r="O35" s="127">
        <f>ROUND($B$4*$B$10*$B$14*$B$16*$B$21*$B$23*$B$25,0)</f>
        <v/>
      </c>
      <c r="P35" s="127">
        <f>ROUND($B$5*$B$10*$B$14*$B$16*$B$19*$B$22*$B$24,0)</f>
        <v/>
      </c>
      <c r="Q35" s="127">
        <f>ROUND($B$5*$B$10*$B$14*$B$16*$B$19*$B$22*$B$25,0)</f>
        <v/>
      </c>
      <c r="R35" s="127">
        <f>ROUND($B$5*$B$10*$B$14*$B$16*$B$19*$B$23*$B$24,0)</f>
        <v/>
      </c>
      <c r="S35" s="127">
        <f>ROUND($B$5*$B$10*$B$14*$B$16*$B$19*$B$23*$B$25,0)</f>
        <v/>
      </c>
      <c r="T35" s="127">
        <f>ROUND($B$5*$B$10*$B$14*$B$16*$B$20*$B$22*$B$24,0)</f>
        <v/>
      </c>
      <c r="U35" s="127">
        <f>ROUND($B$5*$B$10*$B$14*$B$16*$B$20*$B$22*$B$25,0)</f>
        <v/>
      </c>
      <c r="V35" s="127">
        <f>ROUND($B$5*$B$10*$B$14*$B$16*$B$20*$B$23*$B$24,0)</f>
        <v/>
      </c>
      <c r="W35" s="127">
        <f>ROUND($B$5*$B$10*$B$14*$B$16*$B$20*$B$23*$B$25,0)</f>
        <v/>
      </c>
      <c r="X35" s="127">
        <f>ROUND($B$5*$B$10*$B$14*$B$16*$B$21*$B$22*$B$24,0)</f>
        <v/>
      </c>
      <c r="Y35" s="127">
        <f>ROUND($B$5*$B$10*$B$14*$B$16*$B$21*$B$22*$B$25,0)</f>
        <v/>
      </c>
      <c r="Z35" s="127">
        <f>ROUND($B$5*$B$10*$B$14*$B$16*$B$21*$B$23*$B$24,0)</f>
        <v/>
      </c>
      <c r="AA35" s="127">
        <f>ROUND($B$5*$B$10*$B$14*$B$16*$B$21*$B$23*$B$25,0)</f>
        <v/>
      </c>
      <c r="AB35" s="127">
        <f>ROUND($B$6*$B$10*$B$14*$B$16*$B$19*$B$22*$B$24,0)</f>
        <v/>
      </c>
      <c r="AC35" s="127">
        <f>ROUND($B$6*$B$10*$B$14*$B$16*$B$19*$B$22*$B$25,0)</f>
        <v/>
      </c>
      <c r="AD35" s="127">
        <f>ROUND($B$6*$B$10*$B$14*$B$16*$B$19*$B$23*$B$24,0)</f>
        <v/>
      </c>
      <c r="AE35" s="127">
        <f>ROUND($B$6*$B$10*$B$14*$B$16*$B$19*$B$23*$B$25,0)</f>
        <v/>
      </c>
      <c r="AF35" s="127">
        <f>ROUND($B$6*$B$10*$B$14*$B$16*$B$20*$B$22*$B$24,0)</f>
        <v/>
      </c>
      <c r="AG35" s="127">
        <f>ROUND($B$6*$B$10*$B$14*$B$16*$B$20*$B$22*$B$25,0)</f>
        <v/>
      </c>
      <c r="AH35" s="127">
        <f>ROUND($B$6*$B$10*$B$14*$B$16*$B$20*$B$23*$B$24,0)</f>
        <v/>
      </c>
      <c r="AI35" s="127">
        <f>ROUND($B$6*$B$10*$B$14*$B$16*$B$20*$B$23*$B$25,0)</f>
        <v/>
      </c>
      <c r="AJ35" s="127">
        <f>ROUND($B$6*$B$10*$B$14*$B$16*$B$21*$B$22*$B$24,0)</f>
        <v/>
      </c>
      <c r="AK35" s="127">
        <f>ROUND($B$6*$B$10*$B$14*$B$16*$B$21*$B$22*$B$25,0)</f>
        <v/>
      </c>
      <c r="AL35" s="127">
        <f>ROUND($B$6*$B$10*$B$14*$B$16*$B$21*$B$23*$B$24,0)</f>
        <v/>
      </c>
      <c r="AM35" s="127">
        <f>ROUND($B$6*$B$10*$B$14*$B$16*$B$21*$B$23*$B$25,0)</f>
        <v/>
      </c>
      <c r="AN35" s="127">
        <f>ROUND($B$7*$B$10*$B$14*$B$16*$B$19*$B$22*$B$24,0)</f>
        <v/>
      </c>
      <c r="AO35" s="127">
        <f>ROUND($B$7*$B$10*$B$14*$B$16*$B$19*$B$22*$B$25,0)</f>
        <v/>
      </c>
      <c r="AP35" s="127">
        <f>ROUND($B$7*$B$10*$B$14*$B$16*$B$19*$B$23*$B$24,0)</f>
        <v/>
      </c>
      <c r="AQ35" s="127">
        <f>ROUND($B$7*$B$10*$B$14*$B$16*$B$19*$B$23*$B$25,0)</f>
        <v/>
      </c>
      <c r="AR35" s="127">
        <f>ROUND($B$7*$B$10*$B$14*$B$16*$B$20*$B$22*$B$24,0)</f>
        <v/>
      </c>
      <c r="AS35" s="127">
        <f>ROUND($B$7*$B$10*$B$14*$B$16*$B$20*$B$22*$B$25,0)</f>
        <v/>
      </c>
      <c r="AT35" s="127">
        <f>ROUND($B$7*$B$10*$B$14*$B$16*$B$20*$B$23*$B$24,0)</f>
        <v/>
      </c>
      <c r="AU35" s="127">
        <f>ROUND($B$7*$B$10*$B$14*$B$16*$B$20*$B$23*$B$25,0)</f>
        <v/>
      </c>
      <c r="AV35" s="127">
        <f>ROUND($B$7*$B$10*$B$14*$B$16*$B$21*$B$22*$B$24,0)</f>
        <v/>
      </c>
      <c r="AW35" s="127">
        <f>ROUND($B$7*$B$10*$B$14*$B$16*$B$21*$B$22*$B$25,0)</f>
        <v/>
      </c>
      <c r="AX35" s="127">
        <f>ROUND($B$7*$B$10*$B$14*$B$16*$B$21*$B$23*$B$24,0)</f>
        <v/>
      </c>
      <c r="AY35" s="127">
        <f>ROUND($B$7*$B$10*$B$14*$B$16*$B$21*$B$23*$B$25,0)</f>
        <v/>
      </c>
      <c r="AZ35" s="128">
        <f>ROUND($B$8*$B$10*$B$14*$B$16*$B$19*$B$22*$B$24,0)</f>
        <v/>
      </c>
      <c r="BA35" s="128">
        <f>ROUND($B$8*$B$10*$B$14*$B$16*$B$19*$B$22*$B$25,0)</f>
        <v/>
      </c>
      <c r="BB35" s="128">
        <f>ROUND($B$8*$B$10*$B$14*$B$16*$B$19*$B$23*$B$24,0)</f>
        <v/>
      </c>
      <c r="BC35" s="128">
        <f>ROUND($B$8*$B$10*$B$14*$B$16*$B$19*$B$23*$B$25,0)</f>
        <v/>
      </c>
      <c r="BD35" s="128">
        <f>ROUND($B$8*$B$10*$B$14*$B$16*$B$20*$B$22*$B$24,0)</f>
        <v/>
      </c>
      <c r="BE35" s="128">
        <f>ROUND($B$8*$B$10*$B$14*$B$16*$B$20*$B$22*$B$25,0)</f>
        <v/>
      </c>
      <c r="BF35" s="128">
        <f>ROUND($B$8*$B$10*$B$14*$B$16*$B$20*$B$23*$B$24,0)</f>
        <v/>
      </c>
      <c r="BG35" s="128">
        <f>ROUND($B$8*$B$10*$B$14*$B$16*$B$20*$B$23*$B$25,0)</f>
        <v/>
      </c>
      <c r="BH35" s="128">
        <f>ROUND($B$8*$B$10*$B$14*$B$16*$B$21*$B$22*$B$24,0)</f>
        <v/>
      </c>
      <c r="BI35" s="128">
        <f>ROUND($B$8*$B$10*$B$14*$B$16*$B$21*$B$22*$B$25,0)</f>
        <v/>
      </c>
      <c r="BJ35" s="128">
        <f>ROUND($B$8*$B$10*$B$14*$B$16*$B$21*$B$23*$B$24,0)</f>
        <v/>
      </c>
      <c r="BK35" s="128">
        <f>ROUND($B$8*$B$10*$B$14*$B$16*$B$21*$B$23*$B$25,0)</f>
        <v/>
      </c>
    </row>
    <row r="36" ht="20" customHeight="1" s="62">
      <c r="C36" s="125" t="inlineStr">
        <is>
          <t>Trafic moyen (1k-10k/mois)</t>
        </is>
      </c>
      <c r="D36" s="127">
        <f>ROUND($B$4*$B$10*$B$14*$B$17*$B$19*$B$22*$B$24,0)</f>
        <v/>
      </c>
      <c r="E36" s="127">
        <f>ROUND($B$4*$B$10*$B$14*$B$17*$B$19*$B$22*$B$25,0)</f>
        <v/>
      </c>
      <c r="F36" s="127">
        <f>ROUND($B$4*$B$10*$B$14*$B$17*$B$19*$B$23*$B$24,0)</f>
        <v/>
      </c>
      <c r="G36" s="127">
        <f>ROUND($B$4*$B$10*$B$14*$B$17*$B$19*$B$23*$B$25,0)</f>
        <v/>
      </c>
      <c r="H36" s="127">
        <f>ROUND($B$4*$B$10*$B$14*$B$17*$B$20*$B$22*$B$24,0)</f>
        <v/>
      </c>
      <c r="I36" s="127">
        <f>ROUND($B$4*$B$10*$B$14*$B$17*$B$20*$B$22*$B$25,0)</f>
        <v/>
      </c>
      <c r="J36" s="127">
        <f>ROUND($B$4*$B$10*$B$14*$B$17*$B$20*$B$23*$B$24,0)</f>
        <v/>
      </c>
      <c r="K36" s="127">
        <f>ROUND($B$4*$B$10*$B$14*$B$17*$B$20*$B$23*$B$25,0)</f>
        <v/>
      </c>
      <c r="L36" s="127">
        <f>ROUND($B$4*$B$10*$B$14*$B$17*$B$21*$B$22*$B$24,0)</f>
        <v/>
      </c>
      <c r="M36" s="127">
        <f>ROUND($B$4*$B$10*$B$14*$B$17*$B$21*$B$22*$B$25,0)</f>
        <v/>
      </c>
      <c r="N36" s="127">
        <f>ROUND($B$4*$B$10*$B$14*$B$17*$B$21*$B$23*$B$24,0)</f>
        <v/>
      </c>
      <c r="O36" s="127">
        <f>ROUND($B$4*$B$10*$B$14*$B$17*$B$21*$B$23*$B$25,0)</f>
        <v/>
      </c>
      <c r="P36" s="127">
        <f>ROUND($B$5*$B$10*$B$14*$B$17*$B$19*$B$22*$B$24,0)</f>
        <v/>
      </c>
      <c r="Q36" s="127">
        <f>ROUND($B$5*$B$10*$B$14*$B$17*$B$19*$B$22*$B$25,0)</f>
        <v/>
      </c>
      <c r="R36" s="127">
        <f>ROUND($B$5*$B$10*$B$14*$B$17*$B$19*$B$23*$B$24,0)</f>
        <v/>
      </c>
      <c r="S36" s="127">
        <f>ROUND($B$5*$B$10*$B$14*$B$17*$B$19*$B$23*$B$25,0)</f>
        <v/>
      </c>
      <c r="T36" s="127">
        <f>ROUND($B$5*$B$10*$B$14*$B$17*$B$20*$B$22*$B$24,0)</f>
        <v/>
      </c>
      <c r="U36" s="127">
        <f>ROUND($B$5*$B$10*$B$14*$B$17*$B$20*$B$22*$B$25,0)</f>
        <v/>
      </c>
      <c r="V36" s="127">
        <f>ROUND($B$5*$B$10*$B$14*$B$17*$B$20*$B$23*$B$24,0)</f>
        <v/>
      </c>
      <c r="W36" s="127">
        <f>ROUND($B$5*$B$10*$B$14*$B$17*$B$20*$B$23*$B$25,0)</f>
        <v/>
      </c>
      <c r="X36" s="127">
        <f>ROUND($B$5*$B$10*$B$14*$B$17*$B$21*$B$22*$B$24,0)</f>
        <v/>
      </c>
      <c r="Y36" s="127">
        <f>ROUND($B$5*$B$10*$B$14*$B$17*$B$21*$B$22*$B$25,0)</f>
        <v/>
      </c>
      <c r="Z36" s="127">
        <f>ROUND($B$5*$B$10*$B$14*$B$17*$B$21*$B$23*$B$24,0)</f>
        <v/>
      </c>
      <c r="AA36" s="127">
        <f>ROUND($B$5*$B$10*$B$14*$B$17*$B$21*$B$23*$B$25,0)</f>
        <v/>
      </c>
      <c r="AB36" s="127">
        <f>ROUND($B$6*$B$10*$B$14*$B$17*$B$19*$B$22*$B$24,0)</f>
        <v/>
      </c>
      <c r="AC36" s="127">
        <f>ROUND($B$6*$B$10*$B$14*$B$17*$B$19*$B$22*$B$25,0)</f>
        <v/>
      </c>
      <c r="AD36" s="127">
        <f>ROUND($B$6*$B$10*$B$14*$B$17*$B$19*$B$23*$B$24,0)</f>
        <v/>
      </c>
      <c r="AE36" s="127">
        <f>ROUND($B$6*$B$10*$B$14*$B$17*$B$19*$B$23*$B$25,0)</f>
        <v/>
      </c>
      <c r="AF36" s="127">
        <f>ROUND($B$6*$B$10*$B$14*$B$17*$B$20*$B$22*$B$24,0)</f>
        <v/>
      </c>
      <c r="AG36" s="127">
        <f>ROUND($B$6*$B$10*$B$14*$B$17*$B$20*$B$22*$B$25,0)</f>
        <v/>
      </c>
      <c r="AH36" s="127">
        <f>ROUND($B$6*$B$10*$B$14*$B$17*$B$20*$B$23*$B$24,0)</f>
        <v/>
      </c>
      <c r="AI36" s="127">
        <f>ROUND($B$6*$B$10*$B$14*$B$17*$B$20*$B$23*$B$25,0)</f>
        <v/>
      </c>
      <c r="AJ36" s="127">
        <f>ROUND($B$6*$B$10*$B$14*$B$17*$B$21*$B$22*$B$24,0)</f>
        <v/>
      </c>
      <c r="AK36" s="127">
        <f>ROUND($B$6*$B$10*$B$14*$B$17*$B$21*$B$22*$B$25,0)</f>
        <v/>
      </c>
      <c r="AL36" s="127">
        <f>ROUND($B$6*$B$10*$B$14*$B$17*$B$21*$B$23*$B$24,0)</f>
        <v/>
      </c>
      <c r="AM36" s="127">
        <f>ROUND($B$6*$B$10*$B$14*$B$17*$B$21*$B$23*$B$25,0)</f>
        <v/>
      </c>
      <c r="AN36" s="127">
        <f>ROUND($B$7*$B$10*$B$14*$B$17*$B$19*$B$22*$B$24,0)</f>
        <v/>
      </c>
      <c r="AO36" s="127">
        <f>ROUND($B$7*$B$10*$B$14*$B$17*$B$19*$B$22*$B$25,0)</f>
        <v/>
      </c>
      <c r="AP36" s="127">
        <f>ROUND($B$7*$B$10*$B$14*$B$17*$B$19*$B$23*$B$24,0)</f>
        <v/>
      </c>
      <c r="AQ36" s="127">
        <f>ROUND($B$7*$B$10*$B$14*$B$17*$B$19*$B$23*$B$25,0)</f>
        <v/>
      </c>
      <c r="AR36" s="127">
        <f>ROUND($B$7*$B$10*$B$14*$B$17*$B$20*$B$22*$B$24,0)</f>
        <v/>
      </c>
      <c r="AS36" s="127">
        <f>ROUND($B$7*$B$10*$B$14*$B$17*$B$20*$B$22*$B$25,0)</f>
        <v/>
      </c>
      <c r="AT36" s="127">
        <f>ROUND($B$7*$B$10*$B$14*$B$17*$B$20*$B$23*$B$24,0)</f>
        <v/>
      </c>
      <c r="AU36" s="127">
        <f>ROUND($B$7*$B$10*$B$14*$B$17*$B$20*$B$23*$B$25,0)</f>
        <v/>
      </c>
      <c r="AV36" s="127">
        <f>ROUND($B$7*$B$10*$B$14*$B$17*$B$21*$B$22*$B$24,0)</f>
        <v/>
      </c>
      <c r="AW36" s="127">
        <f>ROUND($B$7*$B$10*$B$14*$B$17*$B$21*$B$22*$B$25,0)</f>
        <v/>
      </c>
      <c r="AX36" s="127">
        <f>ROUND($B$7*$B$10*$B$14*$B$17*$B$21*$B$23*$B$24,0)</f>
        <v/>
      </c>
      <c r="AY36" s="127">
        <f>ROUND($B$7*$B$10*$B$14*$B$17*$B$21*$B$23*$B$25,0)</f>
        <v/>
      </c>
      <c r="AZ36" s="128">
        <f>ROUND($B$8*$B$10*$B$14*$B$17*$B$19*$B$22*$B$24,0)</f>
        <v/>
      </c>
      <c r="BA36" s="128">
        <f>ROUND($B$8*$B$10*$B$14*$B$17*$B$19*$B$22*$B$25,0)</f>
        <v/>
      </c>
      <c r="BB36" s="128">
        <f>ROUND($B$8*$B$10*$B$14*$B$17*$B$19*$B$23*$B$24,0)</f>
        <v/>
      </c>
      <c r="BC36" s="128">
        <f>ROUND($B$8*$B$10*$B$14*$B$17*$B$19*$B$23*$B$25,0)</f>
        <v/>
      </c>
      <c r="BD36" s="128">
        <f>ROUND($B$8*$B$10*$B$14*$B$17*$B$20*$B$22*$B$24,0)</f>
        <v/>
      </c>
      <c r="BE36" s="128">
        <f>ROUND($B$8*$B$10*$B$14*$B$17*$B$20*$B$22*$B$25,0)</f>
        <v/>
      </c>
      <c r="BF36" s="128">
        <f>ROUND($B$8*$B$10*$B$14*$B$17*$B$20*$B$23*$B$24,0)</f>
        <v/>
      </c>
      <c r="BG36" s="128">
        <f>ROUND($B$8*$B$10*$B$14*$B$17*$B$20*$B$23*$B$25,0)</f>
        <v/>
      </c>
      <c r="BH36" s="128">
        <f>ROUND($B$8*$B$10*$B$14*$B$17*$B$21*$B$22*$B$24,0)</f>
        <v/>
      </c>
      <c r="BI36" s="128">
        <f>ROUND($B$8*$B$10*$B$14*$B$17*$B$21*$B$22*$B$25,0)</f>
        <v/>
      </c>
      <c r="BJ36" s="128">
        <f>ROUND($B$8*$B$10*$B$14*$B$17*$B$21*$B$23*$B$24,0)</f>
        <v/>
      </c>
      <c r="BK36" s="128">
        <f>ROUND($B$8*$B$10*$B$14*$B$17*$B$21*$B$23*$B$25,0)</f>
        <v/>
      </c>
    </row>
    <row r="37" ht="20" customHeight="1" s="62">
      <c r="C37" s="129" t="inlineStr">
        <is>
          <t>Trafic élevé (10k+/mois)</t>
        </is>
      </c>
      <c r="D37" s="127">
        <f>ROUND($B$4*$B$10*$B$14*$B$18*$B$19*$B$22*$B$24,0)</f>
        <v/>
      </c>
      <c r="E37" s="127">
        <f>ROUND($B$4*$B$10*$B$14*$B$18*$B$19*$B$22*$B$25,0)</f>
        <v/>
      </c>
      <c r="F37" s="127">
        <f>ROUND($B$4*$B$10*$B$14*$B$18*$B$19*$B$23*$B$24,0)</f>
        <v/>
      </c>
      <c r="G37" s="127">
        <f>ROUND($B$4*$B$10*$B$14*$B$18*$B$19*$B$23*$B$25,0)</f>
        <v/>
      </c>
      <c r="H37" s="127">
        <f>ROUND($B$4*$B$10*$B$14*$B$18*$B$20*$B$22*$B$24,0)</f>
        <v/>
      </c>
      <c r="I37" s="127">
        <f>ROUND($B$4*$B$10*$B$14*$B$18*$B$20*$B$22*$B$25,0)</f>
        <v/>
      </c>
      <c r="J37" s="127">
        <f>ROUND($B$4*$B$10*$B$14*$B$18*$B$20*$B$23*$B$24,0)</f>
        <v/>
      </c>
      <c r="K37" s="127">
        <f>ROUND($B$4*$B$10*$B$14*$B$18*$B$20*$B$23*$B$25,0)</f>
        <v/>
      </c>
      <c r="L37" s="127">
        <f>ROUND($B$4*$B$10*$B$14*$B$18*$B$21*$B$22*$B$24,0)</f>
        <v/>
      </c>
      <c r="M37" s="127">
        <f>ROUND($B$4*$B$10*$B$14*$B$18*$B$21*$B$22*$B$25,0)</f>
        <v/>
      </c>
      <c r="N37" s="127">
        <f>ROUND($B$4*$B$10*$B$14*$B$18*$B$21*$B$23*$B$24,0)</f>
        <v/>
      </c>
      <c r="O37" s="127">
        <f>ROUND($B$4*$B$10*$B$14*$B$18*$B$21*$B$23*$B$25,0)</f>
        <v/>
      </c>
      <c r="P37" s="127">
        <f>ROUND($B$5*$B$10*$B$14*$B$18*$B$19*$B$22*$B$24,0)</f>
        <v/>
      </c>
      <c r="Q37" s="127">
        <f>ROUND($B$5*$B$10*$B$14*$B$18*$B$19*$B$22*$B$25,0)</f>
        <v/>
      </c>
      <c r="R37" s="127">
        <f>ROUND($B$5*$B$10*$B$14*$B$18*$B$19*$B$23*$B$24,0)</f>
        <v/>
      </c>
      <c r="S37" s="127">
        <f>ROUND($B$5*$B$10*$B$14*$B$18*$B$19*$B$23*$B$25,0)</f>
        <v/>
      </c>
      <c r="T37" s="127">
        <f>ROUND($B$5*$B$10*$B$14*$B$18*$B$20*$B$22*$B$24,0)</f>
        <v/>
      </c>
      <c r="U37" s="127">
        <f>ROUND($B$5*$B$10*$B$14*$B$18*$B$20*$B$22*$B$25,0)</f>
        <v/>
      </c>
      <c r="V37" s="127">
        <f>ROUND($B$5*$B$10*$B$14*$B$18*$B$20*$B$23*$B$24,0)</f>
        <v/>
      </c>
      <c r="W37" s="127">
        <f>ROUND($B$5*$B$10*$B$14*$B$18*$B$20*$B$23*$B$25,0)</f>
        <v/>
      </c>
      <c r="X37" s="127">
        <f>ROUND($B$5*$B$10*$B$14*$B$18*$B$21*$B$22*$B$24,0)</f>
        <v/>
      </c>
      <c r="Y37" s="127">
        <f>ROUND($B$5*$B$10*$B$14*$B$18*$B$21*$B$22*$B$25,0)</f>
        <v/>
      </c>
      <c r="Z37" s="127">
        <f>ROUND($B$5*$B$10*$B$14*$B$18*$B$21*$B$23*$B$24,0)</f>
        <v/>
      </c>
      <c r="AA37" s="127">
        <f>ROUND($B$5*$B$10*$B$14*$B$18*$B$21*$B$23*$B$25,0)</f>
        <v/>
      </c>
      <c r="AB37" s="127">
        <f>ROUND($B$6*$B$10*$B$14*$B$18*$B$19*$B$22*$B$24,0)</f>
        <v/>
      </c>
      <c r="AC37" s="127">
        <f>ROUND($B$6*$B$10*$B$14*$B$18*$B$19*$B$22*$B$25,0)</f>
        <v/>
      </c>
      <c r="AD37" s="127">
        <f>ROUND($B$6*$B$10*$B$14*$B$18*$B$19*$B$23*$B$24,0)</f>
        <v/>
      </c>
      <c r="AE37" s="127">
        <f>ROUND($B$6*$B$10*$B$14*$B$18*$B$19*$B$23*$B$25,0)</f>
        <v/>
      </c>
      <c r="AF37" s="127">
        <f>ROUND($B$6*$B$10*$B$14*$B$18*$B$20*$B$22*$B$24,0)</f>
        <v/>
      </c>
      <c r="AG37" s="127">
        <f>ROUND($B$6*$B$10*$B$14*$B$18*$B$20*$B$22*$B$25,0)</f>
        <v/>
      </c>
      <c r="AH37" s="127">
        <f>ROUND($B$6*$B$10*$B$14*$B$18*$B$20*$B$23*$B$24,0)</f>
        <v/>
      </c>
      <c r="AI37" s="127">
        <f>ROUND($B$6*$B$10*$B$14*$B$18*$B$20*$B$23*$B$25,0)</f>
        <v/>
      </c>
      <c r="AJ37" s="127">
        <f>ROUND($B$6*$B$10*$B$14*$B$18*$B$21*$B$22*$B$24,0)</f>
        <v/>
      </c>
      <c r="AK37" s="127">
        <f>ROUND($B$6*$B$10*$B$14*$B$18*$B$21*$B$22*$B$25,0)</f>
        <v/>
      </c>
      <c r="AL37" s="127">
        <f>ROUND($B$6*$B$10*$B$14*$B$18*$B$21*$B$23*$B$24,0)</f>
        <v/>
      </c>
      <c r="AM37" s="127">
        <f>ROUND($B$6*$B$10*$B$14*$B$18*$B$21*$B$23*$B$25,0)</f>
        <v/>
      </c>
      <c r="AN37" s="127">
        <f>ROUND($B$7*$B$10*$B$14*$B$18*$B$19*$B$22*$B$24,0)</f>
        <v/>
      </c>
      <c r="AO37" s="127">
        <f>ROUND($B$7*$B$10*$B$14*$B$18*$B$19*$B$22*$B$25,0)</f>
        <v/>
      </c>
      <c r="AP37" s="127">
        <f>ROUND($B$7*$B$10*$B$14*$B$18*$B$19*$B$23*$B$24,0)</f>
        <v/>
      </c>
      <c r="AQ37" s="127">
        <f>ROUND($B$7*$B$10*$B$14*$B$18*$B$19*$B$23*$B$25,0)</f>
        <v/>
      </c>
      <c r="AR37" s="127">
        <f>ROUND($B$7*$B$10*$B$14*$B$18*$B$20*$B$22*$B$24,0)</f>
        <v/>
      </c>
      <c r="AS37" s="127">
        <f>ROUND($B$7*$B$10*$B$14*$B$18*$B$20*$B$22*$B$25,0)</f>
        <v/>
      </c>
      <c r="AT37" s="127">
        <f>ROUND($B$7*$B$10*$B$14*$B$18*$B$20*$B$23*$B$24,0)</f>
        <v/>
      </c>
      <c r="AU37" s="127">
        <f>ROUND($B$7*$B$10*$B$14*$B$18*$B$20*$B$23*$B$25,0)</f>
        <v/>
      </c>
      <c r="AV37" s="127">
        <f>ROUND($B$7*$B$10*$B$14*$B$18*$B$21*$B$22*$B$24,0)</f>
        <v/>
      </c>
      <c r="AW37" s="127">
        <f>ROUND($B$7*$B$10*$B$14*$B$18*$B$21*$B$22*$B$25,0)</f>
        <v/>
      </c>
      <c r="AX37" s="127">
        <f>ROUND($B$7*$B$10*$B$14*$B$18*$B$21*$B$23*$B$24,0)</f>
        <v/>
      </c>
      <c r="AY37" s="127">
        <f>ROUND($B$7*$B$10*$B$14*$B$18*$B$21*$B$23*$B$25,0)</f>
        <v/>
      </c>
      <c r="AZ37" s="128">
        <f>ROUND($B$8*$B$10*$B$14*$B$18*$B$19*$B$22*$B$24,0)</f>
        <v/>
      </c>
      <c r="BA37" s="128">
        <f>ROUND($B$8*$B$10*$B$14*$B$18*$B$19*$B$22*$B$25,0)</f>
        <v/>
      </c>
      <c r="BB37" s="128">
        <f>ROUND($B$8*$B$10*$B$14*$B$18*$B$19*$B$23*$B$24,0)</f>
        <v/>
      </c>
      <c r="BC37" s="128">
        <f>ROUND($B$8*$B$10*$B$14*$B$18*$B$19*$B$23*$B$25,0)</f>
        <v/>
      </c>
      <c r="BD37" s="128">
        <f>ROUND($B$8*$B$10*$B$14*$B$18*$B$20*$B$22*$B$24,0)</f>
        <v/>
      </c>
      <c r="BE37" s="128">
        <f>ROUND($B$8*$B$10*$B$14*$B$18*$B$20*$B$22*$B$25,0)</f>
        <v/>
      </c>
      <c r="BF37" s="128">
        <f>ROUND($B$8*$B$10*$B$14*$B$18*$B$20*$B$23*$B$24,0)</f>
        <v/>
      </c>
      <c r="BG37" s="128">
        <f>ROUND($B$8*$B$10*$B$14*$B$18*$B$20*$B$23*$B$25,0)</f>
        <v/>
      </c>
      <c r="BH37" s="128">
        <f>ROUND($B$8*$B$10*$B$14*$B$18*$B$21*$B$22*$B$24,0)</f>
        <v/>
      </c>
      <c r="BI37" s="128">
        <f>ROUND($B$8*$B$10*$B$14*$B$18*$B$21*$B$22*$B$25,0)</f>
        <v/>
      </c>
      <c r="BJ37" s="128">
        <f>ROUND($B$8*$B$10*$B$14*$B$18*$B$21*$B$23*$B$24,0)</f>
        <v/>
      </c>
      <c r="BK37" s="128">
        <f>ROUND($B$8*$B$10*$B$14*$B$18*$B$21*$B$23*$B$25,0)</f>
        <v/>
      </c>
    </row>
    <row r="38" ht="20" customHeight="1" s="62">
      <c r="B38" s="125" t="inlineStr">
        <is>
          <t>3+ outils intégrés</t>
        </is>
      </c>
      <c r="C38" s="126" t="inlineStr">
        <is>
          <t>Trafic faible (&lt; 1k/mois)</t>
        </is>
      </c>
      <c r="D38" s="127">
        <f>ROUND($B$4*$B$10*$B$15*$B$16*$B$19*$B$22*$B$24,0)</f>
        <v/>
      </c>
      <c r="E38" s="127">
        <f>ROUND($B$4*$B$10*$B$15*$B$16*$B$19*$B$22*$B$25,0)</f>
        <v/>
      </c>
      <c r="F38" s="127">
        <f>ROUND($B$4*$B$10*$B$15*$B$16*$B$19*$B$23*$B$24,0)</f>
        <v/>
      </c>
      <c r="G38" s="127">
        <f>ROUND($B$4*$B$10*$B$15*$B$16*$B$19*$B$23*$B$25,0)</f>
        <v/>
      </c>
      <c r="H38" s="127">
        <f>ROUND($B$4*$B$10*$B$15*$B$16*$B$20*$B$22*$B$24,0)</f>
        <v/>
      </c>
      <c r="I38" s="127">
        <f>ROUND($B$4*$B$10*$B$15*$B$16*$B$20*$B$22*$B$25,0)</f>
        <v/>
      </c>
      <c r="J38" s="127">
        <f>ROUND($B$4*$B$10*$B$15*$B$16*$B$20*$B$23*$B$24,0)</f>
        <v/>
      </c>
      <c r="K38" s="127">
        <f>ROUND($B$4*$B$10*$B$15*$B$16*$B$20*$B$23*$B$25,0)</f>
        <v/>
      </c>
      <c r="L38" s="127">
        <f>ROUND($B$4*$B$10*$B$15*$B$16*$B$21*$B$22*$B$24,0)</f>
        <v/>
      </c>
      <c r="M38" s="127">
        <f>ROUND($B$4*$B$10*$B$15*$B$16*$B$21*$B$22*$B$25,0)</f>
        <v/>
      </c>
      <c r="N38" s="127">
        <f>ROUND($B$4*$B$10*$B$15*$B$16*$B$21*$B$23*$B$24,0)</f>
        <v/>
      </c>
      <c r="O38" s="127">
        <f>ROUND($B$4*$B$10*$B$15*$B$16*$B$21*$B$23*$B$25,0)</f>
        <v/>
      </c>
      <c r="P38" s="127">
        <f>ROUND($B$5*$B$10*$B$15*$B$16*$B$19*$B$22*$B$24,0)</f>
        <v/>
      </c>
      <c r="Q38" s="127">
        <f>ROUND($B$5*$B$10*$B$15*$B$16*$B$19*$B$22*$B$25,0)</f>
        <v/>
      </c>
      <c r="R38" s="127">
        <f>ROUND($B$5*$B$10*$B$15*$B$16*$B$19*$B$23*$B$24,0)</f>
        <v/>
      </c>
      <c r="S38" s="127">
        <f>ROUND($B$5*$B$10*$B$15*$B$16*$B$19*$B$23*$B$25,0)</f>
        <v/>
      </c>
      <c r="T38" s="127">
        <f>ROUND($B$5*$B$10*$B$15*$B$16*$B$20*$B$22*$B$24,0)</f>
        <v/>
      </c>
      <c r="U38" s="127">
        <f>ROUND($B$5*$B$10*$B$15*$B$16*$B$20*$B$22*$B$25,0)</f>
        <v/>
      </c>
      <c r="V38" s="127">
        <f>ROUND($B$5*$B$10*$B$15*$B$16*$B$20*$B$23*$B$24,0)</f>
        <v/>
      </c>
      <c r="W38" s="127">
        <f>ROUND($B$5*$B$10*$B$15*$B$16*$B$20*$B$23*$B$25,0)</f>
        <v/>
      </c>
      <c r="X38" s="127">
        <f>ROUND($B$5*$B$10*$B$15*$B$16*$B$21*$B$22*$B$24,0)</f>
        <v/>
      </c>
      <c r="Y38" s="127">
        <f>ROUND($B$5*$B$10*$B$15*$B$16*$B$21*$B$22*$B$25,0)</f>
        <v/>
      </c>
      <c r="Z38" s="127">
        <f>ROUND($B$5*$B$10*$B$15*$B$16*$B$21*$B$23*$B$24,0)</f>
        <v/>
      </c>
      <c r="AA38" s="127">
        <f>ROUND($B$5*$B$10*$B$15*$B$16*$B$21*$B$23*$B$25,0)</f>
        <v/>
      </c>
      <c r="AB38" s="127">
        <f>ROUND($B$6*$B$10*$B$15*$B$16*$B$19*$B$22*$B$24,0)</f>
        <v/>
      </c>
      <c r="AC38" s="127">
        <f>ROUND($B$6*$B$10*$B$15*$B$16*$B$19*$B$22*$B$25,0)</f>
        <v/>
      </c>
      <c r="AD38" s="127">
        <f>ROUND($B$6*$B$10*$B$15*$B$16*$B$19*$B$23*$B$24,0)</f>
        <v/>
      </c>
      <c r="AE38" s="127">
        <f>ROUND($B$6*$B$10*$B$15*$B$16*$B$19*$B$23*$B$25,0)</f>
        <v/>
      </c>
      <c r="AF38" s="127">
        <f>ROUND($B$6*$B$10*$B$15*$B$16*$B$20*$B$22*$B$24,0)</f>
        <v/>
      </c>
      <c r="AG38" s="127">
        <f>ROUND($B$6*$B$10*$B$15*$B$16*$B$20*$B$22*$B$25,0)</f>
        <v/>
      </c>
      <c r="AH38" s="127">
        <f>ROUND($B$6*$B$10*$B$15*$B$16*$B$20*$B$23*$B$24,0)</f>
        <v/>
      </c>
      <c r="AI38" s="127">
        <f>ROUND($B$6*$B$10*$B$15*$B$16*$B$20*$B$23*$B$25,0)</f>
        <v/>
      </c>
      <c r="AJ38" s="127">
        <f>ROUND($B$6*$B$10*$B$15*$B$16*$B$21*$B$22*$B$24,0)</f>
        <v/>
      </c>
      <c r="AK38" s="127">
        <f>ROUND($B$6*$B$10*$B$15*$B$16*$B$21*$B$22*$B$25,0)</f>
        <v/>
      </c>
      <c r="AL38" s="127">
        <f>ROUND($B$6*$B$10*$B$15*$B$16*$B$21*$B$23*$B$24,0)</f>
        <v/>
      </c>
      <c r="AM38" s="127">
        <f>ROUND($B$6*$B$10*$B$15*$B$16*$B$21*$B$23*$B$25,0)</f>
        <v/>
      </c>
      <c r="AN38" s="127">
        <f>ROUND($B$7*$B$10*$B$15*$B$16*$B$19*$B$22*$B$24,0)</f>
        <v/>
      </c>
      <c r="AO38" s="127">
        <f>ROUND($B$7*$B$10*$B$15*$B$16*$B$19*$B$22*$B$25,0)</f>
        <v/>
      </c>
      <c r="AP38" s="127">
        <f>ROUND($B$7*$B$10*$B$15*$B$16*$B$19*$B$23*$B$24,0)</f>
        <v/>
      </c>
      <c r="AQ38" s="127">
        <f>ROUND($B$7*$B$10*$B$15*$B$16*$B$19*$B$23*$B$25,0)</f>
        <v/>
      </c>
      <c r="AR38" s="127">
        <f>ROUND($B$7*$B$10*$B$15*$B$16*$B$20*$B$22*$B$24,0)</f>
        <v/>
      </c>
      <c r="AS38" s="127">
        <f>ROUND($B$7*$B$10*$B$15*$B$16*$B$20*$B$22*$B$25,0)</f>
        <v/>
      </c>
      <c r="AT38" s="127">
        <f>ROUND($B$7*$B$10*$B$15*$B$16*$B$20*$B$23*$B$24,0)</f>
        <v/>
      </c>
      <c r="AU38" s="127">
        <f>ROUND($B$7*$B$10*$B$15*$B$16*$B$20*$B$23*$B$25,0)</f>
        <v/>
      </c>
      <c r="AV38" s="127">
        <f>ROUND($B$7*$B$10*$B$15*$B$16*$B$21*$B$22*$B$24,0)</f>
        <v/>
      </c>
      <c r="AW38" s="127">
        <f>ROUND($B$7*$B$10*$B$15*$B$16*$B$21*$B$22*$B$25,0)</f>
        <v/>
      </c>
      <c r="AX38" s="127">
        <f>ROUND($B$7*$B$10*$B$15*$B$16*$B$21*$B$23*$B$24,0)</f>
        <v/>
      </c>
      <c r="AY38" s="127">
        <f>ROUND($B$7*$B$10*$B$15*$B$16*$B$21*$B$23*$B$25,0)</f>
        <v/>
      </c>
      <c r="AZ38" s="128">
        <f>ROUND($B$8*$B$10*$B$15*$B$16*$B$19*$B$22*$B$24,0)</f>
        <v/>
      </c>
      <c r="BA38" s="128">
        <f>ROUND($B$8*$B$10*$B$15*$B$16*$B$19*$B$22*$B$25,0)</f>
        <v/>
      </c>
      <c r="BB38" s="128">
        <f>ROUND($B$8*$B$10*$B$15*$B$16*$B$19*$B$23*$B$24,0)</f>
        <v/>
      </c>
      <c r="BC38" s="128">
        <f>ROUND($B$8*$B$10*$B$15*$B$16*$B$19*$B$23*$B$25,0)</f>
        <v/>
      </c>
      <c r="BD38" s="128">
        <f>ROUND($B$8*$B$10*$B$15*$B$16*$B$20*$B$22*$B$24,0)</f>
        <v/>
      </c>
      <c r="BE38" s="128">
        <f>ROUND($B$8*$B$10*$B$15*$B$16*$B$20*$B$22*$B$25,0)</f>
        <v/>
      </c>
      <c r="BF38" s="128">
        <f>ROUND($B$8*$B$10*$B$15*$B$16*$B$20*$B$23*$B$24,0)</f>
        <v/>
      </c>
      <c r="BG38" s="128">
        <f>ROUND($B$8*$B$10*$B$15*$B$16*$B$20*$B$23*$B$25,0)</f>
        <v/>
      </c>
      <c r="BH38" s="128">
        <f>ROUND($B$8*$B$10*$B$15*$B$16*$B$21*$B$22*$B$24,0)</f>
        <v/>
      </c>
      <c r="BI38" s="128">
        <f>ROUND($B$8*$B$10*$B$15*$B$16*$B$21*$B$22*$B$25,0)</f>
        <v/>
      </c>
      <c r="BJ38" s="128">
        <f>ROUND($B$8*$B$10*$B$15*$B$16*$B$21*$B$23*$B$24,0)</f>
        <v/>
      </c>
      <c r="BK38" s="128">
        <f>ROUND($B$8*$B$10*$B$15*$B$16*$B$21*$B$23*$B$25,0)</f>
        <v/>
      </c>
    </row>
    <row r="39" ht="20" customHeight="1" s="62">
      <c r="C39" s="125" t="inlineStr">
        <is>
          <t>Trafic moyen (1k-10k/mois)</t>
        </is>
      </c>
      <c r="D39" s="127">
        <f>ROUND($B$4*$B$10*$B$15*$B$17*$B$19*$B$22*$B$24,0)</f>
        <v/>
      </c>
      <c r="E39" s="127">
        <f>ROUND($B$4*$B$10*$B$15*$B$17*$B$19*$B$22*$B$25,0)</f>
        <v/>
      </c>
      <c r="F39" s="127">
        <f>ROUND($B$4*$B$10*$B$15*$B$17*$B$19*$B$23*$B$24,0)</f>
        <v/>
      </c>
      <c r="G39" s="127">
        <f>ROUND($B$4*$B$10*$B$15*$B$17*$B$19*$B$23*$B$25,0)</f>
        <v/>
      </c>
      <c r="H39" s="127">
        <f>ROUND($B$4*$B$10*$B$15*$B$17*$B$20*$B$22*$B$24,0)</f>
        <v/>
      </c>
      <c r="I39" s="127">
        <f>ROUND($B$4*$B$10*$B$15*$B$17*$B$20*$B$22*$B$25,0)</f>
        <v/>
      </c>
      <c r="J39" s="127">
        <f>ROUND($B$4*$B$10*$B$15*$B$17*$B$20*$B$23*$B$24,0)</f>
        <v/>
      </c>
      <c r="K39" s="127">
        <f>ROUND($B$4*$B$10*$B$15*$B$17*$B$20*$B$23*$B$25,0)</f>
        <v/>
      </c>
      <c r="L39" s="127">
        <f>ROUND($B$4*$B$10*$B$15*$B$17*$B$21*$B$22*$B$24,0)</f>
        <v/>
      </c>
      <c r="M39" s="127">
        <f>ROUND($B$4*$B$10*$B$15*$B$17*$B$21*$B$22*$B$25,0)</f>
        <v/>
      </c>
      <c r="N39" s="127">
        <f>ROUND($B$4*$B$10*$B$15*$B$17*$B$21*$B$23*$B$24,0)</f>
        <v/>
      </c>
      <c r="O39" s="127">
        <f>ROUND($B$4*$B$10*$B$15*$B$17*$B$21*$B$23*$B$25,0)</f>
        <v/>
      </c>
      <c r="P39" s="127">
        <f>ROUND($B$5*$B$10*$B$15*$B$17*$B$19*$B$22*$B$24,0)</f>
        <v/>
      </c>
      <c r="Q39" s="127">
        <f>ROUND($B$5*$B$10*$B$15*$B$17*$B$19*$B$22*$B$25,0)</f>
        <v/>
      </c>
      <c r="R39" s="127">
        <f>ROUND($B$5*$B$10*$B$15*$B$17*$B$19*$B$23*$B$24,0)</f>
        <v/>
      </c>
      <c r="S39" s="127">
        <f>ROUND($B$5*$B$10*$B$15*$B$17*$B$19*$B$23*$B$25,0)</f>
        <v/>
      </c>
      <c r="T39" s="127">
        <f>ROUND($B$5*$B$10*$B$15*$B$17*$B$20*$B$22*$B$24,0)</f>
        <v/>
      </c>
      <c r="U39" s="127">
        <f>ROUND($B$5*$B$10*$B$15*$B$17*$B$20*$B$22*$B$25,0)</f>
        <v/>
      </c>
      <c r="V39" s="127">
        <f>ROUND($B$5*$B$10*$B$15*$B$17*$B$20*$B$23*$B$24,0)</f>
        <v/>
      </c>
      <c r="W39" s="127">
        <f>ROUND($B$5*$B$10*$B$15*$B$17*$B$20*$B$23*$B$25,0)</f>
        <v/>
      </c>
      <c r="X39" s="127">
        <f>ROUND($B$5*$B$10*$B$15*$B$17*$B$21*$B$22*$B$24,0)</f>
        <v/>
      </c>
      <c r="Y39" s="127">
        <f>ROUND($B$5*$B$10*$B$15*$B$17*$B$21*$B$22*$B$25,0)</f>
        <v/>
      </c>
      <c r="Z39" s="127">
        <f>ROUND($B$5*$B$10*$B$15*$B$17*$B$21*$B$23*$B$24,0)</f>
        <v/>
      </c>
      <c r="AA39" s="127">
        <f>ROUND($B$5*$B$10*$B$15*$B$17*$B$21*$B$23*$B$25,0)</f>
        <v/>
      </c>
      <c r="AB39" s="127">
        <f>ROUND($B$6*$B$10*$B$15*$B$17*$B$19*$B$22*$B$24,0)</f>
        <v/>
      </c>
      <c r="AC39" s="127">
        <f>ROUND($B$6*$B$10*$B$15*$B$17*$B$19*$B$22*$B$25,0)</f>
        <v/>
      </c>
      <c r="AD39" s="127">
        <f>ROUND($B$6*$B$10*$B$15*$B$17*$B$19*$B$23*$B$24,0)</f>
        <v/>
      </c>
      <c r="AE39" s="127">
        <f>ROUND($B$6*$B$10*$B$15*$B$17*$B$19*$B$23*$B$25,0)</f>
        <v/>
      </c>
      <c r="AF39" s="127">
        <f>ROUND($B$6*$B$10*$B$15*$B$17*$B$20*$B$22*$B$24,0)</f>
        <v/>
      </c>
      <c r="AG39" s="127">
        <f>ROUND($B$6*$B$10*$B$15*$B$17*$B$20*$B$22*$B$25,0)</f>
        <v/>
      </c>
      <c r="AH39" s="127">
        <f>ROUND($B$6*$B$10*$B$15*$B$17*$B$20*$B$23*$B$24,0)</f>
        <v/>
      </c>
      <c r="AI39" s="127">
        <f>ROUND($B$6*$B$10*$B$15*$B$17*$B$20*$B$23*$B$25,0)</f>
        <v/>
      </c>
      <c r="AJ39" s="127">
        <f>ROUND($B$6*$B$10*$B$15*$B$17*$B$21*$B$22*$B$24,0)</f>
        <v/>
      </c>
      <c r="AK39" s="127">
        <f>ROUND($B$6*$B$10*$B$15*$B$17*$B$21*$B$22*$B$25,0)</f>
        <v/>
      </c>
      <c r="AL39" s="127">
        <f>ROUND($B$6*$B$10*$B$15*$B$17*$B$21*$B$23*$B$24,0)</f>
        <v/>
      </c>
      <c r="AM39" s="127">
        <f>ROUND($B$6*$B$10*$B$15*$B$17*$B$21*$B$23*$B$25,0)</f>
        <v/>
      </c>
      <c r="AN39" s="127">
        <f>ROUND($B$7*$B$10*$B$15*$B$17*$B$19*$B$22*$B$24,0)</f>
        <v/>
      </c>
      <c r="AO39" s="127">
        <f>ROUND($B$7*$B$10*$B$15*$B$17*$B$19*$B$22*$B$25,0)</f>
        <v/>
      </c>
      <c r="AP39" s="127">
        <f>ROUND($B$7*$B$10*$B$15*$B$17*$B$19*$B$23*$B$24,0)</f>
        <v/>
      </c>
      <c r="AQ39" s="127">
        <f>ROUND($B$7*$B$10*$B$15*$B$17*$B$19*$B$23*$B$25,0)</f>
        <v/>
      </c>
      <c r="AR39" s="127">
        <f>ROUND($B$7*$B$10*$B$15*$B$17*$B$20*$B$22*$B$24,0)</f>
        <v/>
      </c>
      <c r="AS39" s="127">
        <f>ROUND($B$7*$B$10*$B$15*$B$17*$B$20*$B$22*$B$25,0)</f>
        <v/>
      </c>
      <c r="AT39" s="127">
        <f>ROUND($B$7*$B$10*$B$15*$B$17*$B$20*$B$23*$B$24,0)</f>
        <v/>
      </c>
      <c r="AU39" s="127">
        <f>ROUND($B$7*$B$10*$B$15*$B$17*$B$20*$B$23*$B$25,0)</f>
        <v/>
      </c>
      <c r="AV39" s="127">
        <f>ROUND($B$7*$B$10*$B$15*$B$17*$B$21*$B$22*$B$24,0)</f>
        <v/>
      </c>
      <c r="AW39" s="127">
        <f>ROUND($B$7*$B$10*$B$15*$B$17*$B$21*$B$22*$B$25,0)</f>
        <v/>
      </c>
      <c r="AX39" s="127">
        <f>ROUND($B$7*$B$10*$B$15*$B$17*$B$21*$B$23*$B$24,0)</f>
        <v/>
      </c>
      <c r="AY39" s="127">
        <f>ROUND($B$7*$B$10*$B$15*$B$17*$B$21*$B$23*$B$25,0)</f>
        <v/>
      </c>
      <c r="AZ39" s="128">
        <f>ROUND($B$8*$B$10*$B$15*$B$17*$B$19*$B$22*$B$24,0)</f>
        <v/>
      </c>
      <c r="BA39" s="128">
        <f>ROUND($B$8*$B$10*$B$15*$B$17*$B$19*$B$22*$B$25,0)</f>
        <v/>
      </c>
      <c r="BB39" s="128">
        <f>ROUND($B$8*$B$10*$B$15*$B$17*$B$19*$B$23*$B$24,0)</f>
        <v/>
      </c>
      <c r="BC39" s="128">
        <f>ROUND($B$8*$B$10*$B$15*$B$17*$B$19*$B$23*$B$25,0)</f>
        <v/>
      </c>
      <c r="BD39" s="128">
        <f>ROUND($B$8*$B$10*$B$15*$B$17*$B$20*$B$22*$B$24,0)</f>
        <v/>
      </c>
      <c r="BE39" s="128">
        <f>ROUND($B$8*$B$10*$B$15*$B$17*$B$20*$B$22*$B$25,0)</f>
        <v/>
      </c>
      <c r="BF39" s="128">
        <f>ROUND($B$8*$B$10*$B$15*$B$17*$B$20*$B$23*$B$24,0)</f>
        <v/>
      </c>
      <c r="BG39" s="128">
        <f>ROUND($B$8*$B$10*$B$15*$B$17*$B$20*$B$23*$B$25,0)</f>
        <v/>
      </c>
      <c r="BH39" s="128">
        <f>ROUND($B$8*$B$10*$B$15*$B$17*$B$21*$B$22*$B$24,0)</f>
        <v/>
      </c>
      <c r="BI39" s="128">
        <f>ROUND($B$8*$B$10*$B$15*$B$17*$B$21*$B$22*$B$25,0)</f>
        <v/>
      </c>
      <c r="BJ39" s="128">
        <f>ROUND($B$8*$B$10*$B$15*$B$17*$B$21*$B$23*$B$24,0)</f>
        <v/>
      </c>
      <c r="BK39" s="128">
        <f>ROUND($B$8*$B$10*$B$15*$B$17*$B$21*$B$23*$B$25,0)</f>
        <v/>
      </c>
    </row>
    <row r="40" ht="20" customHeight="1" s="62">
      <c r="C40" s="129" t="inlineStr">
        <is>
          <t>Trafic élevé (10k+/mois)</t>
        </is>
      </c>
      <c r="D40" s="127">
        <f>ROUND($B$4*$B$10*$B$15*$B$18*$B$19*$B$22*$B$24,0)</f>
        <v/>
      </c>
      <c r="E40" s="127">
        <f>ROUND($B$4*$B$10*$B$15*$B$18*$B$19*$B$22*$B$25,0)</f>
        <v/>
      </c>
      <c r="F40" s="127">
        <f>ROUND($B$4*$B$10*$B$15*$B$18*$B$19*$B$23*$B$24,0)</f>
        <v/>
      </c>
      <c r="G40" s="127">
        <f>ROUND($B$4*$B$10*$B$15*$B$18*$B$19*$B$23*$B$25,0)</f>
        <v/>
      </c>
      <c r="H40" s="127">
        <f>ROUND($B$4*$B$10*$B$15*$B$18*$B$20*$B$22*$B$24,0)</f>
        <v/>
      </c>
      <c r="I40" s="127">
        <f>ROUND($B$4*$B$10*$B$15*$B$18*$B$20*$B$22*$B$25,0)</f>
        <v/>
      </c>
      <c r="J40" s="127">
        <f>ROUND($B$4*$B$10*$B$15*$B$18*$B$20*$B$23*$B$24,0)</f>
        <v/>
      </c>
      <c r="K40" s="127">
        <f>ROUND($B$4*$B$10*$B$15*$B$18*$B$20*$B$23*$B$25,0)</f>
        <v/>
      </c>
      <c r="L40" s="127">
        <f>ROUND($B$4*$B$10*$B$15*$B$18*$B$21*$B$22*$B$24,0)</f>
        <v/>
      </c>
      <c r="M40" s="127">
        <f>ROUND($B$4*$B$10*$B$15*$B$18*$B$21*$B$22*$B$25,0)</f>
        <v/>
      </c>
      <c r="N40" s="127">
        <f>ROUND($B$4*$B$10*$B$15*$B$18*$B$21*$B$23*$B$24,0)</f>
        <v/>
      </c>
      <c r="O40" s="127">
        <f>ROUND($B$4*$B$10*$B$15*$B$18*$B$21*$B$23*$B$25,0)</f>
        <v/>
      </c>
      <c r="P40" s="127">
        <f>ROUND($B$5*$B$10*$B$15*$B$18*$B$19*$B$22*$B$24,0)</f>
        <v/>
      </c>
      <c r="Q40" s="127">
        <f>ROUND($B$5*$B$10*$B$15*$B$18*$B$19*$B$22*$B$25,0)</f>
        <v/>
      </c>
      <c r="R40" s="127">
        <f>ROUND($B$5*$B$10*$B$15*$B$18*$B$19*$B$23*$B$24,0)</f>
        <v/>
      </c>
      <c r="S40" s="127">
        <f>ROUND($B$5*$B$10*$B$15*$B$18*$B$19*$B$23*$B$25,0)</f>
        <v/>
      </c>
      <c r="T40" s="127">
        <f>ROUND($B$5*$B$10*$B$15*$B$18*$B$20*$B$22*$B$24,0)</f>
        <v/>
      </c>
      <c r="U40" s="127">
        <f>ROUND($B$5*$B$10*$B$15*$B$18*$B$20*$B$22*$B$25,0)</f>
        <v/>
      </c>
      <c r="V40" s="127">
        <f>ROUND($B$5*$B$10*$B$15*$B$18*$B$20*$B$23*$B$24,0)</f>
        <v/>
      </c>
      <c r="W40" s="127">
        <f>ROUND($B$5*$B$10*$B$15*$B$18*$B$20*$B$23*$B$25,0)</f>
        <v/>
      </c>
      <c r="X40" s="127">
        <f>ROUND($B$5*$B$10*$B$15*$B$18*$B$21*$B$22*$B$24,0)</f>
        <v/>
      </c>
      <c r="Y40" s="127">
        <f>ROUND($B$5*$B$10*$B$15*$B$18*$B$21*$B$22*$B$25,0)</f>
        <v/>
      </c>
      <c r="Z40" s="127">
        <f>ROUND($B$5*$B$10*$B$15*$B$18*$B$21*$B$23*$B$24,0)</f>
        <v/>
      </c>
      <c r="AA40" s="127">
        <f>ROUND($B$5*$B$10*$B$15*$B$18*$B$21*$B$23*$B$25,0)</f>
        <v/>
      </c>
      <c r="AB40" s="127">
        <f>ROUND($B$6*$B$10*$B$15*$B$18*$B$19*$B$22*$B$24,0)</f>
        <v/>
      </c>
      <c r="AC40" s="127">
        <f>ROUND($B$6*$B$10*$B$15*$B$18*$B$19*$B$22*$B$25,0)</f>
        <v/>
      </c>
      <c r="AD40" s="127">
        <f>ROUND($B$6*$B$10*$B$15*$B$18*$B$19*$B$23*$B$24,0)</f>
        <v/>
      </c>
      <c r="AE40" s="127">
        <f>ROUND($B$6*$B$10*$B$15*$B$18*$B$19*$B$23*$B$25,0)</f>
        <v/>
      </c>
      <c r="AF40" s="127">
        <f>ROUND($B$6*$B$10*$B$15*$B$18*$B$20*$B$22*$B$24,0)</f>
        <v/>
      </c>
      <c r="AG40" s="127">
        <f>ROUND($B$6*$B$10*$B$15*$B$18*$B$20*$B$22*$B$25,0)</f>
        <v/>
      </c>
      <c r="AH40" s="127">
        <f>ROUND($B$6*$B$10*$B$15*$B$18*$B$20*$B$23*$B$24,0)</f>
        <v/>
      </c>
      <c r="AI40" s="127">
        <f>ROUND($B$6*$B$10*$B$15*$B$18*$B$20*$B$23*$B$25,0)</f>
        <v/>
      </c>
      <c r="AJ40" s="127">
        <f>ROUND($B$6*$B$10*$B$15*$B$18*$B$21*$B$22*$B$24,0)</f>
        <v/>
      </c>
      <c r="AK40" s="127">
        <f>ROUND($B$6*$B$10*$B$15*$B$18*$B$21*$B$22*$B$25,0)</f>
        <v/>
      </c>
      <c r="AL40" s="127">
        <f>ROUND($B$6*$B$10*$B$15*$B$18*$B$21*$B$23*$B$24,0)</f>
        <v/>
      </c>
      <c r="AM40" s="127">
        <f>ROUND($B$6*$B$10*$B$15*$B$18*$B$21*$B$23*$B$25,0)</f>
        <v/>
      </c>
      <c r="AN40" s="127">
        <f>ROUND($B$7*$B$10*$B$15*$B$18*$B$19*$B$22*$B$24,0)</f>
        <v/>
      </c>
      <c r="AO40" s="127">
        <f>ROUND($B$7*$B$10*$B$15*$B$18*$B$19*$B$22*$B$25,0)</f>
        <v/>
      </c>
      <c r="AP40" s="127">
        <f>ROUND($B$7*$B$10*$B$15*$B$18*$B$19*$B$23*$B$24,0)</f>
        <v/>
      </c>
      <c r="AQ40" s="127">
        <f>ROUND($B$7*$B$10*$B$15*$B$18*$B$19*$B$23*$B$25,0)</f>
        <v/>
      </c>
      <c r="AR40" s="127">
        <f>ROUND($B$7*$B$10*$B$15*$B$18*$B$20*$B$22*$B$24,0)</f>
        <v/>
      </c>
      <c r="AS40" s="127">
        <f>ROUND($B$7*$B$10*$B$15*$B$18*$B$20*$B$22*$B$25,0)</f>
        <v/>
      </c>
      <c r="AT40" s="127">
        <f>ROUND($B$7*$B$10*$B$15*$B$18*$B$20*$B$23*$B$24,0)</f>
        <v/>
      </c>
      <c r="AU40" s="127">
        <f>ROUND($B$7*$B$10*$B$15*$B$18*$B$20*$B$23*$B$25,0)</f>
        <v/>
      </c>
      <c r="AV40" s="127">
        <f>ROUND($B$7*$B$10*$B$15*$B$18*$B$21*$B$22*$B$24,0)</f>
        <v/>
      </c>
      <c r="AW40" s="127">
        <f>ROUND($B$7*$B$10*$B$15*$B$18*$B$21*$B$22*$B$25,0)</f>
        <v/>
      </c>
      <c r="AX40" s="127">
        <f>ROUND($B$7*$B$10*$B$15*$B$18*$B$21*$B$23*$B$24,0)</f>
        <v/>
      </c>
      <c r="AY40" s="127">
        <f>ROUND($B$7*$B$10*$B$15*$B$18*$B$21*$B$23*$B$25,0)</f>
        <v/>
      </c>
      <c r="AZ40" s="128">
        <f>ROUND($B$8*$B$10*$B$15*$B$18*$B$19*$B$22*$B$24,0)</f>
        <v/>
      </c>
      <c r="BA40" s="128">
        <f>ROUND($B$8*$B$10*$B$15*$B$18*$B$19*$B$22*$B$25,0)</f>
        <v/>
      </c>
      <c r="BB40" s="128">
        <f>ROUND($B$8*$B$10*$B$15*$B$18*$B$19*$B$23*$B$24,0)</f>
        <v/>
      </c>
      <c r="BC40" s="128">
        <f>ROUND($B$8*$B$10*$B$15*$B$18*$B$19*$B$23*$B$25,0)</f>
        <v/>
      </c>
      <c r="BD40" s="128">
        <f>ROUND($B$8*$B$10*$B$15*$B$18*$B$20*$B$22*$B$24,0)</f>
        <v/>
      </c>
      <c r="BE40" s="128">
        <f>ROUND($B$8*$B$10*$B$15*$B$18*$B$20*$B$22*$B$25,0)</f>
        <v/>
      </c>
      <c r="BF40" s="128">
        <f>ROUND($B$8*$B$10*$B$15*$B$18*$B$20*$B$23*$B$24,0)</f>
        <v/>
      </c>
      <c r="BG40" s="128">
        <f>ROUND($B$8*$B$10*$B$15*$B$18*$B$20*$B$23*$B$25,0)</f>
        <v/>
      </c>
      <c r="BH40" s="128">
        <f>ROUND($B$8*$B$10*$B$15*$B$18*$B$21*$B$22*$B$24,0)</f>
        <v/>
      </c>
      <c r="BI40" s="128">
        <f>ROUND($B$8*$B$10*$B$15*$B$18*$B$21*$B$22*$B$25,0)</f>
        <v/>
      </c>
      <c r="BJ40" s="128">
        <f>ROUND($B$8*$B$10*$B$15*$B$18*$B$21*$B$23*$B$24,0)</f>
        <v/>
      </c>
      <c r="BK40" s="128">
        <f>ROUND($B$8*$B$10*$B$15*$B$18*$B$21*$B$23*$B$25,0)</f>
        <v/>
      </c>
    </row>
    <row r="41" ht="20" customHeight="1" s="62">
      <c r="A41" s="124" t="inlineStr">
        <is>
          <t>6-15 scénarios</t>
        </is>
      </c>
      <c r="B41" s="125" t="inlineStr">
        <is>
          <t>Aucune intégration</t>
        </is>
      </c>
      <c r="C41" s="126" t="inlineStr">
        <is>
          <t>Trafic faible (&lt; 1k/mois)</t>
        </is>
      </c>
      <c r="D41" s="127">
        <f>ROUND($B$4*$B$11*$B$13*$B$16*$B$19*$B$22*$B$24,0)</f>
        <v/>
      </c>
      <c r="E41" s="127">
        <f>ROUND($B$4*$B$11*$B$13*$B$16*$B$19*$B$22*$B$25,0)</f>
        <v/>
      </c>
      <c r="F41" s="127">
        <f>ROUND($B$4*$B$11*$B$13*$B$16*$B$19*$B$23*$B$24,0)</f>
        <v/>
      </c>
      <c r="G41" s="127">
        <f>ROUND($B$4*$B$11*$B$13*$B$16*$B$19*$B$23*$B$25,0)</f>
        <v/>
      </c>
      <c r="H41" s="127">
        <f>ROUND($B$4*$B$11*$B$13*$B$16*$B$20*$B$22*$B$24,0)</f>
        <v/>
      </c>
      <c r="I41" s="127">
        <f>ROUND($B$4*$B$11*$B$13*$B$16*$B$20*$B$22*$B$25,0)</f>
        <v/>
      </c>
      <c r="J41" s="127">
        <f>ROUND($B$4*$B$11*$B$13*$B$16*$B$20*$B$23*$B$24,0)</f>
        <v/>
      </c>
      <c r="K41" s="127">
        <f>ROUND($B$4*$B$11*$B$13*$B$16*$B$20*$B$23*$B$25,0)</f>
        <v/>
      </c>
      <c r="L41" s="127">
        <f>ROUND($B$4*$B$11*$B$13*$B$16*$B$21*$B$22*$B$24,0)</f>
        <v/>
      </c>
      <c r="M41" s="127">
        <f>ROUND($B$4*$B$11*$B$13*$B$16*$B$21*$B$22*$B$25,0)</f>
        <v/>
      </c>
      <c r="N41" s="127">
        <f>ROUND($B$4*$B$11*$B$13*$B$16*$B$21*$B$23*$B$24,0)</f>
        <v/>
      </c>
      <c r="O41" s="127">
        <f>ROUND($B$4*$B$11*$B$13*$B$16*$B$21*$B$23*$B$25,0)</f>
        <v/>
      </c>
      <c r="P41" s="127">
        <f>ROUND($B$5*$B$11*$B$13*$B$16*$B$19*$B$22*$B$24,0)</f>
        <v/>
      </c>
      <c r="Q41" s="127">
        <f>ROUND($B$5*$B$11*$B$13*$B$16*$B$19*$B$22*$B$25,0)</f>
        <v/>
      </c>
      <c r="R41" s="127">
        <f>ROUND($B$5*$B$11*$B$13*$B$16*$B$19*$B$23*$B$24,0)</f>
        <v/>
      </c>
      <c r="S41" s="127">
        <f>ROUND($B$5*$B$11*$B$13*$B$16*$B$19*$B$23*$B$25,0)</f>
        <v/>
      </c>
      <c r="T41" s="127">
        <f>ROUND($B$5*$B$11*$B$13*$B$16*$B$20*$B$22*$B$24,0)</f>
        <v/>
      </c>
      <c r="U41" s="127">
        <f>ROUND($B$5*$B$11*$B$13*$B$16*$B$20*$B$22*$B$25,0)</f>
        <v/>
      </c>
      <c r="V41" s="127">
        <f>ROUND($B$5*$B$11*$B$13*$B$16*$B$20*$B$23*$B$24,0)</f>
        <v/>
      </c>
      <c r="W41" s="127">
        <f>ROUND($B$5*$B$11*$B$13*$B$16*$B$20*$B$23*$B$25,0)</f>
        <v/>
      </c>
      <c r="X41" s="127">
        <f>ROUND($B$5*$B$11*$B$13*$B$16*$B$21*$B$22*$B$24,0)</f>
        <v/>
      </c>
      <c r="Y41" s="127">
        <f>ROUND($B$5*$B$11*$B$13*$B$16*$B$21*$B$22*$B$25,0)</f>
        <v/>
      </c>
      <c r="Z41" s="127">
        <f>ROUND($B$5*$B$11*$B$13*$B$16*$B$21*$B$23*$B$24,0)</f>
        <v/>
      </c>
      <c r="AA41" s="127">
        <f>ROUND($B$5*$B$11*$B$13*$B$16*$B$21*$B$23*$B$25,0)</f>
        <v/>
      </c>
      <c r="AB41" s="127">
        <f>ROUND($B$6*$B$11*$B$13*$B$16*$B$19*$B$22*$B$24,0)</f>
        <v/>
      </c>
      <c r="AC41" s="127">
        <f>ROUND($B$6*$B$11*$B$13*$B$16*$B$19*$B$22*$B$25,0)</f>
        <v/>
      </c>
      <c r="AD41" s="127">
        <f>ROUND($B$6*$B$11*$B$13*$B$16*$B$19*$B$23*$B$24,0)</f>
        <v/>
      </c>
      <c r="AE41" s="127">
        <f>ROUND($B$6*$B$11*$B$13*$B$16*$B$19*$B$23*$B$25,0)</f>
        <v/>
      </c>
      <c r="AF41" s="127">
        <f>ROUND($B$6*$B$11*$B$13*$B$16*$B$20*$B$22*$B$24,0)</f>
        <v/>
      </c>
      <c r="AG41" s="127">
        <f>ROUND($B$6*$B$11*$B$13*$B$16*$B$20*$B$22*$B$25,0)</f>
        <v/>
      </c>
      <c r="AH41" s="127">
        <f>ROUND($B$6*$B$11*$B$13*$B$16*$B$20*$B$23*$B$24,0)</f>
        <v/>
      </c>
      <c r="AI41" s="127">
        <f>ROUND($B$6*$B$11*$B$13*$B$16*$B$20*$B$23*$B$25,0)</f>
        <v/>
      </c>
      <c r="AJ41" s="127">
        <f>ROUND($B$6*$B$11*$B$13*$B$16*$B$21*$B$22*$B$24,0)</f>
        <v/>
      </c>
      <c r="AK41" s="127">
        <f>ROUND($B$6*$B$11*$B$13*$B$16*$B$21*$B$22*$B$25,0)</f>
        <v/>
      </c>
      <c r="AL41" s="127">
        <f>ROUND($B$6*$B$11*$B$13*$B$16*$B$21*$B$23*$B$24,0)</f>
        <v/>
      </c>
      <c r="AM41" s="127">
        <f>ROUND($B$6*$B$11*$B$13*$B$16*$B$21*$B$23*$B$25,0)</f>
        <v/>
      </c>
      <c r="AN41" s="127">
        <f>ROUND($B$7*$B$11*$B$13*$B$16*$B$19*$B$22*$B$24,0)</f>
        <v/>
      </c>
      <c r="AO41" s="127">
        <f>ROUND($B$7*$B$11*$B$13*$B$16*$B$19*$B$22*$B$25,0)</f>
        <v/>
      </c>
      <c r="AP41" s="127">
        <f>ROUND($B$7*$B$11*$B$13*$B$16*$B$19*$B$23*$B$24,0)</f>
        <v/>
      </c>
      <c r="AQ41" s="127">
        <f>ROUND($B$7*$B$11*$B$13*$B$16*$B$19*$B$23*$B$25,0)</f>
        <v/>
      </c>
      <c r="AR41" s="127">
        <f>ROUND($B$7*$B$11*$B$13*$B$16*$B$20*$B$22*$B$24,0)</f>
        <v/>
      </c>
      <c r="AS41" s="127">
        <f>ROUND($B$7*$B$11*$B$13*$B$16*$B$20*$B$22*$B$25,0)</f>
        <v/>
      </c>
      <c r="AT41" s="127">
        <f>ROUND($B$7*$B$11*$B$13*$B$16*$B$20*$B$23*$B$24,0)</f>
        <v/>
      </c>
      <c r="AU41" s="127">
        <f>ROUND($B$7*$B$11*$B$13*$B$16*$B$20*$B$23*$B$25,0)</f>
        <v/>
      </c>
      <c r="AV41" s="127">
        <f>ROUND($B$7*$B$11*$B$13*$B$16*$B$21*$B$22*$B$24,0)</f>
        <v/>
      </c>
      <c r="AW41" s="127">
        <f>ROUND($B$7*$B$11*$B$13*$B$16*$B$21*$B$22*$B$25,0)</f>
        <v/>
      </c>
      <c r="AX41" s="127">
        <f>ROUND($B$7*$B$11*$B$13*$B$16*$B$21*$B$23*$B$24,0)</f>
        <v/>
      </c>
      <c r="AY41" s="127">
        <f>ROUND($B$7*$B$11*$B$13*$B$16*$B$21*$B$23*$B$25,0)</f>
        <v/>
      </c>
      <c r="AZ41" s="128">
        <f>ROUND($B$8*$B$11*$B$13*$B$16*$B$19*$B$22*$B$24,0)</f>
        <v/>
      </c>
      <c r="BA41" s="128">
        <f>ROUND($B$8*$B$11*$B$13*$B$16*$B$19*$B$22*$B$25,0)</f>
        <v/>
      </c>
      <c r="BB41" s="128">
        <f>ROUND($B$8*$B$11*$B$13*$B$16*$B$19*$B$23*$B$24,0)</f>
        <v/>
      </c>
      <c r="BC41" s="128">
        <f>ROUND($B$8*$B$11*$B$13*$B$16*$B$19*$B$23*$B$25,0)</f>
        <v/>
      </c>
      <c r="BD41" s="128">
        <f>ROUND($B$8*$B$11*$B$13*$B$16*$B$20*$B$22*$B$24,0)</f>
        <v/>
      </c>
      <c r="BE41" s="128">
        <f>ROUND($B$8*$B$11*$B$13*$B$16*$B$20*$B$22*$B$25,0)</f>
        <v/>
      </c>
      <c r="BF41" s="128">
        <f>ROUND($B$8*$B$11*$B$13*$B$16*$B$20*$B$23*$B$24,0)</f>
        <v/>
      </c>
      <c r="BG41" s="128">
        <f>ROUND($B$8*$B$11*$B$13*$B$16*$B$20*$B$23*$B$25,0)</f>
        <v/>
      </c>
      <c r="BH41" s="128">
        <f>ROUND($B$8*$B$11*$B$13*$B$16*$B$21*$B$22*$B$24,0)</f>
        <v/>
      </c>
      <c r="BI41" s="128">
        <f>ROUND($B$8*$B$11*$B$13*$B$16*$B$21*$B$22*$B$25,0)</f>
        <v/>
      </c>
      <c r="BJ41" s="128">
        <f>ROUND($B$8*$B$11*$B$13*$B$16*$B$21*$B$23*$B$24,0)</f>
        <v/>
      </c>
      <c r="BK41" s="128">
        <f>ROUND($B$8*$B$11*$B$13*$B$16*$B$21*$B$23*$B$25,0)</f>
        <v/>
      </c>
    </row>
    <row r="42" ht="20" customHeight="1" s="62">
      <c r="C42" s="125" t="inlineStr">
        <is>
          <t>Trafic moyen (1k-10k/mois)</t>
        </is>
      </c>
      <c r="D42" s="127">
        <f>ROUND($B$4*$B$11*$B$13*$B$17*$B$19*$B$22*$B$24,0)</f>
        <v/>
      </c>
      <c r="E42" s="127">
        <f>ROUND($B$4*$B$11*$B$13*$B$17*$B$19*$B$22*$B$25,0)</f>
        <v/>
      </c>
      <c r="F42" s="127">
        <f>ROUND($B$4*$B$11*$B$13*$B$17*$B$19*$B$23*$B$24,0)</f>
        <v/>
      </c>
      <c r="G42" s="127">
        <f>ROUND($B$4*$B$11*$B$13*$B$17*$B$19*$B$23*$B$25,0)</f>
        <v/>
      </c>
      <c r="H42" s="127">
        <f>ROUND($B$4*$B$11*$B$13*$B$17*$B$20*$B$22*$B$24,0)</f>
        <v/>
      </c>
      <c r="I42" s="127">
        <f>ROUND($B$4*$B$11*$B$13*$B$17*$B$20*$B$22*$B$25,0)</f>
        <v/>
      </c>
      <c r="J42" s="127">
        <f>ROUND($B$4*$B$11*$B$13*$B$17*$B$20*$B$23*$B$24,0)</f>
        <v/>
      </c>
      <c r="K42" s="127">
        <f>ROUND($B$4*$B$11*$B$13*$B$17*$B$20*$B$23*$B$25,0)</f>
        <v/>
      </c>
      <c r="L42" s="127">
        <f>ROUND($B$4*$B$11*$B$13*$B$17*$B$21*$B$22*$B$24,0)</f>
        <v/>
      </c>
      <c r="M42" s="127">
        <f>ROUND($B$4*$B$11*$B$13*$B$17*$B$21*$B$22*$B$25,0)</f>
        <v/>
      </c>
      <c r="N42" s="127">
        <f>ROUND($B$4*$B$11*$B$13*$B$17*$B$21*$B$23*$B$24,0)</f>
        <v/>
      </c>
      <c r="O42" s="127">
        <f>ROUND($B$4*$B$11*$B$13*$B$17*$B$21*$B$23*$B$25,0)</f>
        <v/>
      </c>
      <c r="P42" s="127">
        <f>ROUND($B$5*$B$11*$B$13*$B$17*$B$19*$B$22*$B$24,0)</f>
        <v/>
      </c>
      <c r="Q42" s="127">
        <f>ROUND($B$5*$B$11*$B$13*$B$17*$B$19*$B$22*$B$25,0)</f>
        <v/>
      </c>
      <c r="R42" s="127">
        <f>ROUND($B$5*$B$11*$B$13*$B$17*$B$19*$B$23*$B$24,0)</f>
        <v/>
      </c>
      <c r="S42" s="127">
        <f>ROUND($B$5*$B$11*$B$13*$B$17*$B$19*$B$23*$B$25,0)</f>
        <v/>
      </c>
      <c r="T42" s="127">
        <f>ROUND($B$5*$B$11*$B$13*$B$17*$B$20*$B$22*$B$24,0)</f>
        <v/>
      </c>
      <c r="U42" s="127">
        <f>ROUND($B$5*$B$11*$B$13*$B$17*$B$20*$B$22*$B$25,0)</f>
        <v/>
      </c>
      <c r="V42" s="127">
        <f>ROUND($B$5*$B$11*$B$13*$B$17*$B$20*$B$23*$B$24,0)</f>
        <v/>
      </c>
      <c r="W42" s="127">
        <f>ROUND($B$5*$B$11*$B$13*$B$17*$B$20*$B$23*$B$25,0)</f>
        <v/>
      </c>
      <c r="X42" s="127">
        <f>ROUND($B$5*$B$11*$B$13*$B$17*$B$21*$B$22*$B$24,0)</f>
        <v/>
      </c>
      <c r="Y42" s="127">
        <f>ROUND($B$5*$B$11*$B$13*$B$17*$B$21*$B$22*$B$25,0)</f>
        <v/>
      </c>
      <c r="Z42" s="127">
        <f>ROUND($B$5*$B$11*$B$13*$B$17*$B$21*$B$23*$B$24,0)</f>
        <v/>
      </c>
      <c r="AA42" s="127">
        <f>ROUND($B$5*$B$11*$B$13*$B$17*$B$21*$B$23*$B$25,0)</f>
        <v/>
      </c>
      <c r="AB42" s="127">
        <f>ROUND($B$6*$B$11*$B$13*$B$17*$B$19*$B$22*$B$24,0)</f>
        <v/>
      </c>
      <c r="AC42" s="127">
        <f>ROUND($B$6*$B$11*$B$13*$B$17*$B$19*$B$22*$B$25,0)</f>
        <v/>
      </c>
      <c r="AD42" s="127">
        <f>ROUND($B$6*$B$11*$B$13*$B$17*$B$19*$B$23*$B$24,0)</f>
        <v/>
      </c>
      <c r="AE42" s="127">
        <f>ROUND($B$6*$B$11*$B$13*$B$17*$B$19*$B$23*$B$25,0)</f>
        <v/>
      </c>
      <c r="AF42" s="127">
        <f>ROUND($B$6*$B$11*$B$13*$B$17*$B$20*$B$22*$B$24,0)</f>
        <v/>
      </c>
      <c r="AG42" s="127">
        <f>ROUND($B$6*$B$11*$B$13*$B$17*$B$20*$B$22*$B$25,0)</f>
        <v/>
      </c>
      <c r="AH42" s="127">
        <f>ROUND($B$6*$B$11*$B$13*$B$17*$B$20*$B$23*$B$24,0)</f>
        <v/>
      </c>
      <c r="AI42" s="127">
        <f>ROUND($B$6*$B$11*$B$13*$B$17*$B$20*$B$23*$B$25,0)</f>
        <v/>
      </c>
      <c r="AJ42" s="127">
        <f>ROUND($B$6*$B$11*$B$13*$B$17*$B$21*$B$22*$B$24,0)</f>
        <v/>
      </c>
      <c r="AK42" s="127">
        <f>ROUND($B$6*$B$11*$B$13*$B$17*$B$21*$B$22*$B$25,0)</f>
        <v/>
      </c>
      <c r="AL42" s="127">
        <f>ROUND($B$6*$B$11*$B$13*$B$17*$B$21*$B$23*$B$24,0)</f>
        <v/>
      </c>
      <c r="AM42" s="127">
        <f>ROUND($B$6*$B$11*$B$13*$B$17*$B$21*$B$23*$B$25,0)</f>
        <v/>
      </c>
      <c r="AN42" s="127">
        <f>ROUND($B$7*$B$11*$B$13*$B$17*$B$19*$B$22*$B$24,0)</f>
        <v/>
      </c>
      <c r="AO42" s="127">
        <f>ROUND($B$7*$B$11*$B$13*$B$17*$B$19*$B$22*$B$25,0)</f>
        <v/>
      </c>
      <c r="AP42" s="127">
        <f>ROUND($B$7*$B$11*$B$13*$B$17*$B$19*$B$23*$B$24,0)</f>
        <v/>
      </c>
      <c r="AQ42" s="127">
        <f>ROUND($B$7*$B$11*$B$13*$B$17*$B$19*$B$23*$B$25,0)</f>
        <v/>
      </c>
      <c r="AR42" s="127">
        <f>ROUND($B$7*$B$11*$B$13*$B$17*$B$20*$B$22*$B$24,0)</f>
        <v/>
      </c>
      <c r="AS42" s="127">
        <f>ROUND($B$7*$B$11*$B$13*$B$17*$B$20*$B$22*$B$25,0)</f>
        <v/>
      </c>
      <c r="AT42" s="127">
        <f>ROUND($B$7*$B$11*$B$13*$B$17*$B$20*$B$23*$B$24,0)</f>
        <v/>
      </c>
      <c r="AU42" s="127">
        <f>ROUND($B$7*$B$11*$B$13*$B$17*$B$20*$B$23*$B$25,0)</f>
        <v/>
      </c>
      <c r="AV42" s="127">
        <f>ROUND($B$7*$B$11*$B$13*$B$17*$B$21*$B$22*$B$24,0)</f>
        <v/>
      </c>
      <c r="AW42" s="127">
        <f>ROUND($B$7*$B$11*$B$13*$B$17*$B$21*$B$22*$B$25,0)</f>
        <v/>
      </c>
      <c r="AX42" s="127">
        <f>ROUND($B$7*$B$11*$B$13*$B$17*$B$21*$B$23*$B$24,0)</f>
        <v/>
      </c>
      <c r="AY42" s="127">
        <f>ROUND($B$7*$B$11*$B$13*$B$17*$B$21*$B$23*$B$25,0)</f>
        <v/>
      </c>
      <c r="AZ42" s="128">
        <f>ROUND($B$8*$B$11*$B$13*$B$17*$B$19*$B$22*$B$24,0)</f>
        <v/>
      </c>
      <c r="BA42" s="128">
        <f>ROUND($B$8*$B$11*$B$13*$B$17*$B$19*$B$22*$B$25,0)</f>
        <v/>
      </c>
      <c r="BB42" s="128">
        <f>ROUND($B$8*$B$11*$B$13*$B$17*$B$19*$B$23*$B$24,0)</f>
        <v/>
      </c>
      <c r="BC42" s="128">
        <f>ROUND($B$8*$B$11*$B$13*$B$17*$B$19*$B$23*$B$25,0)</f>
        <v/>
      </c>
      <c r="BD42" s="128">
        <f>ROUND($B$8*$B$11*$B$13*$B$17*$B$20*$B$22*$B$24,0)</f>
        <v/>
      </c>
      <c r="BE42" s="128">
        <f>ROUND($B$8*$B$11*$B$13*$B$17*$B$20*$B$22*$B$25,0)</f>
        <v/>
      </c>
      <c r="BF42" s="128">
        <f>ROUND($B$8*$B$11*$B$13*$B$17*$B$20*$B$23*$B$24,0)</f>
        <v/>
      </c>
      <c r="BG42" s="128">
        <f>ROUND($B$8*$B$11*$B$13*$B$17*$B$20*$B$23*$B$25,0)</f>
        <v/>
      </c>
      <c r="BH42" s="128">
        <f>ROUND($B$8*$B$11*$B$13*$B$17*$B$21*$B$22*$B$24,0)</f>
        <v/>
      </c>
      <c r="BI42" s="128">
        <f>ROUND($B$8*$B$11*$B$13*$B$17*$B$21*$B$22*$B$25,0)</f>
        <v/>
      </c>
      <c r="BJ42" s="128">
        <f>ROUND($B$8*$B$11*$B$13*$B$17*$B$21*$B$23*$B$24,0)</f>
        <v/>
      </c>
      <c r="BK42" s="128">
        <f>ROUND($B$8*$B$11*$B$13*$B$17*$B$21*$B$23*$B$25,0)</f>
        <v/>
      </c>
    </row>
    <row r="43" ht="20" customHeight="1" s="62">
      <c r="C43" s="129" t="inlineStr">
        <is>
          <t>Trafic élevé (10k+/mois)</t>
        </is>
      </c>
      <c r="D43" s="127">
        <f>ROUND($B$4*$B$11*$B$13*$B$18*$B$19*$B$22*$B$24,0)</f>
        <v/>
      </c>
      <c r="E43" s="127">
        <f>ROUND($B$4*$B$11*$B$13*$B$18*$B$19*$B$22*$B$25,0)</f>
        <v/>
      </c>
      <c r="F43" s="127">
        <f>ROUND($B$4*$B$11*$B$13*$B$18*$B$19*$B$23*$B$24,0)</f>
        <v/>
      </c>
      <c r="G43" s="127">
        <f>ROUND($B$4*$B$11*$B$13*$B$18*$B$19*$B$23*$B$25,0)</f>
        <v/>
      </c>
      <c r="H43" s="127">
        <f>ROUND($B$4*$B$11*$B$13*$B$18*$B$20*$B$22*$B$24,0)</f>
        <v/>
      </c>
      <c r="I43" s="127">
        <f>ROUND($B$4*$B$11*$B$13*$B$18*$B$20*$B$22*$B$25,0)</f>
        <v/>
      </c>
      <c r="J43" s="127">
        <f>ROUND($B$4*$B$11*$B$13*$B$18*$B$20*$B$23*$B$24,0)</f>
        <v/>
      </c>
      <c r="K43" s="127">
        <f>ROUND($B$4*$B$11*$B$13*$B$18*$B$20*$B$23*$B$25,0)</f>
        <v/>
      </c>
      <c r="L43" s="127">
        <f>ROUND($B$4*$B$11*$B$13*$B$18*$B$21*$B$22*$B$24,0)</f>
        <v/>
      </c>
      <c r="M43" s="127">
        <f>ROUND($B$4*$B$11*$B$13*$B$18*$B$21*$B$22*$B$25,0)</f>
        <v/>
      </c>
      <c r="N43" s="127">
        <f>ROUND($B$4*$B$11*$B$13*$B$18*$B$21*$B$23*$B$24,0)</f>
        <v/>
      </c>
      <c r="O43" s="127">
        <f>ROUND($B$4*$B$11*$B$13*$B$18*$B$21*$B$23*$B$25,0)</f>
        <v/>
      </c>
      <c r="P43" s="127">
        <f>ROUND($B$5*$B$11*$B$13*$B$18*$B$19*$B$22*$B$24,0)</f>
        <v/>
      </c>
      <c r="Q43" s="127">
        <f>ROUND($B$5*$B$11*$B$13*$B$18*$B$19*$B$22*$B$25,0)</f>
        <v/>
      </c>
      <c r="R43" s="127">
        <f>ROUND($B$5*$B$11*$B$13*$B$18*$B$19*$B$23*$B$24,0)</f>
        <v/>
      </c>
      <c r="S43" s="127">
        <f>ROUND($B$5*$B$11*$B$13*$B$18*$B$19*$B$23*$B$25,0)</f>
        <v/>
      </c>
      <c r="T43" s="127">
        <f>ROUND($B$5*$B$11*$B$13*$B$18*$B$20*$B$22*$B$24,0)</f>
        <v/>
      </c>
      <c r="U43" s="127">
        <f>ROUND($B$5*$B$11*$B$13*$B$18*$B$20*$B$22*$B$25,0)</f>
        <v/>
      </c>
      <c r="V43" s="127">
        <f>ROUND($B$5*$B$11*$B$13*$B$18*$B$20*$B$23*$B$24,0)</f>
        <v/>
      </c>
      <c r="W43" s="127">
        <f>ROUND($B$5*$B$11*$B$13*$B$18*$B$20*$B$23*$B$25,0)</f>
        <v/>
      </c>
      <c r="X43" s="127">
        <f>ROUND($B$5*$B$11*$B$13*$B$18*$B$21*$B$22*$B$24,0)</f>
        <v/>
      </c>
      <c r="Y43" s="127">
        <f>ROUND($B$5*$B$11*$B$13*$B$18*$B$21*$B$22*$B$25,0)</f>
        <v/>
      </c>
      <c r="Z43" s="127">
        <f>ROUND($B$5*$B$11*$B$13*$B$18*$B$21*$B$23*$B$24,0)</f>
        <v/>
      </c>
      <c r="AA43" s="127">
        <f>ROUND($B$5*$B$11*$B$13*$B$18*$B$21*$B$23*$B$25,0)</f>
        <v/>
      </c>
      <c r="AB43" s="127">
        <f>ROUND($B$6*$B$11*$B$13*$B$18*$B$19*$B$22*$B$24,0)</f>
        <v/>
      </c>
      <c r="AC43" s="127">
        <f>ROUND($B$6*$B$11*$B$13*$B$18*$B$19*$B$22*$B$25,0)</f>
        <v/>
      </c>
      <c r="AD43" s="127">
        <f>ROUND($B$6*$B$11*$B$13*$B$18*$B$19*$B$23*$B$24,0)</f>
        <v/>
      </c>
      <c r="AE43" s="127">
        <f>ROUND($B$6*$B$11*$B$13*$B$18*$B$19*$B$23*$B$25,0)</f>
        <v/>
      </c>
      <c r="AF43" s="127">
        <f>ROUND($B$6*$B$11*$B$13*$B$18*$B$20*$B$22*$B$24,0)</f>
        <v/>
      </c>
      <c r="AG43" s="127">
        <f>ROUND($B$6*$B$11*$B$13*$B$18*$B$20*$B$22*$B$25,0)</f>
        <v/>
      </c>
      <c r="AH43" s="127">
        <f>ROUND($B$6*$B$11*$B$13*$B$18*$B$20*$B$23*$B$24,0)</f>
        <v/>
      </c>
      <c r="AI43" s="127">
        <f>ROUND($B$6*$B$11*$B$13*$B$18*$B$20*$B$23*$B$25,0)</f>
        <v/>
      </c>
      <c r="AJ43" s="127">
        <f>ROUND($B$6*$B$11*$B$13*$B$18*$B$21*$B$22*$B$24,0)</f>
        <v/>
      </c>
      <c r="AK43" s="127">
        <f>ROUND($B$6*$B$11*$B$13*$B$18*$B$21*$B$22*$B$25,0)</f>
        <v/>
      </c>
      <c r="AL43" s="127">
        <f>ROUND($B$6*$B$11*$B$13*$B$18*$B$21*$B$23*$B$24,0)</f>
        <v/>
      </c>
      <c r="AM43" s="127">
        <f>ROUND($B$6*$B$11*$B$13*$B$18*$B$21*$B$23*$B$25,0)</f>
        <v/>
      </c>
      <c r="AN43" s="127">
        <f>ROUND($B$7*$B$11*$B$13*$B$18*$B$19*$B$22*$B$24,0)</f>
        <v/>
      </c>
      <c r="AO43" s="127">
        <f>ROUND($B$7*$B$11*$B$13*$B$18*$B$19*$B$22*$B$25,0)</f>
        <v/>
      </c>
      <c r="AP43" s="127">
        <f>ROUND($B$7*$B$11*$B$13*$B$18*$B$19*$B$23*$B$24,0)</f>
        <v/>
      </c>
      <c r="AQ43" s="127">
        <f>ROUND($B$7*$B$11*$B$13*$B$18*$B$19*$B$23*$B$25,0)</f>
        <v/>
      </c>
      <c r="AR43" s="127">
        <f>ROUND($B$7*$B$11*$B$13*$B$18*$B$20*$B$22*$B$24,0)</f>
        <v/>
      </c>
      <c r="AS43" s="127">
        <f>ROUND($B$7*$B$11*$B$13*$B$18*$B$20*$B$22*$B$25,0)</f>
        <v/>
      </c>
      <c r="AT43" s="127">
        <f>ROUND($B$7*$B$11*$B$13*$B$18*$B$20*$B$23*$B$24,0)</f>
        <v/>
      </c>
      <c r="AU43" s="127">
        <f>ROUND($B$7*$B$11*$B$13*$B$18*$B$20*$B$23*$B$25,0)</f>
        <v/>
      </c>
      <c r="AV43" s="127">
        <f>ROUND($B$7*$B$11*$B$13*$B$18*$B$21*$B$22*$B$24,0)</f>
        <v/>
      </c>
      <c r="AW43" s="127">
        <f>ROUND($B$7*$B$11*$B$13*$B$18*$B$21*$B$22*$B$25,0)</f>
        <v/>
      </c>
      <c r="AX43" s="127">
        <f>ROUND($B$7*$B$11*$B$13*$B$18*$B$21*$B$23*$B$24,0)</f>
        <v/>
      </c>
      <c r="AY43" s="127">
        <f>ROUND($B$7*$B$11*$B$13*$B$18*$B$21*$B$23*$B$25,0)</f>
        <v/>
      </c>
      <c r="AZ43" s="128">
        <f>ROUND($B$8*$B$11*$B$13*$B$18*$B$19*$B$22*$B$24,0)</f>
        <v/>
      </c>
      <c r="BA43" s="128">
        <f>ROUND($B$8*$B$11*$B$13*$B$18*$B$19*$B$22*$B$25,0)</f>
        <v/>
      </c>
      <c r="BB43" s="128">
        <f>ROUND($B$8*$B$11*$B$13*$B$18*$B$19*$B$23*$B$24,0)</f>
        <v/>
      </c>
      <c r="BC43" s="128">
        <f>ROUND($B$8*$B$11*$B$13*$B$18*$B$19*$B$23*$B$25,0)</f>
        <v/>
      </c>
      <c r="BD43" s="128">
        <f>ROUND($B$8*$B$11*$B$13*$B$18*$B$20*$B$22*$B$24,0)</f>
        <v/>
      </c>
      <c r="BE43" s="128">
        <f>ROUND($B$8*$B$11*$B$13*$B$18*$B$20*$B$22*$B$25,0)</f>
        <v/>
      </c>
      <c r="BF43" s="128">
        <f>ROUND($B$8*$B$11*$B$13*$B$18*$B$20*$B$23*$B$24,0)</f>
        <v/>
      </c>
      <c r="BG43" s="128">
        <f>ROUND($B$8*$B$11*$B$13*$B$18*$B$20*$B$23*$B$25,0)</f>
        <v/>
      </c>
      <c r="BH43" s="128">
        <f>ROUND($B$8*$B$11*$B$13*$B$18*$B$21*$B$22*$B$24,0)</f>
        <v/>
      </c>
      <c r="BI43" s="128">
        <f>ROUND($B$8*$B$11*$B$13*$B$18*$B$21*$B$22*$B$25,0)</f>
        <v/>
      </c>
      <c r="BJ43" s="128">
        <f>ROUND($B$8*$B$11*$B$13*$B$18*$B$21*$B$23*$B$24,0)</f>
        <v/>
      </c>
      <c r="BK43" s="128">
        <f>ROUND($B$8*$B$11*$B$13*$B$18*$B$21*$B$23*$B$25,0)</f>
        <v/>
      </c>
    </row>
    <row r="44" ht="20" customHeight="1" s="62">
      <c r="B44" s="125" t="inlineStr">
        <is>
          <t>1-2 outils intégrés</t>
        </is>
      </c>
      <c r="C44" s="126" t="inlineStr">
        <is>
          <t>Trafic faible (&lt; 1k/mois)</t>
        </is>
      </c>
      <c r="D44" s="127">
        <f>ROUND($B$4*$B$11*$B$14*$B$16*$B$19*$B$22*$B$24,0)</f>
        <v/>
      </c>
      <c r="E44" s="127">
        <f>ROUND($B$4*$B$11*$B$14*$B$16*$B$19*$B$22*$B$25,0)</f>
        <v/>
      </c>
      <c r="F44" s="127">
        <f>ROUND($B$4*$B$11*$B$14*$B$16*$B$19*$B$23*$B$24,0)</f>
        <v/>
      </c>
      <c r="G44" s="127">
        <f>ROUND($B$4*$B$11*$B$14*$B$16*$B$19*$B$23*$B$25,0)</f>
        <v/>
      </c>
      <c r="H44" s="127">
        <f>ROUND($B$4*$B$11*$B$14*$B$16*$B$20*$B$22*$B$24,0)</f>
        <v/>
      </c>
      <c r="I44" s="127">
        <f>ROUND($B$4*$B$11*$B$14*$B$16*$B$20*$B$22*$B$25,0)</f>
        <v/>
      </c>
      <c r="J44" s="127">
        <f>ROUND($B$4*$B$11*$B$14*$B$16*$B$20*$B$23*$B$24,0)</f>
        <v/>
      </c>
      <c r="K44" s="127">
        <f>ROUND($B$4*$B$11*$B$14*$B$16*$B$20*$B$23*$B$25,0)</f>
        <v/>
      </c>
      <c r="L44" s="127">
        <f>ROUND($B$4*$B$11*$B$14*$B$16*$B$21*$B$22*$B$24,0)</f>
        <v/>
      </c>
      <c r="M44" s="127">
        <f>ROUND($B$4*$B$11*$B$14*$B$16*$B$21*$B$22*$B$25,0)</f>
        <v/>
      </c>
      <c r="N44" s="127">
        <f>ROUND($B$4*$B$11*$B$14*$B$16*$B$21*$B$23*$B$24,0)</f>
        <v/>
      </c>
      <c r="O44" s="127">
        <f>ROUND($B$4*$B$11*$B$14*$B$16*$B$21*$B$23*$B$25,0)</f>
        <v/>
      </c>
      <c r="P44" s="127">
        <f>ROUND($B$5*$B$11*$B$14*$B$16*$B$19*$B$22*$B$24,0)</f>
        <v/>
      </c>
      <c r="Q44" s="127">
        <f>ROUND($B$5*$B$11*$B$14*$B$16*$B$19*$B$22*$B$25,0)</f>
        <v/>
      </c>
      <c r="R44" s="127">
        <f>ROUND($B$5*$B$11*$B$14*$B$16*$B$19*$B$23*$B$24,0)</f>
        <v/>
      </c>
      <c r="S44" s="127">
        <f>ROUND($B$5*$B$11*$B$14*$B$16*$B$19*$B$23*$B$25,0)</f>
        <v/>
      </c>
      <c r="T44" s="127">
        <f>ROUND($B$5*$B$11*$B$14*$B$16*$B$20*$B$22*$B$24,0)</f>
        <v/>
      </c>
      <c r="U44" s="127">
        <f>ROUND($B$5*$B$11*$B$14*$B$16*$B$20*$B$22*$B$25,0)</f>
        <v/>
      </c>
      <c r="V44" s="127">
        <f>ROUND($B$5*$B$11*$B$14*$B$16*$B$20*$B$23*$B$24,0)</f>
        <v/>
      </c>
      <c r="W44" s="127">
        <f>ROUND($B$5*$B$11*$B$14*$B$16*$B$20*$B$23*$B$25,0)</f>
        <v/>
      </c>
      <c r="X44" s="127">
        <f>ROUND($B$5*$B$11*$B$14*$B$16*$B$21*$B$22*$B$24,0)</f>
        <v/>
      </c>
      <c r="Y44" s="127">
        <f>ROUND($B$5*$B$11*$B$14*$B$16*$B$21*$B$22*$B$25,0)</f>
        <v/>
      </c>
      <c r="Z44" s="127">
        <f>ROUND($B$5*$B$11*$B$14*$B$16*$B$21*$B$23*$B$24,0)</f>
        <v/>
      </c>
      <c r="AA44" s="127">
        <f>ROUND($B$5*$B$11*$B$14*$B$16*$B$21*$B$23*$B$25,0)</f>
        <v/>
      </c>
      <c r="AB44" s="127">
        <f>ROUND($B$6*$B$11*$B$14*$B$16*$B$19*$B$22*$B$24,0)</f>
        <v/>
      </c>
      <c r="AC44" s="127">
        <f>ROUND($B$6*$B$11*$B$14*$B$16*$B$19*$B$22*$B$25,0)</f>
        <v/>
      </c>
      <c r="AD44" s="127">
        <f>ROUND($B$6*$B$11*$B$14*$B$16*$B$19*$B$23*$B$24,0)</f>
        <v/>
      </c>
      <c r="AE44" s="127">
        <f>ROUND($B$6*$B$11*$B$14*$B$16*$B$19*$B$23*$B$25,0)</f>
        <v/>
      </c>
      <c r="AF44" s="127">
        <f>ROUND($B$6*$B$11*$B$14*$B$16*$B$20*$B$22*$B$24,0)</f>
        <v/>
      </c>
      <c r="AG44" s="127">
        <f>ROUND($B$6*$B$11*$B$14*$B$16*$B$20*$B$22*$B$25,0)</f>
        <v/>
      </c>
      <c r="AH44" s="127">
        <f>ROUND($B$6*$B$11*$B$14*$B$16*$B$20*$B$23*$B$24,0)</f>
        <v/>
      </c>
      <c r="AI44" s="127">
        <f>ROUND($B$6*$B$11*$B$14*$B$16*$B$20*$B$23*$B$25,0)</f>
        <v/>
      </c>
      <c r="AJ44" s="127">
        <f>ROUND($B$6*$B$11*$B$14*$B$16*$B$21*$B$22*$B$24,0)</f>
        <v/>
      </c>
      <c r="AK44" s="127">
        <f>ROUND($B$6*$B$11*$B$14*$B$16*$B$21*$B$22*$B$25,0)</f>
        <v/>
      </c>
      <c r="AL44" s="127">
        <f>ROUND($B$6*$B$11*$B$14*$B$16*$B$21*$B$23*$B$24,0)</f>
        <v/>
      </c>
      <c r="AM44" s="127">
        <f>ROUND($B$6*$B$11*$B$14*$B$16*$B$21*$B$23*$B$25,0)</f>
        <v/>
      </c>
      <c r="AN44" s="127">
        <f>ROUND($B$7*$B$11*$B$14*$B$16*$B$19*$B$22*$B$24,0)</f>
        <v/>
      </c>
      <c r="AO44" s="127">
        <f>ROUND($B$7*$B$11*$B$14*$B$16*$B$19*$B$22*$B$25,0)</f>
        <v/>
      </c>
      <c r="AP44" s="127">
        <f>ROUND($B$7*$B$11*$B$14*$B$16*$B$19*$B$23*$B$24,0)</f>
        <v/>
      </c>
      <c r="AQ44" s="127">
        <f>ROUND($B$7*$B$11*$B$14*$B$16*$B$19*$B$23*$B$25,0)</f>
        <v/>
      </c>
      <c r="AR44" s="127">
        <f>ROUND($B$7*$B$11*$B$14*$B$16*$B$20*$B$22*$B$24,0)</f>
        <v/>
      </c>
      <c r="AS44" s="127">
        <f>ROUND($B$7*$B$11*$B$14*$B$16*$B$20*$B$22*$B$25,0)</f>
        <v/>
      </c>
      <c r="AT44" s="127">
        <f>ROUND($B$7*$B$11*$B$14*$B$16*$B$20*$B$23*$B$24,0)</f>
        <v/>
      </c>
      <c r="AU44" s="127">
        <f>ROUND($B$7*$B$11*$B$14*$B$16*$B$20*$B$23*$B$25,0)</f>
        <v/>
      </c>
      <c r="AV44" s="127">
        <f>ROUND($B$7*$B$11*$B$14*$B$16*$B$21*$B$22*$B$24,0)</f>
        <v/>
      </c>
      <c r="AW44" s="127">
        <f>ROUND($B$7*$B$11*$B$14*$B$16*$B$21*$B$22*$B$25,0)</f>
        <v/>
      </c>
      <c r="AX44" s="127">
        <f>ROUND($B$7*$B$11*$B$14*$B$16*$B$21*$B$23*$B$24,0)</f>
        <v/>
      </c>
      <c r="AY44" s="127">
        <f>ROUND($B$7*$B$11*$B$14*$B$16*$B$21*$B$23*$B$25,0)</f>
        <v/>
      </c>
      <c r="AZ44" s="128">
        <f>ROUND($B$8*$B$11*$B$14*$B$16*$B$19*$B$22*$B$24,0)</f>
        <v/>
      </c>
      <c r="BA44" s="128">
        <f>ROUND($B$8*$B$11*$B$14*$B$16*$B$19*$B$22*$B$25,0)</f>
        <v/>
      </c>
      <c r="BB44" s="128">
        <f>ROUND($B$8*$B$11*$B$14*$B$16*$B$19*$B$23*$B$24,0)</f>
        <v/>
      </c>
      <c r="BC44" s="128">
        <f>ROUND($B$8*$B$11*$B$14*$B$16*$B$19*$B$23*$B$25,0)</f>
        <v/>
      </c>
      <c r="BD44" s="128">
        <f>ROUND($B$8*$B$11*$B$14*$B$16*$B$20*$B$22*$B$24,0)</f>
        <v/>
      </c>
      <c r="BE44" s="128">
        <f>ROUND($B$8*$B$11*$B$14*$B$16*$B$20*$B$22*$B$25,0)</f>
        <v/>
      </c>
      <c r="BF44" s="128">
        <f>ROUND($B$8*$B$11*$B$14*$B$16*$B$20*$B$23*$B$24,0)</f>
        <v/>
      </c>
      <c r="BG44" s="128">
        <f>ROUND($B$8*$B$11*$B$14*$B$16*$B$20*$B$23*$B$25,0)</f>
        <v/>
      </c>
      <c r="BH44" s="128">
        <f>ROUND($B$8*$B$11*$B$14*$B$16*$B$21*$B$22*$B$24,0)</f>
        <v/>
      </c>
      <c r="BI44" s="128">
        <f>ROUND($B$8*$B$11*$B$14*$B$16*$B$21*$B$22*$B$25,0)</f>
        <v/>
      </c>
      <c r="BJ44" s="128">
        <f>ROUND($B$8*$B$11*$B$14*$B$16*$B$21*$B$23*$B$24,0)</f>
        <v/>
      </c>
      <c r="BK44" s="128">
        <f>ROUND($B$8*$B$11*$B$14*$B$16*$B$21*$B$23*$B$25,0)</f>
        <v/>
      </c>
    </row>
    <row r="45" ht="20" customHeight="1" s="62">
      <c r="C45" s="125" t="inlineStr">
        <is>
          <t>Trafic moyen (1k-10k/mois)</t>
        </is>
      </c>
      <c r="D45" s="127">
        <f>ROUND($B$4*$B$11*$B$14*$B$17*$B$19*$B$22*$B$24,0)</f>
        <v/>
      </c>
      <c r="E45" s="127">
        <f>ROUND($B$4*$B$11*$B$14*$B$17*$B$19*$B$22*$B$25,0)</f>
        <v/>
      </c>
      <c r="F45" s="127">
        <f>ROUND($B$4*$B$11*$B$14*$B$17*$B$19*$B$23*$B$24,0)</f>
        <v/>
      </c>
      <c r="G45" s="127">
        <f>ROUND($B$4*$B$11*$B$14*$B$17*$B$19*$B$23*$B$25,0)</f>
        <v/>
      </c>
      <c r="H45" s="127">
        <f>ROUND($B$4*$B$11*$B$14*$B$17*$B$20*$B$22*$B$24,0)</f>
        <v/>
      </c>
      <c r="I45" s="127">
        <f>ROUND($B$4*$B$11*$B$14*$B$17*$B$20*$B$22*$B$25,0)</f>
        <v/>
      </c>
      <c r="J45" s="127">
        <f>ROUND($B$4*$B$11*$B$14*$B$17*$B$20*$B$23*$B$24,0)</f>
        <v/>
      </c>
      <c r="K45" s="127">
        <f>ROUND($B$4*$B$11*$B$14*$B$17*$B$20*$B$23*$B$25,0)</f>
        <v/>
      </c>
      <c r="L45" s="127">
        <f>ROUND($B$4*$B$11*$B$14*$B$17*$B$21*$B$22*$B$24,0)</f>
        <v/>
      </c>
      <c r="M45" s="127">
        <f>ROUND($B$4*$B$11*$B$14*$B$17*$B$21*$B$22*$B$25,0)</f>
        <v/>
      </c>
      <c r="N45" s="127">
        <f>ROUND($B$4*$B$11*$B$14*$B$17*$B$21*$B$23*$B$24,0)</f>
        <v/>
      </c>
      <c r="O45" s="127">
        <f>ROUND($B$4*$B$11*$B$14*$B$17*$B$21*$B$23*$B$25,0)</f>
        <v/>
      </c>
      <c r="P45" s="127">
        <f>ROUND($B$5*$B$11*$B$14*$B$17*$B$19*$B$22*$B$24,0)</f>
        <v/>
      </c>
      <c r="Q45" s="127">
        <f>ROUND($B$5*$B$11*$B$14*$B$17*$B$19*$B$22*$B$25,0)</f>
        <v/>
      </c>
      <c r="R45" s="127">
        <f>ROUND($B$5*$B$11*$B$14*$B$17*$B$19*$B$23*$B$24,0)</f>
        <v/>
      </c>
      <c r="S45" s="127">
        <f>ROUND($B$5*$B$11*$B$14*$B$17*$B$19*$B$23*$B$25,0)</f>
        <v/>
      </c>
      <c r="T45" s="127">
        <f>ROUND($B$5*$B$11*$B$14*$B$17*$B$20*$B$22*$B$24,0)</f>
        <v/>
      </c>
      <c r="U45" s="127">
        <f>ROUND($B$5*$B$11*$B$14*$B$17*$B$20*$B$22*$B$25,0)</f>
        <v/>
      </c>
      <c r="V45" s="127">
        <f>ROUND($B$5*$B$11*$B$14*$B$17*$B$20*$B$23*$B$24,0)</f>
        <v/>
      </c>
      <c r="W45" s="127">
        <f>ROUND($B$5*$B$11*$B$14*$B$17*$B$20*$B$23*$B$25,0)</f>
        <v/>
      </c>
      <c r="X45" s="127">
        <f>ROUND($B$5*$B$11*$B$14*$B$17*$B$21*$B$22*$B$24,0)</f>
        <v/>
      </c>
      <c r="Y45" s="127">
        <f>ROUND($B$5*$B$11*$B$14*$B$17*$B$21*$B$22*$B$25,0)</f>
        <v/>
      </c>
      <c r="Z45" s="127">
        <f>ROUND($B$5*$B$11*$B$14*$B$17*$B$21*$B$23*$B$24,0)</f>
        <v/>
      </c>
      <c r="AA45" s="127">
        <f>ROUND($B$5*$B$11*$B$14*$B$17*$B$21*$B$23*$B$25,0)</f>
        <v/>
      </c>
      <c r="AB45" s="127">
        <f>ROUND($B$6*$B$11*$B$14*$B$17*$B$19*$B$22*$B$24,0)</f>
        <v/>
      </c>
      <c r="AC45" s="127">
        <f>ROUND($B$6*$B$11*$B$14*$B$17*$B$19*$B$22*$B$25,0)</f>
        <v/>
      </c>
      <c r="AD45" s="127">
        <f>ROUND($B$6*$B$11*$B$14*$B$17*$B$19*$B$23*$B$24,0)</f>
        <v/>
      </c>
      <c r="AE45" s="127">
        <f>ROUND($B$6*$B$11*$B$14*$B$17*$B$19*$B$23*$B$25,0)</f>
        <v/>
      </c>
      <c r="AF45" s="127">
        <f>ROUND($B$6*$B$11*$B$14*$B$17*$B$20*$B$22*$B$24,0)</f>
        <v/>
      </c>
      <c r="AG45" s="127">
        <f>ROUND($B$6*$B$11*$B$14*$B$17*$B$20*$B$22*$B$25,0)</f>
        <v/>
      </c>
      <c r="AH45" s="127">
        <f>ROUND($B$6*$B$11*$B$14*$B$17*$B$20*$B$23*$B$24,0)</f>
        <v/>
      </c>
      <c r="AI45" s="127">
        <f>ROUND($B$6*$B$11*$B$14*$B$17*$B$20*$B$23*$B$25,0)</f>
        <v/>
      </c>
      <c r="AJ45" s="127">
        <f>ROUND($B$6*$B$11*$B$14*$B$17*$B$21*$B$22*$B$24,0)</f>
        <v/>
      </c>
      <c r="AK45" s="127">
        <f>ROUND($B$6*$B$11*$B$14*$B$17*$B$21*$B$22*$B$25,0)</f>
        <v/>
      </c>
      <c r="AL45" s="127">
        <f>ROUND($B$6*$B$11*$B$14*$B$17*$B$21*$B$23*$B$24,0)</f>
        <v/>
      </c>
      <c r="AM45" s="127">
        <f>ROUND($B$6*$B$11*$B$14*$B$17*$B$21*$B$23*$B$25,0)</f>
        <v/>
      </c>
      <c r="AN45" s="127">
        <f>ROUND($B$7*$B$11*$B$14*$B$17*$B$19*$B$22*$B$24,0)</f>
        <v/>
      </c>
      <c r="AO45" s="127">
        <f>ROUND($B$7*$B$11*$B$14*$B$17*$B$19*$B$22*$B$25,0)</f>
        <v/>
      </c>
      <c r="AP45" s="127">
        <f>ROUND($B$7*$B$11*$B$14*$B$17*$B$19*$B$23*$B$24,0)</f>
        <v/>
      </c>
      <c r="AQ45" s="127">
        <f>ROUND($B$7*$B$11*$B$14*$B$17*$B$19*$B$23*$B$25,0)</f>
        <v/>
      </c>
      <c r="AR45" s="127">
        <f>ROUND($B$7*$B$11*$B$14*$B$17*$B$20*$B$22*$B$24,0)</f>
        <v/>
      </c>
      <c r="AS45" s="127">
        <f>ROUND($B$7*$B$11*$B$14*$B$17*$B$20*$B$22*$B$25,0)</f>
        <v/>
      </c>
      <c r="AT45" s="127">
        <f>ROUND($B$7*$B$11*$B$14*$B$17*$B$20*$B$23*$B$24,0)</f>
        <v/>
      </c>
      <c r="AU45" s="127">
        <f>ROUND($B$7*$B$11*$B$14*$B$17*$B$20*$B$23*$B$25,0)</f>
        <v/>
      </c>
      <c r="AV45" s="127">
        <f>ROUND($B$7*$B$11*$B$14*$B$17*$B$21*$B$22*$B$24,0)</f>
        <v/>
      </c>
      <c r="AW45" s="127">
        <f>ROUND($B$7*$B$11*$B$14*$B$17*$B$21*$B$22*$B$25,0)</f>
        <v/>
      </c>
      <c r="AX45" s="127">
        <f>ROUND($B$7*$B$11*$B$14*$B$17*$B$21*$B$23*$B$24,0)</f>
        <v/>
      </c>
      <c r="AY45" s="127">
        <f>ROUND($B$7*$B$11*$B$14*$B$17*$B$21*$B$23*$B$25,0)</f>
        <v/>
      </c>
      <c r="AZ45" s="128">
        <f>ROUND($B$8*$B$11*$B$14*$B$17*$B$19*$B$22*$B$24,0)</f>
        <v/>
      </c>
      <c r="BA45" s="128">
        <f>ROUND($B$8*$B$11*$B$14*$B$17*$B$19*$B$22*$B$25,0)</f>
        <v/>
      </c>
      <c r="BB45" s="128">
        <f>ROUND($B$8*$B$11*$B$14*$B$17*$B$19*$B$23*$B$24,0)</f>
        <v/>
      </c>
      <c r="BC45" s="128">
        <f>ROUND($B$8*$B$11*$B$14*$B$17*$B$19*$B$23*$B$25,0)</f>
        <v/>
      </c>
      <c r="BD45" s="128">
        <f>ROUND($B$8*$B$11*$B$14*$B$17*$B$20*$B$22*$B$24,0)</f>
        <v/>
      </c>
      <c r="BE45" s="128">
        <f>ROUND($B$8*$B$11*$B$14*$B$17*$B$20*$B$22*$B$25,0)</f>
        <v/>
      </c>
      <c r="BF45" s="128">
        <f>ROUND($B$8*$B$11*$B$14*$B$17*$B$20*$B$23*$B$24,0)</f>
        <v/>
      </c>
      <c r="BG45" s="128">
        <f>ROUND($B$8*$B$11*$B$14*$B$17*$B$20*$B$23*$B$25,0)</f>
        <v/>
      </c>
      <c r="BH45" s="128">
        <f>ROUND($B$8*$B$11*$B$14*$B$17*$B$21*$B$22*$B$24,0)</f>
        <v/>
      </c>
      <c r="BI45" s="128">
        <f>ROUND($B$8*$B$11*$B$14*$B$17*$B$21*$B$22*$B$25,0)</f>
        <v/>
      </c>
      <c r="BJ45" s="128">
        <f>ROUND($B$8*$B$11*$B$14*$B$17*$B$21*$B$23*$B$24,0)</f>
        <v/>
      </c>
      <c r="BK45" s="128">
        <f>ROUND($B$8*$B$11*$B$14*$B$17*$B$21*$B$23*$B$25,0)</f>
        <v/>
      </c>
    </row>
    <row r="46" ht="20" customHeight="1" s="62">
      <c r="C46" s="129" t="inlineStr">
        <is>
          <t>Trafic élevé (10k+/mois)</t>
        </is>
      </c>
      <c r="D46" s="127">
        <f>ROUND($B$4*$B$11*$B$14*$B$18*$B$19*$B$22*$B$24,0)</f>
        <v/>
      </c>
      <c r="E46" s="127">
        <f>ROUND($B$4*$B$11*$B$14*$B$18*$B$19*$B$22*$B$25,0)</f>
        <v/>
      </c>
      <c r="F46" s="127">
        <f>ROUND($B$4*$B$11*$B$14*$B$18*$B$19*$B$23*$B$24,0)</f>
        <v/>
      </c>
      <c r="G46" s="127">
        <f>ROUND($B$4*$B$11*$B$14*$B$18*$B$19*$B$23*$B$25,0)</f>
        <v/>
      </c>
      <c r="H46" s="127">
        <f>ROUND($B$4*$B$11*$B$14*$B$18*$B$20*$B$22*$B$24,0)</f>
        <v/>
      </c>
      <c r="I46" s="127">
        <f>ROUND($B$4*$B$11*$B$14*$B$18*$B$20*$B$22*$B$25,0)</f>
        <v/>
      </c>
      <c r="J46" s="127">
        <f>ROUND($B$4*$B$11*$B$14*$B$18*$B$20*$B$23*$B$24,0)</f>
        <v/>
      </c>
      <c r="K46" s="127">
        <f>ROUND($B$4*$B$11*$B$14*$B$18*$B$20*$B$23*$B$25,0)</f>
        <v/>
      </c>
      <c r="L46" s="127">
        <f>ROUND($B$4*$B$11*$B$14*$B$18*$B$21*$B$22*$B$24,0)</f>
        <v/>
      </c>
      <c r="M46" s="127">
        <f>ROUND($B$4*$B$11*$B$14*$B$18*$B$21*$B$22*$B$25,0)</f>
        <v/>
      </c>
      <c r="N46" s="127">
        <f>ROUND($B$4*$B$11*$B$14*$B$18*$B$21*$B$23*$B$24,0)</f>
        <v/>
      </c>
      <c r="O46" s="127">
        <f>ROUND($B$4*$B$11*$B$14*$B$18*$B$21*$B$23*$B$25,0)</f>
        <v/>
      </c>
      <c r="P46" s="127">
        <f>ROUND($B$5*$B$11*$B$14*$B$18*$B$19*$B$22*$B$24,0)</f>
        <v/>
      </c>
      <c r="Q46" s="127">
        <f>ROUND($B$5*$B$11*$B$14*$B$18*$B$19*$B$22*$B$25,0)</f>
        <v/>
      </c>
      <c r="R46" s="127">
        <f>ROUND($B$5*$B$11*$B$14*$B$18*$B$19*$B$23*$B$24,0)</f>
        <v/>
      </c>
      <c r="S46" s="127">
        <f>ROUND($B$5*$B$11*$B$14*$B$18*$B$19*$B$23*$B$25,0)</f>
        <v/>
      </c>
      <c r="T46" s="127">
        <f>ROUND($B$5*$B$11*$B$14*$B$18*$B$20*$B$22*$B$24,0)</f>
        <v/>
      </c>
      <c r="U46" s="127">
        <f>ROUND($B$5*$B$11*$B$14*$B$18*$B$20*$B$22*$B$25,0)</f>
        <v/>
      </c>
      <c r="V46" s="127">
        <f>ROUND($B$5*$B$11*$B$14*$B$18*$B$20*$B$23*$B$24,0)</f>
        <v/>
      </c>
      <c r="W46" s="127">
        <f>ROUND($B$5*$B$11*$B$14*$B$18*$B$20*$B$23*$B$25,0)</f>
        <v/>
      </c>
      <c r="X46" s="127">
        <f>ROUND($B$5*$B$11*$B$14*$B$18*$B$21*$B$22*$B$24,0)</f>
        <v/>
      </c>
      <c r="Y46" s="127">
        <f>ROUND($B$5*$B$11*$B$14*$B$18*$B$21*$B$22*$B$25,0)</f>
        <v/>
      </c>
      <c r="Z46" s="127">
        <f>ROUND($B$5*$B$11*$B$14*$B$18*$B$21*$B$23*$B$24,0)</f>
        <v/>
      </c>
      <c r="AA46" s="127">
        <f>ROUND($B$5*$B$11*$B$14*$B$18*$B$21*$B$23*$B$25,0)</f>
        <v/>
      </c>
      <c r="AB46" s="127">
        <f>ROUND($B$6*$B$11*$B$14*$B$18*$B$19*$B$22*$B$24,0)</f>
        <v/>
      </c>
      <c r="AC46" s="127">
        <f>ROUND($B$6*$B$11*$B$14*$B$18*$B$19*$B$22*$B$25,0)</f>
        <v/>
      </c>
      <c r="AD46" s="127">
        <f>ROUND($B$6*$B$11*$B$14*$B$18*$B$19*$B$23*$B$24,0)</f>
        <v/>
      </c>
      <c r="AE46" s="127">
        <f>ROUND($B$6*$B$11*$B$14*$B$18*$B$19*$B$23*$B$25,0)</f>
        <v/>
      </c>
      <c r="AF46" s="127">
        <f>ROUND($B$6*$B$11*$B$14*$B$18*$B$20*$B$22*$B$24,0)</f>
        <v/>
      </c>
      <c r="AG46" s="127">
        <f>ROUND($B$6*$B$11*$B$14*$B$18*$B$20*$B$22*$B$25,0)</f>
        <v/>
      </c>
      <c r="AH46" s="127">
        <f>ROUND($B$6*$B$11*$B$14*$B$18*$B$20*$B$23*$B$24,0)</f>
        <v/>
      </c>
      <c r="AI46" s="127">
        <f>ROUND($B$6*$B$11*$B$14*$B$18*$B$20*$B$23*$B$25,0)</f>
        <v/>
      </c>
      <c r="AJ46" s="127">
        <f>ROUND($B$6*$B$11*$B$14*$B$18*$B$21*$B$22*$B$24,0)</f>
        <v/>
      </c>
      <c r="AK46" s="127">
        <f>ROUND($B$6*$B$11*$B$14*$B$18*$B$21*$B$22*$B$25,0)</f>
        <v/>
      </c>
      <c r="AL46" s="127">
        <f>ROUND($B$6*$B$11*$B$14*$B$18*$B$21*$B$23*$B$24,0)</f>
        <v/>
      </c>
      <c r="AM46" s="127">
        <f>ROUND($B$6*$B$11*$B$14*$B$18*$B$21*$B$23*$B$25,0)</f>
        <v/>
      </c>
      <c r="AN46" s="127">
        <f>ROUND($B$7*$B$11*$B$14*$B$18*$B$19*$B$22*$B$24,0)</f>
        <v/>
      </c>
      <c r="AO46" s="127">
        <f>ROUND($B$7*$B$11*$B$14*$B$18*$B$19*$B$22*$B$25,0)</f>
        <v/>
      </c>
      <c r="AP46" s="127">
        <f>ROUND($B$7*$B$11*$B$14*$B$18*$B$19*$B$23*$B$24,0)</f>
        <v/>
      </c>
      <c r="AQ46" s="127">
        <f>ROUND($B$7*$B$11*$B$14*$B$18*$B$19*$B$23*$B$25,0)</f>
        <v/>
      </c>
      <c r="AR46" s="127">
        <f>ROUND($B$7*$B$11*$B$14*$B$18*$B$20*$B$22*$B$24,0)</f>
        <v/>
      </c>
      <c r="AS46" s="127">
        <f>ROUND($B$7*$B$11*$B$14*$B$18*$B$20*$B$22*$B$25,0)</f>
        <v/>
      </c>
      <c r="AT46" s="127">
        <f>ROUND($B$7*$B$11*$B$14*$B$18*$B$20*$B$23*$B$24,0)</f>
        <v/>
      </c>
      <c r="AU46" s="127">
        <f>ROUND($B$7*$B$11*$B$14*$B$18*$B$20*$B$23*$B$25,0)</f>
        <v/>
      </c>
      <c r="AV46" s="127">
        <f>ROUND($B$7*$B$11*$B$14*$B$18*$B$21*$B$22*$B$24,0)</f>
        <v/>
      </c>
      <c r="AW46" s="127">
        <f>ROUND($B$7*$B$11*$B$14*$B$18*$B$21*$B$22*$B$25,0)</f>
        <v/>
      </c>
      <c r="AX46" s="127">
        <f>ROUND($B$7*$B$11*$B$14*$B$18*$B$21*$B$23*$B$24,0)</f>
        <v/>
      </c>
      <c r="AY46" s="127">
        <f>ROUND($B$7*$B$11*$B$14*$B$18*$B$21*$B$23*$B$25,0)</f>
        <v/>
      </c>
      <c r="AZ46" s="128">
        <f>ROUND($B$8*$B$11*$B$14*$B$18*$B$19*$B$22*$B$24,0)</f>
        <v/>
      </c>
      <c r="BA46" s="128">
        <f>ROUND($B$8*$B$11*$B$14*$B$18*$B$19*$B$22*$B$25,0)</f>
        <v/>
      </c>
      <c r="BB46" s="128">
        <f>ROUND($B$8*$B$11*$B$14*$B$18*$B$19*$B$23*$B$24,0)</f>
        <v/>
      </c>
      <c r="BC46" s="128">
        <f>ROUND($B$8*$B$11*$B$14*$B$18*$B$19*$B$23*$B$25,0)</f>
        <v/>
      </c>
      <c r="BD46" s="128">
        <f>ROUND($B$8*$B$11*$B$14*$B$18*$B$20*$B$22*$B$24,0)</f>
        <v/>
      </c>
      <c r="BE46" s="128">
        <f>ROUND($B$8*$B$11*$B$14*$B$18*$B$20*$B$22*$B$25,0)</f>
        <v/>
      </c>
      <c r="BF46" s="128">
        <f>ROUND($B$8*$B$11*$B$14*$B$18*$B$20*$B$23*$B$24,0)</f>
        <v/>
      </c>
      <c r="BG46" s="128">
        <f>ROUND($B$8*$B$11*$B$14*$B$18*$B$20*$B$23*$B$25,0)</f>
        <v/>
      </c>
      <c r="BH46" s="128">
        <f>ROUND($B$8*$B$11*$B$14*$B$18*$B$21*$B$22*$B$24,0)</f>
        <v/>
      </c>
      <c r="BI46" s="128">
        <f>ROUND($B$8*$B$11*$B$14*$B$18*$B$21*$B$22*$B$25,0)</f>
        <v/>
      </c>
      <c r="BJ46" s="128">
        <f>ROUND($B$8*$B$11*$B$14*$B$18*$B$21*$B$23*$B$24,0)</f>
        <v/>
      </c>
      <c r="BK46" s="128">
        <f>ROUND($B$8*$B$11*$B$14*$B$18*$B$21*$B$23*$B$25,0)</f>
        <v/>
      </c>
    </row>
    <row r="47" ht="20" customHeight="1" s="62">
      <c r="B47" s="125" t="inlineStr">
        <is>
          <t>3+ outils intégrés</t>
        </is>
      </c>
      <c r="C47" s="126" t="inlineStr">
        <is>
          <t>Trafic faible (&lt; 1k/mois)</t>
        </is>
      </c>
      <c r="D47" s="127">
        <f>ROUND($B$4*$B$11*$B$15*$B$16*$B$19*$B$22*$B$24,0)</f>
        <v/>
      </c>
      <c r="E47" s="127">
        <f>ROUND($B$4*$B$11*$B$15*$B$16*$B$19*$B$22*$B$25,0)</f>
        <v/>
      </c>
      <c r="F47" s="127">
        <f>ROUND($B$4*$B$11*$B$15*$B$16*$B$19*$B$23*$B$24,0)</f>
        <v/>
      </c>
      <c r="G47" s="127">
        <f>ROUND($B$4*$B$11*$B$15*$B$16*$B$19*$B$23*$B$25,0)</f>
        <v/>
      </c>
      <c r="H47" s="127">
        <f>ROUND($B$4*$B$11*$B$15*$B$16*$B$20*$B$22*$B$24,0)</f>
        <v/>
      </c>
      <c r="I47" s="127">
        <f>ROUND($B$4*$B$11*$B$15*$B$16*$B$20*$B$22*$B$25,0)</f>
        <v/>
      </c>
      <c r="J47" s="127">
        <f>ROUND($B$4*$B$11*$B$15*$B$16*$B$20*$B$23*$B$24,0)</f>
        <v/>
      </c>
      <c r="K47" s="127">
        <f>ROUND($B$4*$B$11*$B$15*$B$16*$B$20*$B$23*$B$25,0)</f>
        <v/>
      </c>
      <c r="L47" s="127">
        <f>ROUND($B$4*$B$11*$B$15*$B$16*$B$21*$B$22*$B$24,0)</f>
        <v/>
      </c>
      <c r="M47" s="127">
        <f>ROUND($B$4*$B$11*$B$15*$B$16*$B$21*$B$22*$B$25,0)</f>
        <v/>
      </c>
      <c r="N47" s="127">
        <f>ROUND($B$4*$B$11*$B$15*$B$16*$B$21*$B$23*$B$24,0)</f>
        <v/>
      </c>
      <c r="O47" s="127">
        <f>ROUND($B$4*$B$11*$B$15*$B$16*$B$21*$B$23*$B$25,0)</f>
        <v/>
      </c>
      <c r="P47" s="127">
        <f>ROUND($B$5*$B$11*$B$15*$B$16*$B$19*$B$22*$B$24,0)</f>
        <v/>
      </c>
      <c r="Q47" s="127">
        <f>ROUND($B$5*$B$11*$B$15*$B$16*$B$19*$B$22*$B$25,0)</f>
        <v/>
      </c>
      <c r="R47" s="127">
        <f>ROUND($B$5*$B$11*$B$15*$B$16*$B$19*$B$23*$B$24,0)</f>
        <v/>
      </c>
      <c r="S47" s="127">
        <f>ROUND($B$5*$B$11*$B$15*$B$16*$B$19*$B$23*$B$25,0)</f>
        <v/>
      </c>
      <c r="T47" s="127">
        <f>ROUND($B$5*$B$11*$B$15*$B$16*$B$20*$B$22*$B$24,0)</f>
        <v/>
      </c>
      <c r="U47" s="127">
        <f>ROUND($B$5*$B$11*$B$15*$B$16*$B$20*$B$22*$B$25,0)</f>
        <v/>
      </c>
      <c r="V47" s="127">
        <f>ROUND($B$5*$B$11*$B$15*$B$16*$B$20*$B$23*$B$24,0)</f>
        <v/>
      </c>
      <c r="W47" s="127">
        <f>ROUND($B$5*$B$11*$B$15*$B$16*$B$20*$B$23*$B$25,0)</f>
        <v/>
      </c>
      <c r="X47" s="127">
        <f>ROUND($B$5*$B$11*$B$15*$B$16*$B$21*$B$22*$B$24,0)</f>
        <v/>
      </c>
      <c r="Y47" s="127">
        <f>ROUND($B$5*$B$11*$B$15*$B$16*$B$21*$B$22*$B$25,0)</f>
        <v/>
      </c>
      <c r="Z47" s="127">
        <f>ROUND($B$5*$B$11*$B$15*$B$16*$B$21*$B$23*$B$24,0)</f>
        <v/>
      </c>
      <c r="AA47" s="127">
        <f>ROUND($B$5*$B$11*$B$15*$B$16*$B$21*$B$23*$B$25,0)</f>
        <v/>
      </c>
      <c r="AB47" s="127">
        <f>ROUND($B$6*$B$11*$B$15*$B$16*$B$19*$B$22*$B$24,0)</f>
        <v/>
      </c>
      <c r="AC47" s="127">
        <f>ROUND($B$6*$B$11*$B$15*$B$16*$B$19*$B$22*$B$25,0)</f>
        <v/>
      </c>
      <c r="AD47" s="127">
        <f>ROUND($B$6*$B$11*$B$15*$B$16*$B$19*$B$23*$B$24,0)</f>
        <v/>
      </c>
      <c r="AE47" s="127">
        <f>ROUND($B$6*$B$11*$B$15*$B$16*$B$19*$B$23*$B$25,0)</f>
        <v/>
      </c>
      <c r="AF47" s="127">
        <f>ROUND($B$6*$B$11*$B$15*$B$16*$B$20*$B$22*$B$24,0)</f>
        <v/>
      </c>
      <c r="AG47" s="127">
        <f>ROUND($B$6*$B$11*$B$15*$B$16*$B$20*$B$22*$B$25,0)</f>
        <v/>
      </c>
      <c r="AH47" s="127">
        <f>ROUND($B$6*$B$11*$B$15*$B$16*$B$20*$B$23*$B$24,0)</f>
        <v/>
      </c>
      <c r="AI47" s="127">
        <f>ROUND($B$6*$B$11*$B$15*$B$16*$B$20*$B$23*$B$25,0)</f>
        <v/>
      </c>
      <c r="AJ47" s="127">
        <f>ROUND($B$6*$B$11*$B$15*$B$16*$B$21*$B$22*$B$24,0)</f>
        <v/>
      </c>
      <c r="AK47" s="127">
        <f>ROUND($B$6*$B$11*$B$15*$B$16*$B$21*$B$22*$B$25,0)</f>
        <v/>
      </c>
      <c r="AL47" s="127">
        <f>ROUND($B$6*$B$11*$B$15*$B$16*$B$21*$B$23*$B$24,0)</f>
        <v/>
      </c>
      <c r="AM47" s="127">
        <f>ROUND($B$6*$B$11*$B$15*$B$16*$B$21*$B$23*$B$25,0)</f>
        <v/>
      </c>
      <c r="AN47" s="127">
        <f>ROUND($B$7*$B$11*$B$15*$B$16*$B$19*$B$22*$B$24,0)</f>
        <v/>
      </c>
      <c r="AO47" s="127">
        <f>ROUND($B$7*$B$11*$B$15*$B$16*$B$19*$B$22*$B$25,0)</f>
        <v/>
      </c>
      <c r="AP47" s="127">
        <f>ROUND($B$7*$B$11*$B$15*$B$16*$B$19*$B$23*$B$24,0)</f>
        <v/>
      </c>
      <c r="AQ47" s="127">
        <f>ROUND($B$7*$B$11*$B$15*$B$16*$B$19*$B$23*$B$25,0)</f>
        <v/>
      </c>
      <c r="AR47" s="127">
        <f>ROUND($B$7*$B$11*$B$15*$B$16*$B$20*$B$22*$B$24,0)</f>
        <v/>
      </c>
      <c r="AS47" s="127">
        <f>ROUND($B$7*$B$11*$B$15*$B$16*$B$20*$B$22*$B$25,0)</f>
        <v/>
      </c>
      <c r="AT47" s="127">
        <f>ROUND($B$7*$B$11*$B$15*$B$16*$B$20*$B$23*$B$24,0)</f>
        <v/>
      </c>
      <c r="AU47" s="127">
        <f>ROUND($B$7*$B$11*$B$15*$B$16*$B$20*$B$23*$B$25,0)</f>
        <v/>
      </c>
      <c r="AV47" s="127">
        <f>ROUND($B$7*$B$11*$B$15*$B$16*$B$21*$B$22*$B$24,0)</f>
        <v/>
      </c>
      <c r="AW47" s="127">
        <f>ROUND($B$7*$B$11*$B$15*$B$16*$B$21*$B$22*$B$25,0)</f>
        <v/>
      </c>
      <c r="AX47" s="127">
        <f>ROUND($B$7*$B$11*$B$15*$B$16*$B$21*$B$23*$B$24,0)</f>
        <v/>
      </c>
      <c r="AY47" s="127">
        <f>ROUND($B$7*$B$11*$B$15*$B$16*$B$21*$B$23*$B$25,0)</f>
        <v/>
      </c>
      <c r="AZ47" s="128">
        <f>ROUND($B$8*$B$11*$B$15*$B$16*$B$19*$B$22*$B$24,0)</f>
        <v/>
      </c>
      <c r="BA47" s="128">
        <f>ROUND($B$8*$B$11*$B$15*$B$16*$B$19*$B$22*$B$25,0)</f>
        <v/>
      </c>
      <c r="BB47" s="128">
        <f>ROUND($B$8*$B$11*$B$15*$B$16*$B$19*$B$23*$B$24,0)</f>
        <v/>
      </c>
      <c r="BC47" s="128">
        <f>ROUND($B$8*$B$11*$B$15*$B$16*$B$19*$B$23*$B$25,0)</f>
        <v/>
      </c>
      <c r="BD47" s="128">
        <f>ROUND($B$8*$B$11*$B$15*$B$16*$B$20*$B$22*$B$24,0)</f>
        <v/>
      </c>
      <c r="BE47" s="128">
        <f>ROUND($B$8*$B$11*$B$15*$B$16*$B$20*$B$22*$B$25,0)</f>
        <v/>
      </c>
      <c r="BF47" s="128">
        <f>ROUND($B$8*$B$11*$B$15*$B$16*$B$20*$B$23*$B$24,0)</f>
        <v/>
      </c>
      <c r="BG47" s="128">
        <f>ROUND($B$8*$B$11*$B$15*$B$16*$B$20*$B$23*$B$25,0)</f>
        <v/>
      </c>
      <c r="BH47" s="128">
        <f>ROUND($B$8*$B$11*$B$15*$B$16*$B$21*$B$22*$B$24,0)</f>
        <v/>
      </c>
      <c r="BI47" s="128">
        <f>ROUND($B$8*$B$11*$B$15*$B$16*$B$21*$B$22*$B$25,0)</f>
        <v/>
      </c>
      <c r="BJ47" s="128">
        <f>ROUND($B$8*$B$11*$B$15*$B$16*$B$21*$B$23*$B$24,0)</f>
        <v/>
      </c>
      <c r="BK47" s="128">
        <f>ROUND($B$8*$B$11*$B$15*$B$16*$B$21*$B$23*$B$25,0)</f>
        <v/>
      </c>
    </row>
    <row r="48" ht="20" customHeight="1" s="62">
      <c r="C48" s="125" t="inlineStr">
        <is>
          <t>Trafic moyen (1k-10k/mois)</t>
        </is>
      </c>
      <c r="D48" s="127">
        <f>ROUND($B$4*$B$11*$B$15*$B$17*$B$19*$B$22*$B$24,0)</f>
        <v/>
      </c>
      <c r="E48" s="127">
        <f>ROUND($B$4*$B$11*$B$15*$B$17*$B$19*$B$22*$B$25,0)</f>
        <v/>
      </c>
      <c r="F48" s="127">
        <f>ROUND($B$4*$B$11*$B$15*$B$17*$B$19*$B$23*$B$24,0)</f>
        <v/>
      </c>
      <c r="G48" s="127">
        <f>ROUND($B$4*$B$11*$B$15*$B$17*$B$19*$B$23*$B$25,0)</f>
        <v/>
      </c>
      <c r="H48" s="127">
        <f>ROUND($B$4*$B$11*$B$15*$B$17*$B$20*$B$22*$B$24,0)</f>
        <v/>
      </c>
      <c r="I48" s="127">
        <f>ROUND($B$4*$B$11*$B$15*$B$17*$B$20*$B$22*$B$25,0)</f>
        <v/>
      </c>
      <c r="J48" s="127">
        <f>ROUND($B$4*$B$11*$B$15*$B$17*$B$20*$B$23*$B$24,0)</f>
        <v/>
      </c>
      <c r="K48" s="127">
        <f>ROUND($B$4*$B$11*$B$15*$B$17*$B$20*$B$23*$B$25,0)</f>
        <v/>
      </c>
      <c r="L48" s="127">
        <f>ROUND($B$4*$B$11*$B$15*$B$17*$B$21*$B$22*$B$24,0)</f>
        <v/>
      </c>
      <c r="M48" s="127">
        <f>ROUND($B$4*$B$11*$B$15*$B$17*$B$21*$B$22*$B$25,0)</f>
        <v/>
      </c>
      <c r="N48" s="127">
        <f>ROUND($B$4*$B$11*$B$15*$B$17*$B$21*$B$23*$B$24,0)</f>
        <v/>
      </c>
      <c r="O48" s="127">
        <f>ROUND($B$4*$B$11*$B$15*$B$17*$B$21*$B$23*$B$25,0)</f>
        <v/>
      </c>
      <c r="P48" s="127">
        <f>ROUND($B$5*$B$11*$B$15*$B$17*$B$19*$B$22*$B$24,0)</f>
        <v/>
      </c>
      <c r="Q48" s="127">
        <f>ROUND($B$5*$B$11*$B$15*$B$17*$B$19*$B$22*$B$25,0)</f>
        <v/>
      </c>
      <c r="R48" s="127">
        <f>ROUND($B$5*$B$11*$B$15*$B$17*$B$19*$B$23*$B$24,0)</f>
        <v/>
      </c>
      <c r="S48" s="127">
        <f>ROUND($B$5*$B$11*$B$15*$B$17*$B$19*$B$23*$B$25,0)</f>
        <v/>
      </c>
      <c r="T48" s="127">
        <f>ROUND($B$5*$B$11*$B$15*$B$17*$B$20*$B$22*$B$24,0)</f>
        <v/>
      </c>
      <c r="U48" s="127">
        <f>ROUND($B$5*$B$11*$B$15*$B$17*$B$20*$B$22*$B$25,0)</f>
        <v/>
      </c>
      <c r="V48" s="127">
        <f>ROUND($B$5*$B$11*$B$15*$B$17*$B$20*$B$23*$B$24,0)</f>
        <v/>
      </c>
      <c r="W48" s="127">
        <f>ROUND($B$5*$B$11*$B$15*$B$17*$B$20*$B$23*$B$25,0)</f>
        <v/>
      </c>
      <c r="X48" s="127">
        <f>ROUND($B$5*$B$11*$B$15*$B$17*$B$21*$B$22*$B$24,0)</f>
        <v/>
      </c>
      <c r="Y48" s="127">
        <f>ROUND($B$5*$B$11*$B$15*$B$17*$B$21*$B$22*$B$25,0)</f>
        <v/>
      </c>
      <c r="Z48" s="127">
        <f>ROUND($B$5*$B$11*$B$15*$B$17*$B$21*$B$23*$B$24,0)</f>
        <v/>
      </c>
      <c r="AA48" s="127">
        <f>ROUND($B$5*$B$11*$B$15*$B$17*$B$21*$B$23*$B$25,0)</f>
        <v/>
      </c>
      <c r="AB48" s="127">
        <f>ROUND($B$6*$B$11*$B$15*$B$17*$B$19*$B$22*$B$24,0)</f>
        <v/>
      </c>
      <c r="AC48" s="127">
        <f>ROUND($B$6*$B$11*$B$15*$B$17*$B$19*$B$22*$B$25,0)</f>
        <v/>
      </c>
      <c r="AD48" s="127">
        <f>ROUND($B$6*$B$11*$B$15*$B$17*$B$19*$B$23*$B$24,0)</f>
        <v/>
      </c>
      <c r="AE48" s="127">
        <f>ROUND($B$6*$B$11*$B$15*$B$17*$B$19*$B$23*$B$25,0)</f>
        <v/>
      </c>
      <c r="AF48" s="127">
        <f>ROUND($B$6*$B$11*$B$15*$B$17*$B$20*$B$22*$B$24,0)</f>
        <v/>
      </c>
      <c r="AG48" s="127">
        <f>ROUND($B$6*$B$11*$B$15*$B$17*$B$20*$B$22*$B$25,0)</f>
        <v/>
      </c>
      <c r="AH48" s="127">
        <f>ROUND($B$6*$B$11*$B$15*$B$17*$B$20*$B$23*$B$24,0)</f>
        <v/>
      </c>
      <c r="AI48" s="127">
        <f>ROUND($B$6*$B$11*$B$15*$B$17*$B$20*$B$23*$B$25,0)</f>
        <v/>
      </c>
      <c r="AJ48" s="127">
        <f>ROUND($B$6*$B$11*$B$15*$B$17*$B$21*$B$22*$B$24,0)</f>
        <v/>
      </c>
      <c r="AK48" s="127">
        <f>ROUND($B$6*$B$11*$B$15*$B$17*$B$21*$B$22*$B$25,0)</f>
        <v/>
      </c>
      <c r="AL48" s="127">
        <f>ROUND($B$6*$B$11*$B$15*$B$17*$B$21*$B$23*$B$24,0)</f>
        <v/>
      </c>
      <c r="AM48" s="127">
        <f>ROUND($B$6*$B$11*$B$15*$B$17*$B$21*$B$23*$B$25,0)</f>
        <v/>
      </c>
      <c r="AN48" s="127">
        <f>ROUND($B$7*$B$11*$B$15*$B$17*$B$19*$B$22*$B$24,0)</f>
        <v/>
      </c>
      <c r="AO48" s="127">
        <f>ROUND($B$7*$B$11*$B$15*$B$17*$B$19*$B$22*$B$25,0)</f>
        <v/>
      </c>
      <c r="AP48" s="127">
        <f>ROUND($B$7*$B$11*$B$15*$B$17*$B$19*$B$23*$B$24,0)</f>
        <v/>
      </c>
      <c r="AQ48" s="127">
        <f>ROUND($B$7*$B$11*$B$15*$B$17*$B$19*$B$23*$B$25,0)</f>
        <v/>
      </c>
      <c r="AR48" s="127">
        <f>ROUND($B$7*$B$11*$B$15*$B$17*$B$20*$B$22*$B$24,0)</f>
        <v/>
      </c>
      <c r="AS48" s="127">
        <f>ROUND($B$7*$B$11*$B$15*$B$17*$B$20*$B$22*$B$25,0)</f>
        <v/>
      </c>
      <c r="AT48" s="127">
        <f>ROUND($B$7*$B$11*$B$15*$B$17*$B$20*$B$23*$B$24,0)</f>
        <v/>
      </c>
      <c r="AU48" s="127">
        <f>ROUND($B$7*$B$11*$B$15*$B$17*$B$20*$B$23*$B$25,0)</f>
        <v/>
      </c>
      <c r="AV48" s="127">
        <f>ROUND($B$7*$B$11*$B$15*$B$17*$B$21*$B$22*$B$24,0)</f>
        <v/>
      </c>
      <c r="AW48" s="127">
        <f>ROUND($B$7*$B$11*$B$15*$B$17*$B$21*$B$22*$B$25,0)</f>
        <v/>
      </c>
      <c r="AX48" s="127">
        <f>ROUND($B$7*$B$11*$B$15*$B$17*$B$21*$B$23*$B$24,0)</f>
        <v/>
      </c>
      <c r="AY48" s="127">
        <f>ROUND($B$7*$B$11*$B$15*$B$17*$B$21*$B$23*$B$25,0)</f>
        <v/>
      </c>
      <c r="AZ48" s="128">
        <f>ROUND($B$8*$B$11*$B$15*$B$17*$B$19*$B$22*$B$24,0)</f>
        <v/>
      </c>
      <c r="BA48" s="128">
        <f>ROUND($B$8*$B$11*$B$15*$B$17*$B$19*$B$22*$B$25,0)</f>
        <v/>
      </c>
      <c r="BB48" s="128">
        <f>ROUND($B$8*$B$11*$B$15*$B$17*$B$19*$B$23*$B$24,0)</f>
        <v/>
      </c>
      <c r="BC48" s="128">
        <f>ROUND($B$8*$B$11*$B$15*$B$17*$B$19*$B$23*$B$25,0)</f>
        <v/>
      </c>
      <c r="BD48" s="128">
        <f>ROUND($B$8*$B$11*$B$15*$B$17*$B$20*$B$22*$B$24,0)</f>
        <v/>
      </c>
      <c r="BE48" s="128">
        <f>ROUND($B$8*$B$11*$B$15*$B$17*$B$20*$B$22*$B$25,0)</f>
        <v/>
      </c>
      <c r="BF48" s="128">
        <f>ROUND($B$8*$B$11*$B$15*$B$17*$B$20*$B$23*$B$24,0)</f>
        <v/>
      </c>
      <c r="BG48" s="128">
        <f>ROUND($B$8*$B$11*$B$15*$B$17*$B$20*$B$23*$B$25,0)</f>
        <v/>
      </c>
      <c r="BH48" s="128">
        <f>ROUND($B$8*$B$11*$B$15*$B$17*$B$21*$B$22*$B$24,0)</f>
        <v/>
      </c>
      <c r="BI48" s="128">
        <f>ROUND($B$8*$B$11*$B$15*$B$17*$B$21*$B$22*$B$25,0)</f>
        <v/>
      </c>
      <c r="BJ48" s="128">
        <f>ROUND($B$8*$B$11*$B$15*$B$17*$B$21*$B$23*$B$24,0)</f>
        <v/>
      </c>
      <c r="BK48" s="128">
        <f>ROUND($B$8*$B$11*$B$15*$B$17*$B$21*$B$23*$B$25,0)</f>
        <v/>
      </c>
    </row>
    <row r="49" ht="20" customHeight="1" s="62">
      <c r="C49" s="129" t="inlineStr">
        <is>
          <t>Trafic élevé (10k+/mois)</t>
        </is>
      </c>
      <c r="D49" s="127">
        <f>ROUND($B$4*$B$11*$B$15*$B$18*$B$19*$B$22*$B$24,0)</f>
        <v/>
      </c>
      <c r="E49" s="127">
        <f>ROUND($B$4*$B$11*$B$15*$B$18*$B$19*$B$22*$B$25,0)</f>
        <v/>
      </c>
      <c r="F49" s="127">
        <f>ROUND($B$4*$B$11*$B$15*$B$18*$B$19*$B$23*$B$24,0)</f>
        <v/>
      </c>
      <c r="G49" s="127">
        <f>ROUND($B$4*$B$11*$B$15*$B$18*$B$19*$B$23*$B$25,0)</f>
        <v/>
      </c>
      <c r="H49" s="127">
        <f>ROUND($B$4*$B$11*$B$15*$B$18*$B$20*$B$22*$B$24,0)</f>
        <v/>
      </c>
      <c r="I49" s="127">
        <f>ROUND($B$4*$B$11*$B$15*$B$18*$B$20*$B$22*$B$25,0)</f>
        <v/>
      </c>
      <c r="J49" s="127">
        <f>ROUND($B$4*$B$11*$B$15*$B$18*$B$20*$B$23*$B$24,0)</f>
        <v/>
      </c>
      <c r="K49" s="127">
        <f>ROUND($B$4*$B$11*$B$15*$B$18*$B$20*$B$23*$B$25,0)</f>
        <v/>
      </c>
      <c r="L49" s="127">
        <f>ROUND($B$4*$B$11*$B$15*$B$18*$B$21*$B$22*$B$24,0)</f>
        <v/>
      </c>
      <c r="M49" s="127">
        <f>ROUND($B$4*$B$11*$B$15*$B$18*$B$21*$B$22*$B$25,0)</f>
        <v/>
      </c>
      <c r="N49" s="127">
        <f>ROUND($B$4*$B$11*$B$15*$B$18*$B$21*$B$23*$B$24,0)</f>
        <v/>
      </c>
      <c r="O49" s="127">
        <f>ROUND($B$4*$B$11*$B$15*$B$18*$B$21*$B$23*$B$25,0)</f>
        <v/>
      </c>
      <c r="P49" s="127">
        <f>ROUND($B$5*$B$11*$B$15*$B$18*$B$19*$B$22*$B$24,0)</f>
        <v/>
      </c>
      <c r="Q49" s="127">
        <f>ROUND($B$5*$B$11*$B$15*$B$18*$B$19*$B$22*$B$25,0)</f>
        <v/>
      </c>
      <c r="R49" s="127">
        <f>ROUND($B$5*$B$11*$B$15*$B$18*$B$19*$B$23*$B$24,0)</f>
        <v/>
      </c>
      <c r="S49" s="127">
        <f>ROUND($B$5*$B$11*$B$15*$B$18*$B$19*$B$23*$B$25,0)</f>
        <v/>
      </c>
      <c r="T49" s="127">
        <f>ROUND($B$5*$B$11*$B$15*$B$18*$B$20*$B$22*$B$24,0)</f>
        <v/>
      </c>
      <c r="U49" s="127">
        <f>ROUND($B$5*$B$11*$B$15*$B$18*$B$20*$B$22*$B$25,0)</f>
        <v/>
      </c>
      <c r="V49" s="127">
        <f>ROUND($B$5*$B$11*$B$15*$B$18*$B$20*$B$23*$B$24,0)</f>
        <v/>
      </c>
      <c r="W49" s="127">
        <f>ROUND($B$5*$B$11*$B$15*$B$18*$B$20*$B$23*$B$25,0)</f>
        <v/>
      </c>
      <c r="X49" s="127">
        <f>ROUND($B$5*$B$11*$B$15*$B$18*$B$21*$B$22*$B$24,0)</f>
        <v/>
      </c>
      <c r="Y49" s="127">
        <f>ROUND($B$5*$B$11*$B$15*$B$18*$B$21*$B$22*$B$25,0)</f>
        <v/>
      </c>
      <c r="Z49" s="127">
        <f>ROUND($B$5*$B$11*$B$15*$B$18*$B$21*$B$23*$B$24,0)</f>
        <v/>
      </c>
      <c r="AA49" s="127">
        <f>ROUND($B$5*$B$11*$B$15*$B$18*$B$21*$B$23*$B$25,0)</f>
        <v/>
      </c>
      <c r="AB49" s="127">
        <f>ROUND($B$6*$B$11*$B$15*$B$18*$B$19*$B$22*$B$24,0)</f>
        <v/>
      </c>
      <c r="AC49" s="127">
        <f>ROUND($B$6*$B$11*$B$15*$B$18*$B$19*$B$22*$B$25,0)</f>
        <v/>
      </c>
      <c r="AD49" s="127">
        <f>ROUND($B$6*$B$11*$B$15*$B$18*$B$19*$B$23*$B$24,0)</f>
        <v/>
      </c>
      <c r="AE49" s="127">
        <f>ROUND($B$6*$B$11*$B$15*$B$18*$B$19*$B$23*$B$25,0)</f>
        <v/>
      </c>
      <c r="AF49" s="127">
        <f>ROUND($B$6*$B$11*$B$15*$B$18*$B$20*$B$22*$B$24,0)</f>
        <v/>
      </c>
      <c r="AG49" s="127">
        <f>ROUND($B$6*$B$11*$B$15*$B$18*$B$20*$B$22*$B$25,0)</f>
        <v/>
      </c>
      <c r="AH49" s="127">
        <f>ROUND($B$6*$B$11*$B$15*$B$18*$B$20*$B$23*$B$24,0)</f>
        <v/>
      </c>
      <c r="AI49" s="127">
        <f>ROUND($B$6*$B$11*$B$15*$B$18*$B$20*$B$23*$B$25,0)</f>
        <v/>
      </c>
      <c r="AJ49" s="127">
        <f>ROUND($B$6*$B$11*$B$15*$B$18*$B$21*$B$22*$B$24,0)</f>
        <v/>
      </c>
      <c r="AK49" s="127">
        <f>ROUND($B$6*$B$11*$B$15*$B$18*$B$21*$B$22*$B$25,0)</f>
        <v/>
      </c>
      <c r="AL49" s="127">
        <f>ROUND($B$6*$B$11*$B$15*$B$18*$B$21*$B$23*$B$24,0)</f>
        <v/>
      </c>
      <c r="AM49" s="127">
        <f>ROUND($B$6*$B$11*$B$15*$B$18*$B$21*$B$23*$B$25,0)</f>
        <v/>
      </c>
      <c r="AN49" s="127">
        <f>ROUND($B$7*$B$11*$B$15*$B$18*$B$19*$B$22*$B$24,0)</f>
        <v/>
      </c>
      <c r="AO49" s="127">
        <f>ROUND($B$7*$B$11*$B$15*$B$18*$B$19*$B$22*$B$25,0)</f>
        <v/>
      </c>
      <c r="AP49" s="127">
        <f>ROUND($B$7*$B$11*$B$15*$B$18*$B$19*$B$23*$B$24,0)</f>
        <v/>
      </c>
      <c r="AQ49" s="127">
        <f>ROUND($B$7*$B$11*$B$15*$B$18*$B$19*$B$23*$B$25,0)</f>
        <v/>
      </c>
      <c r="AR49" s="127">
        <f>ROUND($B$7*$B$11*$B$15*$B$18*$B$20*$B$22*$B$24,0)</f>
        <v/>
      </c>
      <c r="AS49" s="127">
        <f>ROUND($B$7*$B$11*$B$15*$B$18*$B$20*$B$22*$B$25,0)</f>
        <v/>
      </c>
      <c r="AT49" s="127">
        <f>ROUND($B$7*$B$11*$B$15*$B$18*$B$20*$B$23*$B$24,0)</f>
        <v/>
      </c>
      <c r="AU49" s="127">
        <f>ROUND($B$7*$B$11*$B$15*$B$18*$B$20*$B$23*$B$25,0)</f>
        <v/>
      </c>
      <c r="AV49" s="127">
        <f>ROUND($B$7*$B$11*$B$15*$B$18*$B$21*$B$22*$B$24,0)</f>
        <v/>
      </c>
      <c r="AW49" s="127">
        <f>ROUND($B$7*$B$11*$B$15*$B$18*$B$21*$B$22*$B$25,0)</f>
        <v/>
      </c>
      <c r="AX49" s="127">
        <f>ROUND($B$7*$B$11*$B$15*$B$18*$B$21*$B$23*$B$24,0)</f>
        <v/>
      </c>
      <c r="AY49" s="127">
        <f>ROUND($B$7*$B$11*$B$15*$B$18*$B$21*$B$23*$B$25,0)</f>
        <v/>
      </c>
      <c r="AZ49" s="128">
        <f>ROUND($B$8*$B$11*$B$15*$B$18*$B$19*$B$22*$B$24,0)</f>
        <v/>
      </c>
      <c r="BA49" s="128">
        <f>ROUND($B$8*$B$11*$B$15*$B$18*$B$19*$B$22*$B$25,0)</f>
        <v/>
      </c>
      <c r="BB49" s="128">
        <f>ROUND($B$8*$B$11*$B$15*$B$18*$B$19*$B$23*$B$24,0)</f>
        <v/>
      </c>
      <c r="BC49" s="128">
        <f>ROUND($B$8*$B$11*$B$15*$B$18*$B$19*$B$23*$B$25,0)</f>
        <v/>
      </c>
      <c r="BD49" s="128">
        <f>ROUND($B$8*$B$11*$B$15*$B$18*$B$20*$B$22*$B$24,0)</f>
        <v/>
      </c>
      <c r="BE49" s="128">
        <f>ROUND($B$8*$B$11*$B$15*$B$18*$B$20*$B$22*$B$25,0)</f>
        <v/>
      </c>
      <c r="BF49" s="128">
        <f>ROUND($B$8*$B$11*$B$15*$B$18*$B$20*$B$23*$B$24,0)</f>
        <v/>
      </c>
      <c r="BG49" s="128">
        <f>ROUND($B$8*$B$11*$B$15*$B$18*$B$20*$B$23*$B$25,0)</f>
        <v/>
      </c>
      <c r="BH49" s="128">
        <f>ROUND($B$8*$B$11*$B$15*$B$18*$B$21*$B$22*$B$24,0)</f>
        <v/>
      </c>
      <c r="BI49" s="128">
        <f>ROUND($B$8*$B$11*$B$15*$B$18*$B$21*$B$22*$B$25,0)</f>
        <v/>
      </c>
      <c r="BJ49" s="128">
        <f>ROUND($B$8*$B$11*$B$15*$B$18*$B$21*$B$23*$B$24,0)</f>
        <v/>
      </c>
      <c r="BK49" s="128">
        <f>ROUND($B$8*$B$11*$B$15*$B$18*$B$21*$B$23*$B$25,0)</f>
        <v/>
      </c>
    </row>
    <row r="50" ht="20" customHeight="1" s="62">
      <c r="A50" s="124" t="inlineStr">
        <is>
          <t>16+ scénarios</t>
        </is>
      </c>
      <c r="B50" s="125" t="inlineStr">
        <is>
          <t>Aucune intégration</t>
        </is>
      </c>
      <c r="C50" s="126" t="inlineStr">
        <is>
          <t>Trafic faible (&lt; 1k/mois)</t>
        </is>
      </c>
      <c r="D50" s="127">
        <f>ROUND($B$4*$B$12*$B$13*$B$16*$B$19*$B$22*$B$24,0)</f>
        <v/>
      </c>
      <c r="E50" s="127">
        <f>ROUND($B$4*$B$12*$B$13*$B$16*$B$19*$B$22*$B$25,0)</f>
        <v/>
      </c>
      <c r="F50" s="127">
        <f>ROUND($B$4*$B$12*$B$13*$B$16*$B$19*$B$23*$B$24,0)</f>
        <v/>
      </c>
      <c r="G50" s="127">
        <f>ROUND($B$4*$B$12*$B$13*$B$16*$B$19*$B$23*$B$25,0)</f>
        <v/>
      </c>
      <c r="H50" s="127">
        <f>ROUND($B$4*$B$12*$B$13*$B$16*$B$20*$B$22*$B$24,0)</f>
        <v/>
      </c>
      <c r="I50" s="127">
        <f>ROUND($B$4*$B$12*$B$13*$B$16*$B$20*$B$22*$B$25,0)</f>
        <v/>
      </c>
      <c r="J50" s="127">
        <f>ROUND($B$4*$B$12*$B$13*$B$16*$B$20*$B$23*$B$24,0)</f>
        <v/>
      </c>
      <c r="K50" s="127">
        <f>ROUND($B$4*$B$12*$B$13*$B$16*$B$20*$B$23*$B$25,0)</f>
        <v/>
      </c>
      <c r="L50" s="127">
        <f>ROUND($B$4*$B$12*$B$13*$B$16*$B$21*$B$22*$B$24,0)</f>
        <v/>
      </c>
      <c r="M50" s="127">
        <f>ROUND($B$4*$B$12*$B$13*$B$16*$B$21*$B$22*$B$25,0)</f>
        <v/>
      </c>
      <c r="N50" s="127">
        <f>ROUND($B$4*$B$12*$B$13*$B$16*$B$21*$B$23*$B$24,0)</f>
        <v/>
      </c>
      <c r="O50" s="127">
        <f>ROUND($B$4*$B$12*$B$13*$B$16*$B$21*$B$23*$B$25,0)</f>
        <v/>
      </c>
      <c r="P50" s="127">
        <f>ROUND($B$5*$B$12*$B$13*$B$16*$B$19*$B$22*$B$24,0)</f>
        <v/>
      </c>
      <c r="Q50" s="127">
        <f>ROUND($B$5*$B$12*$B$13*$B$16*$B$19*$B$22*$B$25,0)</f>
        <v/>
      </c>
      <c r="R50" s="127">
        <f>ROUND($B$5*$B$12*$B$13*$B$16*$B$19*$B$23*$B$24,0)</f>
        <v/>
      </c>
      <c r="S50" s="127">
        <f>ROUND($B$5*$B$12*$B$13*$B$16*$B$19*$B$23*$B$25,0)</f>
        <v/>
      </c>
      <c r="T50" s="127">
        <f>ROUND($B$5*$B$12*$B$13*$B$16*$B$20*$B$22*$B$24,0)</f>
        <v/>
      </c>
      <c r="U50" s="127">
        <f>ROUND($B$5*$B$12*$B$13*$B$16*$B$20*$B$22*$B$25,0)</f>
        <v/>
      </c>
      <c r="V50" s="127">
        <f>ROUND($B$5*$B$12*$B$13*$B$16*$B$20*$B$23*$B$24,0)</f>
        <v/>
      </c>
      <c r="W50" s="127">
        <f>ROUND($B$5*$B$12*$B$13*$B$16*$B$20*$B$23*$B$25,0)</f>
        <v/>
      </c>
      <c r="X50" s="127">
        <f>ROUND($B$5*$B$12*$B$13*$B$16*$B$21*$B$22*$B$24,0)</f>
        <v/>
      </c>
      <c r="Y50" s="127">
        <f>ROUND($B$5*$B$12*$B$13*$B$16*$B$21*$B$22*$B$25,0)</f>
        <v/>
      </c>
      <c r="Z50" s="127">
        <f>ROUND($B$5*$B$12*$B$13*$B$16*$B$21*$B$23*$B$24,0)</f>
        <v/>
      </c>
      <c r="AA50" s="127">
        <f>ROUND($B$5*$B$12*$B$13*$B$16*$B$21*$B$23*$B$25,0)</f>
        <v/>
      </c>
      <c r="AB50" s="127">
        <f>ROUND($B$6*$B$12*$B$13*$B$16*$B$19*$B$22*$B$24,0)</f>
        <v/>
      </c>
      <c r="AC50" s="127">
        <f>ROUND($B$6*$B$12*$B$13*$B$16*$B$19*$B$22*$B$25,0)</f>
        <v/>
      </c>
      <c r="AD50" s="127">
        <f>ROUND($B$6*$B$12*$B$13*$B$16*$B$19*$B$23*$B$24,0)</f>
        <v/>
      </c>
      <c r="AE50" s="127">
        <f>ROUND($B$6*$B$12*$B$13*$B$16*$B$19*$B$23*$B$25,0)</f>
        <v/>
      </c>
      <c r="AF50" s="127">
        <f>ROUND($B$6*$B$12*$B$13*$B$16*$B$20*$B$22*$B$24,0)</f>
        <v/>
      </c>
      <c r="AG50" s="127">
        <f>ROUND($B$6*$B$12*$B$13*$B$16*$B$20*$B$22*$B$25,0)</f>
        <v/>
      </c>
      <c r="AH50" s="127">
        <f>ROUND($B$6*$B$12*$B$13*$B$16*$B$20*$B$23*$B$24,0)</f>
        <v/>
      </c>
      <c r="AI50" s="127">
        <f>ROUND($B$6*$B$12*$B$13*$B$16*$B$20*$B$23*$B$25,0)</f>
        <v/>
      </c>
      <c r="AJ50" s="127">
        <f>ROUND($B$6*$B$12*$B$13*$B$16*$B$21*$B$22*$B$24,0)</f>
        <v/>
      </c>
      <c r="AK50" s="127">
        <f>ROUND($B$6*$B$12*$B$13*$B$16*$B$21*$B$22*$B$25,0)</f>
        <v/>
      </c>
      <c r="AL50" s="127">
        <f>ROUND($B$6*$B$12*$B$13*$B$16*$B$21*$B$23*$B$24,0)</f>
        <v/>
      </c>
      <c r="AM50" s="127">
        <f>ROUND($B$6*$B$12*$B$13*$B$16*$B$21*$B$23*$B$25,0)</f>
        <v/>
      </c>
      <c r="AN50" s="127">
        <f>ROUND($B$7*$B$12*$B$13*$B$16*$B$19*$B$22*$B$24,0)</f>
        <v/>
      </c>
      <c r="AO50" s="127">
        <f>ROUND($B$7*$B$12*$B$13*$B$16*$B$19*$B$22*$B$25,0)</f>
        <v/>
      </c>
      <c r="AP50" s="127">
        <f>ROUND($B$7*$B$12*$B$13*$B$16*$B$19*$B$23*$B$24,0)</f>
        <v/>
      </c>
      <c r="AQ50" s="127">
        <f>ROUND($B$7*$B$12*$B$13*$B$16*$B$19*$B$23*$B$25,0)</f>
        <v/>
      </c>
      <c r="AR50" s="127">
        <f>ROUND($B$7*$B$12*$B$13*$B$16*$B$20*$B$22*$B$24,0)</f>
        <v/>
      </c>
      <c r="AS50" s="127">
        <f>ROUND($B$7*$B$12*$B$13*$B$16*$B$20*$B$22*$B$25,0)</f>
        <v/>
      </c>
      <c r="AT50" s="127">
        <f>ROUND($B$7*$B$12*$B$13*$B$16*$B$20*$B$23*$B$24,0)</f>
        <v/>
      </c>
      <c r="AU50" s="127">
        <f>ROUND($B$7*$B$12*$B$13*$B$16*$B$20*$B$23*$B$25,0)</f>
        <v/>
      </c>
      <c r="AV50" s="127">
        <f>ROUND($B$7*$B$12*$B$13*$B$16*$B$21*$B$22*$B$24,0)</f>
        <v/>
      </c>
      <c r="AW50" s="127">
        <f>ROUND($B$7*$B$12*$B$13*$B$16*$B$21*$B$22*$B$25,0)</f>
        <v/>
      </c>
      <c r="AX50" s="127">
        <f>ROUND($B$7*$B$12*$B$13*$B$16*$B$21*$B$23*$B$24,0)</f>
        <v/>
      </c>
      <c r="AY50" s="127">
        <f>ROUND($B$7*$B$12*$B$13*$B$16*$B$21*$B$23*$B$25,0)</f>
        <v/>
      </c>
      <c r="AZ50" s="128">
        <f>ROUND($B$8*$B$12*$B$13*$B$16*$B$19*$B$22*$B$24,0)</f>
        <v/>
      </c>
      <c r="BA50" s="128">
        <f>ROUND($B$8*$B$12*$B$13*$B$16*$B$19*$B$22*$B$25,0)</f>
        <v/>
      </c>
      <c r="BB50" s="128">
        <f>ROUND($B$8*$B$12*$B$13*$B$16*$B$19*$B$23*$B$24,0)</f>
        <v/>
      </c>
      <c r="BC50" s="128">
        <f>ROUND($B$8*$B$12*$B$13*$B$16*$B$19*$B$23*$B$25,0)</f>
        <v/>
      </c>
      <c r="BD50" s="128">
        <f>ROUND($B$8*$B$12*$B$13*$B$16*$B$20*$B$22*$B$24,0)</f>
        <v/>
      </c>
      <c r="BE50" s="128">
        <f>ROUND($B$8*$B$12*$B$13*$B$16*$B$20*$B$22*$B$25,0)</f>
        <v/>
      </c>
      <c r="BF50" s="128">
        <f>ROUND($B$8*$B$12*$B$13*$B$16*$B$20*$B$23*$B$24,0)</f>
        <v/>
      </c>
      <c r="BG50" s="128">
        <f>ROUND($B$8*$B$12*$B$13*$B$16*$B$20*$B$23*$B$25,0)</f>
        <v/>
      </c>
      <c r="BH50" s="128">
        <f>ROUND($B$8*$B$12*$B$13*$B$16*$B$21*$B$22*$B$24,0)</f>
        <v/>
      </c>
      <c r="BI50" s="128">
        <f>ROUND($B$8*$B$12*$B$13*$B$16*$B$21*$B$22*$B$25,0)</f>
        <v/>
      </c>
      <c r="BJ50" s="128">
        <f>ROUND($B$8*$B$12*$B$13*$B$16*$B$21*$B$23*$B$24,0)</f>
        <v/>
      </c>
      <c r="BK50" s="128">
        <f>ROUND($B$8*$B$12*$B$13*$B$16*$B$21*$B$23*$B$25,0)</f>
        <v/>
      </c>
    </row>
    <row r="51" ht="20" customHeight="1" s="62">
      <c r="C51" s="125" t="inlineStr">
        <is>
          <t>Trafic moyen (1k-10k/mois)</t>
        </is>
      </c>
      <c r="D51" s="127">
        <f>ROUND($B$4*$B$12*$B$13*$B$17*$B$19*$B$22*$B$24,0)</f>
        <v/>
      </c>
      <c r="E51" s="127">
        <f>ROUND($B$4*$B$12*$B$13*$B$17*$B$19*$B$22*$B$25,0)</f>
        <v/>
      </c>
      <c r="F51" s="127">
        <f>ROUND($B$4*$B$12*$B$13*$B$17*$B$19*$B$23*$B$24,0)</f>
        <v/>
      </c>
      <c r="G51" s="127">
        <f>ROUND($B$4*$B$12*$B$13*$B$17*$B$19*$B$23*$B$25,0)</f>
        <v/>
      </c>
      <c r="H51" s="127">
        <f>ROUND($B$4*$B$12*$B$13*$B$17*$B$20*$B$22*$B$24,0)</f>
        <v/>
      </c>
      <c r="I51" s="127">
        <f>ROUND($B$4*$B$12*$B$13*$B$17*$B$20*$B$22*$B$25,0)</f>
        <v/>
      </c>
      <c r="J51" s="127">
        <f>ROUND($B$4*$B$12*$B$13*$B$17*$B$20*$B$23*$B$24,0)</f>
        <v/>
      </c>
      <c r="K51" s="127">
        <f>ROUND($B$4*$B$12*$B$13*$B$17*$B$20*$B$23*$B$25,0)</f>
        <v/>
      </c>
      <c r="L51" s="127">
        <f>ROUND($B$4*$B$12*$B$13*$B$17*$B$21*$B$22*$B$24,0)</f>
        <v/>
      </c>
      <c r="M51" s="127">
        <f>ROUND($B$4*$B$12*$B$13*$B$17*$B$21*$B$22*$B$25,0)</f>
        <v/>
      </c>
      <c r="N51" s="127">
        <f>ROUND($B$4*$B$12*$B$13*$B$17*$B$21*$B$23*$B$24,0)</f>
        <v/>
      </c>
      <c r="O51" s="127">
        <f>ROUND($B$4*$B$12*$B$13*$B$17*$B$21*$B$23*$B$25,0)</f>
        <v/>
      </c>
      <c r="P51" s="127">
        <f>ROUND($B$5*$B$12*$B$13*$B$17*$B$19*$B$22*$B$24,0)</f>
        <v/>
      </c>
      <c r="Q51" s="127">
        <f>ROUND($B$5*$B$12*$B$13*$B$17*$B$19*$B$22*$B$25,0)</f>
        <v/>
      </c>
      <c r="R51" s="127">
        <f>ROUND($B$5*$B$12*$B$13*$B$17*$B$19*$B$23*$B$24,0)</f>
        <v/>
      </c>
      <c r="S51" s="127">
        <f>ROUND($B$5*$B$12*$B$13*$B$17*$B$19*$B$23*$B$25,0)</f>
        <v/>
      </c>
      <c r="T51" s="127">
        <f>ROUND($B$5*$B$12*$B$13*$B$17*$B$20*$B$22*$B$24,0)</f>
        <v/>
      </c>
      <c r="U51" s="127">
        <f>ROUND($B$5*$B$12*$B$13*$B$17*$B$20*$B$22*$B$25,0)</f>
        <v/>
      </c>
      <c r="V51" s="127">
        <f>ROUND($B$5*$B$12*$B$13*$B$17*$B$20*$B$23*$B$24,0)</f>
        <v/>
      </c>
      <c r="W51" s="127">
        <f>ROUND($B$5*$B$12*$B$13*$B$17*$B$20*$B$23*$B$25,0)</f>
        <v/>
      </c>
      <c r="X51" s="127">
        <f>ROUND($B$5*$B$12*$B$13*$B$17*$B$21*$B$22*$B$24,0)</f>
        <v/>
      </c>
      <c r="Y51" s="127">
        <f>ROUND($B$5*$B$12*$B$13*$B$17*$B$21*$B$22*$B$25,0)</f>
        <v/>
      </c>
      <c r="Z51" s="127">
        <f>ROUND($B$5*$B$12*$B$13*$B$17*$B$21*$B$23*$B$24,0)</f>
        <v/>
      </c>
      <c r="AA51" s="127">
        <f>ROUND($B$5*$B$12*$B$13*$B$17*$B$21*$B$23*$B$25,0)</f>
        <v/>
      </c>
      <c r="AB51" s="127">
        <f>ROUND($B$6*$B$12*$B$13*$B$17*$B$19*$B$22*$B$24,0)</f>
        <v/>
      </c>
      <c r="AC51" s="127">
        <f>ROUND($B$6*$B$12*$B$13*$B$17*$B$19*$B$22*$B$25,0)</f>
        <v/>
      </c>
      <c r="AD51" s="127">
        <f>ROUND($B$6*$B$12*$B$13*$B$17*$B$19*$B$23*$B$24,0)</f>
        <v/>
      </c>
      <c r="AE51" s="127">
        <f>ROUND($B$6*$B$12*$B$13*$B$17*$B$19*$B$23*$B$25,0)</f>
        <v/>
      </c>
      <c r="AF51" s="127">
        <f>ROUND($B$6*$B$12*$B$13*$B$17*$B$20*$B$22*$B$24,0)</f>
        <v/>
      </c>
      <c r="AG51" s="127">
        <f>ROUND($B$6*$B$12*$B$13*$B$17*$B$20*$B$22*$B$25,0)</f>
        <v/>
      </c>
      <c r="AH51" s="127">
        <f>ROUND($B$6*$B$12*$B$13*$B$17*$B$20*$B$23*$B$24,0)</f>
        <v/>
      </c>
      <c r="AI51" s="127">
        <f>ROUND($B$6*$B$12*$B$13*$B$17*$B$20*$B$23*$B$25,0)</f>
        <v/>
      </c>
      <c r="AJ51" s="127">
        <f>ROUND($B$6*$B$12*$B$13*$B$17*$B$21*$B$22*$B$24,0)</f>
        <v/>
      </c>
      <c r="AK51" s="127">
        <f>ROUND($B$6*$B$12*$B$13*$B$17*$B$21*$B$22*$B$25,0)</f>
        <v/>
      </c>
      <c r="AL51" s="127">
        <f>ROUND($B$6*$B$12*$B$13*$B$17*$B$21*$B$23*$B$24,0)</f>
        <v/>
      </c>
      <c r="AM51" s="127">
        <f>ROUND($B$6*$B$12*$B$13*$B$17*$B$21*$B$23*$B$25,0)</f>
        <v/>
      </c>
      <c r="AN51" s="127">
        <f>ROUND($B$7*$B$12*$B$13*$B$17*$B$19*$B$22*$B$24,0)</f>
        <v/>
      </c>
      <c r="AO51" s="127">
        <f>ROUND($B$7*$B$12*$B$13*$B$17*$B$19*$B$22*$B$25,0)</f>
        <v/>
      </c>
      <c r="AP51" s="127">
        <f>ROUND($B$7*$B$12*$B$13*$B$17*$B$19*$B$23*$B$24,0)</f>
        <v/>
      </c>
      <c r="AQ51" s="127">
        <f>ROUND($B$7*$B$12*$B$13*$B$17*$B$19*$B$23*$B$25,0)</f>
        <v/>
      </c>
      <c r="AR51" s="127">
        <f>ROUND($B$7*$B$12*$B$13*$B$17*$B$20*$B$22*$B$24,0)</f>
        <v/>
      </c>
      <c r="AS51" s="127">
        <f>ROUND($B$7*$B$12*$B$13*$B$17*$B$20*$B$22*$B$25,0)</f>
        <v/>
      </c>
      <c r="AT51" s="127">
        <f>ROUND($B$7*$B$12*$B$13*$B$17*$B$20*$B$23*$B$24,0)</f>
        <v/>
      </c>
      <c r="AU51" s="127">
        <f>ROUND($B$7*$B$12*$B$13*$B$17*$B$20*$B$23*$B$25,0)</f>
        <v/>
      </c>
      <c r="AV51" s="127">
        <f>ROUND($B$7*$B$12*$B$13*$B$17*$B$21*$B$22*$B$24,0)</f>
        <v/>
      </c>
      <c r="AW51" s="127">
        <f>ROUND($B$7*$B$12*$B$13*$B$17*$B$21*$B$22*$B$25,0)</f>
        <v/>
      </c>
      <c r="AX51" s="127">
        <f>ROUND($B$7*$B$12*$B$13*$B$17*$B$21*$B$23*$B$24,0)</f>
        <v/>
      </c>
      <c r="AY51" s="127">
        <f>ROUND($B$7*$B$12*$B$13*$B$17*$B$21*$B$23*$B$25,0)</f>
        <v/>
      </c>
      <c r="AZ51" s="128">
        <f>ROUND($B$8*$B$12*$B$13*$B$17*$B$19*$B$22*$B$24,0)</f>
        <v/>
      </c>
      <c r="BA51" s="128">
        <f>ROUND($B$8*$B$12*$B$13*$B$17*$B$19*$B$22*$B$25,0)</f>
        <v/>
      </c>
      <c r="BB51" s="128">
        <f>ROUND($B$8*$B$12*$B$13*$B$17*$B$19*$B$23*$B$24,0)</f>
        <v/>
      </c>
      <c r="BC51" s="128">
        <f>ROUND($B$8*$B$12*$B$13*$B$17*$B$19*$B$23*$B$25,0)</f>
        <v/>
      </c>
      <c r="BD51" s="128">
        <f>ROUND($B$8*$B$12*$B$13*$B$17*$B$20*$B$22*$B$24,0)</f>
        <v/>
      </c>
      <c r="BE51" s="128">
        <f>ROUND($B$8*$B$12*$B$13*$B$17*$B$20*$B$22*$B$25,0)</f>
        <v/>
      </c>
      <c r="BF51" s="128">
        <f>ROUND($B$8*$B$12*$B$13*$B$17*$B$20*$B$23*$B$24,0)</f>
        <v/>
      </c>
      <c r="BG51" s="128">
        <f>ROUND($B$8*$B$12*$B$13*$B$17*$B$20*$B$23*$B$25,0)</f>
        <v/>
      </c>
      <c r="BH51" s="128">
        <f>ROUND($B$8*$B$12*$B$13*$B$17*$B$21*$B$22*$B$24,0)</f>
        <v/>
      </c>
      <c r="BI51" s="128">
        <f>ROUND($B$8*$B$12*$B$13*$B$17*$B$21*$B$22*$B$25,0)</f>
        <v/>
      </c>
      <c r="BJ51" s="128">
        <f>ROUND($B$8*$B$12*$B$13*$B$17*$B$21*$B$23*$B$24,0)</f>
        <v/>
      </c>
      <c r="BK51" s="128">
        <f>ROUND($B$8*$B$12*$B$13*$B$17*$B$21*$B$23*$B$25,0)</f>
        <v/>
      </c>
    </row>
    <row r="52" ht="20" customHeight="1" s="62">
      <c r="C52" s="129" t="inlineStr">
        <is>
          <t>Trafic élevé (10k+/mois)</t>
        </is>
      </c>
      <c r="D52" s="127">
        <f>ROUND($B$4*$B$12*$B$13*$B$18*$B$19*$B$22*$B$24,0)</f>
        <v/>
      </c>
      <c r="E52" s="127">
        <f>ROUND($B$4*$B$12*$B$13*$B$18*$B$19*$B$22*$B$25,0)</f>
        <v/>
      </c>
      <c r="F52" s="127">
        <f>ROUND($B$4*$B$12*$B$13*$B$18*$B$19*$B$23*$B$24,0)</f>
        <v/>
      </c>
      <c r="G52" s="127">
        <f>ROUND($B$4*$B$12*$B$13*$B$18*$B$19*$B$23*$B$25,0)</f>
        <v/>
      </c>
      <c r="H52" s="127">
        <f>ROUND($B$4*$B$12*$B$13*$B$18*$B$20*$B$22*$B$24,0)</f>
        <v/>
      </c>
      <c r="I52" s="127">
        <f>ROUND($B$4*$B$12*$B$13*$B$18*$B$20*$B$22*$B$25,0)</f>
        <v/>
      </c>
      <c r="J52" s="127">
        <f>ROUND($B$4*$B$12*$B$13*$B$18*$B$20*$B$23*$B$24,0)</f>
        <v/>
      </c>
      <c r="K52" s="127">
        <f>ROUND($B$4*$B$12*$B$13*$B$18*$B$20*$B$23*$B$25,0)</f>
        <v/>
      </c>
      <c r="L52" s="127">
        <f>ROUND($B$4*$B$12*$B$13*$B$18*$B$21*$B$22*$B$24,0)</f>
        <v/>
      </c>
      <c r="M52" s="127">
        <f>ROUND($B$4*$B$12*$B$13*$B$18*$B$21*$B$22*$B$25,0)</f>
        <v/>
      </c>
      <c r="N52" s="127">
        <f>ROUND($B$4*$B$12*$B$13*$B$18*$B$21*$B$23*$B$24,0)</f>
        <v/>
      </c>
      <c r="O52" s="127">
        <f>ROUND($B$4*$B$12*$B$13*$B$18*$B$21*$B$23*$B$25,0)</f>
        <v/>
      </c>
      <c r="P52" s="127">
        <f>ROUND($B$5*$B$12*$B$13*$B$18*$B$19*$B$22*$B$24,0)</f>
        <v/>
      </c>
      <c r="Q52" s="127">
        <f>ROUND($B$5*$B$12*$B$13*$B$18*$B$19*$B$22*$B$25,0)</f>
        <v/>
      </c>
      <c r="R52" s="127">
        <f>ROUND($B$5*$B$12*$B$13*$B$18*$B$19*$B$23*$B$24,0)</f>
        <v/>
      </c>
      <c r="S52" s="127">
        <f>ROUND($B$5*$B$12*$B$13*$B$18*$B$19*$B$23*$B$25,0)</f>
        <v/>
      </c>
      <c r="T52" s="127">
        <f>ROUND($B$5*$B$12*$B$13*$B$18*$B$20*$B$22*$B$24,0)</f>
        <v/>
      </c>
      <c r="U52" s="127">
        <f>ROUND($B$5*$B$12*$B$13*$B$18*$B$20*$B$22*$B$25,0)</f>
        <v/>
      </c>
      <c r="V52" s="127">
        <f>ROUND($B$5*$B$12*$B$13*$B$18*$B$20*$B$23*$B$24,0)</f>
        <v/>
      </c>
      <c r="W52" s="127">
        <f>ROUND($B$5*$B$12*$B$13*$B$18*$B$20*$B$23*$B$25,0)</f>
        <v/>
      </c>
      <c r="X52" s="127">
        <f>ROUND($B$5*$B$12*$B$13*$B$18*$B$21*$B$22*$B$24,0)</f>
        <v/>
      </c>
      <c r="Y52" s="127">
        <f>ROUND($B$5*$B$12*$B$13*$B$18*$B$21*$B$22*$B$25,0)</f>
        <v/>
      </c>
      <c r="Z52" s="127">
        <f>ROUND($B$5*$B$12*$B$13*$B$18*$B$21*$B$23*$B$24,0)</f>
        <v/>
      </c>
      <c r="AA52" s="127">
        <f>ROUND($B$5*$B$12*$B$13*$B$18*$B$21*$B$23*$B$25,0)</f>
        <v/>
      </c>
      <c r="AB52" s="127">
        <f>ROUND($B$6*$B$12*$B$13*$B$18*$B$19*$B$22*$B$24,0)</f>
        <v/>
      </c>
      <c r="AC52" s="127">
        <f>ROUND($B$6*$B$12*$B$13*$B$18*$B$19*$B$22*$B$25,0)</f>
        <v/>
      </c>
      <c r="AD52" s="127">
        <f>ROUND($B$6*$B$12*$B$13*$B$18*$B$19*$B$23*$B$24,0)</f>
        <v/>
      </c>
      <c r="AE52" s="127">
        <f>ROUND($B$6*$B$12*$B$13*$B$18*$B$19*$B$23*$B$25,0)</f>
        <v/>
      </c>
      <c r="AF52" s="127">
        <f>ROUND($B$6*$B$12*$B$13*$B$18*$B$20*$B$22*$B$24,0)</f>
        <v/>
      </c>
      <c r="AG52" s="127">
        <f>ROUND($B$6*$B$12*$B$13*$B$18*$B$20*$B$22*$B$25,0)</f>
        <v/>
      </c>
      <c r="AH52" s="127">
        <f>ROUND($B$6*$B$12*$B$13*$B$18*$B$20*$B$23*$B$24,0)</f>
        <v/>
      </c>
      <c r="AI52" s="127">
        <f>ROUND($B$6*$B$12*$B$13*$B$18*$B$20*$B$23*$B$25,0)</f>
        <v/>
      </c>
      <c r="AJ52" s="127">
        <f>ROUND($B$6*$B$12*$B$13*$B$18*$B$21*$B$22*$B$24,0)</f>
        <v/>
      </c>
      <c r="AK52" s="127">
        <f>ROUND($B$6*$B$12*$B$13*$B$18*$B$21*$B$22*$B$25,0)</f>
        <v/>
      </c>
      <c r="AL52" s="127">
        <f>ROUND($B$6*$B$12*$B$13*$B$18*$B$21*$B$23*$B$24,0)</f>
        <v/>
      </c>
      <c r="AM52" s="127">
        <f>ROUND($B$6*$B$12*$B$13*$B$18*$B$21*$B$23*$B$25,0)</f>
        <v/>
      </c>
      <c r="AN52" s="127">
        <f>ROUND($B$7*$B$12*$B$13*$B$18*$B$19*$B$22*$B$24,0)</f>
        <v/>
      </c>
      <c r="AO52" s="127">
        <f>ROUND($B$7*$B$12*$B$13*$B$18*$B$19*$B$22*$B$25,0)</f>
        <v/>
      </c>
      <c r="AP52" s="127">
        <f>ROUND($B$7*$B$12*$B$13*$B$18*$B$19*$B$23*$B$24,0)</f>
        <v/>
      </c>
      <c r="AQ52" s="127">
        <f>ROUND($B$7*$B$12*$B$13*$B$18*$B$19*$B$23*$B$25,0)</f>
        <v/>
      </c>
      <c r="AR52" s="127">
        <f>ROUND($B$7*$B$12*$B$13*$B$18*$B$20*$B$22*$B$24,0)</f>
        <v/>
      </c>
      <c r="AS52" s="127">
        <f>ROUND($B$7*$B$12*$B$13*$B$18*$B$20*$B$22*$B$25,0)</f>
        <v/>
      </c>
      <c r="AT52" s="127">
        <f>ROUND($B$7*$B$12*$B$13*$B$18*$B$20*$B$23*$B$24,0)</f>
        <v/>
      </c>
      <c r="AU52" s="127">
        <f>ROUND($B$7*$B$12*$B$13*$B$18*$B$20*$B$23*$B$25,0)</f>
        <v/>
      </c>
      <c r="AV52" s="127">
        <f>ROUND($B$7*$B$12*$B$13*$B$18*$B$21*$B$22*$B$24,0)</f>
        <v/>
      </c>
      <c r="AW52" s="127">
        <f>ROUND($B$7*$B$12*$B$13*$B$18*$B$21*$B$22*$B$25,0)</f>
        <v/>
      </c>
      <c r="AX52" s="127">
        <f>ROUND($B$7*$B$12*$B$13*$B$18*$B$21*$B$23*$B$24,0)</f>
        <v/>
      </c>
      <c r="AY52" s="127">
        <f>ROUND($B$7*$B$12*$B$13*$B$18*$B$21*$B$23*$B$25,0)</f>
        <v/>
      </c>
      <c r="AZ52" s="128">
        <f>ROUND($B$8*$B$12*$B$13*$B$18*$B$19*$B$22*$B$24,0)</f>
        <v/>
      </c>
      <c r="BA52" s="128">
        <f>ROUND($B$8*$B$12*$B$13*$B$18*$B$19*$B$22*$B$25,0)</f>
        <v/>
      </c>
      <c r="BB52" s="128">
        <f>ROUND($B$8*$B$12*$B$13*$B$18*$B$19*$B$23*$B$24,0)</f>
        <v/>
      </c>
      <c r="BC52" s="128">
        <f>ROUND($B$8*$B$12*$B$13*$B$18*$B$19*$B$23*$B$25,0)</f>
        <v/>
      </c>
      <c r="BD52" s="128">
        <f>ROUND($B$8*$B$12*$B$13*$B$18*$B$20*$B$22*$B$24,0)</f>
        <v/>
      </c>
      <c r="BE52" s="128">
        <f>ROUND($B$8*$B$12*$B$13*$B$18*$B$20*$B$22*$B$25,0)</f>
        <v/>
      </c>
      <c r="BF52" s="128">
        <f>ROUND($B$8*$B$12*$B$13*$B$18*$B$20*$B$23*$B$24,0)</f>
        <v/>
      </c>
      <c r="BG52" s="128">
        <f>ROUND($B$8*$B$12*$B$13*$B$18*$B$20*$B$23*$B$25,0)</f>
        <v/>
      </c>
      <c r="BH52" s="128">
        <f>ROUND($B$8*$B$12*$B$13*$B$18*$B$21*$B$22*$B$24,0)</f>
        <v/>
      </c>
      <c r="BI52" s="128">
        <f>ROUND($B$8*$B$12*$B$13*$B$18*$B$21*$B$22*$B$25,0)</f>
        <v/>
      </c>
      <c r="BJ52" s="128">
        <f>ROUND($B$8*$B$12*$B$13*$B$18*$B$21*$B$23*$B$24,0)</f>
        <v/>
      </c>
      <c r="BK52" s="128">
        <f>ROUND($B$8*$B$12*$B$13*$B$18*$B$21*$B$23*$B$25,0)</f>
        <v/>
      </c>
    </row>
    <row r="53" ht="20" customHeight="1" s="62">
      <c r="B53" s="125" t="inlineStr">
        <is>
          <t>1-2 outils intégrés</t>
        </is>
      </c>
      <c r="C53" s="126" t="inlineStr">
        <is>
          <t>Trafic faible (&lt; 1k/mois)</t>
        </is>
      </c>
      <c r="D53" s="127">
        <f>ROUND($B$4*$B$12*$B$14*$B$16*$B$19*$B$22*$B$24,0)</f>
        <v/>
      </c>
      <c r="E53" s="127">
        <f>ROUND($B$4*$B$12*$B$14*$B$16*$B$19*$B$22*$B$25,0)</f>
        <v/>
      </c>
      <c r="F53" s="127">
        <f>ROUND($B$4*$B$12*$B$14*$B$16*$B$19*$B$23*$B$24,0)</f>
        <v/>
      </c>
      <c r="G53" s="127">
        <f>ROUND($B$4*$B$12*$B$14*$B$16*$B$19*$B$23*$B$25,0)</f>
        <v/>
      </c>
      <c r="H53" s="127">
        <f>ROUND($B$4*$B$12*$B$14*$B$16*$B$20*$B$22*$B$24,0)</f>
        <v/>
      </c>
      <c r="I53" s="127">
        <f>ROUND($B$4*$B$12*$B$14*$B$16*$B$20*$B$22*$B$25,0)</f>
        <v/>
      </c>
      <c r="J53" s="127">
        <f>ROUND($B$4*$B$12*$B$14*$B$16*$B$20*$B$23*$B$24,0)</f>
        <v/>
      </c>
      <c r="K53" s="127">
        <f>ROUND($B$4*$B$12*$B$14*$B$16*$B$20*$B$23*$B$25,0)</f>
        <v/>
      </c>
      <c r="L53" s="127">
        <f>ROUND($B$4*$B$12*$B$14*$B$16*$B$21*$B$22*$B$24,0)</f>
        <v/>
      </c>
      <c r="M53" s="127">
        <f>ROUND($B$4*$B$12*$B$14*$B$16*$B$21*$B$22*$B$25,0)</f>
        <v/>
      </c>
      <c r="N53" s="127">
        <f>ROUND($B$4*$B$12*$B$14*$B$16*$B$21*$B$23*$B$24,0)</f>
        <v/>
      </c>
      <c r="O53" s="127">
        <f>ROUND($B$4*$B$12*$B$14*$B$16*$B$21*$B$23*$B$25,0)</f>
        <v/>
      </c>
      <c r="P53" s="127">
        <f>ROUND($B$5*$B$12*$B$14*$B$16*$B$19*$B$22*$B$24,0)</f>
        <v/>
      </c>
      <c r="Q53" s="127">
        <f>ROUND($B$5*$B$12*$B$14*$B$16*$B$19*$B$22*$B$25,0)</f>
        <v/>
      </c>
      <c r="R53" s="127">
        <f>ROUND($B$5*$B$12*$B$14*$B$16*$B$19*$B$23*$B$24,0)</f>
        <v/>
      </c>
      <c r="S53" s="127">
        <f>ROUND($B$5*$B$12*$B$14*$B$16*$B$19*$B$23*$B$25,0)</f>
        <v/>
      </c>
      <c r="T53" s="127">
        <f>ROUND($B$5*$B$12*$B$14*$B$16*$B$20*$B$22*$B$24,0)</f>
        <v/>
      </c>
      <c r="U53" s="127">
        <f>ROUND($B$5*$B$12*$B$14*$B$16*$B$20*$B$22*$B$25,0)</f>
        <v/>
      </c>
      <c r="V53" s="127">
        <f>ROUND($B$5*$B$12*$B$14*$B$16*$B$20*$B$23*$B$24,0)</f>
        <v/>
      </c>
      <c r="W53" s="127">
        <f>ROUND($B$5*$B$12*$B$14*$B$16*$B$20*$B$23*$B$25,0)</f>
        <v/>
      </c>
      <c r="X53" s="127">
        <f>ROUND($B$5*$B$12*$B$14*$B$16*$B$21*$B$22*$B$24,0)</f>
        <v/>
      </c>
      <c r="Y53" s="127">
        <f>ROUND($B$5*$B$12*$B$14*$B$16*$B$21*$B$22*$B$25,0)</f>
        <v/>
      </c>
      <c r="Z53" s="127">
        <f>ROUND($B$5*$B$12*$B$14*$B$16*$B$21*$B$23*$B$24,0)</f>
        <v/>
      </c>
      <c r="AA53" s="127">
        <f>ROUND($B$5*$B$12*$B$14*$B$16*$B$21*$B$23*$B$25,0)</f>
        <v/>
      </c>
      <c r="AB53" s="127">
        <f>ROUND($B$6*$B$12*$B$14*$B$16*$B$19*$B$22*$B$24,0)</f>
        <v/>
      </c>
      <c r="AC53" s="127">
        <f>ROUND($B$6*$B$12*$B$14*$B$16*$B$19*$B$22*$B$25,0)</f>
        <v/>
      </c>
      <c r="AD53" s="127">
        <f>ROUND($B$6*$B$12*$B$14*$B$16*$B$19*$B$23*$B$24,0)</f>
        <v/>
      </c>
      <c r="AE53" s="127">
        <f>ROUND($B$6*$B$12*$B$14*$B$16*$B$19*$B$23*$B$25,0)</f>
        <v/>
      </c>
      <c r="AF53" s="127">
        <f>ROUND($B$6*$B$12*$B$14*$B$16*$B$20*$B$22*$B$24,0)</f>
        <v/>
      </c>
      <c r="AG53" s="127">
        <f>ROUND($B$6*$B$12*$B$14*$B$16*$B$20*$B$22*$B$25,0)</f>
        <v/>
      </c>
      <c r="AH53" s="127">
        <f>ROUND($B$6*$B$12*$B$14*$B$16*$B$20*$B$23*$B$24,0)</f>
        <v/>
      </c>
      <c r="AI53" s="127">
        <f>ROUND($B$6*$B$12*$B$14*$B$16*$B$20*$B$23*$B$25,0)</f>
        <v/>
      </c>
      <c r="AJ53" s="127">
        <f>ROUND($B$6*$B$12*$B$14*$B$16*$B$21*$B$22*$B$24,0)</f>
        <v/>
      </c>
      <c r="AK53" s="127">
        <f>ROUND($B$6*$B$12*$B$14*$B$16*$B$21*$B$22*$B$25,0)</f>
        <v/>
      </c>
      <c r="AL53" s="127">
        <f>ROUND($B$6*$B$12*$B$14*$B$16*$B$21*$B$23*$B$24,0)</f>
        <v/>
      </c>
      <c r="AM53" s="127">
        <f>ROUND($B$6*$B$12*$B$14*$B$16*$B$21*$B$23*$B$25,0)</f>
        <v/>
      </c>
      <c r="AN53" s="127">
        <f>ROUND($B$7*$B$12*$B$14*$B$16*$B$19*$B$22*$B$24,0)</f>
        <v/>
      </c>
      <c r="AO53" s="127">
        <f>ROUND($B$7*$B$12*$B$14*$B$16*$B$19*$B$22*$B$25,0)</f>
        <v/>
      </c>
      <c r="AP53" s="127">
        <f>ROUND($B$7*$B$12*$B$14*$B$16*$B$19*$B$23*$B$24,0)</f>
        <v/>
      </c>
      <c r="AQ53" s="127">
        <f>ROUND($B$7*$B$12*$B$14*$B$16*$B$19*$B$23*$B$25,0)</f>
        <v/>
      </c>
      <c r="AR53" s="127">
        <f>ROUND($B$7*$B$12*$B$14*$B$16*$B$20*$B$22*$B$24,0)</f>
        <v/>
      </c>
      <c r="AS53" s="127">
        <f>ROUND($B$7*$B$12*$B$14*$B$16*$B$20*$B$22*$B$25,0)</f>
        <v/>
      </c>
      <c r="AT53" s="127">
        <f>ROUND($B$7*$B$12*$B$14*$B$16*$B$20*$B$23*$B$24,0)</f>
        <v/>
      </c>
      <c r="AU53" s="127">
        <f>ROUND($B$7*$B$12*$B$14*$B$16*$B$20*$B$23*$B$25,0)</f>
        <v/>
      </c>
      <c r="AV53" s="127">
        <f>ROUND($B$7*$B$12*$B$14*$B$16*$B$21*$B$22*$B$24,0)</f>
        <v/>
      </c>
      <c r="AW53" s="127">
        <f>ROUND($B$7*$B$12*$B$14*$B$16*$B$21*$B$22*$B$25,0)</f>
        <v/>
      </c>
      <c r="AX53" s="127">
        <f>ROUND($B$7*$B$12*$B$14*$B$16*$B$21*$B$23*$B$24,0)</f>
        <v/>
      </c>
      <c r="AY53" s="127">
        <f>ROUND($B$7*$B$12*$B$14*$B$16*$B$21*$B$23*$B$25,0)</f>
        <v/>
      </c>
      <c r="AZ53" s="128">
        <f>ROUND($B$8*$B$12*$B$14*$B$16*$B$19*$B$22*$B$24,0)</f>
        <v/>
      </c>
      <c r="BA53" s="128">
        <f>ROUND($B$8*$B$12*$B$14*$B$16*$B$19*$B$22*$B$25,0)</f>
        <v/>
      </c>
      <c r="BB53" s="128">
        <f>ROUND($B$8*$B$12*$B$14*$B$16*$B$19*$B$23*$B$24,0)</f>
        <v/>
      </c>
      <c r="BC53" s="128">
        <f>ROUND($B$8*$B$12*$B$14*$B$16*$B$19*$B$23*$B$25,0)</f>
        <v/>
      </c>
      <c r="BD53" s="128">
        <f>ROUND($B$8*$B$12*$B$14*$B$16*$B$20*$B$22*$B$24,0)</f>
        <v/>
      </c>
      <c r="BE53" s="128">
        <f>ROUND($B$8*$B$12*$B$14*$B$16*$B$20*$B$22*$B$25,0)</f>
        <v/>
      </c>
      <c r="BF53" s="128">
        <f>ROUND($B$8*$B$12*$B$14*$B$16*$B$20*$B$23*$B$24,0)</f>
        <v/>
      </c>
      <c r="BG53" s="128">
        <f>ROUND($B$8*$B$12*$B$14*$B$16*$B$20*$B$23*$B$25,0)</f>
        <v/>
      </c>
      <c r="BH53" s="128">
        <f>ROUND($B$8*$B$12*$B$14*$B$16*$B$21*$B$22*$B$24,0)</f>
        <v/>
      </c>
      <c r="BI53" s="128">
        <f>ROUND($B$8*$B$12*$B$14*$B$16*$B$21*$B$22*$B$25,0)</f>
        <v/>
      </c>
      <c r="BJ53" s="128">
        <f>ROUND($B$8*$B$12*$B$14*$B$16*$B$21*$B$23*$B$24,0)</f>
        <v/>
      </c>
      <c r="BK53" s="128">
        <f>ROUND($B$8*$B$12*$B$14*$B$16*$B$21*$B$23*$B$25,0)</f>
        <v/>
      </c>
    </row>
    <row r="54" ht="20" customHeight="1" s="62">
      <c r="C54" s="125" t="inlineStr">
        <is>
          <t>Trafic moyen (1k-10k/mois)</t>
        </is>
      </c>
      <c r="D54" s="127">
        <f>ROUND($B$4*$B$12*$B$14*$B$17*$B$19*$B$22*$B$24,0)</f>
        <v/>
      </c>
      <c r="E54" s="127">
        <f>ROUND($B$4*$B$12*$B$14*$B$17*$B$19*$B$22*$B$25,0)</f>
        <v/>
      </c>
      <c r="F54" s="127">
        <f>ROUND($B$4*$B$12*$B$14*$B$17*$B$19*$B$23*$B$24,0)</f>
        <v/>
      </c>
      <c r="G54" s="127">
        <f>ROUND($B$4*$B$12*$B$14*$B$17*$B$19*$B$23*$B$25,0)</f>
        <v/>
      </c>
      <c r="H54" s="127">
        <f>ROUND($B$4*$B$12*$B$14*$B$17*$B$20*$B$22*$B$24,0)</f>
        <v/>
      </c>
      <c r="I54" s="127">
        <f>ROUND($B$4*$B$12*$B$14*$B$17*$B$20*$B$22*$B$25,0)</f>
        <v/>
      </c>
      <c r="J54" s="127">
        <f>ROUND($B$4*$B$12*$B$14*$B$17*$B$20*$B$23*$B$24,0)</f>
        <v/>
      </c>
      <c r="K54" s="127">
        <f>ROUND($B$4*$B$12*$B$14*$B$17*$B$20*$B$23*$B$25,0)</f>
        <v/>
      </c>
      <c r="L54" s="127">
        <f>ROUND($B$4*$B$12*$B$14*$B$17*$B$21*$B$22*$B$24,0)</f>
        <v/>
      </c>
      <c r="M54" s="127">
        <f>ROUND($B$4*$B$12*$B$14*$B$17*$B$21*$B$22*$B$25,0)</f>
        <v/>
      </c>
      <c r="N54" s="127">
        <f>ROUND($B$4*$B$12*$B$14*$B$17*$B$21*$B$23*$B$24,0)</f>
        <v/>
      </c>
      <c r="O54" s="127">
        <f>ROUND($B$4*$B$12*$B$14*$B$17*$B$21*$B$23*$B$25,0)</f>
        <v/>
      </c>
      <c r="P54" s="127">
        <f>ROUND($B$5*$B$12*$B$14*$B$17*$B$19*$B$22*$B$24,0)</f>
        <v/>
      </c>
      <c r="Q54" s="127">
        <f>ROUND($B$5*$B$12*$B$14*$B$17*$B$19*$B$22*$B$25,0)</f>
        <v/>
      </c>
      <c r="R54" s="127">
        <f>ROUND($B$5*$B$12*$B$14*$B$17*$B$19*$B$23*$B$24,0)</f>
        <v/>
      </c>
      <c r="S54" s="127">
        <f>ROUND($B$5*$B$12*$B$14*$B$17*$B$19*$B$23*$B$25,0)</f>
        <v/>
      </c>
      <c r="T54" s="127">
        <f>ROUND($B$5*$B$12*$B$14*$B$17*$B$20*$B$22*$B$24,0)</f>
        <v/>
      </c>
      <c r="U54" s="127">
        <f>ROUND($B$5*$B$12*$B$14*$B$17*$B$20*$B$22*$B$25,0)</f>
        <v/>
      </c>
      <c r="V54" s="127">
        <f>ROUND($B$5*$B$12*$B$14*$B$17*$B$20*$B$23*$B$24,0)</f>
        <v/>
      </c>
      <c r="W54" s="127">
        <f>ROUND($B$5*$B$12*$B$14*$B$17*$B$20*$B$23*$B$25,0)</f>
        <v/>
      </c>
      <c r="X54" s="127">
        <f>ROUND($B$5*$B$12*$B$14*$B$17*$B$21*$B$22*$B$24,0)</f>
        <v/>
      </c>
      <c r="Y54" s="127">
        <f>ROUND($B$5*$B$12*$B$14*$B$17*$B$21*$B$22*$B$25,0)</f>
        <v/>
      </c>
      <c r="Z54" s="127">
        <f>ROUND($B$5*$B$12*$B$14*$B$17*$B$21*$B$23*$B$24,0)</f>
        <v/>
      </c>
      <c r="AA54" s="127">
        <f>ROUND($B$5*$B$12*$B$14*$B$17*$B$21*$B$23*$B$25,0)</f>
        <v/>
      </c>
      <c r="AB54" s="127">
        <f>ROUND($B$6*$B$12*$B$14*$B$17*$B$19*$B$22*$B$24,0)</f>
        <v/>
      </c>
      <c r="AC54" s="127">
        <f>ROUND($B$6*$B$12*$B$14*$B$17*$B$19*$B$22*$B$25,0)</f>
        <v/>
      </c>
      <c r="AD54" s="127">
        <f>ROUND($B$6*$B$12*$B$14*$B$17*$B$19*$B$23*$B$24,0)</f>
        <v/>
      </c>
      <c r="AE54" s="127">
        <f>ROUND($B$6*$B$12*$B$14*$B$17*$B$19*$B$23*$B$25,0)</f>
        <v/>
      </c>
      <c r="AF54" s="127">
        <f>ROUND($B$6*$B$12*$B$14*$B$17*$B$20*$B$22*$B$24,0)</f>
        <v/>
      </c>
      <c r="AG54" s="127">
        <f>ROUND($B$6*$B$12*$B$14*$B$17*$B$20*$B$22*$B$25,0)</f>
        <v/>
      </c>
      <c r="AH54" s="127">
        <f>ROUND($B$6*$B$12*$B$14*$B$17*$B$20*$B$23*$B$24,0)</f>
        <v/>
      </c>
      <c r="AI54" s="127">
        <f>ROUND($B$6*$B$12*$B$14*$B$17*$B$20*$B$23*$B$25,0)</f>
        <v/>
      </c>
      <c r="AJ54" s="127">
        <f>ROUND($B$6*$B$12*$B$14*$B$17*$B$21*$B$22*$B$24,0)</f>
        <v/>
      </c>
      <c r="AK54" s="127">
        <f>ROUND($B$6*$B$12*$B$14*$B$17*$B$21*$B$22*$B$25,0)</f>
        <v/>
      </c>
      <c r="AL54" s="127">
        <f>ROUND($B$6*$B$12*$B$14*$B$17*$B$21*$B$23*$B$24,0)</f>
        <v/>
      </c>
      <c r="AM54" s="127">
        <f>ROUND($B$6*$B$12*$B$14*$B$17*$B$21*$B$23*$B$25,0)</f>
        <v/>
      </c>
      <c r="AN54" s="127">
        <f>ROUND($B$7*$B$12*$B$14*$B$17*$B$19*$B$22*$B$24,0)</f>
        <v/>
      </c>
      <c r="AO54" s="127">
        <f>ROUND($B$7*$B$12*$B$14*$B$17*$B$19*$B$22*$B$25,0)</f>
        <v/>
      </c>
      <c r="AP54" s="127">
        <f>ROUND($B$7*$B$12*$B$14*$B$17*$B$19*$B$23*$B$24,0)</f>
        <v/>
      </c>
      <c r="AQ54" s="127">
        <f>ROUND($B$7*$B$12*$B$14*$B$17*$B$19*$B$23*$B$25,0)</f>
        <v/>
      </c>
      <c r="AR54" s="127">
        <f>ROUND($B$7*$B$12*$B$14*$B$17*$B$20*$B$22*$B$24,0)</f>
        <v/>
      </c>
      <c r="AS54" s="127">
        <f>ROUND($B$7*$B$12*$B$14*$B$17*$B$20*$B$22*$B$25,0)</f>
        <v/>
      </c>
      <c r="AT54" s="127">
        <f>ROUND($B$7*$B$12*$B$14*$B$17*$B$20*$B$23*$B$24,0)</f>
        <v/>
      </c>
      <c r="AU54" s="127">
        <f>ROUND($B$7*$B$12*$B$14*$B$17*$B$20*$B$23*$B$25,0)</f>
        <v/>
      </c>
      <c r="AV54" s="127">
        <f>ROUND($B$7*$B$12*$B$14*$B$17*$B$21*$B$22*$B$24,0)</f>
        <v/>
      </c>
      <c r="AW54" s="127">
        <f>ROUND($B$7*$B$12*$B$14*$B$17*$B$21*$B$22*$B$25,0)</f>
        <v/>
      </c>
      <c r="AX54" s="127">
        <f>ROUND($B$7*$B$12*$B$14*$B$17*$B$21*$B$23*$B$24,0)</f>
        <v/>
      </c>
      <c r="AY54" s="127">
        <f>ROUND($B$7*$B$12*$B$14*$B$17*$B$21*$B$23*$B$25,0)</f>
        <v/>
      </c>
      <c r="AZ54" s="128">
        <f>ROUND($B$8*$B$12*$B$14*$B$17*$B$19*$B$22*$B$24,0)</f>
        <v/>
      </c>
      <c r="BA54" s="128">
        <f>ROUND($B$8*$B$12*$B$14*$B$17*$B$19*$B$22*$B$25,0)</f>
        <v/>
      </c>
      <c r="BB54" s="128">
        <f>ROUND($B$8*$B$12*$B$14*$B$17*$B$19*$B$23*$B$24,0)</f>
        <v/>
      </c>
      <c r="BC54" s="128">
        <f>ROUND($B$8*$B$12*$B$14*$B$17*$B$19*$B$23*$B$25,0)</f>
        <v/>
      </c>
      <c r="BD54" s="128">
        <f>ROUND($B$8*$B$12*$B$14*$B$17*$B$20*$B$22*$B$24,0)</f>
        <v/>
      </c>
      <c r="BE54" s="128">
        <f>ROUND($B$8*$B$12*$B$14*$B$17*$B$20*$B$22*$B$25,0)</f>
        <v/>
      </c>
      <c r="BF54" s="128">
        <f>ROUND($B$8*$B$12*$B$14*$B$17*$B$20*$B$23*$B$24,0)</f>
        <v/>
      </c>
      <c r="BG54" s="128">
        <f>ROUND($B$8*$B$12*$B$14*$B$17*$B$20*$B$23*$B$25,0)</f>
        <v/>
      </c>
      <c r="BH54" s="128">
        <f>ROUND($B$8*$B$12*$B$14*$B$17*$B$21*$B$22*$B$24,0)</f>
        <v/>
      </c>
      <c r="BI54" s="128">
        <f>ROUND($B$8*$B$12*$B$14*$B$17*$B$21*$B$22*$B$25,0)</f>
        <v/>
      </c>
      <c r="BJ54" s="128">
        <f>ROUND($B$8*$B$12*$B$14*$B$17*$B$21*$B$23*$B$24,0)</f>
        <v/>
      </c>
      <c r="BK54" s="128">
        <f>ROUND($B$8*$B$12*$B$14*$B$17*$B$21*$B$23*$B$25,0)</f>
        <v/>
      </c>
    </row>
    <row r="55" ht="20" customHeight="1" s="62">
      <c r="C55" s="129" t="inlineStr">
        <is>
          <t>Trafic élevé (10k+/mois)</t>
        </is>
      </c>
      <c r="D55" s="127">
        <f>ROUND($B$4*$B$12*$B$14*$B$18*$B$19*$B$22*$B$24,0)</f>
        <v/>
      </c>
      <c r="E55" s="127">
        <f>ROUND($B$4*$B$12*$B$14*$B$18*$B$19*$B$22*$B$25,0)</f>
        <v/>
      </c>
      <c r="F55" s="127">
        <f>ROUND($B$4*$B$12*$B$14*$B$18*$B$19*$B$23*$B$24,0)</f>
        <v/>
      </c>
      <c r="G55" s="127">
        <f>ROUND($B$4*$B$12*$B$14*$B$18*$B$19*$B$23*$B$25,0)</f>
        <v/>
      </c>
      <c r="H55" s="127">
        <f>ROUND($B$4*$B$12*$B$14*$B$18*$B$20*$B$22*$B$24,0)</f>
        <v/>
      </c>
      <c r="I55" s="127">
        <f>ROUND($B$4*$B$12*$B$14*$B$18*$B$20*$B$22*$B$25,0)</f>
        <v/>
      </c>
      <c r="J55" s="127">
        <f>ROUND($B$4*$B$12*$B$14*$B$18*$B$20*$B$23*$B$24,0)</f>
        <v/>
      </c>
      <c r="K55" s="127">
        <f>ROUND($B$4*$B$12*$B$14*$B$18*$B$20*$B$23*$B$25,0)</f>
        <v/>
      </c>
      <c r="L55" s="127">
        <f>ROUND($B$4*$B$12*$B$14*$B$18*$B$21*$B$22*$B$24,0)</f>
        <v/>
      </c>
      <c r="M55" s="127">
        <f>ROUND($B$4*$B$12*$B$14*$B$18*$B$21*$B$22*$B$25,0)</f>
        <v/>
      </c>
      <c r="N55" s="127">
        <f>ROUND($B$4*$B$12*$B$14*$B$18*$B$21*$B$23*$B$24,0)</f>
        <v/>
      </c>
      <c r="O55" s="127">
        <f>ROUND($B$4*$B$12*$B$14*$B$18*$B$21*$B$23*$B$25,0)</f>
        <v/>
      </c>
      <c r="P55" s="127">
        <f>ROUND($B$5*$B$12*$B$14*$B$18*$B$19*$B$22*$B$24,0)</f>
        <v/>
      </c>
      <c r="Q55" s="127">
        <f>ROUND($B$5*$B$12*$B$14*$B$18*$B$19*$B$22*$B$25,0)</f>
        <v/>
      </c>
      <c r="R55" s="127">
        <f>ROUND($B$5*$B$12*$B$14*$B$18*$B$19*$B$23*$B$24,0)</f>
        <v/>
      </c>
      <c r="S55" s="127">
        <f>ROUND($B$5*$B$12*$B$14*$B$18*$B$19*$B$23*$B$25,0)</f>
        <v/>
      </c>
      <c r="T55" s="127">
        <f>ROUND($B$5*$B$12*$B$14*$B$18*$B$20*$B$22*$B$24,0)</f>
        <v/>
      </c>
      <c r="U55" s="127">
        <f>ROUND($B$5*$B$12*$B$14*$B$18*$B$20*$B$22*$B$25,0)</f>
        <v/>
      </c>
      <c r="V55" s="127">
        <f>ROUND($B$5*$B$12*$B$14*$B$18*$B$20*$B$23*$B$24,0)</f>
        <v/>
      </c>
      <c r="W55" s="127">
        <f>ROUND($B$5*$B$12*$B$14*$B$18*$B$20*$B$23*$B$25,0)</f>
        <v/>
      </c>
      <c r="X55" s="127">
        <f>ROUND($B$5*$B$12*$B$14*$B$18*$B$21*$B$22*$B$24,0)</f>
        <v/>
      </c>
      <c r="Y55" s="127">
        <f>ROUND($B$5*$B$12*$B$14*$B$18*$B$21*$B$22*$B$25,0)</f>
        <v/>
      </c>
      <c r="Z55" s="127">
        <f>ROUND($B$5*$B$12*$B$14*$B$18*$B$21*$B$23*$B$24,0)</f>
        <v/>
      </c>
      <c r="AA55" s="127">
        <f>ROUND($B$5*$B$12*$B$14*$B$18*$B$21*$B$23*$B$25,0)</f>
        <v/>
      </c>
      <c r="AB55" s="127">
        <f>ROUND($B$6*$B$12*$B$14*$B$18*$B$19*$B$22*$B$24,0)</f>
        <v/>
      </c>
      <c r="AC55" s="127">
        <f>ROUND($B$6*$B$12*$B$14*$B$18*$B$19*$B$22*$B$25,0)</f>
        <v/>
      </c>
      <c r="AD55" s="127">
        <f>ROUND($B$6*$B$12*$B$14*$B$18*$B$19*$B$23*$B$24,0)</f>
        <v/>
      </c>
      <c r="AE55" s="127">
        <f>ROUND($B$6*$B$12*$B$14*$B$18*$B$19*$B$23*$B$25,0)</f>
        <v/>
      </c>
      <c r="AF55" s="127">
        <f>ROUND($B$6*$B$12*$B$14*$B$18*$B$20*$B$22*$B$24,0)</f>
        <v/>
      </c>
      <c r="AG55" s="127">
        <f>ROUND($B$6*$B$12*$B$14*$B$18*$B$20*$B$22*$B$25,0)</f>
        <v/>
      </c>
      <c r="AH55" s="127">
        <f>ROUND($B$6*$B$12*$B$14*$B$18*$B$20*$B$23*$B$24,0)</f>
        <v/>
      </c>
      <c r="AI55" s="127">
        <f>ROUND($B$6*$B$12*$B$14*$B$18*$B$20*$B$23*$B$25,0)</f>
        <v/>
      </c>
      <c r="AJ55" s="127">
        <f>ROUND($B$6*$B$12*$B$14*$B$18*$B$21*$B$22*$B$24,0)</f>
        <v/>
      </c>
      <c r="AK55" s="127">
        <f>ROUND($B$6*$B$12*$B$14*$B$18*$B$21*$B$22*$B$25,0)</f>
        <v/>
      </c>
      <c r="AL55" s="127">
        <f>ROUND($B$6*$B$12*$B$14*$B$18*$B$21*$B$23*$B$24,0)</f>
        <v/>
      </c>
      <c r="AM55" s="127">
        <f>ROUND($B$6*$B$12*$B$14*$B$18*$B$21*$B$23*$B$25,0)</f>
        <v/>
      </c>
      <c r="AN55" s="127">
        <f>ROUND($B$7*$B$12*$B$14*$B$18*$B$19*$B$22*$B$24,0)</f>
        <v/>
      </c>
      <c r="AO55" s="127">
        <f>ROUND($B$7*$B$12*$B$14*$B$18*$B$19*$B$22*$B$25,0)</f>
        <v/>
      </c>
      <c r="AP55" s="127">
        <f>ROUND($B$7*$B$12*$B$14*$B$18*$B$19*$B$23*$B$24,0)</f>
        <v/>
      </c>
      <c r="AQ55" s="127">
        <f>ROUND($B$7*$B$12*$B$14*$B$18*$B$19*$B$23*$B$25,0)</f>
        <v/>
      </c>
      <c r="AR55" s="127">
        <f>ROUND($B$7*$B$12*$B$14*$B$18*$B$20*$B$22*$B$24,0)</f>
        <v/>
      </c>
      <c r="AS55" s="127">
        <f>ROUND($B$7*$B$12*$B$14*$B$18*$B$20*$B$22*$B$25,0)</f>
        <v/>
      </c>
      <c r="AT55" s="127">
        <f>ROUND($B$7*$B$12*$B$14*$B$18*$B$20*$B$23*$B$24,0)</f>
        <v/>
      </c>
      <c r="AU55" s="127">
        <f>ROUND($B$7*$B$12*$B$14*$B$18*$B$20*$B$23*$B$25,0)</f>
        <v/>
      </c>
      <c r="AV55" s="127">
        <f>ROUND($B$7*$B$12*$B$14*$B$18*$B$21*$B$22*$B$24,0)</f>
        <v/>
      </c>
      <c r="AW55" s="127">
        <f>ROUND($B$7*$B$12*$B$14*$B$18*$B$21*$B$22*$B$25,0)</f>
        <v/>
      </c>
      <c r="AX55" s="127">
        <f>ROUND($B$7*$B$12*$B$14*$B$18*$B$21*$B$23*$B$24,0)</f>
        <v/>
      </c>
      <c r="AY55" s="127">
        <f>ROUND($B$7*$B$12*$B$14*$B$18*$B$21*$B$23*$B$25,0)</f>
        <v/>
      </c>
      <c r="AZ55" s="128">
        <f>ROUND($B$8*$B$12*$B$14*$B$18*$B$19*$B$22*$B$24,0)</f>
        <v/>
      </c>
      <c r="BA55" s="128">
        <f>ROUND($B$8*$B$12*$B$14*$B$18*$B$19*$B$22*$B$25,0)</f>
        <v/>
      </c>
      <c r="BB55" s="128">
        <f>ROUND($B$8*$B$12*$B$14*$B$18*$B$19*$B$23*$B$24,0)</f>
        <v/>
      </c>
      <c r="BC55" s="128">
        <f>ROUND($B$8*$B$12*$B$14*$B$18*$B$19*$B$23*$B$25,0)</f>
        <v/>
      </c>
      <c r="BD55" s="128">
        <f>ROUND($B$8*$B$12*$B$14*$B$18*$B$20*$B$22*$B$24,0)</f>
        <v/>
      </c>
      <c r="BE55" s="128">
        <f>ROUND($B$8*$B$12*$B$14*$B$18*$B$20*$B$22*$B$25,0)</f>
        <v/>
      </c>
      <c r="BF55" s="128">
        <f>ROUND($B$8*$B$12*$B$14*$B$18*$B$20*$B$23*$B$24,0)</f>
        <v/>
      </c>
      <c r="BG55" s="128">
        <f>ROUND($B$8*$B$12*$B$14*$B$18*$B$20*$B$23*$B$25,0)</f>
        <v/>
      </c>
      <c r="BH55" s="128">
        <f>ROUND($B$8*$B$12*$B$14*$B$18*$B$21*$B$22*$B$24,0)</f>
        <v/>
      </c>
      <c r="BI55" s="128">
        <f>ROUND($B$8*$B$12*$B$14*$B$18*$B$21*$B$22*$B$25,0)</f>
        <v/>
      </c>
      <c r="BJ55" s="128">
        <f>ROUND($B$8*$B$12*$B$14*$B$18*$B$21*$B$23*$B$24,0)</f>
        <v/>
      </c>
      <c r="BK55" s="128">
        <f>ROUND($B$8*$B$12*$B$14*$B$18*$B$21*$B$23*$B$25,0)</f>
        <v/>
      </c>
    </row>
    <row r="56" ht="20" customHeight="1" s="62">
      <c r="B56" s="125" t="inlineStr">
        <is>
          <t>3+ outils intégrés</t>
        </is>
      </c>
      <c r="C56" s="126" t="inlineStr">
        <is>
          <t>Trafic faible (&lt; 1k/mois)</t>
        </is>
      </c>
      <c r="D56" s="127">
        <f>ROUND($B$4*$B$12*$B$15*$B$16*$B$19*$B$22*$B$24,0)</f>
        <v/>
      </c>
      <c r="E56" s="127">
        <f>ROUND($B$4*$B$12*$B$15*$B$16*$B$19*$B$22*$B$25,0)</f>
        <v/>
      </c>
      <c r="F56" s="127">
        <f>ROUND($B$4*$B$12*$B$15*$B$16*$B$19*$B$23*$B$24,0)</f>
        <v/>
      </c>
      <c r="G56" s="127">
        <f>ROUND($B$4*$B$12*$B$15*$B$16*$B$19*$B$23*$B$25,0)</f>
        <v/>
      </c>
      <c r="H56" s="127">
        <f>ROUND($B$4*$B$12*$B$15*$B$16*$B$20*$B$22*$B$24,0)</f>
        <v/>
      </c>
      <c r="I56" s="127">
        <f>ROUND($B$4*$B$12*$B$15*$B$16*$B$20*$B$22*$B$25,0)</f>
        <v/>
      </c>
      <c r="J56" s="127">
        <f>ROUND($B$4*$B$12*$B$15*$B$16*$B$20*$B$23*$B$24,0)</f>
        <v/>
      </c>
      <c r="K56" s="127">
        <f>ROUND($B$4*$B$12*$B$15*$B$16*$B$20*$B$23*$B$25,0)</f>
        <v/>
      </c>
      <c r="L56" s="127">
        <f>ROUND($B$4*$B$12*$B$15*$B$16*$B$21*$B$22*$B$24,0)</f>
        <v/>
      </c>
      <c r="M56" s="127">
        <f>ROUND($B$4*$B$12*$B$15*$B$16*$B$21*$B$22*$B$25,0)</f>
        <v/>
      </c>
      <c r="N56" s="127">
        <f>ROUND($B$4*$B$12*$B$15*$B$16*$B$21*$B$23*$B$24,0)</f>
        <v/>
      </c>
      <c r="O56" s="127">
        <f>ROUND($B$4*$B$12*$B$15*$B$16*$B$21*$B$23*$B$25,0)</f>
        <v/>
      </c>
      <c r="P56" s="127">
        <f>ROUND($B$5*$B$12*$B$15*$B$16*$B$19*$B$22*$B$24,0)</f>
        <v/>
      </c>
      <c r="Q56" s="127">
        <f>ROUND($B$5*$B$12*$B$15*$B$16*$B$19*$B$22*$B$25,0)</f>
        <v/>
      </c>
      <c r="R56" s="127">
        <f>ROUND($B$5*$B$12*$B$15*$B$16*$B$19*$B$23*$B$24,0)</f>
        <v/>
      </c>
      <c r="S56" s="127">
        <f>ROUND($B$5*$B$12*$B$15*$B$16*$B$19*$B$23*$B$25,0)</f>
        <v/>
      </c>
      <c r="T56" s="127">
        <f>ROUND($B$5*$B$12*$B$15*$B$16*$B$20*$B$22*$B$24,0)</f>
        <v/>
      </c>
      <c r="U56" s="127">
        <f>ROUND($B$5*$B$12*$B$15*$B$16*$B$20*$B$22*$B$25,0)</f>
        <v/>
      </c>
      <c r="V56" s="127">
        <f>ROUND($B$5*$B$12*$B$15*$B$16*$B$20*$B$23*$B$24,0)</f>
        <v/>
      </c>
      <c r="W56" s="127">
        <f>ROUND($B$5*$B$12*$B$15*$B$16*$B$20*$B$23*$B$25,0)</f>
        <v/>
      </c>
      <c r="X56" s="127">
        <f>ROUND($B$5*$B$12*$B$15*$B$16*$B$21*$B$22*$B$24,0)</f>
        <v/>
      </c>
      <c r="Y56" s="127">
        <f>ROUND($B$5*$B$12*$B$15*$B$16*$B$21*$B$22*$B$25,0)</f>
        <v/>
      </c>
      <c r="Z56" s="127">
        <f>ROUND($B$5*$B$12*$B$15*$B$16*$B$21*$B$23*$B$24,0)</f>
        <v/>
      </c>
      <c r="AA56" s="127">
        <f>ROUND($B$5*$B$12*$B$15*$B$16*$B$21*$B$23*$B$25,0)</f>
        <v/>
      </c>
      <c r="AB56" s="127">
        <f>ROUND($B$6*$B$12*$B$15*$B$16*$B$19*$B$22*$B$24,0)</f>
        <v/>
      </c>
      <c r="AC56" s="127">
        <f>ROUND($B$6*$B$12*$B$15*$B$16*$B$19*$B$22*$B$25,0)</f>
        <v/>
      </c>
      <c r="AD56" s="127">
        <f>ROUND($B$6*$B$12*$B$15*$B$16*$B$19*$B$23*$B$24,0)</f>
        <v/>
      </c>
      <c r="AE56" s="127">
        <f>ROUND($B$6*$B$12*$B$15*$B$16*$B$19*$B$23*$B$25,0)</f>
        <v/>
      </c>
      <c r="AF56" s="127">
        <f>ROUND($B$6*$B$12*$B$15*$B$16*$B$20*$B$22*$B$24,0)</f>
        <v/>
      </c>
      <c r="AG56" s="127">
        <f>ROUND($B$6*$B$12*$B$15*$B$16*$B$20*$B$22*$B$25,0)</f>
        <v/>
      </c>
      <c r="AH56" s="127">
        <f>ROUND($B$6*$B$12*$B$15*$B$16*$B$20*$B$23*$B$24,0)</f>
        <v/>
      </c>
      <c r="AI56" s="127">
        <f>ROUND($B$6*$B$12*$B$15*$B$16*$B$20*$B$23*$B$25,0)</f>
        <v/>
      </c>
      <c r="AJ56" s="127">
        <f>ROUND($B$6*$B$12*$B$15*$B$16*$B$21*$B$22*$B$24,0)</f>
        <v/>
      </c>
      <c r="AK56" s="127">
        <f>ROUND($B$6*$B$12*$B$15*$B$16*$B$21*$B$22*$B$25,0)</f>
        <v/>
      </c>
      <c r="AL56" s="127">
        <f>ROUND($B$6*$B$12*$B$15*$B$16*$B$21*$B$23*$B$24,0)</f>
        <v/>
      </c>
      <c r="AM56" s="127">
        <f>ROUND($B$6*$B$12*$B$15*$B$16*$B$21*$B$23*$B$25,0)</f>
        <v/>
      </c>
      <c r="AN56" s="127">
        <f>ROUND($B$7*$B$12*$B$15*$B$16*$B$19*$B$22*$B$24,0)</f>
        <v/>
      </c>
      <c r="AO56" s="127">
        <f>ROUND($B$7*$B$12*$B$15*$B$16*$B$19*$B$22*$B$25,0)</f>
        <v/>
      </c>
      <c r="AP56" s="127">
        <f>ROUND($B$7*$B$12*$B$15*$B$16*$B$19*$B$23*$B$24,0)</f>
        <v/>
      </c>
      <c r="AQ56" s="127">
        <f>ROUND($B$7*$B$12*$B$15*$B$16*$B$19*$B$23*$B$25,0)</f>
        <v/>
      </c>
      <c r="AR56" s="127">
        <f>ROUND($B$7*$B$12*$B$15*$B$16*$B$20*$B$22*$B$24,0)</f>
        <v/>
      </c>
      <c r="AS56" s="127">
        <f>ROUND($B$7*$B$12*$B$15*$B$16*$B$20*$B$22*$B$25,0)</f>
        <v/>
      </c>
      <c r="AT56" s="127">
        <f>ROUND($B$7*$B$12*$B$15*$B$16*$B$20*$B$23*$B$24,0)</f>
        <v/>
      </c>
      <c r="AU56" s="127">
        <f>ROUND($B$7*$B$12*$B$15*$B$16*$B$20*$B$23*$B$25,0)</f>
        <v/>
      </c>
      <c r="AV56" s="127">
        <f>ROUND($B$7*$B$12*$B$15*$B$16*$B$21*$B$22*$B$24,0)</f>
        <v/>
      </c>
      <c r="AW56" s="127">
        <f>ROUND($B$7*$B$12*$B$15*$B$16*$B$21*$B$22*$B$25,0)</f>
        <v/>
      </c>
      <c r="AX56" s="127">
        <f>ROUND($B$7*$B$12*$B$15*$B$16*$B$21*$B$23*$B$24,0)</f>
        <v/>
      </c>
      <c r="AY56" s="127">
        <f>ROUND($B$7*$B$12*$B$15*$B$16*$B$21*$B$23*$B$25,0)</f>
        <v/>
      </c>
      <c r="AZ56" s="128">
        <f>ROUND($B$8*$B$12*$B$15*$B$16*$B$19*$B$22*$B$24,0)</f>
        <v/>
      </c>
      <c r="BA56" s="128">
        <f>ROUND($B$8*$B$12*$B$15*$B$16*$B$19*$B$22*$B$25,0)</f>
        <v/>
      </c>
      <c r="BB56" s="128">
        <f>ROUND($B$8*$B$12*$B$15*$B$16*$B$19*$B$23*$B$24,0)</f>
        <v/>
      </c>
      <c r="BC56" s="128">
        <f>ROUND($B$8*$B$12*$B$15*$B$16*$B$19*$B$23*$B$25,0)</f>
        <v/>
      </c>
      <c r="BD56" s="128">
        <f>ROUND($B$8*$B$12*$B$15*$B$16*$B$20*$B$22*$B$24,0)</f>
        <v/>
      </c>
      <c r="BE56" s="128">
        <f>ROUND($B$8*$B$12*$B$15*$B$16*$B$20*$B$22*$B$25,0)</f>
        <v/>
      </c>
      <c r="BF56" s="128">
        <f>ROUND($B$8*$B$12*$B$15*$B$16*$B$20*$B$23*$B$24,0)</f>
        <v/>
      </c>
      <c r="BG56" s="128">
        <f>ROUND($B$8*$B$12*$B$15*$B$16*$B$20*$B$23*$B$25,0)</f>
        <v/>
      </c>
      <c r="BH56" s="128">
        <f>ROUND($B$8*$B$12*$B$15*$B$16*$B$21*$B$22*$B$24,0)</f>
        <v/>
      </c>
      <c r="BI56" s="128">
        <f>ROUND($B$8*$B$12*$B$15*$B$16*$B$21*$B$22*$B$25,0)</f>
        <v/>
      </c>
      <c r="BJ56" s="128">
        <f>ROUND($B$8*$B$12*$B$15*$B$16*$B$21*$B$23*$B$24,0)</f>
        <v/>
      </c>
      <c r="BK56" s="128">
        <f>ROUND($B$8*$B$12*$B$15*$B$16*$B$21*$B$23*$B$25,0)</f>
        <v/>
      </c>
    </row>
    <row r="57" ht="20" customHeight="1" s="62">
      <c r="C57" s="125" t="inlineStr">
        <is>
          <t>Trafic moyen (1k-10k/mois)</t>
        </is>
      </c>
      <c r="D57" s="127">
        <f>ROUND($B$4*$B$12*$B$15*$B$17*$B$19*$B$22*$B$24,0)</f>
        <v/>
      </c>
      <c r="E57" s="127">
        <f>ROUND($B$4*$B$12*$B$15*$B$17*$B$19*$B$22*$B$25,0)</f>
        <v/>
      </c>
      <c r="F57" s="127">
        <f>ROUND($B$4*$B$12*$B$15*$B$17*$B$19*$B$23*$B$24,0)</f>
        <v/>
      </c>
      <c r="G57" s="127">
        <f>ROUND($B$4*$B$12*$B$15*$B$17*$B$19*$B$23*$B$25,0)</f>
        <v/>
      </c>
      <c r="H57" s="127">
        <f>ROUND($B$4*$B$12*$B$15*$B$17*$B$20*$B$22*$B$24,0)</f>
        <v/>
      </c>
      <c r="I57" s="127">
        <f>ROUND($B$4*$B$12*$B$15*$B$17*$B$20*$B$22*$B$25,0)</f>
        <v/>
      </c>
      <c r="J57" s="127">
        <f>ROUND($B$4*$B$12*$B$15*$B$17*$B$20*$B$23*$B$24,0)</f>
        <v/>
      </c>
      <c r="K57" s="127">
        <f>ROUND($B$4*$B$12*$B$15*$B$17*$B$20*$B$23*$B$25,0)</f>
        <v/>
      </c>
      <c r="L57" s="127">
        <f>ROUND($B$4*$B$12*$B$15*$B$17*$B$21*$B$22*$B$24,0)</f>
        <v/>
      </c>
      <c r="M57" s="127">
        <f>ROUND($B$4*$B$12*$B$15*$B$17*$B$21*$B$22*$B$25,0)</f>
        <v/>
      </c>
      <c r="N57" s="127">
        <f>ROUND($B$4*$B$12*$B$15*$B$17*$B$21*$B$23*$B$24,0)</f>
        <v/>
      </c>
      <c r="O57" s="127">
        <f>ROUND($B$4*$B$12*$B$15*$B$17*$B$21*$B$23*$B$25,0)</f>
        <v/>
      </c>
      <c r="P57" s="127">
        <f>ROUND($B$5*$B$12*$B$15*$B$17*$B$19*$B$22*$B$24,0)</f>
        <v/>
      </c>
      <c r="Q57" s="127">
        <f>ROUND($B$5*$B$12*$B$15*$B$17*$B$19*$B$22*$B$25,0)</f>
        <v/>
      </c>
      <c r="R57" s="127">
        <f>ROUND($B$5*$B$12*$B$15*$B$17*$B$19*$B$23*$B$24,0)</f>
        <v/>
      </c>
      <c r="S57" s="127">
        <f>ROUND($B$5*$B$12*$B$15*$B$17*$B$19*$B$23*$B$25,0)</f>
        <v/>
      </c>
      <c r="T57" s="127">
        <f>ROUND($B$5*$B$12*$B$15*$B$17*$B$20*$B$22*$B$24,0)</f>
        <v/>
      </c>
      <c r="U57" s="127">
        <f>ROUND($B$5*$B$12*$B$15*$B$17*$B$20*$B$22*$B$25,0)</f>
        <v/>
      </c>
      <c r="V57" s="127">
        <f>ROUND($B$5*$B$12*$B$15*$B$17*$B$20*$B$23*$B$24,0)</f>
        <v/>
      </c>
      <c r="W57" s="127">
        <f>ROUND($B$5*$B$12*$B$15*$B$17*$B$20*$B$23*$B$25,0)</f>
        <v/>
      </c>
      <c r="X57" s="127">
        <f>ROUND($B$5*$B$12*$B$15*$B$17*$B$21*$B$22*$B$24,0)</f>
        <v/>
      </c>
      <c r="Y57" s="127">
        <f>ROUND($B$5*$B$12*$B$15*$B$17*$B$21*$B$22*$B$25,0)</f>
        <v/>
      </c>
      <c r="Z57" s="127">
        <f>ROUND($B$5*$B$12*$B$15*$B$17*$B$21*$B$23*$B$24,0)</f>
        <v/>
      </c>
      <c r="AA57" s="127">
        <f>ROUND($B$5*$B$12*$B$15*$B$17*$B$21*$B$23*$B$25,0)</f>
        <v/>
      </c>
      <c r="AB57" s="127">
        <f>ROUND($B$6*$B$12*$B$15*$B$17*$B$19*$B$22*$B$24,0)</f>
        <v/>
      </c>
      <c r="AC57" s="127">
        <f>ROUND($B$6*$B$12*$B$15*$B$17*$B$19*$B$22*$B$25,0)</f>
        <v/>
      </c>
      <c r="AD57" s="127">
        <f>ROUND($B$6*$B$12*$B$15*$B$17*$B$19*$B$23*$B$24,0)</f>
        <v/>
      </c>
      <c r="AE57" s="127">
        <f>ROUND($B$6*$B$12*$B$15*$B$17*$B$19*$B$23*$B$25,0)</f>
        <v/>
      </c>
      <c r="AF57" s="127">
        <f>ROUND($B$6*$B$12*$B$15*$B$17*$B$20*$B$22*$B$24,0)</f>
        <v/>
      </c>
      <c r="AG57" s="127">
        <f>ROUND($B$6*$B$12*$B$15*$B$17*$B$20*$B$22*$B$25,0)</f>
        <v/>
      </c>
      <c r="AH57" s="127">
        <f>ROUND($B$6*$B$12*$B$15*$B$17*$B$20*$B$23*$B$24,0)</f>
        <v/>
      </c>
      <c r="AI57" s="127">
        <f>ROUND($B$6*$B$12*$B$15*$B$17*$B$20*$B$23*$B$25,0)</f>
        <v/>
      </c>
      <c r="AJ57" s="127">
        <f>ROUND($B$6*$B$12*$B$15*$B$17*$B$21*$B$22*$B$24,0)</f>
        <v/>
      </c>
      <c r="AK57" s="127">
        <f>ROUND($B$6*$B$12*$B$15*$B$17*$B$21*$B$22*$B$25,0)</f>
        <v/>
      </c>
      <c r="AL57" s="127">
        <f>ROUND($B$6*$B$12*$B$15*$B$17*$B$21*$B$23*$B$24,0)</f>
        <v/>
      </c>
      <c r="AM57" s="127">
        <f>ROUND($B$6*$B$12*$B$15*$B$17*$B$21*$B$23*$B$25,0)</f>
        <v/>
      </c>
      <c r="AN57" s="127">
        <f>ROUND($B$7*$B$12*$B$15*$B$17*$B$19*$B$22*$B$24,0)</f>
        <v/>
      </c>
      <c r="AO57" s="127">
        <f>ROUND($B$7*$B$12*$B$15*$B$17*$B$19*$B$22*$B$25,0)</f>
        <v/>
      </c>
      <c r="AP57" s="127">
        <f>ROUND($B$7*$B$12*$B$15*$B$17*$B$19*$B$23*$B$24,0)</f>
        <v/>
      </c>
      <c r="AQ57" s="127">
        <f>ROUND($B$7*$B$12*$B$15*$B$17*$B$19*$B$23*$B$25,0)</f>
        <v/>
      </c>
      <c r="AR57" s="127">
        <f>ROUND($B$7*$B$12*$B$15*$B$17*$B$20*$B$22*$B$24,0)</f>
        <v/>
      </c>
      <c r="AS57" s="127">
        <f>ROUND($B$7*$B$12*$B$15*$B$17*$B$20*$B$22*$B$25,0)</f>
        <v/>
      </c>
      <c r="AT57" s="127">
        <f>ROUND($B$7*$B$12*$B$15*$B$17*$B$20*$B$23*$B$24,0)</f>
        <v/>
      </c>
      <c r="AU57" s="127">
        <f>ROUND($B$7*$B$12*$B$15*$B$17*$B$20*$B$23*$B$25,0)</f>
        <v/>
      </c>
      <c r="AV57" s="127">
        <f>ROUND($B$7*$B$12*$B$15*$B$17*$B$21*$B$22*$B$24,0)</f>
        <v/>
      </c>
      <c r="AW57" s="127">
        <f>ROUND($B$7*$B$12*$B$15*$B$17*$B$21*$B$22*$B$25,0)</f>
        <v/>
      </c>
      <c r="AX57" s="127">
        <f>ROUND($B$7*$B$12*$B$15*$B$17*$B$21*$B$23*$B$24,0)</f>
        <v/>
      </c>
      <c r="AY57" s="127">
        <f>ROUND($B$7*$B$12*$B$15*$B$17*$B$21*$B$23*$B$25,0)</f>
        <v/>
      </c>
      <c r="AZ57" s="128">
        <f>ROUND($B$8*$B$12*$B$15*$B$17*$B$19*$B$22*$B$24,0)</f>
        <v/>
      </c>
      <c r="BA57" s="128">
        <f>ROUND($B$8*$B$12*$B$15*$B$17*$B$19*$B$22*$B$25,0)</f>
        <v/>
      </c>
      <c r="BB57" s="128">
        <f>ROUND($B$8*$B$12*$B$15*$B$17*$B$19*$B$23*$B$24,0)</f>
        <v/>
      </c>
      <c r="BC57" s="128">
        <f>ROUND($B$8*$B$12*$B$15*$B$17*$B$19*$B$23*$B$25,0)</f>
        <v/>
      </c>
      <c r="BD57" s="128">
        <f>ROUND($B$8*$B$12*$B$15*$B$17*$B$20*$B$22*$B$24,0)</f>
        <v/>
      </c>
      <c r="BE57" s="128">
        <f>ROUND($B$8*$B$12*$B$15*$B$17*$B$20*$B$22*$B$25,0)</f>
        <v/>
      </c>
      <c r="BF57" s="128">
        <f>ROUND($B$8*$B$12*$B$15*$B$17*$B$20*$B$23*$B$24,0)</f>
        <v/>
      </c>
      <c r="BG57" s="128">
        <f>ROUND($B$8*$B$12*$B$15*$B$17*$B$20*$B$23*$B$25,0)</f>
        <v/>
      </c>
      <c r="BH57" s="128">
        <f>ROUND($B$8*$B$12*$B$15*$B$17*$B$21*$B$22*$B$24,0)</f>
        <v/>
      </c>
      <c r="BI57" s="128">
        <f>ROUND($B$8*$B$12*$B$15*$B$17*$B$21*$B$22*$B$25,0)</f>
        <v/>
      </c>
      <c r="BJ57" s="128">
        <f>ROUND($B$8*$B$12*$B$15*$B$17*$B$21*$B$23*$B$24,0)</f>
        <v/>
      </c>
      <c r="BK57" s="128">
        <f>ROUND($B$8*$B$12*$B$15*$B$17*$B$21*$B$23*$B$25,0)</f>
        <v/>
      </c>
    </row>
    <row r="58" ht="20" customHeight="1" s="62">
      <c r="C58" s="129" t="inlineStr">
        <is>
          <t>Trafic élevé (10k+/mois)</t>
        </is>
      </c>
      <c r="D58" s="127">
        <f>ROUND($B$4*$B$12*$B$15*$B$18*$B$19*$B$22*$B$24,0)</f>
        <v/>
      </c>
      <c r="E58" s="127">
        <f>ROUND($B$4*$B$12*$B$15*$B$18*$B$19*$B$22*$B$25,0)</f>
        <v/>
      </c>
      <c r="F58" s="127">
        <f>ROUND($B$4*$B$12*$B$15*$B$18*$B$19*$B$23*$B$24,0)</f>
        <v/>
      </c>
      <c r="G58" s="127">
        <f>ROUND($B$4*$B$12*$B$15*$B$18*$B$19*$B$23*$B$25,0)</f>
        <v/>
      </c>
      <c r="H58" s="127">
        <f>ROUND($B$4*$B$12*$B$15*$B$18*$B$20*$B$22*$B$24,0)</f>
        <v/>
      </c>
      <c r="I58" s="127">
        <f>ROUND($B$4*$B$12*$B$15*$B$18*$B$20*$B$22*$B$25,0)</f>
        <v/>
      </c>
      <c r="J58" s="127">
        <f>ROUND($B$4*$B$12*$B$15*$B$18*$B$20*$B$23*$B$24,0)</f>
        <v/>
      </c>
      <c r="K58" s="127">
        <f>ROUND($B$4*$B$12*$B$15*$B$18*$B$20*$B$23*$B$25,0)</f>
        <v/>
      </c>
      <c r="L58" s="127">
        <f>ROUND($B$4*$B$12*$B$15*$B$18*$B$21*$B$22*$B$24,0)</f>
        <v/>
      </c>
      <c r="M58" s="127">
        <f>ROUND($B$4*$B$12*$B$15*$B$18*$B$21*$B$22*$B$25,0)</f>
        <v/>
      </c>
      <c r="N58" s="127">
        <f>ROUND($B$4*$B$12*$B$15*$B$18*$B$21*$B$23*$B$24,0)</f>
        <v/>
      </c>
      <c r="O58" s="127">
        <f>ROUND($B$4*$B$12*$B$15*$B$18*$B$21*$B$23*$B$25,0)</f>
        <v/>
      </c>
      <c r="P58" s="127">
        <f>ROUND($B$5*$B$12*$B$15*$B$18*$B$19*$B$22*$B$24,0)</f>
        <v/>
      </c>
      <c r="Q58" s="127">
        <f>ROUND($B$5*$B$12*$B$15*$B$18*$B$19*$B$22*$B$25,0)</f>
        <v/>
      </c>
      <c r="R58" s="127">
        <f>ROUND($B$5*$B$12*$B$15*$B$18*$B$19*$B$23*$B$24,0)</f>
        <v/>
      </c>
      <c r="S58" s="127">
        <f>ROUND($B$5*$B$12*$B$15*$B$18*$B$19*$B$23*$B$25,0)</f>
        <v/>
      </c>
      <c r="T58" s="127">
        <f>ROUND($B$5*$B$12*$B$15*$B$18*$B$20*$B$22*$B$24,0)</f>
        <v/>
      </c>
      <c r="U58" s="127">
        <f>ROUND($B$5*$B$12*$B$15*$B$18*$B$20*$B$22*$B$25,0)</f>
        <v/>
      </c>
      <c r="V58" s="127">
        <f>ROUND($B$5*$B$12*$B$15*$B$18*$B$20*$B$23*$B$24,0)</f>
        <v/>
      </c>
      <c r="W58" s="127">
        <f>ROUND($B$5*$B$12*$B$15*$B$18*$B$20*$B$23*$B$25,0)</f>
        <v/>
      </c>
      <c r="X58" s="127">
        <f>ROUND($B$5*$B$12*$B$15*$B$18*$B$21*$B$22*$B$24,0)</f>
        <v/>
      </c>
      <c r="Y58" s="127">
        <f>ROUND($B$5*$B$12*$B$15*$B$18*$B$21*$B$22*$B$25,0)</f>
        <v/>
      </c>
      <c r="Z58" s="127">
        <f>ROUND($B$5*$B$12*$B$15*$B$18*$B$21*$B$23*$B$24,0)</f>
        <v/>
      </c>
      <c r="AA58" s="127">
        <f>ROUND($B$5*$B$12*$B$15*$B$18*$B$21*$B$23*$B$25,0)</f>
        <v/>
      </c>
      <c r="AB58" s="127">
        <f>ROUND($B$6*$B$12*$B$15*$B$18*$B$19*$B$22*$B$24,0)</f>
        <v/>
      </c>
      <c r="AC58" s="127">
        <f>ROUND($B$6*$B$12*$B$15*$B$18*$B$19*$B$22*$B$25,0)</f>
        <v/>
      </c>
      <c r="AD58" s="127">
        <f>ROUND($B$6*$B$12*$B$15*$B$18*$B$19*$B$23*$B$24,0)</f>
        <v/>
      </c>
      <c r="AE58" s="127">
        <f>ROUND($B$6*$B$12*$B$15*$B$18*$B$19*$B$23*$B$25,0)</f>
        <v/>
      </c>
      <c r="AF58" s="127">
        <f>ROUND($B$6*$B$12*$B$15*$B$18*$B$20*$B$22*$B$24,0)</f>
        <v/>
      </c>
      <c r="AG58" s="127">
        <f>ROUND($B$6*$B$12*$B$15*$B$18*$B$20*$B$22*$B$25,0)</f>
        <v/>
      </c>
      <c r="AH58" s="127">
        <f>ROUND($B$6*$B$12*$B$15*$B$18*$B$20*$B$23*$B$24,0)</f>
        <v/>
      </c>
      <c r="AI58" s="127">
        <f>ROUND($B$6*$B$12*$B$15*$B$18*$B$20*$B$23*$B$25,0)</f>
        <v/>
      </c>
      <c r="AJ58" s="127">
        <f>ROUND($B$6*$B$12*$B$15*$B$18*$B$21*$B$22*$B$24,0)</f>
        <v/>
      </c>
      <c r="AK58" s="127">
        <f>ROUND($B$6*$B$12*$B$15*$B$18*$B$21*$B$22*$B$25,0)</f>
        <v/>
      </c>
      <c r="AL58" s="127">
        <f>ROUND($B$6*$B$12*$B$15*$B$18*$B$21*$B$23*$B$24,0)</f>
        <v/>
      </c>
      <c r="AM58" s="127">
        <f>ROUND($B$6*$B$12*$B$15*$B$18*$B$21*$B$23*$B$25,0)</f>
        <v/>
      </c>
      <c r="AN58" s="127">
        <f>ROUND($B$7*$B$12*$B$15*$B$18*$B$19*$B$22*$B$24,0)</f>
        <v/>
      </c>
      <c r="AO58" s="127">
        <f>ROUND($B$7*$B$12*$B$15*$B$18*$B$19*$B$22*$B$25,0)</f>
        <v/>
      </c>
      <c r="AP58" s="127">
        <f>ROUND($B$7*$B$12*$B$15*$B$18*$B$19*$B$23*$B$24,0)</f>
        <v/>
      </c>
      <c r="AQ58" s="127">
        <f>ROUND($B$7*$B$12*$B$15*$B$18*$B$19*$B$23*$B$25,0)</f>
        <v/>
      </c>
      <c r="AR58" s="127">
        <f>ROUND($B$7*$B$12*$B$15*$B$18*$B$20*$B$22*$B$24,0)</f>
        <v/>
      </c>
      <c r="AS58" s="127">
        <f>ROUND($B$7*$B$12*$B$15*$B$18*$B$20*$B$22*$B$25,0)</f>
        <v/>
      </c>
      <c r="AT58" s="127">
        <f>ROUND($B$7*$B$12*$B$15*$B$18*$B$20*$B$23*$B$24,0)</f>
        <v/>
      </c>
      <c r="AU58" s="127">
        <f>ROUND($B$7*$B$12*$B$15*$B$18*$B$20*$B$23*$B$25,0)</f>
        <v/>
      </c>
      <c r="AV58" s="127">
        <f>ROUND($B$7*$B$12*$B$15*$B$18*$B$21*$B$22*$B$24,0)</f>
        <v/>
      </c>
      <c r="AW58" s="127">
        <f>ROUND($B$7*$B$12*$B$15*$B$18*$B$21*$B$22*$B$25,0)</f>
        <v/>
      </c>
      <c r="AX58" s="127">
        <f>ROUND($B$7*$B$12*$B$15*$B$18*$B$21*$B$23*$B$24,0)</f>
        <v/>
      </c>
      <c r="AY58" s="127">
        <f>ROUND($B$7*$B$12*$B$15*$B$18*$B$21*$B$23*$B$25,0)</f>
        <v/>
      </c>
      <c r="AZ58" s="128">
        <f>ROUND($B$8*$B$12*$B$15*$B$18*$B$19*$B$22*$B$24,0)</f>
        <v/>
      </c>
      <c r="BA58" s="128">
        <f>ROUND($B$8*$B$12*$B$15*$B$18*$B$19*$B$22*$B$25,0)</f>
        <v/>
      </c>
      <c r="BB58" s="128">
        <f>ROUND($B$8*$B$12*$B$15*$B$18*$B$19*$B$23*$B$24,0)</f>
        <v/>
      </c>
      <c r="BC58" s="128">
        <f>ROUND($B$8*$B$12*$B$15*$B$18*$B$19*$B$23*$B$25,0)</f>
        <v/>
      </c>
      <c r="BD58" s="128">
        <f>ROUND($B$8*$B$12*$B$15*$B$18*$B$20*$B$22*$B$24,0)</f>
        <v/>
      </c>
      <c r="BE58" s="128">
        <f>ROUND($B$8*$B$12*$B$15*$B$18*$B$20*$B$22*$B$25,0)</f>
        <v/>
      </c>
      <c r="BF58" s="128">
        <f>ROUND($B$8*$B$12*$B$15*$B$18*$B$20*$B$23*$B$24,0)</f>
        <v/>
      </c>
      <c r="BG58" s="128">
        <f>ROUND($B$8*$B$12*$B$15*$B$18*$B$20*$B$23*$B$25,0)</f>
        <v/>
      </c>
      <c r="BH58" s="128">
        <f>ROUND($B$8*$B$12*$B$15*$B$18*$B$21*$B$22*$B$24,0)</f>
        <v/>
      </c>
      <c r="BI58" s="128">
        <f>ROUND($B$8*$B$12*$B$15*$B$18*$B$21*$B$22*$B$25,0)</f>
        <v/>
      </c>
      <c r="BJ58" s="128">
        <f>ROUND($B$8*$B$12*$B$15*$B$18*$B$21*$B$23*$B$24,0)</f>
        <v/>
      </c>
      <c r="BK58" s="128">
        <f>ROUND($B$8*$B$12*$B$15*$B$18*$B$21*$B$23*$B$25,0)</f>
        <v/>
      </c>
    </row>
  </sheetData>
  <mergeCells count="70">
    <mergeCell ref="Z30:AA30"/>
    <mergeCell ref="B53:B55"/>
    <mergeCell ref="AB30:AC30"/>
    <mergeCell ref="T30:U30"/>
    <mergeCell ref="AL30:AM30"/>
    <mergeCell ref="AN30:AO30"/>
    <mergeCell ref="A50:A58"/>
    <mergeCell ref="A41:A49"/>
    <mergeCell ref="AJ29:AM29"/>
    <mergeCell ref="A1:BK1"/>
    <mergeCell ref="D29:G29"/>
    <mergeCell ref="AR29:AU29"/>
    <mergeCell ref="A32:A40"/>
    <mergeCell ref="AZ29:BC29"/>
    <mergeCell ref="J30:K30"/>
    <mergeCell ref="F30:G30"/>
    <mergeCell ref="R30:S30"/>
    <mergeCell ref="AZ30:BA30"/>
    <mergeCell ref="D28:O28"/>
    <mergeCell ref="BB30:BC30"/>
    <mergeCell ref="B35:B37"/>
    <mergeCell ref="P28:AA28"/>
    <mergeCell ref="P29:S29"/>
    <mergeCell ref="B56:B58"/>
    <mergeCell ref="H29:K29"/>
    <mergeCell ref="B41:B43"/>
    <mergeCell ref="T29:W29"/>
    <mergeCell ref="B47:B49"/>
    <mergeCell ref="B32:B34"/>
    <mergeCell ref="B50:B52"/>
    <mergeCell ref="AB29:AE29"/>
    <mergeCell ref="B28:B31"/>
    <mergeCell ref="L30:M30"/>
    <mergeCell ref="V30:W30"/>
    <mergeCell ref="A26:BK26"/>
    <mergeCell ref="A3:BK3"/>
    <mergeCell ref="X30:Y30"/>
    <mergeCell ref="AD30:AE30"/>
    <mergeCell ref="AF30:AG30"/>
    <mergeCell ref="A2:BK2"/>
    <mergeCell ref="AJ30:AK30"/>
    <mergeCell ref="AP30:AQ30"/>
    <mergeCell ref="AB28:AM28"/>
    <mergeCell ref="AR30:AS30"/>
    <mergeCell ref="AF29:AI29"/>
    <mergeCell ref="AN28:AY28"/>
    <mergeCell ref="AN29:AQ29"/>
    <mergeCell ref="AH30:AI30"/>
    <mergeCell ref="C28:C31"/>
    <mergeCell ref="AV29:AY29"/>
    <mergeCell ref="BD29:BG29"/>
    <mergeCell ref="D30:E30"/>
    <mergeCell ref="N30:O30"/>
    <mergeCell ref="P30:Q30"/>
    <mergeCell ref="AV30:AW30"/>
    <mergeCell ref="AX30:AY30"/>
    <mergeCell ref="BD30:BE30"/>
    <mergeCell ref="BF30:BG30"/>
    <mergeCell ref="A28:A31"/>
    <mergeCell ref="B44:B46"/>
    <mergeCell ref="AZ28:BK28"/>
    <mergeCell ref="BJ30:BK30"/>
    <mergeCell ref="AT30:AU30"/>
    <mergeCell ref="B38:B40"/>
    <mergeCell ref="L29:O29"/>
    <mergeCell ref="X29:AA29"/>
    <mergeCell ref="A9:BK9"/>
    <mergeCell ref="BH29:BK29"/>
    <mergeCell ref="H30:I30"/>
    <mergeCell ref="BH30:BI3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D1B69"/>
    <outlinePr summaryBelow="1" summaryRight="1"/>
    <pageSetUpPr/>
  </sheetPr>
  <dimension ref="A1:BK58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4"/>
    <col width="13" customWidth="1" style="62" min="5" max="5"/>
    <col width="13" customWidth="1" style="62" min="6" max="6"/>
    <col width="13" customWidth="1" style="62" min="7" max="7"/>
    <col width="13" customWidth="1" style="62" min="8" max="8"/>
    <col width="13" customWidth="1" style="62" min="9" max="9"/>
    <col width="13" customWidth="1" style="62" min="10" max="10"/>
    <col width="13" customWidth="1" style="62" min="11" max="11"/>
    <col width="13" customWidth="1" style="62" min="12" max="12"/>
    <col width="13" customWidth="1" style="62" min="13" max="13"/>
    <col width="13" customWidth="1" style="62" min="14" max="14"/>
    <col width="13" customWidth="1" style="62" min="15" max="15"/>
    <col width="13" customWidth="1" style="62" min="16" max="16"/>
    <col width="13" customWidth="1" style="62" min="17" max="17"/>
    <col width="13" customWidth="1" style="62" min="18" max="18"/>
    <col width="13" customWidth="1" style="62" min="19" max="19"/>
    <col width="13" customWidth="1" style="62" min="20" max="20"/>
    <col width="13" customWidth="1" style="62" min="21" max="21"/>
    <col width="13" customWidth="1" style="62" min="22" max="22"/>
    <col width="13" customWidth="1" style="62" min="23" max="23"/>
    <col width="13" customWidth="1" style="62" min="24" max="24"/>
    <col width="13" customWidth="1" style="62" min="25" max="25"/>
    <col width="13" customWidth="1" style="62" min="26" max="26"/>
    <col width="13" customWidth="1" style="62" min="27" max="27"/>
    <col width="13" customWidth="1" style="62" min="28" max="28"/>
    <col width="13" customWidth="1" style="62" min="29" max="29"/>
    <col width="13" customWidth="1" style="62" min="30" max="30"/>
    <col width="13" customWidth="1" style="62" min="31" max="31"/>
    <col width="13" customWidth="1" style="62" min="32" max="32"/>
    <col width="13" customWidth="1" style="62" min="33" max="33"/>
    <col width="13" customWidth="1" style="62" min="34" max="34"/>
    <col width="13" customWidth="1" style="62" min="35" max="35"/>
    <col width="13" customWidth="1" style="62" min="36" max="36"/>
    <col width="13" customWidth="1" style="62" min="37" max="37"/>
    <col width="13" customWidth="1" style="62" min="38" max="38"/>
    <col width="13" customWidth="1" style="62" min="39" max="39"/>
    <col width="13" customWidth="1" style="62" min="40" max="40"/>
    <col width="13" customWidth="1" style="62" min="41" max="41"/>
    <col width="13" customWidth="1" style="62" min="42" max="42"/>
    <col width="13" customWidth="1" style="62" min="43" max="43"/>
    <col width="13" customWidth="1" style="62" min="44" max="44"/>
    <col width="13" customWidth="1" style="62" min="45" max="45"/>
    <col width="13" customWidth="1" style="62" min="46" max="46"/>
    <col width="13" customWidth="1" style="62" min="47" max="47"/>
    <col width="13" customWidth="1" style="62" min="48" max="48"/>
    <col width="13" customWidth="1" style="62" min="49" max="49"/>
    <col width="13" customWidth="1" style="62" min="50" max="50"/>
    <col width="13" customWidth="1" style="62" min="51" max="51"/>
    <col width="13" customWidth="1" style="62" min="52" max="52"/>
    <col width="13" customWidth="1" style="62" min="53" max="53"/>
    <col width="13" customWidth="1" style="62" min="54" max="54"/>
    <col width="13" customWidth="1" style="62" min="55" max="55"/>
    <col width="13" customWidth="1" style="62" min="56" max="56"/>
    <col width="13" customWidth="1" style="62" min="57" max="57"/>
    <col width="13" customWidth="1" style="62" min="58" max="58"/>
    <col width="13" customWidth="1" style="62" min="59" max="59"/>
    <col width="13" customWidth="1" style="62" min="60" max="60"/>
    <col width="13" customWidth="1" style="62" min="61" max="61"/>
    <col width="13" customWidth="1" style="62" min="62" max="62"/>
    <col width="13" customWidth="1" style="62" min="63" max="63"/>
  </cols>
  <sheetData>
    <row r="1" ht="34" customHeight="1" s="62">
      <c r="A1" s="108" t="inlineStr">
        <is>
          <t>GRILLE TARIFAIRE — Développement de solutions IA</t>
        </is>
      </c>
    </row>
    <row r="2" ht="26" customHeight="1" s="62">
      <c r="A2" s="109" t="inlineStr">
        <is>
          <t>⚙  ZONE DE PARAMÉTRAGE — Remplissez uniquement les cases jaunes. Le tableau se calcule automatiquement.</t>
        </is>
      </c>
    </row>
    <row r="3" ht="22" customHeight="1" s="62">
      <c r="A3" s="110" t="inlineStr">
        <is>
          <t>TARIFS DE BASE  —  Par niveau de prestation</t>
        </is>
      </c>
    </row>
    <row r="4" ht="22" customHeight="1" s="62">
      <c r="A4" s="111" t="inlineStr">
        <is>
          <t>Tarif de base — Prototype / POC</t>
        </is>
      </c>
      <c r="B4" s="112" t="n">
        <v>6500</v>
      </c>
      <c r="C4" s="113" t="inlineStr">
        <is>
          <t>Fourchette : 3 000 – 10 000 €</t>
        </is>
      </c>
    </row>
    <row r="5" ht="22" customHeight="1" s="62">
      <c r="A5" s="111" t="inlineStr">
        <is>
          <t>Tarif de base — Solution IA simple</t>
        </is>
      </c>
      <c r="B5" s="112" t="n">
        <v>17500</v>
      </c>
      <c r="C5" s="113" t="inlineStr">
        <is>
          <t>Fourchette : 10 000 – 25 000 €</t>
        </is>
      </c>
    </row>
    <row r="6" ht="22" customHeight="1" s="62">
      <c r="A6" s="111" t="inlineStr">
        <is>
          <t>Tarif de base — Solution IA avancée</t>
        </is>
      </c>
      <c r="B6" s="112" t="n">
        <v>52500</v>
      </c>
      <c r="C6" s="113" t="inlineStr">
        <is>
          <t>Fourchette : 25 000 – 80 000 €</t>
        </is>
      </c>
    </row>
    <row r="7" ht="22" customHeight="1" s="62">
      <c r="A7" s="111" t="inlineStr">
        <is>
          <t>Tarif de base — Système IA complexe / mesure</t>
        </is>
      </c>
      <c r="B7" s="112" t="n">
        <v>140000</v>
      </c>
      <c r="C7" s="113" t="inlineStr">
        <is>
          <t>Fourchette : 80 000 – 200 000 €+</t>
        </is>
      </c>
    </row>
    <row r="8" ht="22" customHeight="1" s="62">
      <c r="A8" s="111" t="inlineStr">
        <is>
          <t>Tarif de base — Maintenance / évolution</t>
        </is>
      </c>
      <c r="B8" s="114" t="n">
        <v>2750</v>
      </c>
      <c r="C8" s="113" t="inlineStr">
        <is>
          <t>Fourchette : 500 – 5 000 €/mois</t>
        </is>
      </c>
    </row>
    <row r="9" ht="22" customHeight="1" s="62">
      <c r="A9" s="115" t="inlineStr">
        <is>
          <t>COEFFICIENTS MULTIPLICATEURS  —  1,00 = neutre. Ex : 1,20 = +20 %</t>
        </is>
      </c>
    </row>
    <row r="10" ht="20" customHeight="1" s="62">
      <c r="A10" s="116" t="inlineStr">
        <is>
          <t>Coeff. complexité — Simple</t>
        </is>
      </c>
      <c r="B10" s="117" t="n">
        <v>0.75</v>
      </c>
      <c r="C10" s="118" t="inlineStr">
        <is>
          <t>Fonctionnalités limitées</t>
        </is>
      </c>
    </row>
    <row r="11" ht="20" customHeight="1" s="62">
      <c r="A11" s="116" t="inlineStr">
        <is>
          <t>Coeff. complexité — Modérée</t>
        </is>
      </c>
      <c r="B11" s="117" t="n">
        <v>1</v>
      </c>
      <c r="C11" s="118" t="inlineStr">
        <is>
          <t>Référence</t>
        </is>
      </c>
    </row>
    <row r="12" ht="20" customHeight="1" s="62">
      <c r="A12" s="116" t="inlineStr">
        <is>
          <t>Coeff. complexité — Complexe</t>
        </is>
      </c>
      <c r="B12" s="117" t="n">
        <v>1.6</v>
      </c>
      <c r="C12" s="118" t="inlineStr">
        <is>
          <t>Architecture avancée</t>
        </is>
      </c>
    </row>
    <row r="13" ht="20" customHeight="1" s="62">
      <c r="A13" s="116" t="inlineStr">
        <is>
          <t>Coeff. type IA — Générative</t>
        </is>
      </c>
      <c r="B13" s="117" t="n">
        <v>1</v>
      </c>
      <c r="C13" s="118" t="inlineStr">
        <is>
          <t>Référence</t>
        </is>
      </c>
    </row>
    <row r="14" ht="20" customHeight="1" s="62">
      <c r="A14" s="116" t="inlineStr">
        <is>
          <t>Coeff. type IA — Prédictive / ML</t>
        </is>
      </c>
      <c r="B14" s="117" t="n">
        <v>1.2</v>
      </c>
      <c r="C14" s="118" t="inlineStr">
        <is>
          <t>Modèles d'apprentissage</t>
        </is>
      </c>
    </row>
    <row r="15" ht="20" customHeight="1" s="62">
      <c r="A15" s="116" t="inlineStr">
        <is>
          <t>Coeff. type IA — NLP / Vision</t>
        </is>
      </c>
      <c r="B15" s="117" t="n">
        <v>1.35</v>
      </c>
      <c r="C15" s="118" t="inlineStr">
        <is>
          <t>Traitement langage / image</t>
        </is>
      </c>
    </row>
    <row r="16" ht="20" customHeight="1" s="62">
      <c r="A16" s="116" t="inlineStr">
        <is>
          <t>Coeff. volume données — Faible</t>
        </is>
      </c>
      <c r="B16" s="117" t="n">
        <v>0.85</v>
      </c>
      <c r="C16" s="118" t="inlineStr">
        <is>
          <t>Peu de données</t>
        </is>
      </c>
    </row>
    <row r="17" ht="20" customHeight="1" s="62">
      <c r="A17" s="116" t="inlineStr">
        <is>
          <t>Coeff. volume données — Moyen</t>
        </is>
      </c>
      <c r="B17" s="117" t="n">
        <v>1</v>
      </c>
      <c r="C17" s="118" t="inlineStr">
        <is>
          <t>Référence</t>
        </is>
      </c>
    </row>
    <row r="18" ht="20" customHeight="1" s="62">
      <c r="A18" s="116" t="inlineStr">
        <is>
          <t>Coeff. volume données — Élevé</t>
        </is>
      </c>
      <c r="B18" s="117" t="n">
        <v>1.4</v>
      </c>
      <c r="C18" s="118" t="inlineStr">
        <is>
          <t>Big data / data lake</t>
        </is>
      </c>
    </row>
    <row r="19" ht="20" customHeight="1" s="62">
      <c r="A19" s="116" t="inlineStr">
        <is>
          <t>Coeff. intégration SI — Légère</t>
        </is>
      </c>
      <c r="B19" s="117" t="n">
        <v>0.9</v>
      </c>
      <c r="C19" s="118" t="inlineStr">
        <is>
          <t>Peu de connexions</t>
        </is>
      </c>
    </row>
    <row r="20" ht="20" customHeight="1" s="62">
      <c r="A20" s="116" t="inlineStr">
        <is>
          <t>Coeff. intégration SI — Standard</t>
        </is>
      </c>
      <c r="B20" s="117" t="n">
        <v>1</v>
      </c>
      <c r="C20" s="118" t="inlineStr">
        <is>
          <t>Référence</t>
        </is>
      </c>
    </row>
    <row r="21" ht="20" customHeight="1" s="62">
      <c r="A21" s="116" t="inlineStr">
        <is>
          <t>Coeff. intégration SI — Profonde</t>
        </is>
      </c>
      <c r="B21" s="117" t="n">
        <v>1.35</v>
      </c>
      <c r="C21" s="118" t="inlineStr">
        <is>
          <t>Multi-systèmes</t>
        </is>
      </c>
    </row>
    <row r="22" ht="20" customHeight="1" s="62">
      <c r="A22" s="116" t="inlineStr">
        <is>
          <t>Coeff. sécurité — Standard</t>
        </is>
      </c>
      <c r="B22" s="117" t="n">
        <v>1</v>
      </c>
      <c r="C22" s="118" t="inlineStr">
        <is>
          <t>Référence</t>
        </is>
      </c>
    </row>
    <row r="23" ht="20" customHeight="1" s="62">
      <c r="A23" s="116" t="inlineStr">
        <is>
          <t>Coeff. sécurité — Critique (santé, fin.)</t>
        </is>
      </c>
      <c r="B23" s="117" t="n">
        <v>1.4</v>
      </c>
      <c r="C23" s="118" t="inlineStr">
        <is>
          <t>Conformité stricte</t>
        </is>
      </c>
    </row>
    <row r="24" ht="20" customHeight="1" s="62">
      <c r="A24" s="116" t="inlineStr">
        <is>
          <t>Coeff. mode — Distanciel</t>
        </is>
      </c>
      <c r="B24" s="117" t="n">
        <v>1</v>
      </c>
      <c r="C24" s="118" t="inlineStr">
        <is>
          <t>Référence</t>
        </is>
      </c>
    </row>
    <row r="25" ht="20" customHeight="1" s="62">
      <c r="A25" s="116" t="inlineStr">
        <is>
          <t>Coeff. mode — Présentiel</t>
        </is>
      </c>
      <c r="B25" s="117" t="n">
        <v>1.15</v>
      </c>
      <c r="C25" s="118" t="inlineStr">
        <is>
          <t>Sessions sur site</t>
        </is>
      </c>
    </row>
    <row r="26" ht="24" customHeight="1" s="62">
      <c r="A26" s="119" t="inlineStr">
        <is>
          <t>▼  GRILLE TARIFAIRE CALCULÉE AUTOMATIQUEMENT  — Les cellules violettes sont en lecture seule (formules).</t>
        </is>
      </c>
    </row>
    <row r="27" ht="6" customHeight="1" s="62"/>
    <row r="28" ht="38" customHeight="1" s="62">
      <c r="A28" s="120" t="inlineStr">
        <is>
          <t>Complexité de la solution</t>
        </is>
      </c>
      <c r="B28" s="121" t="inlineStr">
        <is>
          <t>Type d'IA</t>
        </is>
      </c>
      <c r="C28" s="122" t="inlineStr">
        <is>
          <t>Volume de données</t>
        </is>
      </c>
      <c r="D28" s="120" t="inlineStr">
        <is>
          <t>Prototype / POC</t>
        </is>
      </c>
      <c r="P28" s="120" t="inlineStr">
        <is>
          <t>Solution IA simple</t>
        </is>
      </c>
      <c r="AB28" s="120" t="inlineStr">
        <is>
          <t>Solution IA avancée</t>
        </is>
      </c>
      <c r="AN28" s="120" t="inlineStr">
        <is>
          <t>Système IA complexe / mesure</t>
        </is>
      </c>
      <c r="AZ28" s="120" t="inlineStr">
        <is>
          <t>Maintenance / évolution</t>
        </is>
      </c>
    </row>
    <row r="29" ht="38" customHeight="1" s="62">
      <c r="D29" s="121" t="inlineStr">
        <is>
          <t>Intégration SI légère</t>
        </is>
      </c>
      <c r="H29" s="121" t="inlineStr">
        <is>
          <t>Intégration SI standard</t>
        </is>
      </c>
      <c r="L29" s="121" t="inlineStr">
        <is>
          <t>Intégration SI profonde</t>
        </is>
      </c>
      <c r="P29" s="121" t="inlineStr">
        <is>
          <t>Intégration SI légère</t>
        </is>
      </c>
      <c r="T29" s="121" t="inlineStr">
        <is>
          <t>Intégration SI standard</t>
        </is>
      </c>
      <c r="X29" s="121" t="inlineStr">
        <is>
          <t>Intégration SI profonde</t>
        </is>
      </c>
      <c r="AB29" s="121" t="inlineStr">
        <is>
          <t>Intégration SI légère</t>
        </is>
      </c>
      <c r="AF29" s="121" t="inlineStr">
        <is>
          <t>Intégration SI standard</t>
        </is>
      </c>
      <c r="AJ29" s="121" t="inlineStr">
        <is>
          <t>Intégration SI profonde</t>
        </is>
      </c>
      <c r="AN29" s="121" t="inlineStr">
        <is>
          <t>Intégration SI légère</t>
        </is>
      </c>
      <c r="AR29" s="121" t="inlineStr">
        <is>
          <t>Intégration SI standard</t>
        </is>
      </c>
      <c r="AV29" s="121" t="inlineStr">
        <is>
          <t>Intégration SI profonde</t>
        </is>
      </c>
      <c r="AZ29" s="121" t="inlineStr">
        <is>
          <t>Intégration SI légère</t>
        </is>
      </c>
      <c r="BD29" s="121" t="inlineStr">
        <is>
          <t>Intégration SI standard</t>
        </is>
      </c>
      <c r="BH29" s="121" t="inlineStr">
        <is>
          <t>Intégration SI profonde</t>
        </is>
      </c>
    </row>
    <row r="30" ht="38" customHeight="1" s="62">
      <c r="D30" s="122" t="inlineStr">
        <is>
          <t>Sécurité standard</t>
        </is>
      </c>
      <c r="F30" s="122" t="inlineStr">
        <is>
          <t>Sécurité critique (santé, fin.)</t>
        </is>
      </c>
      <c r="H30" s="122" t="inlineStr">
        <is>
          <t>Sécurité standard</t>
        </is>
      </c>
      <c r="J30" s="122" t="inlineStr">
        <is>
          <t>Sécurité critique (santé, fin.)</t>
        </is>
      </c>
      <c r="L30" s="122" t="inlineStr">
        <is>
          <t>Sécurité standard</t>
        </is>
      </c>
      <c r="N30" s="122" t="inlineStr">
        <is>
          <t>Sécurité critique (santé, fin.)</t>
        </is>
      </c>
      <c r="P30" s="122" t="inlineStr">
        <is>
          <t>Sécurité standard</t>
        </is>
      </c>
      <c r="R30" s="122" t="inlineStr">
        <is>
          <t>Sécurité critique (santé, fin.)</t>
        </is>
      </c>
      <c r="T30" s="122" t="inlineStr">
        <is>
          <t>Sécurité standard</t>
        </is>
      </c>
      <c r="V30" s="122" t="inlineStr">
        <is>
          <t>Sécurité critique (santé, fin.)</t>
        </is>
      </c>
      <c r="X30" s="122" t="inlineStr">
        <is>
          <t>Sécurité standard</t>
        </is>
      </c>
      <c r="Z30" s="122" t="inlineStr">
        <is>
          <t>Sécurité critique (santé, fin.)</t>
        </is>
      </c>
      <c r="AB30" s="122" t="inlineStr">
        <is>
          <t>Sécurité standard</t>
        </is>
      </c>
      <c r="AD30" s="122" t="inlineStr">
        <is>
          <t>Sécurité critique (santé, fin.)</t>
        </is>
      </c>
      <c r="AF30" s="122" t="inlineStr">
        <is>
          <t>Sécurité standard</t>
        </is>
      </c>
      <c r="AH30" s="122" t="inlineStr">
        <is>
          <t>Sécurité critique (santé, fin.)</t>
        </is>
      </c>
      <c r="AJ30" s="122" t="inlineStr">
        <is>
          <t>Sécurité standard</t>
        </is>
      </c>
      <c r="AL30" s="122" t="inlineStr">
        <is>
          <t>Sécurité critique (santé, fin.)</t>
        </is>
      </c>
      <c r="AN30" s="122" t="inlineStr">
        <is>
          <t>Sécurité standard</t>
        </is>
      </c>
      <c r="AP30" s="122" t="inlineStr">
        <is>
          <t>Sécurité critique (santé, fin.)</t>
        </is>
      </c>
      <c r="AR30" s="122" t="inlineStr">
        <is>
          <t>Sécurité standard</t>
        </is>
      </c>
      <c r="AT30" s="122" t="inlineStr">
        <is>
          <t>Sécurité critique (santé, fin.)</t>
        </is>
      </c>
      <c r="AV30" s="122" t="inlineStr">
        <is>
          <t>Sécurité standard</t>
        </is>
      </c>
      <c r="AX30" s="122" t="inlineStr">
        <is>
          <t>Sécurité critique (santé, fin.)</t>
        </is>
      </c>
      <c r="AZ30" s="122" t="inlineStr">
        <is>
          <t>Sécurité standard</t>
        </is>
      </c>
      <c r="BB30" s="122" t="inlineStr">
        <is>
          <t>Sécurité critique (santé, fin.)</t>
        </is>
      </c>
      <c r="BD30" s="122" t="inlineStr">
        <is>
          <t>Sécurité standard</t>
        </is>
      </c>
      <c r="BF30" s="122" t="inlineStr">
        <is>
          <t>Sécurité critique (santé, fin.)</t>
        </is>
      </c>
      <c r="BH30" s="122" t="inlineStr">
        <is>
          <t>Sécurité standard</t>
        </is>
      </c>
      <c r="BJ30" s="122" t="inlineStr">
        <is>
          <t>Sécurité critique (santé, fin.)</t>
        </is>
      </c>
    </row>
    <row r="31" ht="38" customHeight="1" s="62">
      <c r="D31" s="123" t="inlineStr">
        <is>
          <t>Distanciel</t>
        </is>
      </c>
      <c r="E31" s="123" t="inlineStr">
        <is>
          <t>Présentiel</t>
        </is>
      </c>
      <c r="F31" s="123" t="inlineStr">
        <is>
          <t>Distanciel</t>
        </is>
      </c>
      <c r="G31" s="123" t="inlineStr">
        <is>
          <t>Présentiel</t>
        </is>
      </c>
      <c r="H31" s="123" t="inlineStr">
        <is>
          <t>Distanciel</t>
        </is>
      </c>
      <c r="I31" s="123" t="inlineStr">
        <is>
          <t>Présentiel</t>
        </is>
      </c>
      <c r="J31" s="123" t="inlineStr">
        <is>
          <t>Distanciel</t>
        </is>
      </c>
      <c r="K31" s="123" t="inlineStr">
        <is>
          <t>Présentiel</t>
        </is>
      </c>
      <c r="L31" s="123" t="inlineStr">
        <is>
          <t>Distanciel</t>
        </is>
      </c>
      <c r="M31" s="123" t="inlineStr">
        <is>
          <t>Présentiel</t>
        </is>
      </c>
      <c r="N31" s="123" t="inlineStr">
        <is>
          <t>Distanciel</t>
        </is>
      </c>
      <c r="O31" s="123" t="inlineStr">
        <is>
          <t>Présentiel</t>
        </is>
      </c>
      <c r="P31" s="123" t="inlineStr">
        <is>
          <t>Distanciel</t>
        </is>
      </c>
      <c r="Q31" s="123" t="inlineStr">
        <is>
          <t>Présentiel</t>
        </is>
      </c>
      <c r="R31" s="123" t="inlineStr">
        <is>
          <t>Distanciel</t>
        </is>
      </c>
      <c r="S31" s="123" t="inlineStr">
        <is>
          <t>Présentiel</t>
        </is>
      </c>
      <c r="T31" s="123" t="inlineStr">
        <is>
          <t>Distanciel</t>
        </is>
      </c>
      <c r="U31" s="123" t="inlineStr">
        <is>
          <t>Présentiel</t>
        </is>
      </c>
      <c r="V31" s="123" t="inlineStr">
        <is>
          <t>Distanciel</t>
        </is>
      </c>
      <c r="W31" s="123" t="inlineStr">
        <is>
          <t>Présentiel</t>
        </is>
      </c>
      <c r="X31" s="123" t="inlineStr">
        <is>
          <t>Distanciel</t>
        </is>
      </c>
      <c r="Y31" s="123" t="inlineStr">
        <is>
          <t>Présentiel</t>
        </is>
      </c>
      <c r="Z31" s="123" t="inlineStr">
        <is>
          <t>Distanciel</t>
        </is>
      </c>
      <c r="AA31" s="123" t="inlineStr">
        <is>
          <t>Présentiel</t>
        </is>
      </c>
      <c r="AB31" s="123" t="inlineStr">
        <is>
          <t>Distanciel</t>
        </is>
      </c>
      <c r="AC31" s="123" t="inlineStr">
        <is>
          <t>Présentiel</t>
        </is>
      </c>
      <c r="AD31" s="123" t="inlineStr">
        <is>
          <t>Distanciel</t>
        </is>
      </c>
      <c r="AE31" s="123" t="inlineStr">
        <is>
          <t>Présentiel</t>
        </is>
      </c>
      <c r="AF31" s="123" t="inlineStr">
        <is>
          <t>Distanciel</t>
        </is>
      </c>
      <c r="AG31" s="123" t="inlineStr">
        <is>
          <t>Présentiel</t>
        </is>
      </c>
      <c r="AH31" s="123" t="inlineStr">
        <is>
          <t>Distanciel</t>
        </is>
      </c>
      <c r="AI31" s="123" t="inlineStr">
        <is>
          <t>Présentiel</t>
        </is>
      </c>
      <c r="AJ31" s="123" t="inlineStr">
        <is>
          <t>Distanciel</t>
        </is>
      </c>
      <c r="AK31" s="123" t="inlineStr">
        <is>
          <t>Présentiel</t>
        </is>
      </c>
      <c r="AL31" s="123" t="inlineStr">
        <is>
          <t>Distanciel</t>
        </is>
      </c>
      <c r="AM31" s="123" t="inlineStr">
        <is>
          <t>Présentiel</t>
        </is>
      </c>
      <c r="AN31" s="123" t="inlineStr">
        <is>
          <t>Distanciel</t>
        </is>
      </c>
      <c r="AO31" s="123" t="inlineStr">
        <is>
          <t>Présentiel</t>
        </is>
      </c>
      <c r="AP31" s="123" t="inlineStr">
        <is>
          <t>Distanciel</t>
        </is>
      </c>
      <c r="AQ31" s="123" t="inlineStr">
        <is>
          <t>Présentiel</t>
        </is>
      </c>
      <c r="AR31" s="123" t="inlineStr">
        <is>
          <t>Distanciel</t>
        </is>
      </c>
      <c r="AS31" s="123" t="inlineStr">
        <is>
          <t>Présentiel</t>
        </is>
      </c>
      <c r="AT31" s="123" t="inlineStr">
        <is>
          <t>Distanciel</t>
        </is>
      </c>
      <c r="AU31" s="123" t="inlineStr">
        <is>
          <t>Présentiel</t>
        </is>
      </c>
      <c r="AV31" s="123" t="inlineStr">
        <is>
          <t>Distanciel</t>
        </is>
      </c>
      <c r="AW31" s="123" t="inlineStr">
        <is>
          <t>Présentiel</t>
        </is>
      </c>
      <c r="AX31" s="123" t="inlineStr">
        <is>
          <t>Distanciel</t>
        </is>
      </c>
      <c r="AY31" s="123" t="inlineStr">
        <is>
          <t>Présentiel</t>
        </is>
      </c>
      <c r="AZ31" s="123" t="inlineStr">
        <is>
          <t>Distanciel</t>
        </is>
      </c>
      <c r="BA31" s="123" t="inlineStr">
        <is>
          <t>Présentiel</t>
        </is>
      </c>
      <c r="BB31" s="123" t="inlineStr">
        <is>
          <t>Distanciel</t>
        </is>
      </c>
      <c r="BC31" s="123" t="inlineStr">
        <is>
          <t>Présentiel</t>
        </is>
      </c>
      <c r="BD31" s="123" t="inlineStr">
        <is>
          <t>Distanciel</t>
        </is>
      </c>
      <c r="BE31" s="123" t="inlineStr">
        <is>
          <t>Présentiel</t>
        </is>
      </c>
      <c r="BF31" s="123" t="inlineStr">
        <is>
          <t>Distanciel</t>
        </is>
      </c>
      <c r="BG31" s="123" t="inlineStr">
        <is>
          <t>Présentiel</t>
        </is>
      </c>
      <c r="BH31" s="123" t="inlineStr">
        <is>
          <t>Distanciel</t>
        </is>
      </c>
      <c r="BI31" s="123" t="inlineStr">
        <is>
          <t>Présentiel</t>
        </is>
      </c>
      <c r="BJ31" s="123" t="inlineStr">
        <is>
          <t>Distanciel</t>
        </is>
      </c>
      <c r="BK31" s="123" t="inlineStr">
        <is>
          <t>Présentiel</t>
        </is>
      </c>
    </row>
    <row r="32" ht="20" customHeight="1" s="62">
      <c r="A32" s="124" t="inlineStr">
        <is>
          <t>Complexité simple</t>
        </is>
      </c>
      <c r="B32" s="125" t="inlineStr">
        <is>
          <t>IA générative</t>
        </is>
      </c>
      <c r="C32" s="126" t="inlineStr">
        <is>
          <t>Volume données faible</t>
        </is>
      </c>
      <c r="D32" s="127">
        <f>ROUND($B$4*$B$10*$B$13*$B$16*$B$19*$B$22*$B$24,0)</f>
        <v/>
      </c>
      <c r="E32" s="127">
        <f>ROUND($B$4*$B$10*$B$13*$B$16*$B$19*$B$22*$B$25,0)</f>
        <v/>
      </c>
      <c r="F32" s="127">
        <f>ROUND($B$4*$B$10*$B$13*$B$16*$B$19*$B$23*$B$24,0)</f>
        <v/>
      </c>
      <c r="G32" s="127">
        <f>ROUND($B$4*$B$10*$B$13*$B$16*$B$19*$B$23*$B$25,0)</f>
        <v/>
      </c>
      <c r="H32" s="127">
        <f>ROUND($B$4*$B$10*$B$13*$B$16*$B$20*$B$22*$B$24,0)</f>
        <v/>
      </c>
      <c r="I32" s="127">
        <f>ROUND($B$4*$B$10*$B$13*$B$16*$B$20*$B$22*$B$25,0)</f>
        <v/>
      </c>
      <c r="J32" s="127">
        <f>ROUND($B$4*$B$10*$B$13*$B$16*$B$20*$B$23*$B$24,0)</f>
        <v/>
      </c>
      <c r="K32" s="127">
        <f>ROUND($B$4*$B$10*$B$13*$B$16*$B$20*$B$23*$B$25,0)</f>
        <v/>
      </c>
      <c r="L32" s="127">
        <f>ROUND($B$4*$B$10*$B$13*$B$16*$B$21*$B$22*$B$24,0)</f>
        <v/>
      </c>
      <c r="M32" s="127">
        <f>ROUND($B$4*$B$10*$B$13*$B$16*$B$21*$B$22*$B$25,0)</f>
        <v/>
      </c>
      <c r="N32" s="127">
        <f>ROUND($B$4*$B$10*$B$13*$B$16*$B$21*$B$23*$B$24,0)</f>
        <v/>
      </c>
      <c r="O32" s="127">
        <f>ROUND($B$4*$B$10*$B$13*$B$16*$B$21*$B$23*$B$25,0)</f>
        <v/>
      </c>
      <c r="P32" s="127">
        <f>ROUND($B$5*$B$10*$B$13*$B$16*$B$19*$B$22*$B$24,0)</f>
        <v/>
      </c>
      <c r="Q32" s="127">
        <f>ROUND($B$5*$B$10*$B$13*$B$16*$B$19*$B$22*$B$25,0)</f>
        <v/>
      </c>
      <c r="R32" s="127">
        <f>ROUND($B$5*$B$10*$B$13*$B$16*$B$19*$B$23*$B$24,0)</f>
        <v/>
      </c>
      <c r="S32" s="127">
        <f>ROUND($B$5*$B$10*$B$13*$B$16*$B$19*$B$23*$B$25,0)</f>
        <v/>
      </c>
      <c r="T32" s="127">
        <f>ROUND($B$5*$B$10*$B$13*$B$16*$B$20*$B$22*$B$24,0)</f>
        <v/>
      </c>
      <c r="U32" s="127">
        <f>ROUND($B$5*$B$10*$B$13*$B$16*$B$20*$B$22*$B$25,0)</f>
        <v/>
      </c>
      <c r="V32" s="127">
        <f>ROUND($B$5*$B$10*$B$13*$B$16*$B$20*$B$23*$B$24,0)</f>
        <v/>
      </c>
      <c r="W32" s="127">
        <f>ROUND($B$5*$B$10*$B$13*$B$16*$B$20*$B$23*$B$25,0)</f>
        <v/>
      </c>
      <c r="X32" s="127">
        <f>ROUND($B$5*$B$10*$B$13*$B$16*$B$21*$B$22*$B$24,0)</f>
        <v/>
      </c>
      <c r="Y32" s="127">
        <f>ROUND($B$5*$B$10*$B$13*$B$16*$B$21*$B$22*$B$25,0)</f>
        <v/>
      </c>
      <c r="Z32" s="127">
        <f>ROUND($B$5*$B$10*$B$13*$B$16*$B$21*$B$23*$B$24,0)</f>
        <v/>
      </c>
      <c r="AA32" s="127">
        <f>ROUND($B$5*$B$10*$B$13*$B$16*$B$21*$B$23*$B$25,0)</f>
        <v/>
      </c>
      <c r="AB32" s="127">
        <f>ROUND($B$6*$B$10*$B$13*$B$16*$B$19*$B$22*$B$24,0)</f>
        <v/>
      </c>
      <c r="AC32" s="127">
        <f>ROUND($B$6*$B$10*$B$13*$B$16*$B$19*$B$22*$B$25,0)</f>
        <v/>
      </c>
      <c r="AD32" s="127">
        <f>ROUND($B$6*$B$10*$B$13*$B$16*$B$19*$B$23*$B$24,0)</f>
        <v/>
      </c>
      <c r="AE32" s="127">
        <f>ROUND($B$6*$B$10*$B$13*$B$16*$B$19*$B$23*$B$25,0)</f>
        <v/>
      </c>
      <c r="AF32" s="127">
        <f>ROUND($B$6*$B$10*$B$13*$B$16*$B$20*$B$22*$B$24,0)</f>
        <v/>
      </c>
      <c r="AG32" s="127">
        <f>ROUND($B$6*$B$10*$B$13*$B$16*$B$20*$B$22*$B$25,0)</f>
        <v/>
      </c>
      <c r="AH32" s="127">
        <f>ROUND($B$6*$B$10*$B$13*$B$16*$B$20*$B$23*$B$24,0)</f>
        <v/>
      </c>
      <c r="AI32" s="127">
        <f>ROUND($B$6*$B$10*$B$13*$B$16*$B$20*$B$23*$B$25,0)</f>
        <v/>
      </c>
      <c r="AJ32" s="127">
        <f>ROUND($B$6*$B$10*$B$13*$B$16*$B$21*$B$22*$B$24,0)</f>
        <v/>
      </c>
      <c r="AK32" s="127">
        <f>ROUND($B$6*$B$10*$B$13*$B$16*$B$21*$B$22*$B$25,0)</f>
        <v/>
      </c>
      <c r="AL32" s="127">
        <f>ROUND($B$6*$B$10*$B$13*$B$16*$B$21*$B$23*$B$24,0)</f>
        <v/>
      </c>
      <c r="AM32" s="127">
        <f>ROUND($B$6*$B$10*$B$13*$B$16*$B$21*$B$23*$B$25,0)</f>
        <v/>
      </c>
      <c r="AN32" s="127">
        <f>ROUND($B$7*$B$10*$B$13*$B$16*$B$19*$B$22*$B$24,0)</f>
        <v/>
      </c>
      <c r="AO32" s="127">
        <f>ROUND($B$7*$B$10*$B$13*$B$16*$B$19*$B$22*$B$25,0)</f>
        <v/>
      </c>
      <c r="AP32" s="127">
        <f>ROUND($B$7*$B$10*$B$13*$B$16*$B$19*$B$23*$B$24,0)</f>
        <v/>
      </c>
      <c r="AQ32" s="127">
        <f>ROUND($B$7*$B$10*$B$13*$B$16*$B$19*$B$23*$B$25,0)</f>
        <v/>
      </c>
      <c r="AR32" s="127">
        <f>ROUND($B$7*$B$10*$B$13*$B$16*$B$20*$B$22*$B$24,0)</f>
        <v/>
      </c>
      <c r="AS32" s="127">
        <f>ROUND($B$7*$B$10*$B$13*$B$16*$B$20*$B$22*$B$25,0)</f>
        <v/>
      </c>
      <c r="AT32" s="127">
        <f>ROUND($B$7*$B$10*$B$13*$B$16*$B$20*$B$23*$B$24,0)</f>
        <v/>
      </c>
      <c r="AU32" s="127">
        <f>ROUND($B$7*$B$10*$B$13*$B$16*$B$20*$B$23*$B$25,0)</f>
        <v/>
      </c>
      <c r="AV32" s="127">
        <f>ROUND($B$7*$B$10*$B$13*$B$16*$B$21*$B$22*$B$24,0)</f>
        <v/>
      </c>
      <c r="AW32" s="127">
        <f>ROUND($B$7*$B$10*$B$13*$B$16*$B$21*$B$22*$B$25,0)</f>
        <v/>
      </c>
      <c r="AX32" s="127">
        <f>ROUND($B$7*$B$10*$B$13*$B$16*$B$21*$B$23*$B$24,0)</f>
        <v/>
      </c>
      <c r="AY32" s="127">
        <f>ROUND($B$7*$B$10*$B$13*$B$16*$B$21*$B$23*$B$25,0)</f>
        <v/>
      </c>
      <c r="AZ32" s="128">
        <f>ROUND($B$8*$B$10*$B$13*$B$16*$B$19*$B$22*$B$24,0)</f>
        <v/>
      </c>
      <c r="BA32" s="128">
        <f>ROUND($B$8*$B$10*$B$13*$B$16*$B$19*$B$22*$B$25,0)</f>
        <v/>
      </c>
      <c r="BB32" s="128">
        <f>ROUND($B$8*$B$10*$B$13*$B$16*$B$19*$B$23*$B$24,0)</f>
        <v/>
      </c>
      <c r="BC32" s="128">
        <f>ROUND($B$8*$B$10*$B$13*$B$16*$B$19*$B$23*$B$25,0)</f>
        <v/>
      </c>
      <c r="BD32" s="128">
        <f>ROUND($B$8*$B$10*$B$13*$B$16*$B$20*$B$22*$B$24,0)</f>
        <v/>
      </c>
      <c r="BE32" s="128">
        <f>ROUND($B$8*$B$10*$B$13*$B$16*$B$20*$B$22*$B$25,0)</f>
        <v/>
      </c>
      <c r="BF32" s="128">
        <f>ROUND($B$8*$B$10*$B$13*$B$16*$B$20*$B$23*$B$24,0)</f>
        <v/>
      </c>
      <c r="BG32" s="128">
        <f>ROUND($B$8*$B$10*$B$13*$B$16*$B$20*$B$23*$B$25,0)</f>
        <v/>
      </c>
      <c r="BH32" s="128">
        <f>ROUND($B$8*$B$10*$B$13*$B$16*$B$21*$B$22*$B$24,0)</f>
        <v/>
      </c>
      <c r="BI32" s="128">
        <f>ROUND($B$8*$B$10*$B$13*$B$16*$B$21*$B$22*$B$25,0)</f>
        <v/>
      </c>
      <c r="BJ32" s="128">
        <f>ROUND($B$8*$B$10*$B$13*$B$16*$B$21*$B$23*$B$24,0)</f>
        <v/>
      </c>
      <c r="BK32" s="128">
        <f>ROUND($B$8*$B$10*$B$13*$B$16*$B$21*$B$23*$B$25,0)</f>
        <v/>
      </c>
    </row>
    <row r="33" ht="20" customHeight="1" s="62">
      <c r="C33" s="125" t="inlineStr">
        <is>
          <t>Volume données moyen</t>
        </is>
      </c>
      <c r="D33" s="127">
        <f>ROUND($B$4*$B$10*$B$13*$B$17*$B$19*$B$22*$B$24,0)</f>
        <v/>
      </c>
      <c r="E33" s="127">
        <f>ROUND($B$4*$B$10*$B$13*$B$17*$B$19*$B$22*$B$25,0)</f>
        <v/>
      </c>
      <c r="F33" s="127">
        <f>ROUND($B$4*$B$10*$B$13*$B$17*$B$19*$B$23*$B$24,0)</f>
        <v/>
      </c>
      <c r="G33" s="127">
        <f>ROUND($B$4*$B$10*$B$13*$B$17*$B$19*$B$23*$B$25,0)</f>
        <v/>
      </c>
      <c r="H33" s="127">
        <f>ROUND($B$4*$B$10*$B$13*$B$17*$B$20*$B$22*$B$24,0)</f>
        <v/>
      </c>
      <c r="I33" s="127">
        <f>ROUND($B$4*$B$10*$B$13*$B$17*$B$20*$B$22*$B$25,0)</f>
        <v/>
      </c>
      <c r="J33" s="127">
        <f>ROUND($B$4*$B$10*$B$13*$B$17*$B$20*$B$23*$B$24,0)</f>
        <v/>
      </c>
      <c r="K33" s="127">
        <f>ROUND($B$4*$B$10*$B$13*$B$17*$B$20*$B$23*$B$25,0)</f>
        <v/>
      </c>
      <c r="L33" s="127">
        <f>ROUND($B$4*$B$10*$B$13*$B$17*$B$21*$B$22*$B$24,0)</f>
        <v/>
      </c>
      <c r="M33" s="127">
        <f>ROUND($B$4*$B$10*$B$13*$B$17*$B$21*$B$22*$B$25,0)</f>
        <v/>
      </c>
      <c r="N33" s="127">
        <f>ROUND($B$4*$B$10*$B$13*$B$17*$B$21*$B$23*$B$24,0)</f>
        <v/>
      </c>
      <c r="O33" s="127">
        <f>ROUND($B$4*$B$10*$B$13*$B$17*$B$21*$B$23*$B$25,0)</f>
        <v/>
      </c>
      <c r="P33" s="127">
        <f>ROUND($B$5*$B$10*$B$13*$B$17*$B$19*$B$22*$B$24,0)</f>
        <v/>
      </c>
      <c r="Q33" s="127">
        <f>ROUND($B$5*$B$10*$B$13*$B$17*$B$19*$B$22*$B$25,0)</f>
        <v/>
      </c>
      <c r="R33" s="127">
        <f>ROUND($B$5*$B$10*$B$13*$B$17*$B$19*$B$23*$B$24,0)</f>
        <v/>
      </c>
      <c r="S33" s="127">
        <f>ROUND($B$5*$B$10*$B$13*$B$17*$B$19*$B$23*$B$25,0)</f>
        <v/>
      </c>
      <c r="T33" s="127">
        <f>ROUND($B$5*$B$10*$B$13*$B$17*$B$20*$B$22*$B$24,0)</f>
        <v/>
      </c>
      <c r="U33" s="127">
        <f>ROUND($B$5*$B$10*$B$13*$B$17*$B$20*$B$22*$B$25,0)</f>
        <v/>
      </c>
      <c r="V33" s="127">
        <f>ROUND($B$5*$B$10*$B$13*$B$17*$B$20*$B$23*$B$24,0)</f>
        <v/>
      </c>
      <c r="W33" s="127">
        <f>ROUND($B$5*$B$10*$B$13*$B$17*$B$20*$B$23*$B$25,0)</f>
        <v/>
      </c>
      <c r="X33" s="127">
        <f>ROUND($B$5*$B$10*$B$13*$B$17*$B$21*$B$22*$B$24,0)</f>
        <v/>
      </c>
      <c r="Y33" s="127">
        <f>ROUND($B$5*$B$10*$B$13*$B$17*$B$21*$B$22*$B$25,0)</f>
        <v/>
      </c>
      <c r="Z33" s="127">
        <f>ROUND($B$5*$B$10*$B$13*$B$17*$B$21*$B$23*$B$24,0)</f>
        <v/>
      </c>
      <c r="AA33" s="127">
        <f>ROUND($B$5*$B$10*$B$13*$B$17*$B$21*$B$23*$B$25,0)</f>
        <v/>
      </c>
      <c r="AB33" s="127">
        <f>ROUND($B$6*$B$10*$B$13*$B$17*$B$19*$B$22*$B$24,0)</f>
        <v/>
      </c>
      <c r="AC33" s="127">
        <f>ROUND($B$6*$B$10*$B$13*$B$17*$B$19*$B$22*$B$25,0)</f>
        <v/>
      </c>
      <c r="AD33" s="127">
        <f>ROUND($B$6*$B$10*$B$13*$B$17*$B$19*$B$23*$B$24,0)</f>
        <v/>
      </c>
      <c r="AE33" s="127">
        <f>ROUND($B$6*$B$10*$B$13*$B$17*$B$19*$B$23*$B$25,0)</f>
        <v/>
      </c>
      <c r="AF33" s="127">
        <f>ROUND($B$6*$B$10*$B$13*$B$17*$B$20*$B$22*$B$24,0)</f>
        <v/>
      </c>
      <c r="AG33" s="127">
        <f>ROUND($B$6*$B$10*$B$13*$B$17*$B$20*$B$22*$B$25,0)</f>
        <v/>
      </c>
      <c r="AH33" s="127">
        <f>ROUND($B$6*$B$10*$B$13*$B$17*$B$20*$B$23*$B$24,0)</f>
        <v/>
      </c>
      <c r="AI33" s="127">
        <f>ROUND($B$6*$B$10*$B$13*$B$17*$B$20*$B$23*$B$25,0)</f>
        <v/>
      </c>
      <c r="AJ33" s="127">
        <f>ROUND($B$6*$B$10*$B$13*$B$17*$B$21*$B$22*$B$24,0)</f>
        <v/>
      </c>
      <c r="AK33" s="127">
        <f>ROUND($B$6*$B$10*$B$13*$B$17*$B$21*$B$22*$B$25,0)</f>
        <v/>
      </c>
      <c r="AL33" s="127">
        <f>ROUND($B$6*$B$10*$B$13*$B$17*$B$21*$B$23*$B$24,0)</f>
        <v/>
      </c>
      <c r="AM33" s="127">
        <f>ROUND($B$6*$B$10*$B$13*$B$17*$B$21*$B$23*$B$25,0)</f>
        <v/>
      </c>
      <c r="AN33" s="127">
        <f>ROUND($B$7*$B$10*$B$13*$B$17*$B$19*$B$22*$B$24,0)</f>
        <v/>
      </c>
      <c r="AO33" s="127">
        <f>ROUND($B$7*$B$10*$B$13*$B$17*$B$19*$B$22*$B$25,0)</f>
        <v/>
      </c>
      <c r="AP33" s="127">
        <f>ROUND($B$7*$B$10*$B$13*$B$17*$B$19*$B$23*$B$24,0)</f>
        <v/>
      </c>
      <c r="AQ33" s="127">
        <f>ROUND($B$7*$B$10*$B$13*$B$17*$B$19*$B$23*$B$25,0)</f>
        <v/>
      </c>
      <c r="AR33" s="127">
        <f>ROUND($B$7*$B$10*$B$13*$B$17*$B$20*$B$22*$B$24,0)</f>
        <v/>
      </c>
      <c r="AS33" s="127">
        <f>ROUND($B$7*$B$10*$B$13*$B$17*$B$20*$B$22*$B$25,0)</f>
        <v/>
      </c>
      <c r="AT33" s="127">
        <f>ROUND($B$7*$B$10*$B$13*$B$17*$B$20*$B$23*$B$24,0)</f>
        <v/>
      </c>
      <c r="AU33" s="127">
        <f>ROUND($B$7*$B$10*$B$13*$B$17*$B$20*$B$23*$B$25,0)</f>
        <v/>
      </c>
      <c r="AV33" s="127">
        <f>ROUND($B$7*$B$10*$B$13*$B$17*$B$21*$B$22*$B$24,0)</f>
        <v/>
      </c>
      <c r="AW33" s="127">
        <f>ROUND($B$7*$B$10*$B$13*$B$17*$B$21*$B$22*$B$25,0)</f>
        <v/>
      </c>
      <c r="AX33" s="127">
        <f>ROUND($B$7*$B$10*$B$13*$B$17*$B$21*$B$23*$B$24,0)</f>
        <v/>
      </c>
      <c r="AY33" s="127">
        <f>ROUND($B$7*$B$10*$B$13*$B$17*$B$21*$B$23*$B$25,0)</f>
        <v/>
      </c>
      <c r="AZ33" s="128">
        <f>ROUND($B$8*$B$10*$B$13*$B$17*$B$19*$B$22*$B$24,0)</f>
        <v/>
      </c>
      <c r="BA33" s="128">
        <f>ROUND($B$8*$B$10*$B$13*$B$17*$B$19*$B$22*$B$25,0)</f>
        <v/>
      </c>
      <c r="BB33" s="128">
        <f>ROUND($B$8*$B$10*$B$13*$B$17*$B$19*$B$23*$B$24,0)</f>
        <v/>
      </c>
      <c r="BC33" s="128">
        <f>ROUND($B$8*$B$10*$B$13*$B$17*$B$19*$B$23*$B$25,0)</f>
        <v/>
      </c>
      <c r="BD33" s="128">
        <f>ROUND($B$8*$B$10*$B$13*$B$17*$B$20*$B$22*$B$24,0)</f>
        <v/>
      </c>
      <c r="BE33" s="128">
        <f>ROUND($B$8*$B$10*$B$13*$B$17*$B$20*$B$22*$B$25,0)</f>
        <v/>
      </c>
      <c r="BF33" s="128">
        <f>ROUND($B$8*$B$10*$B$13*$B$17*$B$20*$B$23*$B$24,0)</f>
        <v/>
      </c>
      <c r="BG33" s="128">
        <f>ROUND($B$8*$B$10*$B$13*$B$17*$B$20*$B$23*$B$25,0)</f>
        <v/>
      </c>
      <c r="BH33" s="128">
        <f>ROUND($B$8*$B$10*$B$13*$B$17*$B$21*$B$22*$B$24,0)</f>
        <v/>
      </c>
      <c r="BI33" s="128">
        <f>ROUND($B$8*$B$10*$B$13*$B$17*$B$21*$B$22*$B$25,0)</f>
        <v/>
      </c>
      <c r="BJ33" s="128">
        <f>ROUND($B$8*$B$10*$B$13*$B$17*$B$21*$B$23*$B$24,0)</f>
        <v/>
      </c>
      <c r="BK33" s="128">
        <f>ROUND($B$8*$B$10*$B$13*$B$17*$B$21*$B$23*$B$25,0)</f>
        <v/>
      </c>
    </row>
    <row r="34" ht="20" customHeight="1" s="62">
      <c r="C34" s="129" t="inlineStr">
        <is>
          <t>Volume données élevé</t>
        </is>
      </c>
      <c r="D34" s="127">
        <f>ROUND($B$4*$B$10*$B$13*$B$18*$B$19*$B$22*$B$24,0)</f>
        <v/>
      </c>
      <c r="E34" s="127">
        <f>ROUND($B$4*$B$10*$B$13*$B$18*$B$19*$B$22*$B$25,0)</f>
        <v/>
      </c>
      <c r="F34" s="127">
        <f>ROUND($B$4*$B$10*$B$13*$B$18*$B$19*$B$23*$B$24,0)</f>
        <v/>
      </c>
      <c r="G34" s="127">
        <f>ROUND($B$4*$B$10*$B$13*$B$18*$B$19*$B$23*$B$25,0)</f>
        <v/>
      </c>
      <c r="H34" s="127">
        <f>ROUND($B$4*$B$10*$B$13*$B$18*$B$20*$B$22*$B$24,0)</f>
        <v/>
      </c>
      <c r="I34" s="127">
        <f>ROUND($B$4*$B$10*$B$13*$B$18*$B$20*$B$22*$B$25,0)</f>
        <v/>
      </c>
      <c r="J34" s="127">
        <f>ROUND($B$4*$B$10*$B$13*$B$18*$B$20*$B$23*$B$24,0)</f>
        <v/>
      </c>
      <c r="K34" s="127">
        <f>ROUND($B$4*$B$10*$B$13*$B$18*$B$20*$B$23*$B$25,0)</f>
        <v/>
      </c>
      <c r="L34" s="127">
        <f>ROUND($B$4*$B$10*$B$13*$B$18*$B$21*$B$22*$B$24,0)</f>
        <v/>
      </c>
      <c r="M34" s="127">
        <f>ROUND($B$4*$B$10*$B$13*$B$18*$B$21*$B$22*$B$25,0)</f>
        <v/>
      </c>
      <c r="N34" s="127">
        <f>ROUND($B$4*$B$10*$B$13*$B$18*$B$21*$B$23*$B$24,0)</f>
        <v/>
      </c>
      <c r="O34" s="127">
        <f>ROUND($B$4*$B$10*$B$13*$B$18*$B$21*$B$23*$B$25,0)</f>
        <v/>
      </c>
      <c r="P34" s="127">
        <f>ROUND($B$5*$B$10*$B$13*$B$18*$B$19*$B$22*$B$24,0)</f>
        <v/>
      </c>
      <c r="Q34" s="127">
        <f>ROUND($B$5*$B$10*$B$13*$B$18*$B$19*$B$22*$B$25,0)</f>
        <v/>
      </c>
      <c r="R34" s="127">
        <f>ROUND($B$5*$B$10*$B$13*$B$18*$B$19*$B$23*$B$24,0)</f>
        <v/>
      </c>
      <c r="S34" s="127">
        <f>ROUND($B$5*$B$10*$B$13*$B$18*$B$19*$B$23*$B$25,0)</f>
        <v/>
      </c>
      <c r="T34" s="127">
        <f>ROUND($B$5*$B$10*$B$13*$B$18*$B$20*$B$22*$B$24,0)</f>
        <v/>
      </c>
      <c r="U34" s="127">
        <f>ROUND($B$5*$B$10*$B$13*$B$18*$B$20*$B$22*$B$25,0)</f>
        <v/>
      </c>
      <c r="V34" s="127">
        <f>ROUND($B$5*$B$10*$B$13*$B$18*$B$20*$B$23*$B$24,0)</f>
        <v/>
      </c>
      <c r="W34" s="127">
        <f>ROUND($B$5*$B$10*$B$13*$B$18*$B$20*$B$23*$B$25,0)</f>
        <v/>
      </c>
      <c r="X34" s="127">
        <f>ROUND($B$5*$B$10*$B$13*$B$18*$B$21*$B$22*$B$24,0)</f>
        <v/>
      </c>
      <c r="Y34" s="127">
        <f>ROUND($B$5*$B$10*$B$13*$B$18*$B$21*$B$22*$B$25,0)</f>
        <v/>
      </c>
      <c r="Z34" s="127">
        <f>ROUND($B$5*$B$10*$B$13*$B$18*$B$21*$B$23*$B$24,0)</f>
        <v/>
      </c>
      <c r="AA34" s="127">
        <f>ROUND($B$5*$B$10*$B$13*$B$18*$B$21*$B$23*$B$25,0)</f>
        <v/>
      </c>
      <c r="AB34" s="127">
        <f>ROUND($B$6*$B$10*$B$13*$B$18*$B$19*$B$22*$B$24,0)</f>
        <v/>
      </c>
      <c r="AC34" s="127">
        <f>ROUND($B$6*$B$10*$B$13*$B$18*$B$19*$B$22*$B$25,0)</f>
        <v/>
      </c>
      <c r="AD34" s="127">
        <f>ROUND($B$6*$B$10*$B$13*$B$18*$B$19*$B$23*$B$24,0)</f>
        <v/>
      </c>
      <c r="AE34" s="127">
        <f>ROUND($B$6*$B$10*$B$13*$B$18*$B$19*$B$23*$B$25,0)</f>
        <v/>
      </c>
      <c r="AF34" s="127">
        <f>ROUND($B$6*$B$10*$B$13*$B$18*$B$20*$B$22*$B$24,0)</f>
        <v/>
      </c>
      <c r="AG34" s="127">
        <f>ROUND($B$6*$B$10*$B$13*$B$18*$B$20*$B$22*$B$25,0)</f>
        <v/>
      </c>
      <c r="AH34" s="127">
        <f>ROUND($B$6*$B$10*$B$13*$B$18*$B$20*$B$23*$B$24,0)</f>
        <v/>
      </c>
      <c r="AI34" s="127">
        <f>ROUND($B$6*$B$10*$B$13*$B$18*$B$20*$B$23*$B$25,0)</f>
        <v/>
      </c>
      <c r="AJ34" s="127">
        <f>ROUND($B$6*$B$10*$B$13*$B$18*$B$21*$B$22*$B$24,0)</f>
        <v/>
      </c>
      <c r="AK34" s="127">
        <f>ROUND($B$6*$B$10*$B$13*$B$18*$B$21*$B$22*$B$25,0)</f>
        <v/>
      </c>
      <c r="AL34" s="127">
        <f>ROUND($B$6*$B$10*$B$13*$B$18*$B$21*$B$23*$B$24,0)</f>
        <v/>
      </c>
      <c r="AM34" s="127">
        <f>ROUND($B$6*$B$10*$B$13*$B$18*$B$21*$B$23*$B$25,0)</f>
        <v/>
      </c>
      <c r="AN34" s="127">
        <f>ROUND($B$7*$B$10*$B$13*$B$18*$B$19*$B$22*$B$24,0)</f>
        <v/>
      </c>
      <c r="AO34" s="127">
        <f>ROUND($B$7*$B$10*$B$13*$B$18*$B$19*$B$22*$B$25,0)</f>
        <v/>
      </c>
      <c r="AP34" s="127">
        <f>ROUND($B$7*$B$10*$B$13*$B$18*$B$19*$B$23*$B$24,0)</f>
        <v/>
      </c>
      <c r="AQ34" s="127">
        <f>ROUND($B$7*$B$10*$B$13*$B$18*$B$19*$B$23*$B$25,0)</f>
        <v/>
      </c>
      <c r="AR34" s="127">
        <f>ROUND($B$7*$B$10*$B$13*$B$18*$B$20*$B$22*$B$24,0)</f>
        <v/>
      </c>
      <c r="AS34" s="127">
        <f>ROUND($B$7*$B$10*$B$13*$B$18*$B$20*$B$22*$B$25,0)</f>
        <v/>
      </c>
      <c r="AT34" s="127">
        <f>ROUND($B$7*$B$10*$B$13*$B$18*$B$20*$B$23*$B$24,0)</f>
        <v/>
      </c>
      <c r="AU34" s="127">
        <f>ROUND($B$7*$B$10*$B$13*$B$18*$B$20*$B$23*$B$25,0)</f>
        <v/>
      </c>
      <c r="AV34" s="127">
        <f>ROUND($B$7*$B$10*$B$13*$B$18*$B$21*$B$22*$B$24,0)</f>
        <v/>
      </c>
      <c r="AW34" s="127">
        <f>ROUND($B$7*$B$10*$B$13*$B$18*$B$21*$B$22*$B$25,0)</f>
        <v/>
      </c>
      <c r="AX34" s="127">
        <f>ROUND($B$7*$B$10*$B$13*$B$18*$B$21*$B$23*$B$24,0)</f>
        <v/>
      </c>
      <c r="AY34" s="127">
        <f>ROUND($B$7*$B$10*$B$13*$B$18*$B$21*$B$23*$B$25,0)</f>
        <v/>
      </c>
      <c r="AZ34" s="128">
        <f>ROUND($B$8*$B$10*$B$13*$B$18*$B$19*$B$22*$B$24,0)</f>
        <v/>
      </c>
      <c r="BA34" s="128">
        <f>ROUND($B$8*$B$10*$B$13*$B$18*$B$19*$B$22*$B$25,0)</f>
        <v/>
      </c>
      <c r="BB34" s="128">
        <f>ROUND($B$8*$B$10*$B$13*$B$18*$B$19*$B$23*$B$24,0)</f>
        <v/>
      </c>
      <c r="BC34" s="128">
        <f>ROUND($B$8*$B$10*$B$13*$B$18*$B$19*$B$23*$B$25,0)</f>
        <v/>
      </c>
      <c r="BD34" s="128">
        <f>ROUND($B$8*$B$10*$B$13*$B$18*$B$20*$B$22*$B$24,0)</f>
        <v/>
      </c>
      <c r="BE34" s="128">
        <f>ROUND($B$8*$B$10*$B$13*$B$18*$B$20*$B$22*$B$25,0)</f>
        <v/>
      </c>
      <c r="BF34" s="128">
        <f>ROUND($B$8*$B$10*$B$13*$B$18*$B$20*$B$23*$B$24,0)</f>
        <v/>
      </c>
      <c r="BG34" s="128">
        <f>ROUND($B$8*$B$10*$B$13*$B$18*$B$20*$B$23*$B$25,0)</f>
        <v/>
      </c>
      <c r="BH34" s="128">
        <f>ROUND($B$8*$B$10*$B$13*$B$18*$B$21*$B$22*$B$24,0)</f>
        <v/>
      </c>
      <c r="BI34" s="128">
        <f>ROUND($B$8*$B$10*$B$13*$B$18*$B$21*$B$22*$B$25,0)</f>
        <v/>
      </c>
      <c r="BJ34" s="128">
        <f>ROUND($B$8*$B$10*$B$13*$B$18*$B$21*$B$23*$B$24,0)</f>
        <v/>
      </c>
      <c r="BK34" s="128">
        <f>ROUND($B$8*$B$10*$B$13*$B$18*$B$21*$B$23*$B$25,0)</f>
        <v/>
      </c>
    </row>
    <row r="35" ht="20" customHeight="1" s="62">
      <c r="B35" s="125" t="inlineStr">
        <is>
          <t>IA prédictive / ML</t>
        </is>
      </c>
      <c r="C35" s="126" t="inlineStr">
        <is>
          <t>Volume données faible</t>
        </is>
      </c>
      <c r="D35" s="127">
        <f>ROUND($B$4*$B$10*$B$14*$B$16*$B$19*$B$22*$B$24,0)</f>
        <v/>
      </c>
      <c r="E35" s="127">
        <f>ROUND($B$4*$B$10*$B$14*$B$16*$B$19*$B$22*$B$25,0)</f>
        <v/>
      </c>
      <c r="F35" s="127">
        <f>ROUND($B$4*$B$10*$B$14*$B$16*$B$19*$B$23*$B$24,0)</f>
        <v/>
      </c>
      <c r="G35" s="127">
        <f>ROUND($B$4*$B$10*$B$14*$B$16*$B$19*$B$23*$B$25,0)</f>
        <v/>
      </c>
      <c r="H35" s="127">
        <f>ROUND($B$4*$B$10*$B$14*$B$16*$B$20*$B$22*$B$24,0)</f>
        <v/>
      </c>
      <c r="I35" s="127">
        <f>ROUND($B$4*$B$10*$B$14*$B$16*$B$20*$B$22*$B$25,0)</f>
        <v/>
      </c>
      <c r="J35" s="127">
        <f>ROUND($B$4*$B$10*$B$14*$B$16*$B$20*$B$23*$B$24,0)</f>
        <v/>
      </c>
      <c r="K35" s="127">
        <f>ROUND($B$4*$B$10*$B$14*$B$16*$B$20*$B$23*$B$25,0)</f>
        <v/>
      </c>
      <c r="L35" s="127">
        <f>ROUND($B$4*$B$10*$B$14*$B$16*$B$21*$B$22*$B$24,0)</f>
        <v/>
      </c>
      <c r="M35" s="127">
        <f>ROUND($B$4*$B$10*$B$14*$B$16*$B$21*$B$22*$B$25,0)</f>
        <v/>
      </c>
      <c r="N35" s="127">
        <f>ROUND($B$4*$B$10*$B$14*$B$16*$B$21*$B$23*$B$24,0)</f>
        <v/>
      </c>
      <c r="O35" s="127">
        <f>ROUND($B$4*$B$10*$B$14*$B$16*$B$21*$B$23*$B$25,0)</f>
        <v/>
      </c>
      <c r="P35" s="127">
        <f>ROUND($B$5*$B$10*$B$14*$B$16*$B$19*$B$22*$B$24,0)</f>
        <v/>
      </c>
      <c r="Q35" s="127">
        <f>ROUND($B$5*$B$10*$B$14*$B$16*$B$19*$B$22*$B$25,0)</f>
        <v/>
      </c>
      <c r="R35" s="127">
        <f>ROUND($B$5*$B$10*$B$14*$B$16*$B$19*$B$23*$B$24,0)</f>
        <v/>
      </c>
      <c r="S35" s="127">
        <f>ROUND($B$5*$B$10*$B$14*$B$16*$B$19*$B$23*$B$25,0)</f>
        <v/>
      </c>
      <c r="T35" s="127">
        <f>ROUND($B$5*$B$10*$B$14*$B$16*$B$20*$B$22*$B$24,0)</f>
        <v/>
      </c>
      <c r="U35" s="127">
        <f>ROUND($B$5*$B$10*$B$14*$B$16*$B$20*$B$22*$B$25,0)</f>
        <v/>
      </c>
      <c r="V35" s="127">
        <f>ROUND($B$5*$B$10*$B$14*$B$16*$B$20*$B$23*$B$24,0)</f>
        <v/>
      </c>
      <c r="W35" s="127">
        <f>ROUND($B$5*$B$10*$B$14*$B$16*$B$20*$B$23*$B$25,0)</f>
        <v/>
      </c>
      <c r="X35" s="127">
        <f>ROUND($B$5*$B$10*$B$14*$B$16*$B$21*$B$22*$B$24,0)</f>
        <v/>
      </c>
      <c r="Y35" s="127">
        <f>ROUND($B$5*$B$10*$B$14*$B$16*$B$21*$B$22*$B$25,0)</f>
        <v/>
      </c>
      <c r="Z35" s="127">
        <f>ROUND($B$5*$B$10*$B$14*$B$16*$B$21*$B$23*$B$24,0)</f>
        <v/>
      </c>
      <c r="AA35" s="127">
        <f>ROUND($B$5*$B$10*$B$14*$B$16*$B$21*$B$23*$B$25,0)</f>
        <v/>
      </c>
      <c r="AB35" s="127">
        <f>ROUND($B$6*$B$10*$B$14*$B$16*$B$19*$B$22*$B$24,0)</f>
        <v/>
      </c>
      <c r="AC35" s="127">
        <f>ROUND($B$6*$B$10*$B$14*$B$16*$B$19*$B$22*$B$25,0)</f>
        <v/>
      </c>
      <c r="AD35" s="127">
        <f>ROUND($B$6*$B$10*$B$14*$B$16*$B$19*$B$23*$B$24,0)</f>
        <v/>
      </c>
      <c r="AE35" s="127">
        <f>ROUND($B$6*$B$10*$B$14*$B$16*$B$19*$B$23*$B$25,0)</f>
        <v/>
      </c>
      <c r="AF35" s="127">
        <f>ROUND($B$6*$B$10*$B$14*$B$16*$B$20*$B$22*$B$24,0)</f>
        <v/>
      </c>
      <c r="AG35" s="127">
        <f>ROUND($B$6*$B$10*$B$14*$B$16*$B$20*$B$22*$B$25,0)</f>
        <v/>
      </c>
      <c r="AH35" s="127">
        <f>ROUND($B$6*$B$10*$B$14*$B$16*$B$20*$B$23*$B$24,0)</f>
        <v/>
      </c>
      <c r="AI35" s="127">
        <f>ROUND($B$6*$B$10*$B$14*$B$16*$B$20*$B$23*$B$25,0)</f>
        <v/>
      </c>
      <c r="AJ35" s="127">
        <f>ROUND($B$6*$B$10*$B$14*$B$16*$B$21*$B$22*$B$24,0)</f>
        <v/>
      </c>
      <c r="AK35" s="127">
        <f>ROUND($B$6*$B$10*$B$14*$B$16*$B$21*$B$22*$B$25,0)</f>
        <v/>
      </c>
      <c r="AL35" s="127">
        <f>ROUND($B$6*$B$10*$B$14*$B$16*$B$21*$B$23*$B$24,0)</f>
        <v/>
      </c>
      <c r="AM35" s="127">
        <f>ROUND($B$6*$B$10*$B$14*$B$16*$B$21*$B$23*$B$25,0)</f>
        <v/>
      </c>
      <c r="AN35" s="127">
        <f>ROUND($B$7*$B$10*$B$14*$B$16*$B$19*$B$22*$B$24,0)</f>
        <v/>
      </c>
      <c r="AO35" s="127">
        <f>ROUND($B$7*$B$10*$B$14*$B$16*$B$19*$B$22*$B$25,0)</f>
        <v/>
      </c>
      <c r="AP35" s="127">
        <f>ROUND($B$7*$B$10*$B$14*$B$16*$B$19*$B$23*$B$24,0)</f>
        <v/>
      </c>
      <c r="AQ35" s="127">
        <f>ROUND($B$7*$B$10*$B$14*$B$16*$B$19*$B$23*$B$25,0)</f>
        <v/>
      </c>
      <c r="AR35" s="127">
        <f>ROUND($B$7*$B$10*$B$14*$B$16*$B$20*$B$22*$B$24,0)</f>
        <v/>
      </c>
      <c r="AS35" s="127">
        <f>ROUND($B$7*$B$10*$B$14*$B$16*$B$20*$B$22*$B$25,0)</f>
        <v/>
      </c>
      <c r="AT35" s="127">
        <f>ROUND($B$7*$B$10*$B$14*$B$16*$B$20*$B$23*$B$24,0)</f>
        <v/>
      </c>
      <c r="AU35" s="127">
        <f>ROUND($B$7*$B$10*$B$14*$B$16*$B$20*$B$23*$B$25,0)</f>
        <v/>
      </c>
      <c r="AV35" s="127">
        <f>ROUND($B$7*$B$10*$B$14*$B$16*$B$21*$B$22*$B$24,0)</f>
        <v/>
      </c>
      <c r="AW35" s="127">
        <f>ROUND($B$7*$B$10*$B$14*$B$16*$B$21*$B$22*$B$25,0)</f>
        <v/>
      </c>
      <c r="AX35" s="127">
        <f>ROUND($B$7*$B$10*$B$14*$B$16*$B$21*$B$23*$B$24,0)</f>
        <v/>
      </c>
      <c r="AY35" s="127">
        <f>ROUND($B$7*$B$10*$B$14*$B$16*$B$21*$B$23*$B$25,0)</f>
        <v/>
      </c>
      <c r="AZ35" s="128">
        <f>ROUND($B$8*$B$10*$B$14*$B$16*$B$19*$B$22*$B$24,0)</f>
        <v/>
      </c>
      <c r="BA35" s="128">
        <f>ROUND($B$8*$B$10*$B$14*$B$16*$B$19*$B$22*$B$25,0)</f>
        <v/>
      </c>
      <c r="BB35" s="128">
        <f>ROUND($B$8*$B$10*$B$14*$B$16*$B$19*$B$23*$B$24,0)</f>
        <v/>
      </c>
      <c r="BC35" s="128">
        <f>ROUND($B$8*$B$10*$B$14*$B$16*$B$19*$B$23*$B$25,0)</f>
        <v/>
      </c>
      <c r="BD35" s="128">
        <f>ROUND($B$8*$B$10*$B$14*$B$16*$B$20*$B$22*$B$24,0)</f>
        <v/>
      </c>
      <c r="BE35" s="128">
        <f>ROUND($B$8*$B$10*$B$14*$B$16*$B$20*$B$22*$B$25,0)</f>
        <v/>
      </c>
      <c r="BF35" s="128">
        <f>ROUND($B$8*$B$10*$B$14*$B$16*$B$20*$B$23*$B$24,0)</f>
        <v/>
      </c>
      <c r="BG35" s="128">
        <f>ROUND($B$8*$B$10*$B$14*$B$16*$B$20*$B$23*$B$25,0)</f>
        <v/>
      </c>
      <c r="BH35" s="128">
        <f>ROUND($B$8*$B$10*$B$14*$B$16*$B$21*$B$22*$B$24,0)</f>
        <v/>
      </c>
      <c r="BI35" s="128">
        <f>ROUND($B$8*$B$10*$B$14*$B$16*$B$21*$B$22*$B$25,0)</f>
        <v/>
      </c>
      <c r="BJ35" s="128">
        <f>ROUND($B$8*$B$10*$B$14*$B$16*$B$21*$B$23*$B$24,0)</f>
        <v/>
      </c>
      <c r="BK35" s="128">
        <f>ROUND($B$8*$B$10*$B$14*$B$16*$B$21*$B$23*$B$25,0)</f>
        <v/>
      </c>
    </row>
    <row r="36" ht="20" customHeight="1" s="62">
      <c r="C36" s="125" t="inlineStr">
        <is>
          <t>Volume données moyen</t>
        </is>
      </c>
      <c r="D36" s="127">
        <f>ROUND($B$4*$B$10*$B$14*$B$17*$B$19*$B$22*$B$24,0)</f>
        <v/>
      </c>
      <c r="E36" s="127">
        <f>ROUND($B$4*$B$10*$B$14*$B$17*$B$19*$B$22*$B$25,0)</f>
        <v/>
      </c>
      <c r="F36" s="127">
        <f>ROUND($B$4*$B$10*$B$14*$B$17*$B$19*$B$23*$B$24,0)</f>
        <v/>
      </c>
      <c r="G36" s="127">
        <f>ROUND($B$4*$B$10*$B$14*$B$17*$B$19*$B$23*$B$25,0)</f>
        <v/>
      </c>
      <c r="H36" s="127">
        <f>ROUND($B$4*$B$10*$B$14*$B$17*$B$20*$B$22*$B$24,0)</f>
        <v/>
      </c>
      <c r="I36" s="127">
        <f>ROUND($B$4*$B$10*$B$14*$B$17*$B$20*$B$22*$B$25,0)</f>
        <v/>
      </c>
      <c r="J36" s="127">
        <f>ROUND($B$4*$B$10*$B$14*$B$17*$B$20*$B$23*$B$24,0)</f>
        <v/>
      </c>
      <c r="K36" s="127">
        <f>ROUND($B$4*$B$10*$B$14*$B$17*$B$20*$B$23*$B$25,0)</f>
        <v/>
      </c>
      <c r="L36" s="127">
        <f>ROUND($B$4*$B$10*$B$14*$B$17*$B$21*$B$22*$B$24,0)</f>
        <v/>
      </c>
      <c r="M36" s="127">
        <f>ROUND($B$4*$B$10*$B$14*$B$17*$B$21*$B$22*$B$25,0)</f>
        <v/>
      </c>
      <c r="N36" s="127">
        <f>ROUND($B$4*$B$10*$B$14*$B$17*$B$21*$B$23*$B$24,0)</f>
        <v/>
      </c>
      <c r="O36" s="127">
        <f>ROUND($B$4*$B$10*$B$14*$B$17*$B$21*$B$23*$B$25,0)</f>
        <v/>
      </c>
      <c r="P36" s="127">
        <f>ROUND($B$5*$B$10*$B$14*$B$17*$B$19*$B$22*$B$24,0)</f>
        <v/>
      </c>
      <c r="Q36" s="127">
        <f>ROUND($B$5*$B$10*$B$14*$B$17*$B$19*$B$22*$B$25,0)</f>
        <v/>
      </c>
      <c r="R36" s="127">
        <f>ROUND($B$5*$B$10*$B$14*$B$17*$B$19*$B$23*$B$24,0)</f>
        <v/>
      </c>
      <c r="S36" s="127">
        <f>ROUND($B$5*$B$10*$B$14*$B$17*$B$19*$B$23*$B$25,0)</f>
        <v/>
      </c>
      <c r="T36" s="127">
        <f>ROUND($B$5*$B$10*$B$14*$B$17*$B$20*$B$22*$B$24,0)</f>
        <v/>
      </c>
      <c r="U36" s="127">
        <f>ROUND($B$5*$B$10*$B$14*$B$17*$B$20*$B$22*$B$25,0)</f>
        <v/>
      </c>
      <c r="V36" s="127">
        <f>ROUND($B$5*$B$10*$B$14*$B$17*$B$20*$B$23*$B$24,0)</f>
        <v/>
      </c>
      <c r="W36" s="127">
        <f>ROUND($B$5*$B$10*$B$14*$B$17*$B$20*$B$23*$B$25,0)</f>
        <v/>
      </c>
      <c r="X36" s="127">
        <f>ROUND($B$5*$B$10*$B$14*$B$17*$B$21*$B$22*$B$24,0)</f>
        <v/>
      </c>
      <c r="Y36" s="127">
        <f>ROUND($B$5*$B$10*$B$14*$B$17*$B$21*$B$22*$B$25,0)</f>
        <v/>
      </c>
      <c r="Z36" s="127">
        <f>ROUND($B$5*$B$10*$B$14*$B$17*$B$21*$B$23*$B$24,0)</f>
        <v/>
      </c>
      <c r="AA36" s="127">
        <f>ROUND($B$5*$B$10*$B$14*$B$17*$B$21*$B$23*$B$25,0)</f>
        <v/>
      </c>
      <c r="AB36" s="127">
        <f>ROUND($B$6*$B$10*$B$14*$B$17*$B$19*$B$22*$B$24,0)</f>
        <v/>
      </c>
      <c r="AC36" s="127">
        <f>ROUND($B$6*$B$10*$B$14*$B$17*$B$19*$B$22*$B$25,0)</f>
        <v/>
      </c>
      <c r="AD36" s="127">
        <f>ROUND($B$6*$B$10*$B$14*$B$17*$B$19*$B$23*$B$24,0)</f>
        <v/>
      </c>
      <c r="AE36" s="127">
        <f>ROUND($B$6*$B$10*$B$14*$B$17*$B$19*$B$23*$B$25,0)</f>
        <v/>
      </c>
      <c r="AF36" s="127">
        <f>ROUND($B$6*$B$10*$B$14*$B$17*$B$20*$B$22*$B$24,0)</f>
        <v/>
      </c>
      <c r="AG36" s="127">
        <f>ROUND($B$6*$B$10*$B$14*$B$17*$B$20*$B$22*$B$25,0)</f>
        <v/>
      </c>
      <c r="AH36" s="127">
        <f>ROUND($B$6*$B$10*$B$14*$B$17*$B$20*$B$23*$B$24,0)</f>
        <v/>
      </c>
      <c r="AI36" s="127">
        <f>ROUND($B$6*$B$10*$B$14*$B$17*$B$20*$B$23*$B$25,0)</f>
        <v/>
      </c>
      <c r="AJ36" s="127">
        <f>ROUND($B$6*$B$10*$B$14*$B$17*$B$21*$B$22*$B$24,0)</f>
        <v/>
      </c>
      <c r="AK36" s="127">
        <f>ROUND($B$6*$B$10*$B$14*$B$17*$B$21*$B$22*$B$25,0)</f>
        <v/>
      </c>
      <c r="AL36" s="127">
        <f>ROUND($B$6*$B$10*$B$14*$B$17*$B$21*$B$23*$B$24,0)</f>
        <v/>
      </c>
      <c r="AM36" s="127">
        <f>ROUND($B$6*$B$10*$B$14*$B$17*$B$21*$B$23*$B$25,0)</f>
        <v/>
      </c>
      <c r="AN36" s="127">
        <f>ROUND($B$7*$B$10*$B$14*$B$17*$B$19*$B$22*$B$24,0)</f>
        <v/>
      </c>
      <c r="AO36" s="127">
        <f>ROUND($B$7*$B$10*$B$14*$B$17*$B$19*$B$22*$B$25,0)</f>
        <v/>
      </c>
      <c r="AP36" s="127">
        <f>ROUND($B$7*$B$10*$B$14*$B$17*$B$19*$B$23*$B$24,0)</f>
        <v/>
      </c>
      <c r="AQ36" s="127">
        <f>ROUND($B$7*$B$10*$B$14*$B$17*$B$19*$B$23*$B$25,0)</f>
        <v/>
      </c>
      <c r="AR36" s="127">
        <f>ROUND($B$7*$B$10*$B$14*$B$17*$B$20*$B$22*$B$24,0)</f>
        <v/>
      </c>
      <c r="AS36" s="127">
        <f>ROUND($B$7*$B$10*$B$14*$B$17*$B$20*$B$22*$B$25,0)</f>
        <v/>
      </c>
      <c r="AT36" s="127">
        <f>ROUND($B$7*$B$10*$B$14*$B$17*$B$20*$B$23*$B$24,0)</f>
        <v/>
      </c>
      <c r="AU36" s="127">
        <f>ROUND($B$7*$B$10*$B$14*$B$17*$B$20*$B$23*$B$25,0)</f>
        <v/>
      </c>
      <c r="AV36" s="127">
        <f>ROUND($B$7*$B$10*$B$14*$B$17*$B$21*$B$22*$B$24,0)</f>
        <v/>
      </c>
      <c r="AW36" s="127">
        <f>ROUND($B$7*$B$10*$B$14*$B$17*$B$21*$B$22*$B$25,0)</f>
        <v/>
      </c>
      <c r="AX36" s="127">
        <f>ROUND($B$7*$B$10*$B$14*$B$17*$B$21*$B$23*$B$24,0)</f>
        <v/>
      </c>
      <c r="AY36" s="127">
        <f>ROUND($B$7*$B$10*$B$14*$B$17*$B$21*$B$23*$B$25,0)</f>
        <v/>
      </c>
      <c r="AZ36" s="128">
        <f>ROUND($B$8*$B$10*$B$14*$B$17*$B$19*$B$22*$B$24,0)</f>
        <v/>
      </c>
      <c r="BA36" s="128">
        <f>ROUND($B$8*$B$10*$B$14*$B$17*$B$19*$B$22*$B$25,0)</f>
        <v/>
      </c>
      <c r="BB36" s="128">
        <f>ROUND($B$8*$B$10*$B$14*$B$17*$B$19*$B$23*$B$24,0)</f>
        <v/>
      </c>
      <c r="BC36" s="128">
        <f>ROUND($B$8*$B$10*$B$14*$B$17*$B$19*$B$23*$B$25,0)</f>
        <v/>
      </c>
      <c r="BD36" s="128">
        <f>ROUND($B$8*$B$10*$B$14*$B$17*$B$20*$B$22*$B$24,0)</f>
        <v/>
      </c>
      <c r="BE36" s="128">
        <f>ROUND($B$8*$B$10*$B$14*$B$17*$B$20*$B$22*$B$25,0)</f>
        <v/>
      </c>
      <c r="BF36" s="128">
        <f>ROUND($B$8*$B$10*$B$14*$B$17*$B$20*$B$23*$B$24,0)</f>
        <v/>
      </c>
      <c r="BG36" s="128">
        <f>ROUND($B$8*$B$10*$B$14*$B$17*$B$20*$B$23*$B$25,0)</f>
        <v/>
      </c>
      <c r="BH36" s="128">
        <f>ROUND($B$8*$B$10*$B$14*$B$17*$B$21*$B$22*$B$24,0)</f>
        <v/>
      </c>
      <c r="BI36" s="128">
        <f>ROUND($B$8*$B$10*$B$14*$B$17*$B$21*$B$22*$B$25,0)</f>
        <v/>
      </c>
      <c r="BJ36" s="128">
        <f>ROUND($B$8*$B$10*$B$14*$B$17*$B$21*$B$23*$B$24,0)</f>
        <v/>
      </c>
      <c r="BK36" s="128">
        <f>ROUND($B$8*$B$10*$B$14*$B$17*$B$21*$B$23*$B$25,0)</f>
        <v/>
      </c>
    </row>
    <row r="37" ht="20" customHeight="1" s="62">
      <c r="C37" s="129" t="inlineStr">
        <is>
          <t>Volume données élevé</t>
        </is>
      </c>
      <c r="D37" s="127">
        <f>ROUND($B$4*$B$10*$B$14*$B$18*$B$19*$B$22*$B$24,0)</f>
        <v/>
      </c>
      <c r="E37" s="127">
        <f>ROUND($B$4*$B$10*$B$14*$B$18*$B$19*$B$22*$B$25,0)</f>
        <v/>
      </c>
      <c r="F37" s="127">
        <f>ROUND($B$4*$B$10*$B$14*$B$18*$B$19*$B$23*$B$24,0)</f>
        <v/>
      </c>
      <c r="G37" s="127">
        <f>ROUND($B$4*$B$10*$B$14*$B$18*$B$19*$B$23*$B$25,0)</f>
        <v/>
      </c>
      <c r="H37" s="127">
        <f>ROUND($B$4*$B$10*$B$14*$B$18*$B$20*$B$22*$B$24,0)</f>
        <v/>
      </c>
      <c r="I37" s="127">
        <f>ROUND($B$4*$B$10*$B$14*$B$18*$B$20*$B$22*$B$25,0)</f>
        <v/>
      </c>
      <c r="J37" s="127">
        <f>ROUND($B$4*$B$10*$B$14*$B$18*$B$20*$B$23*$B$24,0)</f>
        <v/>
      </c>
      <c r="K37" s="127">
        <f>ROUND($B$4*$B$10*$B$14*$B$18*$B$20*$B$23*$B$25,0)</f>
        <v/>
      </c>
      <c r="L37" s="127">
        <f>ROUND($B$4*$B$10*$B$14*$B$18*$B$21*$B$22*$B$24,0)</f>
        <v/>
      </c>
      <c r="M37" s="127">
        <f>ROUND($B$4*$B$10*$B$14*$B$18*$B$21*$B$22*$B$25,0)</f>
        <v/>
      </c>
      <c r="N37" s="127">
        <f>ROUND($B$4*$B$10*$B$14*$B$18*$B$21*$B$23*$B$24,0)</f>
        <v/>
      </c>
      <c r="O37" s="127">
        <f>ROUND($B$4*$B$10*$B$14*$B$18*$B$21*$B$23*$B$25,0)</f>
        <v/>
      </c>
      <c r="P37" s="127">
        <f>ROUND($B$5*$B$10*$B$14*$B$18*$B$19*$B$22*$B$24,0)</f>
        <v/>
      </c>
      <c r="Q37" s="127">
        <f>ROUND($B$5*$B$10*$B$14*$B$18*$B$19*$B$22*$B$25,0)</f>
        <v/>
      </c>
      <c r="R37" s="127">
        <f>ROUND($B$5*$B$10*$B$14*$B$18*$B$19*$B$23*$B$24,0)</f>
        <v/>
      </c>
      <c r="S37" s="127">
        <f>ROUND($B$5*$B$10*$B$14*$B$18*$B$19*$B$23*$B$25,0)</f>
        <v/>
      </c>
      <c r="T37" s="127">
        <f>ROUND($B$5*$B$10*$B$14*$B$18*$B$20*$B$22*$B$24,0)</f>
        <v/>
      </c>
      <c r="U37" s="127">
        <f>ROUND($B$5*$B$10*$B$14*$B$18*$B$20*$B$22*$B$25,0)</f>
        <v/>
      </c>
      <c r="V37" s="127">
        <f>ROUND($B$5*$B$10*$B$14*$B$18*$B$20*$B$23*$B$24,0)</f>
        <v/>
      </c>
      <c r="W37" s="127">
        <f>ROUND($B$5*$B$10*$B$14*$B$18*$B$20*$B$23*$B$25,0)</f>
        <v/>
      </c>
      <c r="X37" s="127">
        <f>ROUND($B$5*$B$10*$B$14*$B$18*$B$21*$B$22*$B$24,0)</f>
        <v/>
      </c>
      <c r="Y37" s="127">
        <f>ROUND($B$5*$B$10*$B$14*$B$18*$B$21*$B$22*$B$25,0)</f>
        <v/>
      </c>
      <c r="Z37" s="127">
        <f>ROUND($B$5*$B$10*$B$14*$B$18*$B$21*$B$23*$B$24,0)</f>
        <v/>
      </c>
      <c r="AA37" s="127">
        <f>ROUND($B$5*$B$10*$B$14*$B$18*$B$21*$B$23*$B$25,0)</f>
        <v/>
      </c>
      <c r="AB37" s="127">
        <f>ROUND($B$6*$B$10*$B$14*$B$18*$B$19*$B$22*$B$24,0)</f>
        <v/>
      </c>
      <c r="AC37" s="127">
        <f>ROUND($B$6*$B$10*$B$14*$B$18*$B$19*$B$22*$B$25,0)</f>
        <v/>
      </c>
      <c r="AD37" s="127">
        <f>ROUND($B$6*$B$10*$B$14*$B$18*$B$19*$B$23*$B$24,0)</f>
        <v/>
      </c>
      <c r="AE37" s="127">
        <f>ROUND($B$6*$B$10*$B$14*$B$18*$B$19*$B$23*$B$25,0)</f>
        <v/>
      </c>
      <c r="AF37" s="127">
        <f>ROUND($B$6*$B$10*$B$14*$B$18*$B$20*$B$22*$B$24,0)</f>
        <v/>
      </c>
      <c r="AG37" s="127">
        <f>ROUND($B$6*$B$10*$B$14*$B$18*$B$20*$B$22*$B$25,0)</f>
        <v/>
      </c>
      <c r="AH37" s="127">
        <f>ROUND($B$6*$B$10*$B$14*$B$18*$B$20*$B$23*$B$24,0)</f>
        <v/>
      </c>
      <c r="AI37" s="127">
        <f>ROUND($B$6*$B$10*$B$14*$B$18*$B$20*$B$23*$B$25,0)</f>
        <v/>
      </c>
      <c r="AJ37" s="127">
        <f>ROUND($B$6*$B$10*$B$14*$B$18*$B$21*$B$22*$B$24,0)</f>
        <v/>
      </c>
      <c r="AK37" s="127">
        <f>ROUND($B$6*$B$10*$B$14*$B$18*$B$21*$B$22*$B$25,0)</f>
        <v/>
      </c>
      <c r="AL37" s="127">
        <f>ROUND($B$6*$B$10*$B$14*$B$18*$B$21*$B$23*$B$24,0)</f>
        <v/>
      </c>
      <c r="AM37" s="127">
        <f>ROUND($B$6*$B$10*$B$14*$B$18*$B$21*$B$23*$B$25,0)</f>
        <v/>
      </c>
      <c r="AN37" s="127">
        <f>ROUND($B$7*$B$10*$B$14*$B$18*$B$19*$B$22*$B$24,0)</f>
        <v/>
      </c>
      <c r="AO37" s="127">
        <f>ROUND($B$7*$B$10*$B$14*$B$18*$B$19*$B$22*$B$25,0)</f>
        <v/>
      </c>
      <c r="AP37" s="127">
        <f>ROUND($B$7*$B$10*$B$14*$B$18*$B$19*$B$23*$B$24,0)</f>
        <v/>
      </c>
      <c r="AQ37" s="127">
        <f>ROUND($B$7*$B$10*$B$14*$B$18*$B$19*$B$23*$B$25,0)</f>
        <v/>
      </c>
      <c r="AR37" s="127">
        <f>ROUND($B$7*$B$10*$B$14*$B$18*$B$20*$B$22*$B$24,0)</f>
        <v/>
      </c>
      <c r="AS37" s="127">
        <f>ROUND($B$7*$B$10*$B$14*$B$18*$B$20*$B$22*$B$25,0)</f>
        <v/>
      </c>
      <c r="AT37" s="127">
        <f>ROUND($B$7*$B$10*$B$14*$B$18*$B$20*$B$23*$B$24,0)</f>
        <v/>
      </c>
      <c r="AU37" s="127">
        <f>ROUND($B$7*$B$10*$B$14*$B$18*$B$20*$B$23*$B$25,0)</f>
        <v/>
      </c>
      <c r="AV37" s="127">
        <f>ROUND($B$7*$B$10*$B$14*$B$18*$B$21*$B$22*$B$24,0)</f>
        <v/>
      </c>
      <c r="AW37" s="127">
        <f>ROUND($B$7*$B$10*$B$14*$B$18*$B$21*$B$22*$B$25,0)</f>
        <v/>
      </c>
      <c r="AX37" s="127">
        <f>ROUND($B$7*$B$10*$B$14*$B$18*$B$21*$B$23*$B$24,0)</f>
        <v/>
      </c>
      <c r="AY37" s="127">
        <f>ROUND($B$7*$B$10*$B$14*$B$18*$B$21*$B$23*$B$25,0)</f>
        <v/>
      </c>
      <c r="AZ37" s="128">
        <f>ROUND($B$8*$B$10*$B$14*$B$18*$B$19*$B$22*$B$24,0)</f>
        <v/>
      </c>
      <c r="BA37" s="128">
        <f>ROUND($B$8*$B$10*$B$14*$B$18*$B$19*$B$22*$B$25,0)</f>
        <v/>
      </c>
      <c r="BB37" s="128">
        <f>ROUND($B$8*$B$10*$B$14*$B$18*$B$19*$B$23*$B$24,0)</f>
        <v/>
      </c>
      <c r="BC37" s="128">
        <f>ROUND($B$8*$B$10*$B$14*$B$18*$B$19*$B$23*$B$25,0)</f>
        <v/>
      </c>
      <c r="BD37" s="128">
        <f>ROUND($B$8*$B$10*$B$14*$B$18*$B$20*$B$22*$B$24,0)</f>
        <v/>
      </c>
      <c r="BE37" s="128">
        <f>ROUND($B$8*$B$10*$B$14*$B$18*$B$20*$B$22*$B$25,0)</f>
        <v/>
      </c>
      <c r="BF37" s="128">
        <f>ROUND($B$8*$B$10*$B$14*$B$18*$B$20*$B$23*$B$24,0)</f>
        <v/>
      </c>
      <c r="BG37" s="128">
        <f>ROUND($B$8*$B$10*$B$14*$B$18*$B$20*$B$23*$B$25,0)</f>
        <v/>
      </c>
      <c r="BH37" s="128">
        <f>ROUND($B$8*$B$10*$B$14*$B$18*$B$21*$B$22*$B$24,0)</f>
        <v/>
      </c>
      <c r="BI37" s="128">
        <f>ROUND($B$8*$B$10*$B$14*$B$18*$B$21*$B$22*$B$25,0)</f>
        <v/>
      </c>
      <c r="BJ37" s="128">
        <f>ROUND($B$8*$B$10*$B$14*$B$18*$B$21*$B$23*$B$24,0)</f>
        <v/>
      </c>
      <c r="BK37" s="128">
        <f>ROUND($B$8*$B$10*$B$14*$B$18*$B$21*$B$23*$B$25,0)</f>
        <v/>
      </c>
    </row>
    <row r="38" ht="20" customHeight="1" s="62">
      <c r="B38" s="125" t="inlineStr">
        <is>
          <t>IA NLP / Vision</t>
        </is>
      </c>
      <c r="C38" s="126" t="inlineStr">
        <is>
          <t>Volume données faible</t>
        </is>
      </c>
      <c r="D38" s="127">
        <f>ROUND($B$4*$B$10*$B$15*$B$16*$B$19*$B$22*$B$24,0)</f>
        <v/>
      </c>
      <c r="E38" s="127">
        <f>ROUND($B$4*$B$10*$B$15*$B$16*$B$19*$B$22*$B$25,0)</f>
        <v/>
      </c>
      <c r="F38" s="127">
        <f>ROUND($B$4*$B$10*$B$15*$B$16*$B$19*$B$23*$B$24,0)</f>
        <v/>
      </c>
      <c r="G38" s="127">
        <f>ROUND($B$4*$B$10*$B$15*$B$16*$B$19*$B$23*$B$25,0)</f>
        <v/>
      </c>
      <c r="H38" s="127">
        <f>ROUND($B$4*$B$10*$B$15*$B$16*$B$20*$B$22*$B$24,0)</f>
        <v/>
      </c>
      <c r="I38" s="127">
        <f>ROUND($B$4*$B$10*$B$15*$B$16*$B$20*$B$22*$B$25,0)</f>
        <v/>
      </c>
      <c r="J38" s="127">
        <f>ROUND($B$4*$B$10*$B$15*$B$16*$B$20*$B$23*$B$24,0)</f>
        <v/>
      </c>
      <c r="K38" s="127">
        <f>ROUND($B$4*$B$10*$B$15*$B$16*$B$20*$B$23*$B$25,0)</f>
        <v/>
      </c>
      <c r="L38" s="127">
        <f>ROUND($B$4*$B$10*$B$15*$B$16*$B$21*$B$22*$B$24,0)</f>
        <v/>
      </c>
      <c r="M38" s="127">
        <f>ROUND($B$4*$B$10*$B$15*$B$16*$B$21*$B$22*$B$25,0)</f>
        <v/>
      </c>
      <c r="N38" s="127">
        <f>ROUND($B$4*$B$10*$B$15*$B$16*$B$21*$B$23*$B$24,0)</f>
        <v/>
      </c>
      <c r="O38" s="127">
        <f>ROUND($B$4*$B$10*$B$15*$B$16*$B$21*$B$23*$B$25,0)</f>
        <v/>
      </c>
      <c r="P38" s="127">
        <f>ROUND($B$5*$B$10*$B$15*$B$16*$B$19*$B$22*$B$24,0)</f>
        <v/>
      </c>
      <c r="Q38" s="127">
        <f>ROUND($B$5*$B$10*$B$15*$B$16*$B$19*$B$22*$B$25,0)</f>
        <v/>
      </c>
      <c r="R38" s="127">
        <f>ROUND($B$5*$B$10*$B$15*$B$16*$B$19*$B$23*$B$24,0)</f>
        <v/>
      </c>
      <c r="S38" s="127">
        <f>ROUND($B$5*$B$10*$B$15*$B$16*$B$19*$B$23*$B$25,0)</f>
        <v/>
      </c>
      <c r="T38" s="127">
        <f>ROUND($B$5*$B$10*$B$15*$B$16*$B$20*$B$22*$B$24,0)</f>
        <v/>
      </c>
      <c r="U38" s="127">
        <f>ROUND($B$5*$B$10*$B$15*$B$16*$B$20*$B$22*$B$25,0)</f>
        <v/>
      </c>
      <c r="V38" s="127">
        <f>ROUND($B$5*$B$10*$B$15*$B$16*$B$20*$B$23*$B$24,0)</f>
        <v/>
      </c>
      <c r="W38" s="127">
        <f>ROUND($B$5*$B$10*$B$15*$B$16*$B$20*$B$23*$B$25,0)</f>
        <v/>
      </c>
      <c r="X38" s="127">
        <f>ROUND($B$5*$B$10*$B$15*$B$16*$B$21*$B$22*$B$24,0)</f>
        <v/>
      </c>
      <c r="Y38" s="127">
        <f>ROUND($B$5*$B$10*$B$15*$B$16*$B$21*$B$22*$B$25,0)</f>
        <v/>
      </c>
      <c r="Z38" s="127">
        <f>ROUND($B$5*$B$10*$B$15*$B$16*$B$21*$B$23*$B$24,0)</f>
        <v/>
      </c>
      <c r="AA38" s="127">
        <f>ROUND($B$5*$B$10*$B$15*$B$16*$B$21*$B$23*$B$25,0)</f>
        <v/>
      </c>
      <c r="AB38" s="127">
        <f>ROUND($B$6*$B$10*$B$15*$B$16*$B$19*$B$22*$B$24,0)</f>
        <v/>
      </c>
      <c r="AC38" s="127">
        <f>ROUND($B$6*$B$10*$B$15*$B$16*$B$19*$B$22*$B$25,0)</f>
        <v/>
      </c>
      <c r="AD38" s="127">
        <f>ROUND($B$6*$B$10*$B$15*$B$16*$B$19*$B$23*$B$24,0)</f>
        <v/>
      </c>
      <c r="AE38" s="127">
        <f>ROUND($B$6*$B$10*$B$15*$B$16*$B$19*$B$23*$B$25,0)</f>
        <v/>
      </c>
      <c r="AF38" s="127">
        <f>ROUND($B$6*$B$10*$B$15*$B$16*$B$20*$B$22*$B$24,0)</f>
        <v/>
      </c>
      <c r="AG38" s="127">
        <f>ROUND($B$6*$B$10*$B$15*$B$16*$B$20*$B$22*$B$25,0)</f>
        <v/>
      </c>
      <c r="AH38" s="127">
        <f>ROUND($B$6*$B$10*$B$15*$B$16*$B$20*$B$23*$B$24,0)</f>
        <v/>
      </c>
      <c r="AI38" s="127">
        <f>ROUND($B$6*$B$10*$B$15*$B$16*$B$20*$B$23*$B$25,0)</f>
        <v/>
      </c>
      <c r="AJ38" s="127">
        <f>ROUND($B$6*$B$10*$B$15*$B$16*$B$21*$B$22*$B$24,0)</f>
        <v/>
      </c>
      <c r="AK38" s="127">
        <f>ROUND($B$6*$B$10*$B$15*$B$16*$B$21*$B$22*$B$25,0)</f>
        <v/>
      </c>
      <c r="AL38" s="127">
        <f>ROUND($B$6*$B$10*$B$15*$B$16*$B$21*$B$23*$B$24,0)</f>
        <v/>
      </c>
      <c r="AM38" s="127">
        <f>ROUND($B$6*$B$10*$B$15*$B$16*$B$21*$B$23*$B$25,0)</f>
        <v/>
      </c>
      <c r="AN38" s="127">
        <f>ROUND($B$7*$B$10*$B$15*$B$16*$B$19*$B$22*$B$24,0)</f>
        <v/>
      </c>
      <c r="AO38" s="127">
        <f>ROUND($B$7*$B$10*$B$15*$B$16*$B$19*$B$22*$B$25,0)</f>
        <v/>
      </c>
      <c r="AP38" s="127">
        <f>ROUND($B$7*$B$10*$B$15*$B$16*$B$19*$B$23*$B$24,0)</f>
        <v/>
      </c>
      <c r="AQ38" s="127">
        <f>ROUND($B$7*$B$10*$B$15*$B$16*$B$19*$B$23*$B$25,0)</f>
        <v/>
      </c>
      <c r="AR38" s="127">
        <f>ROUND($B$7*$B$10*$B$15*$B$16*$B$20*$B$22*$B$24,0)</f>
        <v/>
      </c>
      <c r="AS38" s="127">
        <f>ROUND($B$7*$B$10*$B$15*$B$16*$B$20*$B$22*$B$25,0)</f>
        <v/>
      </c>
      <c r="AT38" s="127">
        <f>ROUND($B$7*$B$10*$B$15*$B$16*$B$20*$B$23*$B$24,0)</f>
        <v/>
      </c>
      <c r="AU38" s="127">
        <f>ROUND($B$7*$B$10*$B$15*$B$16*$B$20*$B$23*$B$25,0)</f>
        <v/>
      </c>
      <c r="AV38" s="127">
        <f>ROUND($B$7*$B$10*$B$15*$B$16*$B$21*$B$22*$B$24,0)</f>
        <v/>
      </c>
      <c r="AW38" s="127">
        <f>ROUND($B$7*$B$10*$B$15*$B$16*$B$21*$B$22*$B$25,0)</f>
        <v/>
      </c>
      <c r="AX38" s="127">
        <f>ROUND($B$7*$B$10*$B$15*$B$16*$B$21*$B$23*$B$24,0)</f>
        <v/>
      </c>
      <c r="AY38" s="127">
        <f>ROUND($B$7*$B$10*$B$15*$B$16*$B$21*$B$23*$B$25,0)</f>
        <v/>
      </c>
      <c r="AZ38" s="128">
        <f>ROUND($B$8*$B$10*$B$15*$B$16*$B$19*$B$22*$B$24,0)</f>
        <v/>
      </c>
      <c r="BA38" s="128">
        <f>ROUND($B$8*$B$10*$B$15*$B$16*$B$19*$B$22*$B$25,0)</f>
        <v/>
      </c>
      <c r="BB38" s="128">
        <f>ROUND($B$8*$B$10*$B$15*$B$16*$B$19*$B$23*$B$24,0)</f>
        <v/>
      </c>
      <c r="BC38" s="128">
        <f>ROUND($B$8*$B$10*$B$15*$B$16*$B$19*$B$23*$B$25,0)</f>
        <v/>
      </c>
      <c r="BD38" s="128">
        <f>ROUND($B$8*$B$10*$B$15*$B$16*$B$20*$B$22*$B$24,0)</f>
        <v/>
      </c>
      <c r="BE38" s="128">
        <f>ROUND($B$8*$B$10*$B$15*$B$16*$B$20*$B$22*$B$25,0)</f>
        <v/>
      </c>
      <c r="BF38" s="128">
        <f>ROUND($B$8*$B$10*$B$15*$B$16*$B$20*$B$23*$B$24,0)</f>
        <v/>
      </c>
      <c r="BG38" s="128">
        <f>ROUND($B$8*$B$10*$B$15*$B$16*$B$20*$B$23*$B$25,0)</f>
        <v/>
      </c>
      <c r="BH38" s="128">
        <f>ROUND($B$8*$B$10*$B$15*$B$16*$B$21*$B$22*$B$24,0)</f>
        <v/>
      </c>
      <c r="BI38" s="128">
        <f>ROUND($B$8*$B$10*$B$15*$B$16*$B$21*$B$22*$B$25,0)</f>
        <v/>
      </c>
      <c r="BJ38" s="128">
        <f>ROUND($B$8*$B$10*$B$15*$B$16*$B$21*$B$23*$B$24,0)</f>
        <v/>
      </c>
      <c r="BK38" s="128">
        <f>ROUND($B$8*$B$10*$B$15*$B$16*$B$21*$B$23*$B$25,0)</f>
        <v/>
      </c>
    </row>
    <row r="39" ht="20" customHeight="1" s="62">
      <c r="C39" s="125" t="inlineStr">
        <is>
          <t>Volume données moyen</t>
        </is>
      </c>
      <c r="D39" s="127">
        <f>ROUND($B$4*$B$10*$B$15*$B$17*$B$19*$B$22*$B$24,0)</f>
        <v/>
      </c>
      <c r="E39" s="127">
        <f>ROUND($B$4*$B$10*$B$15*$B$17*$B$19*$B$22*$B$25,0)</f>
        <v/>
      </c>
      <c r="F39" s="127">
        <f>ROUND($B$4*$B$10*$B$15*$B$17*$B$19*$B$23*$B$24,0)</f>
        <v/>
      </c>
      <c r="G39" s="127">
        <f>ROUND($B$4*$B$10*$B$15*$B$17*$B$19*$B$23*$B$25,0)</f>
        <v/>
      </c>
      <c r="H39" s="127">
        <f>ROUND($B$4*$B$10*$B$15*$B$17*$B$20*$B$22*$B$24,0)</f>
        <v/>
      </c>
      <c r="I39" s="127">
        <f>ROUND($B$4*$B$10*$B$15*$B$17*$B$20*$B$22*$B$25,0)</f>
        <v/>
      </c>
      <c r="J39" s="127">
        <f>ROUND($B$4*$B$10*$B$15*$B$17*$B$20*$B$23*$B$24,0)</f>
        <v/>
      </c>
      <c r="K39" s="127">
        <f>ROUND($B$4*$B$10*$B$15*$B$17*$B$20*$B$23*$B$25,0)</f>
        <v/>
      </c>
      <c r="L39" s="127">
        <f>ROUND($B$4*$B$10*$B$15*$B$17*$B$21*$B$22*$B$24,0)</f>
        <v/>
      </c>
      <c r="M39" s="127">
        <f>ROUND($B$4*$B$10*$B$15*$B$17*$B$21*$B$22*$B$25,0)</f>
        <v/>
      </c>
      <c r="N39" s="127">
        <f>ROUND($B$4*$B$10*$B$15*$B$17*$B$21*$B$23*$B$24,0)</f>
        <v/>
      </c>
      <c r="O39" s="127">
        <f>ROUND($B$4*$B$10*$B$15*$B$17*$B$21*$B$23*$B$25,0)</f>
        <v/>
      </c>
      <c r="P39" s="127">
        <f>ROUND($B$5*$B$10*$B$15*$B$17*$B$19*$B$22*$B$24,0)</f>
        <v/>
      </c>
      <c r="Q39" s="127">
        <f>ROUND($B$5*$B$10*$B$15*$B$17*$B$19*$B$22*$B$25,0)</f>
        <v/>
      </c>
      <c r="R39" s="127">
        <f>ROUND($B$5*$B$10*$B$15*$B$17*$B$19*$B$23*$B$24,0)</f>
        <v/>
      </c>
      <c r="S39" s="127">
        <f>ROUND($B$5*$B$10*$B$15*$B$17*$B$19*$B$23*$B$25,0)</f>
        <v/>
      </c>
      <c r="T39" s="127">
        <f>ROUND($B$5*$B$10*$B$15*$B$17*$B$20*$B$22*$B$24,0)</f>
        <v/>
      </c>
      <c r="U39" s="127">
        <f>ROUND($B$5*$B$10*$B$15*$B$17*$B$20*$B$22*$B$25,0)</f>
        <v/>
      </c>
      <c r="V39" s="127">
        <f>ROUND($B$5*$B$10*$B$15*$B$17*$B$20*$B$23*$B$24,0)</f>
        <v/>
      </c>
      <c r="W39" s="127">
        <f>ROUND($B$5*$B$10*$B$15*$B$17*$B$20*$B$23*$B$25,0)</f>
        <v/>
      </c>
      <c r="X39" s="127">
        <f>ROUND($B$5*$B$10*$B$15*$B$17*$B$21*$B$22*$B$24,0)</f>
        <v/>
      </c>
      <c r="Y39" s="127">
        <f>ROUND($B$5*$B$10*$B$15*$B$17*$B$21*$B$22*$B$25,0)</f>
        <v/>
      </c>
      <c r="Z39" s="127">
        <f>ROUND($B$5*$B$10*$B$15*$B$17*$B$21*$B$23*$B$24,0)</f>
        <v/>
      </c>
      <c r="AA39" s="127">
        <f>ROUND($B$5*$B$10*$B$15*$B$17*$B$21*$B$23*$B$25,0)</f>
        <v/>
      </c>
      <c r="AB39" s="127">
        <f>ROUND($B$6*$B$10*$B$15*$B$17*$B$19*$B$22*$B$24,0)</f>
        <v/>
      </c>
      <c r="AC39" s="127">
        <f>ROUND($B$6*$B$10*$B$15*$B$17*$B$19*$B$22*$B$25,0)</f>
        <v/>
      </c>
      <c r="AD39" s="127">
        <f>ROUND($B$6*$B$10*$B$15*$B$17*$B$19*$B$23*$B$24,0)</f>
        <v/>
      </c>
      <c r="AE39" s="127">
        <f>ROUND($B$6*$B$10*$B$15*$B$17*$B$19*$B$23*$B$25,0)</f>
        <v/>
      </c>
      <c r="AF39" s="127">
        <f>ROUND($B$6*$B$10*$B$15*$B$17*$B$20*$B$22*$B$24,0)</f>
        <v/>
      </c>
      <c r="AG39" s="127">
        <f>ROUND($B$6*$B$10*$B$15*$B$17*$B$20*$B$22*$B$25,0)</f>
        <v/>
      </c>
      <c r="AH39" s="127">
        <f>ROUND($B$6*$B$10*$B$15*$B$17*$B$20*$B$23*$B$24,0)</f>
        <v/>
      </c>
      <c r="AI39" s="127">
        <f>ROUND($B$6*$B$10*$B$15*$B$17*$B$20*$B$23*$B$25,0)</f>
        <v/>
      </c>
      <c r="AJ39" s="127">
        <f>ROUND($B$6*$B$10*$B$15*$B$17*$B$21*$B$22*$B$24,0)</f>
        <v/>
      </c>
      <c r="AK39" s="127">
        <f>ROUND($B$6*$B$10*$B$15*$B$17*$B$21*$B$22*$B$25,0)</f>
        <v/>
      </c>
      <c r="AL39" s="127">
        <f>ROUND($B$6*$B$10*$B$15*$B$17*$B$21*$B$23*$B$24,0)</f>
        <v/>
      </c>
      <c r="AM39" s="127">
        <f>ROUND($B$6*$B$10*$B$15*$B$17*$B$21*$B$23*$B$25,0)</f>
        <v/>
      </c>
      <c r="AN39" s="127">
        <f>ROUND($B$7*$B$10*$B$15*$B$17*$B$19*$B$22*$B$24,0)</f>
        <v/>
      </c>
      <c r="AO39" s="127">
        <f>ROUND($B$7*$B$10*$B$15*$B$17*$B$19*$B$22*$B$25,0)</f>
        <v/>
      </c>
      <c r="AP39" s="127">
        <f>ROUND($B$7*$B$10*$B$15*$B$17*$B$19*$B$23*$B$24,0)</f>
        <v/>
      </c>
      <c r="AQ39" s="127">
        <f>ROUND($B$7*$B$10*$B$15*$B$17*$B$19*$B$23*$B$25,0)</f>
        <v/>
      </c>
      <c r="AR39" s="127">
        <f>ROUND($B$7*$B$10*$B$15*$B$17*$B$20*$B$22*$B$24,0)</f>
        <v/>
      </c>
      <c r="AS39" s="127">
        <f>ROUND($B$7*$B$10*$B$15*$B$17*$B$20*$B$22*$B$25,0)</f>
        <v/>
      </c>
      <c r="AT39" s="127">
        <f>ROUND($B$7*$B$10*$B$15*$B$17*$B$20*$B$23*$B$24,0)</f>
        <v/>
      </c>
      <c r="AU39" s="127">
        <f>ROUND($B$7*$B$10*$B$15*$B$17*$B$20*$B$23*$B$25,0)</f>
        <v/>
      </c>
      <c r="AV39" s="127">
        <f>ROUND($B$7*$B$10*$B$15*$B$17*$B$21*$B$22*$B$24,0)</f>
        <v/>
      </c>
      <c r="AW39" s="127">
        <f>ROUND($B$7*$B$10*$B$15*$B$17*$B$21*$B$22*$B$25,0)</f>
        <v/>
      </c>
      <c r="AX39" s="127">
        <f>ROUND($B$7*$B$10*$B$15*$B$17*$B$21*$B$23*$B$24,0)</f>
        <v/>
      </c>
      <c r="AY39" s="127">
        <f>ROUND($B$7*$B$10*$B$15*$B$17*$B$21*$B$23*$B$25,0)</f>
        <v/>
      </c>
      <c r="AZ39" s="128">
        <f>ROUND($B$8*$B$10*$B$15*$B$17*$B$19*$B$22*$B$24,0)</f>
        <v/>
      </c>
      <c r="BA39" s="128">
        <f>ROUND($B$8*$B$10*$B$15*$B$17*$B$19*$B$22*$B$25,0)</f>
        <v/>
      </c>
      <c r="BB39" s="128">
        <f>ROUND($B$8*$B$10*$B$15*$B$17*$B$19*$B$23*$B$24,0)</f>
        <v/>
      </c>
      <c r="BC39" s="128">
        <f>ROUND($B$8*$B$10*$B$15*$B$17*$B$19*$B$23*$B$25,0)</f>
        <v/>
      </c>
      <c r="BD39" s="128">
        <f>ROUND($B$8*$B$10*$B$15*$B$17*$B$20*$B$22*$B$24,0)</f>
        <v/>
      </c>
      <c r="BE39" s="128">
        <f>ROUND($B$8*$B$10*$B$15*$B$17*$B$20*$B$22*$B$25,0)</f>
        <v/>
      </c>
      <c r="BF39" s="128">
        <f>ROUND($B$8*$B$10*$B$15*$B$17*$B$20*$B$23*$B$24,0)</f>
        <v/>
      </c>
      <c r="BG39" s="128">
        <f>ROUND($B$8*$B$10*$B$15*$B$17*$B$20*$B$23*$B$25,0)</f>
        <v/>
      </c>
      <c r="BH39" s="128">
        <f>ROUND($B$8*$B$10*$B$15*$B$17*$B$21*$B$22*$B$24,0)</f>
        <v/>
      </c>
      <c r="BI39" s="128">
        <f>ROUND($B$8*$B$10*$B$15*$B$17*$B$21*$B$22*$B$25,0)</f>
        <v/>
      </c>
      <c r="BJ39" s="128">
        <f>ROUND($B$8*$B$10*$B$15*$B$17*$B$21*$B$23*$B$24,0)</f>
        <v/>
      </c>
      <c r="BK39" s="128">
        <f>ROUND($B$8*$B$10*$B$15*$B$17*$B$21*$B$23*$B$25,0)</f>
        <v/>
      </c>
    </row>
    <row r="40" ht="20" customHeight="1" s="62">
      <c r="C40" s="129" t="inlineStr">
        <is>
          <t>Volume données élevé</t>
        </is>
      </c>
      <c r="D40" s="127">
        <f>ROUND($B$4*$B$10*$B$15*$B$18*$B$19*$B$22*$B$24,0)</f>
        <v/>
      </c>
      <c r="E40" s="127">
        <f>ROUND($B$4*$B$10*$B$15*$B$18*$B$19*$B$22*$B$25,0)</f>
        <v/>
      </c>
      <c r="F40" s="127">
        <f>ROUND($B$4*$B$10*$B$15*$B$18*$B$19*$B$23*$B$24,0)</f>
        <v/>
      </c>
      <c r="G40" s="127">
        <f>ROUND($B$4*$B$10*$B$15*$B$18*$B$19*$B$23*$B$25,0)</f>
        <v/>
      </c>
      <c r="H40" s="127">
        <f>ROUND($B$4*$B$10*$B$15*$B$18*$B$20*$B$22*$B$24,0)</f>
        <v/>
      </c>
      <c r="I40" s="127">
        <f>ROUND($B$4*$B$10*$B$15*$B$18*$B$20*$B$22*$B$25,0)</f>
        <v/>
      </c>
      <c r="J40" s="127">
        <f>ROUND($B$4*$B$10*$B$15*$B$18*$B$20*$B$23*$B$24,0)</f>
        <v/>
      </c>
      <c r="K40" s="127">
        <f>ROUND($B$4*$B$10*$B$15*$B$18*$B$20*$B$23*$B$25,0)</f>
        <v/>
      </c>
      <c r="L40" s="127">
        <f>ROUND($B$4*$B$10*$B$15*$B$18*$B$21*$B$22*$B$24,0)</f>
        <v/>
      </c>
      <c r="M40" s="127">
        <f>ROUND($B$4*$B$10*$B$15*$B$18*$B$21*$B$22*$B$25,0)</f>
        <v/>
      </c>
      <c r="N40" s="127">
        <f>ROUND($B$4*$B$10*$B$15*$B$18*$B$21*$B$23*$B$24,0)</f>
        <v/>
      </c>
      <c r="O40" s="127">
        <f>ROUND($B$4*$B$10*$B$15*$B$18*$B$21*$B$23*$B$25,0)</f>
        <v/>
      </c>
      <c r="P40" s="127">
        <f>ROUND($B$5*$B$10*$B$15*$B$18*$B$19*$B$22*$B$24,0)</f>
        <v/>
      </c>
      <c r="Q40" s="127">
        <f>ROUND($B$5*$B$10*$B$15*$B$18*$B$19*$B$22*$B$25,0)</f>
        <v/>
      </c>
      <c r="R40" s="127">
        <f>ROUND($B$5*$B$10*$B$15*$B$18*$B$19*$B$23*$B$24,0)</f>
        <v/>
      </c>
      <c r="S40" s="127">
        <f>ROUND($B$5*$B$10*$B$15*$B$18*$B$19*$B$23*$B$25,0)</f>
        <v/>
      </c>
      <c r="T40" s="127">
        <f>ROUND($B$5*$B$10*$B$15*$B$18*$B$20*$B$22*$B$24,0)</f>
        <v/>
      </c>
      <c r="U40" s="127">
        <f>ROUND($B$5*$B$10*$B$15*$B$18*$B$20*$B$22*$B$25,0)</f>
        <v/>
      </c>
      <c r="V40" s="127">
        <f>ROUND($B$5*$B$10*$B$15*$B$18*$B$20*$B$23*$B$24,0)</f>
        <v/>
      </c>
      <c r="W40" s="127">
        <f>ROUND($B$5*$B$10*$B$15*$B$18*$B$20*$B$23*$B$25,0)</f>
        <v/>
      </c>
      <c r="X40" s="127">
        <f>ROUND($B$5*$B$10*$B$15*$B$18*$B$21*$B$22*$B$24,0)</f>
        <v/>
      </c>
      <c r="Y40" s="127">
        <f>ROUND($B$5*$B$10*$B$15*$B$18*$B$21*$B$22*$B$25,0)</f>
        <v/>
      </c>
      <c r="Z40" s="127">
        <f>ROUND($B$5*$B$10*$B$15*$B$18*$B$21*$B$23*$B$24,0)</f>
        <v/>
      </c>
      <c r="AA40" s="127">
        <f>ROUND($B$5*$B$10*$B$15*$B$18*$B$21*$B$23*$B$25,0)</f>
        <v/>
      </c>
      <c r="AB40" s="127">
        <f>ROUND($B$6*$B$10*$B$15*$B$18*$B$19*$B$22*$B$24,0)</f>
        <v/>
      </c>
      <c r="AC40" s="127">
        <f>ROUND($B$6*$B$10*$B$15*$B$18*$B$19*$B$22*$B$25,0)</f>
        <v/>
      </c>
      <c r="AD40" s="127">
        <f>ROUND($B$6*$B$10*$B$15*$B$18*$B$19*$B$23*$B$24,0)</f>
        <v/>
      </c>
      <c r="AE40" s="127">
        <f>ROUND($B$6*$B$10*$B$15*$B$18*$B$19*$B$23*$B$25,0)</f>
        <v/>
      </c>
      <c r="AF40" s="127">
        <f>ROUND($B$6*$B$10*$B$15*$B$18*$B$20*$B$22*$B$24,0)</f>
        <v/>
      </c>
      <c r="AG40" s="127">
        <f>ROUND($B$6*$B$10*$B$15*$B$18*$B$20*$B$22*$B$25,0)</f>
        <v/>
      </c>
      <c r="AH40" s="127">
        <f>ROUND($B$6*$B$10*$B$15*$B$18*$B$20*$B$23*$B$24,0)</f>
        <v/>
      </c>
      <c r="AI40" s="127">
        <f>ROUND($B$6*$B$10*$B$15*$B$18*$B$20*$B$23*$B$25,0)</f>
        <v/>
      </c>
      <c r="AJ40" s="127">
        <f>ROUND($B$6*$B$10*$B$15*$B$18*$B$21*$B$22*$B$24,0)</f>
        <v/>
      </c>
      <c r="AK40" s="127">
        <f>ROUND($B$6*$B$10*$B$15*$B$18*$B$21*$B$22*$B$25,0)</f>
        <v/>
      </c>
      <c r="AL40" s="127">
        <f>ROUND($B$6*$B$10*$B$15*$B$18*$B$21*$B$23*$B$24,0)</f>
        <v/>
      </c>
      <c r="AM40" s="127">
        <f>ROUND($B$6*$B$10*$B$15*$B$18*$B$21*$B$23*$B$25,0)</f>
        <v/>
      </c>
      <c r="AN40" s="127">
        <f>ROUND($B$7*$B$10*$B$15*$B$18*$B$19*$B$22*$B$24,0)</f>
        <v/>
      </c>
      <c r="AO40" s="127">
        <f>ROUND($B$7*$B$10*$B$15*$B$18*$B$19*$B$22*$B$25,0)</f>
        <v/>
      </c>
      <c r="AP40" s="127">
        <f>ROUND($B$7*$B$10*$B$15*$B$18*$B$19*$B$23*$B$24,0)</f>
        <v/>
      </c>
      <c r="AQ40" s="127">
        <f>ROUND($B$7*$B$10*$B$15*$B$18*$B$19*$B$23*$B$25,0)</f>
        <v/>
      </c>
      <c r="AR40" s="127">
        <f>ROUND($B$7*$B$10*$B$15*$B$18*$B$20*$B$22*$B$24,0)</f>
        <v/>
      </c>
      <c r="AS40" s="127">
        <f>ROUND($B$7*$B$10*$B$15*$B$18*$B$20*$B$22*$B$25,0)</f>
        <v/>
      </c>
      <c r="AT40" s="127">
        <f>ROUND($B$7*$B$10*$B$15*$B$18*$B$20*$B$23*$B$24,0)</f>
        <v/>
      </c>
      <c r="AU40" s="127">
        <f>ROUND($B$7*$B$10*$B$15*$B$18*$B$20*$B$23*$B$25,0)</f>
        <v/>
      </c>
      <c r="AV40" s="127">
        <f>ROUND($B$7*$B$10*$B$15*$B$18*$B$21*$B$22*$B$24,0)</f>
        <v/>
      </c>
      <c r="AW40" s="127">
        <f>ROUND($B$7*$B$10*$B$15*$B$18*$B$21*$B$22*$B$25,0)</f>
        <v/>
      </c>
      <c r="AX40" s="127">
        <f>ROUND($B$7*$B$10*$B$15*$B$18*$B$21*$B$23*$B$24,0)</f>
        <v/>
      </c>
      <c r="AY40" s="127">
        <f>ROUND($B$7*$B$10*$B$15*$B$18*$B$21*$B$23*$B$25,0)</f>
        <v/>
      </c>
      <c r="AZ40" s="128">
        <f>ROUND($B$8*$B$10*$B$15*$B$18*$B$19*$B$22*$B$24,0)</f>
        <v/>
      </c>
      <c r="BA40" s="128">
        <f>ROUND($B$8*$B$10*$B$15*$B$18*$B$19*$B$22*$B$25,0)</f>
        <v/>
      </c>
      <c r="BB40" s="128">
        <f>ROUND($B$8*$B$10*$B$15*$B$18*$B$19*$B$23*$B$24,0)</f>
        <v/>
      </c>
      <c r="BC40" s="128">
        <f>ROUND($B$8*$B$10*$B$15*$B$18*$B$19*$B$23*$B$25,0)</f>
        <v/>
      </c>
      <c r="BD40" s="128">
        <f>ROUND($B$8*$B$10*$B$15*$B$18*$B$20*$B$22*$B$24,0)</f>
        <v/>
      </c>
      <c r="BE40" s="128">
        <f>ROUND($B$8*$B$10*$B$15*$B$18*$B$20*$B$22*$B$25,0)</f>
        <v/>
      </c>
      <c r="BF40" s="128">
        <f>ROUND($B$8*$B$10*$B$15*$B$18*$B$20*$B$23*$B$24,0)</f>
        <v/>
      </c>
      <c r="BG40" s="128">
        <f>ROUND($B$8*$B$10*$B$15*$B$18*$B$20*$B$23*$B$25,0)</f>
        <v/>
      </c>
      <c r="BH40" s="128">
        <f>ROUND($B$8*$B$10*$B$15*$B$18*$B$21*$B$22*$B$24,0)</f>
        <v/>
      </c>
      <c r="BI40" s="128">
        <f>ROUND($B$8*$B$10*$B$15*$B$18*$B$21*$B$22*$B$25,0)</f>
        <v/>
      </c>
      <c r="BJ40" s="128">
        <f>ROUND($B$8*$B$10*$B$15*$B$18*$B$21*$B$23*$B$24,0)</f>
        <v/>
      </c>
      <c r="BK40" s="128">
        <f>ROUND($B$8*$B$10*$B$15*$B$18*$B$21*$B$23*$B$25,0)</f>
        <v/>
      </c>
    </row>
    <row r="41" ht="20" customHeight="1" s="62">
      <c r="A41" s="124" t="inlineStr">
        <is>
          <t>Complexité modérée</t>
        </is>
      </c>
      <c r="B41" s="125" t="inlineStr">
        <is>
          <t>IA générative</t>
        </is>
      </c>
      <c r="C41" s="126" t="inlineStr">
        <is>
          <t>Volume données faible</t>
        </is>
      </c>
      <c r="D41" s="127">
        <f>ROUND($B$4*$B$11*$B$13*$B$16*$B$19*$B$22*$B$24,0)</f>
        <v/>
      </c>
      <c r="E41" s="127">
        <f>ROUND($B$4*$B$11*$B$13*$B$16*$B$19*$B$22*$B$25,0)</f>
        <v/>
      </c>
      <c r="F41" s="127">
        <f>ROUND($B$4*$B$11*$B$13*$B$16*$B$19*$B$23*$B$24,0)</f>
        <v/>
      </c>
      <c r="G41" s="127">
        <f>ROUND($B$4*$B$11*$B$13*$B$16*$B$19*$B$23*$B$25,0)</f>
        <v/>
      </c>
      <c r="H41" s="127">
        <f>ROUND($B$4*$B$11*$B$13*$B$16*$B$20*$B$22*$B$24,0)</f>
        <v/>
      </c>
      <c r="I41" s="127">
        <f>ROUND($B$4*$B$11*$B$13*$B$16*$B$20*$B$22*$B$25,0)</f>
        <v/>
      </c>
      <c r="J41" s="127">
        <f>ROUND($B$4*$B$11*$B$13*$B$16*$B$20*$B$23*$B$24,0)</f>
        <v/>
      </c>
      <c r="K41" s="127">
        <f>ROUND($B$4*$B$11*$B$13*$B$16*$B$20*$B$23*$B$25,0)</f>
        <v/>
      </c>
      <c r="L41" s="127">
        <f>ROUND($B$4*$B$11*$B$13*$B$16*$B$21*$B$22*$B$24,0)</f>
        <v/>
      </c>
      <c r="M41" s="127">
        <f>ROUND($B$4*$B$11*$B$13*$B$16*$B$21*$B$22*$B$25,0)</f>
        <v/>
      </c>
      <c r="N41" s="127">
        <f>ROUND($B$4*$B$11*$B$13*$B$16*$B$21*$B$23*$B$24,0)</f>
        <v/>
      </c>
      <c r="O41" s="127">
        <f>ROUND($B$4*$B$11*$B$13*$B$16*$B$21*$B$23*$B$25,0)</f>
        <v/>
      </c>
      <c r="P41" s="127">
        <f>ROUND($B$5*$B$11*$B$13*$B$16*$B$19*$B$22*$B$24,0)</f>
        <v/>
      </c>
      <c r="Q41" s="127">
        <f>ROUND($B$5*$B$11*$B$13*$B$16*$B$19*$B$22*$B$25,0)</f>
        <v/>
      </c>
      <c r="R41" s="127">
        <f>ROUND($B$5*$B$11*$B$13*$B$16*$B$19*$B$23*$B$24,0)</f>
        <v/>
      </c>
      <c r="S41" s="127">
        <f>ROUND($B$5*$B$11*$B$13*$B$16*$B$19*$B$23*$B$25,0)</f>
        <v/>
      </c>
      <c r="T41" s="127">
        <f>ROUND($B$5*$B$11*$B$13*$B$16*$B$20*$B$22*$B$24,0)</f>
        <v/>
      </c>
      <c r="U41" s="127">
        <f>ROUND($B$5*$B$11*$B$13*$B$16*$B$20*$B$22*$B$25,0)</f>
        <v/>
      </c>
      <c r="V41" s="127">
        <f>ROUND($B$5*$B$11*$B$13*$B$16*$B$20*$B$23*$B$24,0)</f>
        <v/>
      </c>
      <c r="W41" s="127">
        <f>ROUND($B$5*$B$11*$B$13*$B$16*$B$20*$B$23*$B$25,0)</f>
        <v/>
      </c>
      <c r="X41" s="127">
        <f>ROUND($B$5*$B$11*$B$13*$B$16*$B$21*$B$22*$B$24,0)</f>
        <v/>
      </c>
      <c r="Y41" s="127">
        <f>ROUND($B$5*$B$11*$B$13*$B$16*$B$21*$B$22*$B$25,0)</f>
        <v/>
      </c>
      <c r="Z41" s="127">
        <f>ROUND($B$5*$B$11*$B$13*$B$16*$B$21*$B$23*$B$24,0)</f>
        <v/>
      </c>
      <c r="AA41" s="127">
        <f>ROUND($B$5*$B$11*$B$13*$B$16*$B$21*$B$23*$B$25,0)</f>
        <v/>
      </c>
      <c r="AB41" s="127">
        <f>ROUND($B$6*$B$11*$B$13*$B$16*$B$19*$B$22*$B$24,0)</f>
        <v/>
      </c>
      <c r="AC41" s="127">
        <f>ROUND($B$6*$B$11*$B$13*$B$16*$B$19*$B$22*$B$25,0)</f>
        <v/>
      </c>
      <c r="AD41" s="127">
        <f>ROUND($B$6*$B$11*$B$13*$B$16*$B$19*$B$23*$B$24,0)</f>
        <v/>
      </c>
      <c r="AE41" s="127">
        <f>ROUND($B$6*$B$11*$B$13*$B$16*$B$19*$B$23*$B$25,0)</f>
        <v/>
      </c>
      <c r="AF41" s="127">
        <f>ROUND($B$6*$B$11*$B$13*$B$16*$B$20*$B$22*$B$24,0)</f>
        <v/>
      </c>
      <c r="AG41" s="127">
        <f>ROUND($B$6*$B$11*$B$13*$B$16*$B$20*$B$22*$B$25,0)</f>
        <v/>
      </c>
      <c r="AH41" s="127">
        <f>ROUND($B$6*$B$11*$B$13*$B$16*$B$20*$B$23*$B$24,0)</f>
        <v/>
      </c>
      <c r="AI41" s="127">
        <f>ROUND($B$6*$B$11*$B$13*$B$16*$B$20*$B$23*$B$25,0)</f>
        <v/>
      </c>
      <c r="AJ41" s="127">
        <f>ROUND($B$6*$B$11*$B$13*$B$16*$B$21*$B$22*$B$24,0)</f>
        <v/>
      </c>
      <c r="AK41" s="127">
        <f>ROUND($B$6*$B$11*$B$13*$B$16*$B$21*$B$22*$B$25,0)</f>
        <v/>
      </c>
      <c r="AL41" s="127">
        <f>ROUND($B$6*$B$11*$B$13*$B$16*$B$21*$B$23*$B$24,0)</f>
        <v/>
      </c>
      <c r="AM41" s="127">
        <f>ROUND($B$6*$B$11*$B$13*$B$16*$B$21*$B$23*$B$25,0)</f>
        <v/>
      </c>
      <c r="AN41" s="127">
        <f>ROUND($B$7*$B$11*$B$13*$B$16*$B$19*$B$22*$B$24,0)</f>
        <v/>
      </c>
      <c r="AO41" s="127">
        <f>ROUND($B$7*$B$11*$B$13*$B$16*$B$19*$B$22*$B$25,0)</f>
        <v/>
      </c>
      <c r="AP41" s="127">
        <f>ROUND($B$7*$B$11*$B$13*$B$16*$B$19*$B$23*$B$24,0)</f>
        <v/>
      </c>
      <c r="AQ41" s="127">
        <f>ROUND($B$7*$B$11*$B$13*$B$16*$B$19*$B$23*$B$25,0)</f>
        <v/>
      </c>
      <c r="AR41" s="127">
        <f>ROUND($B$7*$B$11*$B$13*$B$16*$B$20*$B$22*$B$24,0)</f>
        <v/>
      </c>
      <c r="AS41" s="127">
        <f>ROUND($B$7*$B$11*$B$13*$B$16*$B$20*$B$22*$B$25,0)</f>
        <v/>
      </c>
      <c r="AT41" s="127">
        <f>ROUND($B$7*$B$11*$B$13*$B$16*$B$20*$B$23*$B$24,0)</f>
        <v/>
      </c>
      <c r="AU41" s="127">
        <f>ROUND($B$7*$B$11*$B$13*$B$16*$B$20*$B$23*$B$25,0)</f>
        <v/>
      </c>
      <c r="AV41" s="127">
        <f>ROUND($B$7*$B$11*$B$13*$B$16*$B$21*$B$22*$B$24,0)</f>
        <v/>
      </c>
      <c r="AW41" s="127">
        <f>ROUND($B$7*$B$11*$B$13*$B$16*$B$21*$B$22*$B$25,0)</f>
        <v/>
      </c>
      <c r="AX41" s="127">
        <f>ROUND($B$7*$B$11*$B$13*$B$16*$B$21*$B$23*$B$24,0)</f>
        <v/>
      </c>
      <c r="AY41" s="127">
        <f>ROUND($B$7*$B$11*$B$13*$B$16*$B$21*$B$23*$B$25,0)</f>
        <v/>
      </c>
      <c r="AZ41" s="128">
        <f>ROUND($B$8*$B$11*$B$13*$B$16*$B$19*$B$22*$B$24,0)</f>
        <v/>
      </c>
      <c r="BA41" s="128">
        <f>ROUND($B$8*$B$11*$B$13*$B$16*$B$19*$B$22*$B$25,0)</f>
        <v/>
      </c>
      <c r="BB41" s="128">
        <f>ROUND($B$8*$B$11*$B$13*$B$16*$B$19*$B$23*$B$24,0)</f>
        <v/>
      </c>
      <c r="BC41" s="128">
        <f>ROUND($B$8*$B$11*$B$13*$B$16*$B$19*$B$23*$B$25,0)</f>
        <v/>
      </c>
      <c r="BD41" s="128">
        <f>ROUND($B$8*$B$11*$B$13*$B$16*$B$20*$B$22*$B$24,0)</f>
        <v/>
      </c>
      <c r="BE41" s="128">
        <f>ROUND($B$8*$B$11*$B$13*$B$16*$B$20*$B$22*$B$25,0)</f>
        <v/>
      </c>
      <c r="BF41" s="128">
        <f>ROUND($B$8*$B$11*$B$13*$B$16*$B$20*$B$23*$B$24,0)</f>
        <v/>
      </c>
      <c r="BG41" s="128">
        <f>ROUND($B$8*$B$11*$B$13*$B$16*$B$20*$B$23*$B$25,0)</f>
        <v/>
      </c>
      <c r="BH41" s="128">
        <f>ROUND($B$8*$B$11*$B$13*$B$16*$B$21*$B$22*$B$24,0)</f>
        <v/>
      </c>
      <c r="BI41" s="128">
        <f>ROUND($B$8*$B$11*$B$13*$B$16*$B$21*$B$22*$B$25,0)</f>
        <v/>
      </c>
      <c r="BJ41" s="128">
        <f>ROUND($B$8*$B$11*$B$13*$B$16*$B$21*$B$23*$B$24,0)</f>
        <v/>
      </c>
      <c r="BK41" s="128">
        <f>ROUND($B$8*$B$11*$B$13*$B$16*$B$21*$B$23*$B$25,0)</f>
        <v/>
      </c>
    </row>
    <row r="42" ht="20" customHeight="1" s="62">
      <c r="C42" s="125" t="inlineStr">
        <is>
          <t>Volume données moyen</t>
        </is>
      </c>
      <c r="D42" s="127">
        <f>ROUND($B$4*$B$11*$B$13*$B$17*$B$19*$B$22*$B$24,0)</f>
        <v/>
      </c>
      <c r="E42" s="127">
        <f>ROUND($B$4*$B$11*$B$13*$B$17*$B$19*$B$22*$B$25,0)</f>
        <v/>
      </c>
      <c r="F42" s="127">
        <f>ROUND($B$4*$B$11*$B$13*$B$17*$B$19*$B$23*$B$24,0)</f>
        <v/>
      </c>
      <c r="G42" s="127">
        <f>ROUND($B$4*$B$11*$B$13*$B$17*$B$19*$B$23*$B$25,0)</f>
        <v/>
      </c>
      <c r="H42" s="127">
        <f>ROUND($B$4*$B$11*$B$13*$B$17*$B$20*$B$22*$B$24,0)</f>
        <v/>
      </c>
      <c r="I42" s="127">
        <f>ROUND($B$4*$B$11*$B$13*$B$17*$B$20*$B$22*$B$25,0)</f>
        <v/>
      </c>
      <c r="J42" s="127">
        <f>ROUND($B$4*$B$11*$B$13*$B$17*$B$20*$B$23*$B$24,0)</f>
        <v/>
      </c>
      <c r="K42" s="127">
        <f>ROUND($B$4*$B$11*$B$13*$B$17*$B$20*$B$23*$B$25,0)</f>
        <v/>
      </c>
      <c r="L42" s="127">
        <f>ROUND($B$4*$B$11*$B$13*$B$17*$B$21*$B$22*$B$24,0)</f>
        <v/>
      </c>
      <c r="M42" s="127">
        <f>ROUND($B$4*$B$11*$B$13*$B$17*$B$21*$B$22*$B$25,0)</f>
        <v/>
      </c>
      <c r="N42" s="127">
        <f>ROUND($B$4*$B$11*$B$13*$B$17*$B$21*$B$23*$B$24,0)</f>
        <v/>
      </c>
      <c r="O42" s="127">
        <f>ROUND($B$4*$B$11*$B$13*$B$17*$B$21*$B$23*$B$25,0)</f>
        <v/>
      </c>
      <c r="P42" s="127">
        <f>ROUND($B$5*$B$11*$B$13*$B$17*$B$19*$B$22*$B$24,0)</f>
        <v/>
      </c>
      <c r="Q42" s="127">
        <f>ROUND($B$5*$B$11*$B$13*$B$17*$B$19*$B$22*$B$25,0)</f>
        <v/>
      </c>
      <c r="R42" s="127">
        <f>ROUND($B$5*$B$11*$B$13*$B$17*$B$19*$B$23*$B$24,0)</f>
        <v/>
      </c>
      <c r="S42" s="127">
        <f>ROUND($B$5*$B$11*$B$13*$B$17*$B$19*$B$23*$B$25,0)</f>
        <v/>
      </c>
      <c r="T42" s="127">
        <f>ROUND($B$5*$B$11*$B$13*$B$17*$B$20*$B$22*$B$24,0)</f>
        <v/>
      </c>
      <c r="U42" s="127">
        <f>ROUND($B$5*$B$11*$B$13*$B$17*$B$20*$B$22*$B$25,0)</f>
        <v/>
      </c>
      <c r="V42" s="127">
        <f>ROUND($B$5*$B$11*$B$13*$B$17*$B$20*$B$23*$B$24,0)</f>
        <v/>
      </c>
      <c r="W42" s="127">
        <f>ROUND($B$5*$B$11*$B$13*$B$17*$B$20*$B$23*$B$25,0)</f>
        <v/>
      </c>
      <c r="X42" s="127">
        <f>ROUND($B$5*$B$11*$B$13*$B$17*$B$21*$B$22*$B$24,0)</f>
        <v/>
      </c>
      <c r="Y42" s="127">
        <f>ROUND($B$5*$B$11*$B$13*$B$17*$B$21*$B$22*$B$25,0)</f>
        <v/>
      </c>
      <c r="Z42" s="127">
        <f>ROUND($B$5*$B$11*$B$13*$B$17*$B$21*$B$23*$B$24,0)</f>
        <v/>
      </c>
      <c r="AA42" s="127">
        <f>ROUND($B$5*$B$11*$B$13*$B$17*$B$21*$B$23*$B$25,0)</f>
        <v/>
      </c>
      <c r="AB42" s="127">
        <f>ROUND($B$6*$B$11*$B$13*$B$17*$B$19*$B$22*$B$24,0)</f>
        <v/>
      </c>
      <c r="AC42" s="127">
        <f>ROUND($B$6*$B$11*$B$13*$B$17*$B$19*$B$22*$B$25,0)</f>
        <v/>
      </c>
      <c r="AD42" s="127">
        <f>ROUND($B$6*$B$11*$B$13*$B$17*$B$19*$B$23*$B$24,0)</f>
        <v/>
      </c>
      <c r="AE42" s="127">
        <f>ROUND($B$6*$B$11*$B$13*$B$17*$B$19*$B$23*$B$25,0)</f>
        <v/>
      </c>
      <c r="AF42" s="127">
        <f>ROUND($B$6*$B$11*$B$13*$B$17*$B$20*$B$22*$B$24,0)</f>
        <v/>
      </c>
      <c r="AG42" s="127">
        <f>ROUND($B$6*$B$11*$B$13*$B$17*$B$20*$B$22*$B$25,0)</f>
        <v/>
      </c>
      <c r="AH42" s="127">
        <f>ROUND($B$6*$B$11*$B$13*$B$17*$B$20*$B$23*$B$24,0)</f>
        <v/>
      </c>
      <c r="AI42" s="127">
        <f>ROUND($B$6*$B$11*$B$13*$B$17*$B$20*$B$23*$B$25,0)</f>
        <v/>
      </c>
      <c r="AJ42" s="127">
        <f>ROUND($B$6*$B$11*$B$13*$B$17*$B$21*$B$22*$B$24,0)</f>
        <v/>
      </c>
      <c r="AK42" s="127">
        <f>ROUND($B$6*$B$11*$B$13*$B$17*$B$21*$B$22*$B$25,0)</f>
        <v/>
      </c>
      <c r="AL42" s="127">
        <f>ROUND($B$6*$B$11*$B$13*$B$17*$B$21*$B$23*$B$24,0)</f>
        <v/>
      </c>
      <c r="AM42" s="127">
        <f>ROUND($B$6*$B$11*$B$13*$B$17*$B$21*$B$23*$B$25,0)</f>
        <v/>
      </c>
      <c r="AN42" s="127">
        <f>ROUND($B$7*$B$11*$B$13*$B$17*$B$19*$B$22*$B$24,0)</f>
        <v/>
      </c>
      <c r="AO42" s="127">
        <f>ROUND($B$7*$B$11*$B$13*$B$17*$B$19*$B$22*$B$25,0)</f>
        <v/>
      </c>
      <c r="AP42" s="127">
        <f>ROUND($B$7*$B$11*$B$13*$B$17*$B$19*$B$23*$B$24,0)</f>
        <v/>
      </c>
      <c r="AQ42" s="127">
        <f>ROUND($B$7*$B$11*$B$13*$B$17*$B$19*$B$23*$B$25,0)</f>
        <v/>
      </c>
      <c r="AR42" s="127">
        <f>ROUND($B$7*$B$11*$B$13*$B$17*$B$20*$B$22*$B$24,0)</f>
        <v/>
      </c>
      <c r="AS42" s="127">
        <f>ROUND($B$7*$B$11*$B$13*$B$17*$B$20*$B$22*$B$25,0)</f>
        <v/>
      </c>
      <c r="AT42" s="127">
        <f>ROUND($B$7*$B$11*$B$13*$B$17*$B$20*$B$23*$B$24,0)</f>
        <v/>
      </c>
      <c r="AU42" s="127">
        <f>ROUND($B$7*$B$11*$B$13*$B$17*$B$20*$B$23*$B$25,0)</f>
        <v/>
      </c>
      <c r="AV42" s="127">
        <f>ROUND($B$7*$B$11*$B$13*$B$17*$B$21*$B$22*$B$24,0)</f>
        <v/>
      </c>
      <c r="AW42" s="127">
        <f>ROUND($B$7*$B$11*$B$13*$B$17*$B$21*$B$22*$B$25,0)</f>
        <v/>
      </c>
      <c r="AX42" s="127">
        <f>ROUND($B$7*$B$11*$B$13*$B$17*$B$21*$B$23*$B$24,0)</f>
        <v/>
      </c>
      <c r="AY42" s="127">
        <f>ROUND($B$7*$B$11*$B$13*$B$17*$B$21*$B$23*$B$25,0)</f>
        <v/>
      </c>
      <c r="AZ42" s="128">
        <f>ROUND($B$8*$B$11*$B$13*$B$17*$B$19*$B$22*$B$24,0)</f>
        <v/>
      </c>
      <c r="BA42" s="128">
        <f>ROUND($B$8*$B$11*$B$13*$B$17*$B$19*$B$22*$B$25,0)</f>
        <v/>
      </c>
      <c r="BB42" s="128">
        <f>ROUND($B$8*$B$11*$B$13*$B$17*$B$19*$B$23*$B$24,0)</f>
        <v/>
      </c>
      <c r="BC42" s="128">
        <f>ROUND($B$8*$B$11*$B$13*$B$17*$B$19*$B$23*$B$25,0)</f>
        <v/>
      </c>
      <c r="BD42" s="128">
        <f>ROUND($B$8*$B$11*$B$13*$B$17*$B$20*$B$22*$B$24,0)</f>
        <v/>
      </c>
      <c r="BE42" s="128">
        <f>ROUND($B$8*$B$11*$B$13*$B$17*$B$20*$B$22*$B$25,0)</f>
        <v/>
      </c>
      <c r="BF42" s="128">
        <f>ROUND($B$8*$B$11*$B$13*$B$17*$B$20*$B$23*$B$24,0)</f>
        <v/>
      </c>
      <c r="BG42" s="128">
        <f>ROUND($B$8*$B$11*$B$13*$B$17*$B$20*$B$23*$B$25,0)</f>
        <v/>
      </c>
      <c r="BH42" s="128">
        <f>ROUND($B$8*$B$11*$B$13*$B$17*$B$21*$B$22*$B$24,0)</f>
        <v/>
      </c>
      <c r="BI42" s="128">
        <f>ROUND($B$8*$B$11*$B$13*$B$17*$B$21*$B$22*$B$25,0)</f>
        <v/>
      </c>
      <c r="BJ42" s="128">
        <f>ROUND($B$8*$B$11*$B$13*$B$17*$B$21*$B$23*$B$24,0)</f>
        <v/>
      </c>
      <c r="BK42" s="128">
        <f>ROUND($B$8*$B$11*$B$13*$B$17*$B$21*$B$23*$B$25,0)</f>
        <v/>
      </c>
    </row>
    <row r="43" ht="20" customHeight="1" s="62">
      <c r="C43" s="129" t="inlineStr">
        <is>
          <t>Volume données élevé</t>
        </is>
      </c>
      <c r="D43" s="127">
        <f>ROUND($B$4*$B$11*$B$13*$B$18*$B$19*$B$22*$B$24,0)</f>
        <v/>
      </c>
      <c r="E43" s="127">
        <f>ROUND($B$4*$B$11*$B$13*$B$18*$B$19*$B$22*$B$25,0)</f>
        <v/>
      </c>
      <c r="F43" s="127">
        <f>ROUND($B$4*$B$11*$B$13*$B$18*$B$19*$B$23*$B$24,0)</f>
        <v/>
      </c>
      <c r="G43" s="127">
        <f>ROUND($B$4*$B$11*$B$13*$B$18*$B$19*$B$23*$B$25,0)</f>
        <v/>
      </c>
      <c r="H43" s="127">
        <f>ROUND($B$4*$B$11*$B$13*$B$18*$B$20*$B$22*$B$24,0)</f>
        <v/>
      </c>
      <c r="I43" s="127">
        <f>ROUND($B$4*$B$11*$B$13*$B$18*$B$20*$B$22*$B$25,0)</f>
        <v/>
      </c>
      <c r="J43" s="127">
        <f>ROUND($B$4*$B$11*$B$13*$B$18*$B$20*$B$23*$B$24,0)</f>
        <v/>
      </c>
      <c r="K43" s="127">
        <f>ROUND($B$4*$B$11*$B$13*$B$18*$B$20*$B$23*$B$25,0)</f>
        <v/>
      </c>
      <c r="L43" s="127">
        <f>ROUND($B$4*$B$11*$B$13*$B$18*$B$21*$B$22*$B$24,0)</f>
        <v/>
      </c>
      <c r="M43" s="127">
        <f>ROUND($B$4*$B$11*$B$13*$B$18*$B$21*$B$22*$B$25,0)</f>
        <v/>
      </c>
      <c r="N43" s="127">
        <f>ROUND($B$4*$B$11*$B$13*$B$18*$B$21*$B$23*$B$24,0)</f>
        <v/>
      </c>
      <c r="O43" s="127">
        <f>ROUND($B$4*$B$11*$B$13*$B$18*$B$21*$B$23*$B$25,0)</f>
        <v/>
      </c>
      <c r="P43" s="127">
        <f>ROUND($B$5*$B$11*$B$13*$B$18*$B$19*$B$22*$B$24,0)</f>
        <v/>
      </c>
      <c r="Q43" s="127">
        <f>ROUND($B$5*$B$11*$B$13*$B$18*$B$19*$B$22*$B$25,0)</f>
        <v/>
      </c>
      <c r="R43" s="127">
        <f>ROUND($B$5*$B$11*$B$13*$B$18*$B$19*$B$23*$B$24,0)</f>
        <v/>
      </c>
      <c r="S43" s="127">
        <f>ROUND($B$5*$B$11*$B$13*$B$18*$B$19*$B$23*$B$25,0)</f>
        <v/>
      </c>
      <c r="T43" s="127">
        <f>ROUND($B$5*$B$11*$B$13*$B$18*$B$20*$B$22*$B$24,0)</f>
        <v/>
      </c>
      <c r="U43" s="127">
        <f>ROUND($B$5*$B$11*$B$13*$B$18*$B$20*$B$22*$B$25,0)</f>
        <v/>
      </c>
      <c r="V43" s="127">
        <f>ROUND($B$5*$B$11*$B$13*$B$18*$B$20*$B$23*$B$24,0)</f>
        <v/>
      </c>
      <c r="W43" s="127">
        <f>ROUND($B$5*$B$11*$B$13*$B$18*$B$20*$B$23*$B$25,0)</f>
        <v/>
      </c>
      <c r="X43" s="127">
        <f>ROUND($B$5*$B$11*$B$13*$B$18*$B$21*$B$22*$B$24,0)</f>
        <v/>
      </c>
      <c r="Y43" s="127">
        <f>ROUND($B$5*$B$11*$B$13*$B$18*$B$21*$B$22*$B$25,0)</f>
        <v/>
      </c>
      <c r="Z43" s="127">
        <f>ROUND($B$5*$B$11*$B$13*$B$18*$B$21*$B$23*$B$24,0)</f>
        <v/>
      </c>
      <c r="AA43" s="127">
        <f>ROUND($B$5*$B$11*$B$13*$B$18*$B$21*$B$23*$B$25,0)</f>
        <v/>
      </c>
      <c r="AB43" s="127">
        <f>ROUND($B$6*$B$11*$B$13*$B$18*$B$19*$B$22*$B$24,0)</f>
        <v/>
      </c>
      <c r="AC43" s="127">
        <f>ROUND($B$6*$B$11*$B$13*$B$18*$B$19*$B$22*$B$25,0)</f>
        <v/>
      </c>
      <c r="AD43" s="127">
        <f>ROUND($B$6*$B$11*$B$13*$B$18*$B$19*$B$23*$B$24,0)</f>
        <v/>
      </c>
      <c r="AE43" s="127">
        <f>ROUND($B$6*$B$11*$B$13*$B$18*$B$19*$B$23*$B$25,0)</f>
        <v/>
      </c>
      <c r="AF43" s="127">
        <f>ROUND($B$6*$B$11*$B$13*$B$18*$B$20*$B$22*$B$24,0)</f>
        <v/>
      </c>
      <c r="AG43" s="127">
        <f>ROUND($B$6*$B$11*$B$13*$B$18*$B$20*$B$22*$B$25,0)</f>
        <v/>
      </c>
      <c r="AH43" s="127">
        <f>ROUND($B$6*$B$11*$B$13*$B$18*$B$20*$B$23*$B$24,0)</f>
        <v/>
      </c>
      <c r="AI43" s="127">
        <f>ROUND($B$6*$B$11*$B$13*$B$18*$B$20*$B$23*$B$25,0)</f>
        <v/>
      </c>
      <c r="AJ43" s="127">
        <f>ROUND($B$6*$B$11*$B$13*$B$18*$B$21*$B$22*$B$24,0)</f>
        <v/>
      </c>
      <c r="AK43" s="127">
        <f>ROUND($B$6*$B$11*$B$13*$B$18*$B$21*$B$22*$B$25,0)</f>
        <v/>
      </c>
      <c r="AL43" s="127">
        <f>ROUND($B$6*$B$11*$B$13*$B$18*$B$21*$B$23*$B$24,0)</f>
        <v/>
      </c>
      <c r="AM43" s="127">
        <f>ROUND($B$6*$B$11*$B$13*$B$18*$B$21*$B$23*$B$25,0)</f>
        <v/>
      </c>
      <c r="AN43" s="127">
        <f>ROUND($B$7*$B$11*$B$13*$B$18*$B$19*$B$22*$B$24,0)</f>
        <v/>
      </c>
      <c r="AO43" s="127">
        <f>ROUND($B$7*$B$11*$B$13*$B$18*$B$19*$B$22*$B$25,0)</f>
        <v/>
      </c>
      <c r="AP43" s="127">
        <f>ROUND($B$7*$B$11*$B$13*$B$18*$B$19*$B$23*$B$24,0)</f>
        <v/>
      </c>
      <c r="AQ43" s="127">
        <f>ROUND($B$7*$B$11*$B$13*$B$18*$B$19*$B$23*$B$25,0)</f>
        <v/>
      </c>
      <c r="AR43" s="127">
        <f>ROUND($B$7*$B$11*$B$13*$B$18*$B$20*$B$22*$B$24,0)</f>
        <v/>
      </c>
      <c r="AS43" s="127">
        <f>ROUND($B$7*$B$11*$B$13*$B$18*$B$20*$B$22*$B$25,0)</f>
        <v/>
      </c>
      <c r="AT43" s="127">
        <f>ROUND($B$7*$B$11*$B$13*$B$18*$B$20*$B$23*$B$24,0)</f>
        <v/>
      </c>
      <c r="AU43" s="127">
        <f>ROUND($B$7*$B$11*$B$13*$B$18*$B$20*$B$23*$B$25,0)</f>
        <v/>
      </c>
      <c r="AV43" s="127">
        <f>ROUND($B$7*$B$11*$B$13*$B$18*$B$21*$B$22*$B$24,0)</f>
        <v/>
      </c>
      <c r="AW43" s="127">
        <f>ROUND($B$7*$B$11*$B$13*$B$18*$B$21*$B$22*$B$25,0)</f>
        <v/>
      </c>
      <c r="AX43" s="127">
        <f>ROUND($B$7*$B$11*$B$13*$B$18*$B$21*$B$23*$B$24,0)</f>
        <v/>
      </c>
      <c r="AY43" s="127">
        <f>ROUND($B$7*$B$11*$B$13*$B$18*$B$21*$B$23*$B$25,0)</f>
        <v/>
      </c>
      <c r="AZ43" s="128">
        <f>ROUND($B$8*$B$11*$B$13*$B$18*$B$19*$B$22*$B$24,0)</f>
        <v/>
      </c>
      <c r="BA43" s="128">
        <f>ROUND($B$8*$B$11*$B$13*$B$18*$B$19*$B$22*$B$25,0)</f>
        <v/>
      </c>
      <c r="BB43" s="128">
        <f>ROUND($B$8*$B$11*$B$13*$B$18*$B$19*$B$23*$B$24,0)</f>
        <v/>
      </c>
      <c r="BC43" s="128">
        <f>ROUND($B$8*$B$11*$B$13*$B$18*$B$19*$B$23*$B$25,0)</f>
        <v/>
      </c>
      <c r="BD43" s="128">
        <f>ROUND($B$8*$B$11*$B$13*$B$18*$B$20*$B$22*$B$24,0)</f>
        <v/>
      </c>
      <c r="BE43" s="128">
        <f>ROUND($B$8*$B$11*$B$13*$B$18*$B$20*$B$22*$B$25,0)</f>
        <v/>
      </c>
      <c r="BF43" s="128">
        <f>ROUND($B$8*$B$11*$B$13*$B$18*$B$20*$B$23*$B$24,0)</f>
        <v/>
      </c>
      <c r="BG43" s="128">
        <f>ROUND($B$8*$B$11*$B$13*$B$18*$B$20*$B$23*$B$25,0)</f>
        <v/>
      </c>
      <c r="BH43" s="128">
        <f>ROUND($B$8*$B$11*$B$13*$B$18*$B$21*$B$22*$B$24,0)</f>
        <v/>
      </c>
      <c r="BI43" s="128">
        <f>ROUND($B$8*$B$11*$B$13*$B$18*$B$21*$B$22*$B$25,0)</f>
        <v/>
      </c>
      <c r="BJ43" s="128">
        <f>ROUND($B$8*$B$11*$B$13*$B$18*$B$21*$B$23*$B$24,0)</f>
        <v/>
      </c>
      <c r="BK43" s="128">
        <f>ROUND($B$8*$B$11*$B$13*$B$18*$B$21*$B$23*$B$25,0)</f>
        <v/>
      </c>
    </row>
    <row r="44" ht="20" customHeight="1" s="62">
      <c r="B44" s="125" t="inlineStr">
        <is>
          <t>IA prédictive / ML</t>
        </is>
      </c>
      <c r="C44" s="126" t="inlineStr">
        <is>
          <t>Volume données faible</t>
        </is>
      </c>
      <c r="D44" s="127">
        <f>ROUND($B$4*$B$11*$B$14*$B$16*$B$19*$B$22*$B$24,0)</f>
        <v/>
      </c>
      <c r="E44" s="127">
        <f>ROUND($B$4*$B$11*$B$14*$B$16*$B$19*$B$22*$B$25,0)</f>
        <v/>
      </c>
      <c r="F44" s="127">
        <f>ROUND($B$4*$B$11*$B$14*$B$16*$B$19*$B$23*$B$24,0)</f>
        <v/>
      </c>
      <c r="G44" s="127">
        <f>ROUND($B$4*$B$11*$B$14*$B$16*$B$19*$B$23*$B$25,0)</f>
        <v/>
      </c>
      <c r="H44" s="127">
        <f>ROUND($B$4*$B$11*$B$14*$B$16*$B$20*$B$22*$B$24,0)</f>
        <v/>
      </c>
      <c r="I44" s="127">
        <f>ROUND($B$4*$B$11*$B$14*$B$16*$B$20*$B$22*$B$25,0)</f>
        <v/>
      </c>
      <c r="J44" s="127">
        <f>ROUND($B$4*$B$11*$B$14*$B$16*$B$20*$B$23*$B$24,0)</f>
        <v/>
      </c>
      <c r="K44" s="127">
        <f>ROUND($B$4*$B$11*$B$14*$B$16*$B$20*$B$23*$B$25,0)</f>
        <v/>
      </c>
      <c r="L44" s="127">
        <f>ROUND($B$4*$B$11*$B$14*$B$16*$B$21*$B$22*$B$24,0)</f>
        <v/>
      </c>
      <c r="M44" s="127">
        <f>ROUND($B$4*$B$11*$B$14*$B$16*$B$21*$B$22*$B$25,0)</f>
        <v/>
      </c>
      <c r="N44" s="127">
        <f>ROUND($B$4*$B$11*$B$14*$B$16*$B$21*$B$23*$B$24,0)</f>
        <v/>
      </c>
      <c r="O44" s="127">
        <f>ROUND($B$4*$B$11*$B$14*$B$16*$B$21*$B$23*$B$25,0)</f>
        <v/>
      </c>
      <c r="P44" s="127">
        <f>ROUND($B$5*$B$11*$B$14*$B$16*$B$19*$B$22*$B$24,0)</f>
        <v/>
      </c>
      <c r="Q44" s="127">
        <f>ROUND($B$5*$B$11*$B$14*$B$16*$B$19*$B$22*$B$25,0)</f>
        <v/>
      </c>
      <c r="R44" s="127">
        <f>ROUND($B$5*$B$11*$B$14*$B$16*$B$19*$B$23*$B$24,0)</f>
        <v/>
      </c>
      <c r="S44" s="127">
        <f>ROUND($B$5*$B$11*$B$14*$B$16*$B$19*$B$23*$B$25,0)</f>
        <v/>
      </c>
      <c r="T44" s="127">
        <f>ROUND($B$5*$B$11*$B$14*$B$16*$B$20*$B$22*$B$24,0)</f>
        <v/>
      </c>
      <c r="U44" s="127">
        <f>ROUND($B$5*$B$11*$B$14*$B$16*$B$20*$B$22*$B$25,0)</f>
        <v/>
      </c>
      <c r="V44" s="127">
        <f>ROUND($B$5*$B$11*$B$14*$B$16*$B$20*$B$23*$B$24,0)</f>
        <v/>
      </c>
      <c r="W44" s="127">
        <f>ROUND($B$5*$B$11*$B$14*$B$16*$B$20*$B$23*$B$25,0)</f>
        <v/>
      </c>
      <c r="X44" s="127">
        <f>ROUND($B$5*$B$11*$B$14*$B$16*$B$21*$B$22*$B$24,0)</f>
        <v/>
      </c>
      <c r="Y44" s="127">
        <f>ROUND($B$5*$B$11*$B$14*$B$16*$B$21*$B$22*$B$25,0)</f>
        <v/>
      </c>
      <c r="Z44" s="127">
        <f>ROUND($B$5*$B$11*$B$14*$B$16*$B$21*$B$23*$B$24,0)</f>
        <v/>
      </c>
      <c r="AA44" s="127">
        <f>ROUND($B$5*$B$11*$B$14*$B$16*$B$21*$B$23*$B$25,0)</f>
        <v/>
      </c>
      <c r="AB44" s="127">
        <f>ROUND($B$6*$B$11*$B$14*$B$16*$B$19*$B$22*$B$24,0)</f>
        <v/>
      </c>
      <c r="AC44" s="127">
        <f>ROUND($B$6*$B$11*$B$14*$B$16*$B$19*$B$22*$B$25,0)</f>
        <v/>
      </c>
      <c r="AD44" s="127">
        <f>ROUND($B$6*$B$11*$B$14*$B$16*$B$19*$B$23*$B$24,0)</f>
        <v/>
      </c>
      <c r="AE44" s="127">
        <f>ROUND($B$6*$B$11*$B$14*$B$16*$B$19*$B$23*$B$25,0)</f>
        <v/>
      </c>
      <c r="AF44" s="127">
        <f>ROUND($B$6*$B$11*$B$14*$B$16*$B$20*$B$22*$B$24,0)</f>
        <v/>
      </c>
      <c r="AG44" s="127">
        <f>ROUND($B$6*$B$11*$B$14*$B$16*$B$20*$B$22*$B$25,0)</f>
        <v/>
      </c>
      <c r="AH44" s="127">
        <f>ROUND($B$6*$B$11*$B$14*$B$16*$B$20*$B$23*$B$24,0)</f>
        <v/>
      </c>
      <c r="AI44" s="127">
        <f>ROUND($B$6*$B$11*$B$14*$B$16*$B$20*$B$23*$B$25,0)</f>
        <v/>
      </c>
      <c r="AJ44" s="127">
        <f>ROUND($B$6*$B$11*$B$14*$B$16*$B$21*$B$22*$B$24,0)</f>
        <v/>
      </c>
      <c r="AK44" s="127">
        <f>ROUND($B$6*$B$11*$B$14*$B$16*$B$21*$B$22*$B$25,0)</f>
        <v/>
      </c>
      <c r="AL44" s="127">
        <f>ROUND($B$6*$B$11*$B$14*$B$16*$B$21*$B$23*$B$24,0)</f>
        <v/>
      </c>
      <c r="AM44" s="127">
        <f>ROUND($B$6*$B$11*$B$14*$B$16*$B$21*$B$23*$B$25,0)</f>
        <v/>
      </c>
      <c r="AN44" s="127">
        <f>ROUND($B$7*$B$11*$B$14*$B$16*$B$19*$B$22*$B$24,0)</f>
        <v/>
      </c>
      <c r="AO44" s="127">
        <f>ROUND($B$7*$B$11*$B$14*$B$16*$B$19*$B$22*$B$25,0)</f>
        <v/>
      </c>
      <c r="AP44" s="127">
        <f>ROUND($B$7*$B$11*$B$14*$B$16*$B$19*$B$23*$B$24,0)</f>
        <v/>
      </c>
      <c r="AQ44" s="127">
        <f>ROUND($B$7*$B$11*$B$14*$B$16*$B$19*$B$23*$B$25,0)</f>
        <v/>
      </c>
      <c r="AR44" s="127">
        <f>ROUND($B$7*$B$11*$B$14*$B$16*$B$20*$B$22*$B$24,0)</f>
        <v/>
      </c>
      <c r="AS44" s="127">
        <f>ROUND($B$7*$B$11*$B$14*$B$16*$B$20*$B$22*$B$25,0)</f>
        <v/>
      </c>
      <c r="AT44" s="127">
        <f>ROUND($B$7*$B$11*$B$14*$B$16*$B$20*$B$23*$B$24,0)</f>
        <v/>
      </c>
      <c r="AU44" s="127">
        <f>ROUND($B$7*$B$11*$B$14*$B$16*$B$20*$B$23*$B$25,0)</f>
        <v/>
      </c>
      <c r="AV44" s="127">
        <f>ROUND($B$7*$B$11*$B$14*$B$16*$B$21*$B$22*$B$24,0)</f>
        <v/>
      </c>
      <c r="AW44" s="127">
        <f>ROUND($B$7*$B$11*$B$14*$B$16*$B$21*$B$22*$B$25,0)</f>
        <v/>
      </c>
      <c r="AX44" s="127">
        <f>ROUND($B$7*$B$11*$B$14*$B$16*$B$21*$B$23*$B$24,0)</f>
        <v/>
      </c>
      <c r="AY44" s="127">
        <f>ROUND($B$7*$B$11*$B$14*$B$16*$B$21*$B$23*$B$25,0)</f>
        <v/>
      </c>
      <c r="AZ44" s="128">
        <f>ROUND($B$8*$B$11*$B$14*$B$16*$B$19*$B$22*$B$24,0)</f>
        <v/>
      </c>
      <c r="BA44" s="128">
        <f>ROUND($B$8*$B$11*$B$14*$B$16*$B$19*$B$22*$B$25,0)</f>
        <v/>
      </c>
      <c r="BB44" s="128">
        <f>ROUND($B$8*$B$11*$B$14*$B$16*$B$19*$B$23*$B$24,0)</f>
        <v/>
      </c>
      <c r="BC44" s="128">
        <f>ROUND($B$8*$B$11*$B$14*$B$16*$B$19*$B$23*$B$25,0)</f>
        <v/>
      </c>
      <c r="BD44" s="128">
        <f>ROUND($B$8*$B$11*$B$14*$B$16*$B$20*$B$22*$B$24,0)</f>
        <v/>
      </c>
      <c r="BE44" s="128">
        <f>ROUND($B$8*$B$11*$B$14*$B$16*$B$20*$B$22*$B$25,0)</f>
        <v/>
      </c>
      <c r="BF44" s="128">
        <f>ROUND($B$8*$B$11*$B$14*$B$16*$B$20*$B$23*$B$24,0)</f>
        <v/>
      </c>
      <c r="BG44" s="128">
        <f>ROUND($B$8*$B$11*$B$14*$B$16*$B$20*$B$23*$B$25,0)</f>
        <v/>
      </c>
      <c r="BH44" s="128">
        <f>ROUND($B$8*$B$11*$B$14*$B$16*$B$21*$B$22*$B$24,0)</f>
        <v/>
      </c>
      <c r="BI44" s="128">
        <f>ROUND($B$8*$B$11*$B$14*$B$16*$B$21*$B$22*$B$25,0)</f>
        <v/>
      </c>
      <c r="BJ44" s="128">
        <f>ROUND($B$8*$B$11*$B$14*$B$16*$B$21*$B$23*$B$24,0)</f>
        <v/>
      </c>
      <c r="BK44" s="128">
        <f>ROUND($B$8*$B$11*$B$14*$B$16*$B$21*$B$23*$B$25,0)</f>
        <v/>
      </c>
    </row>
    <row r="45" ht="20" customHeight="1" s="62">
      <c r="C45" s="125" t="inlineStr">
        <is>
          <t>Volume données moyen</t>
        </is>
      </c>
      <c r="D45" s="127">
        <f>ROUND($B$4*$B$11*$B$14*$B$17*$B$19*$B$22*$B$24,0)</f>
        <v/>
      </c>
      <c r="E45" s="127">
        <f>ROUND($B$4*$B$11*$B$14*$B$17*$B$19*$B$22*$B$25,0)</f>
        <v/>
      </c>
      <c r="F45" s="127">
        <f>ROUND($B$4*$B$11*$B$14*$B$17*$B$19*$B$23*$B$24,0)</f>
        <v/>
      </c>
      <c r="G45" s="127">
        <f>ROUND($B$4*$B$11*$B$14*$B$17*$B$19*$B$23*$B$25,0)</f>
        <v/>
      </c>
      <c r="H45" s="127">
        <f>ROUND($B$4*$B$11*$B$14*$B$17*$B$20*$B$22*$B$24,0)</f>
        <v/>
      </c>
      <c r="I45" s="127">
        <f>ROUND($B$4*$B$11*$B$14*$B$17*$B$20*$B$22*$B$25,0)</f>
        <v/>
      </c>
      <c r="J45" s="127">
        <f>ROUND($B$4*$B$11*$B$14*$B$17*$B$20*$B$23*$B$24,0)</f>
        <v/>
      </c>
      <c r="K45" s="127">
        <f>ROUND($B$4*$B$11*$B$14*$B$17*$B$20*$B$23*$B$25,0)</f>
        <v/>
      </c>
      <c r="L45" s="127">
        <f>ROUND($B$4*$B$11*$B$14*$B$17*$B$21*$B$22*$B$24,0)</f>
        <v/>
      </c>
      <c r="M45" s="127">
        <f>ROUND($B$4*$B$11*$B$14*$B$17*$B$21*$B$22*$B$25,0)</f>
        <v/>
      </c>
      <c r="N45" s="127">
        <f>ROUND($B$4*$B$11*$B$14*$B$17*$B$21*$B$23*$B$24,0)</f>
        <v/>
      </c>
      <c r="O45" s="127">
        <f>ROUND($B$4*$B$11*$B$14*$B$17*$B$21*$B$23*$B$25,0)</f>
        <v/>
      </c>
      <c r="P45" s="127">
        <f>ROUND($B$5*$B$11*$B$14*$B$17*$B$19*$B$22*$B$24,0)</f>
        <v/>
      </c>
      <c r="Q45" s="127">
        <f>ROUND($B$5*$B$11*$B$14*$B$17*$B$19*$B$22*$B$25,0)</f>
        <v/>
      </c>
      <c r="R45" s="127">
        <f>ROUND($B$5*$B$11*$B$14*$B$17*$B$19*$B$23*$B$24,0)</f>
        <v/>
      </c>
      <c r="S45" s="127">
        <f>ROUND($B$5*$B$11*$B$14*$B$17*$B$19*$B$23*$B$25,0)</f>
        <v/>
      </c>
      <c r="T45" s="127">
        <f>ROUND($B$5*$B$11*$B$14*$B$17*$B$20*$B$22*$B$24,0)</f>
        <v/>
      </c>
      <c r="U45" s="127">
        <f>ROUND($B$5*$B$11*$B$14*$B$17*$B$20*$B$22*$B$25,0)</f>
        <v/>
      </c>
      <c r="V45" s="127">
        <f>ROUND($B$5*$B$11*$B$14*$B$17*$B$20*$B$23*$B$24,0)</f>
        <v/>
      </c>
      <c r="W45" s="127">
        <f>ROUND($B$5*$B$11*$B$14*$B$17*$B$20*$B$23*$B$25,0)</f>
        <v/>
      </c>
      <c r="X45" s="127">
        <f>ROUND($B$5*$B$11*$B$14*$B$17*$B$21*$B$22*$B$24,0)</f>
        <v/>
      </c>
      <c r="Y45" s="127">
        <f>ROUND($B$5*$B$11*$B$14*$B$17*$B$21*$B$22*$B$25,0)</f>
        <v/>
      </c>
      <c r="Z45" s="127">
        <f>ROUND($B$5*$B$11*$B$14*$B$17*$B$21*$B$23*$B$24,0)</f>
        <v/>
      </c>
      <c r="AA45" s="127">
        <f>ROUND($B$5*$B$11*$B$14*$B$17*$B$21*$B$23*$B$25,0)</f>
        <v/>
      </c>
      <c r="AB45" s="127">
        <f>ROUND($B$6*$B$11*$B$14*$B$17*$B$19*$B$22*$B$24,0)</f>
        <v/>
      </c>
      <c r="AC45" s="127">
        <f>ROUND($B$6*$B$11*$B$14*$B$17*$B$19*$B$22*$B$25,0)</f>
        <v/>
      </c>
      <c r="AD45" s="127">
        <f>ROUND($B$6*$B$11*$B$14*$B$17*$B$19*$B$23*$B$24,0)</f>
        <v/>
      </c>
      <c r="AE45" s="127">
        <f>ROUND($B$6*$B$11*$B$14*$B$17*$B$19*$B$23*$B$25,0)</f>
        <v/>
      </c>
      <c r="AF45" s="127">
        <f>ROUND($B$6*$B$11*$B$14*$B$17*$B$20*$B$22*$B$24,0)</f>
        <v/>
      </c>
      <c r="AG45" s="127">
        <f>ROUND($B$6*$B$11*$B$14*$B$17*$B$20*$B$22*$B$25,0)</f>
        <v/>
      </c>
      <c r="AH45" s="127">
        <f>ROUND($B$6*$B$11*$B$14*$B$17*$B$20*$B$23*$B$24,0)</f>
        <v/>
      </c>
      <c r="AI45" s="127">
        <f>ROUND($B$6*$B$11*$B$14*$B$17*$B$20*$B$23*$B$25,0)</f>
        <v/>
      </c>
      <c r="AJ45" s="127">
        <f>ROUND($B$6*$B$11*$B$14*$B$17*$B$21*$B$22*$B$24,0)</f>
        <v/>
      </c>
      <c r="AK45" s="127">
        <f>ROUND($B$6*$B$11*$B$14*$B$17*$B$21*$B$22*$B$25,0)</f>
        <v/>
      </c>
      <c r="AL45" s="127">
        <f>ROUND($B$6*$B$11*$B$14*$B$17*$B$21*$B$23*$B$24,0)</f>
        <v/>
      </c>
      <c r="AM45" s="127">
        <f>ROUND($B$6*$B$11*$B$14*$B$17*$B$21*$B$23*$B$25,0)</f>
        <v/>
      </c>
      <c r="AN45" s="127">
        <f>ROUND($B$7*$B$11*$B$14*$B$17*$B$19*$B$22*$B$24,0)</f>
        <v/>
      </c>
      <c r="AO45" s="127">
        <f>ROUND($B$7*$B$11*$B$14*$B$17*$B$19*$B$22*$B$25,0)</f>
        <v/>
      </c>
      <c r="AP45" s="127">
        <f>ROUND($B$7*$B$11*$B$14*$B$17*$B$19*$B$23*$B$24,0)</f>
        <v/>
      </c>
      <c r="AQ45" s="127">
        <f>ROUND($B$7*$B$11*$B$14*$B$17*$B$19*$B$23*$B$25,0)</f>
        <v/>
      </c>
      <c r="AR45" s="127">
        <f>ROUND($B$7*$B$11*$B$14*$B$17*$B$20*$B$22*$B$24,0)</f>
        <v/>
      </c>
      <c r="AS45" s="127">
        <f>ROUND($B$7*$B$11*$B$14*$B$17*$B$20*$B$22*$B$25,0)</f>
        <v/>
      </c>
      <c r="AT45" s="127">
        <f>ROUND($B$7*$B$11*$B$14*$B$17*$B$20*$B$23*$B$24,0)</f>
        <v/>
      </c>
      <c r="AU45" s="127">
        <f>ROUND($B$7*$B$11*$B$14*$B$17*$B$20*$B$23*$B$25,0)</f>
        <v/>
      </c>
      <c r="AV45" s="127">
        <f>ROUND($B$7*$B$11*$B$14*$B$17*$B$21*$B$22*$B$24,0)</f>
        <v/>
      </c>
      <c r="AW45" s="127">
        <f>ROUND($B$7*$B$11*$B$14*$B$17*$B$21*$B$22*$B$25,0)</f>
        <v/>
      </c>
      <c r="AX45" s="127">
        <f>ROUND($B$7*$B$11*$B$14*$B$17*$B$21*$B$23*$B$24,0)</f>
        <v/>
      </c>
      <c r="AY45" s="127">
        <f>ROUND($B$7*$B$11*$B$14*$B$17*$B$21*$B$23*$B$25,0)</f>
        <v/>
      </c>
      <c r="AZ45" s="128">
        <f>ROUND($B$8*$B$11*$B$14*$B$17*$B$19*$B$22*$B$24,0)</f>
        <v/>
      </c>
      <c r="BA45" s="128">
        <f>ROUND($B$8*$B$11*$B$14*$B$17*$B$19*$B$22*$B$25,0)</f>
        <v/>
      </c>
      <c r="BB45" s="128">
        <f>ROUND($B$8*$B$11*$B$14*$B$17*$B$19*$B$23*$B$24,0)</f>
        <v/>
      </c>
      <c r="BC45" s="128">
        <f>ROUND($B$8*$B$11*$B$14*$B$17*$B$19*$B$23*$B$25,0)</f>
        <v/>
      </c>
      <c r="BD45" s="128">
        <f>ROUND($B$8*$B$11*$B$14*$B$17*$B$20*$B$22*$B$24,0)</f>
        <v/>
      </c>
      <c r="BE45" s="128">
        <f>ROUND($B$8*$B$11*$B$14*$B$17*$B$20*$B$22*$B$25,0)</f>
        <v/>
      </c>
      <c r="BF45" s="128">
        <f>ROUND($B$8*$B$11*$B$14*$B$17*$B$20*$B$23*$B$24,0)</f>
        <v/>
      </c>
      <c r="BG45" s="128">
        <f>ROUND($B$8*$B$11*$B$14*$B$17*$B$20*$B$23*$B$25,0)</f>
        <v/>
      </c>
      <c r="BH45" s="128">
        <f>ROUND($B$8*$B$11*$B$14*$B$17*$B$21*$B$22*$B$24,0)</f>
        <v/>
      </c>
      <c r="BI45" s="128">
        <f>ROUND($B$8*$B$11*$B$14*$B$17*$B$21*$B$22*$B$25,0)</f>
        <v/>
      </c>
      <c r="BJ45" s="128">
        <f>ROUND($B$8*$B$11*$B$14*$B$17*$B$21*$B$23*$B$24,0)</f>
        <v/>
      </c>
      <c r="BK45" s="128">
        <f>ROUND($B$8*$B$11*$B$14*$B$17*$B$21*$B$23*$B$25,0)</f>
        <v/>
      </c>
    </row>
    <row r="46" ht="20" customHeight="1" s="62">
      <c r="C46" s="129" t="inlineStr">
        <is>
          <t>Volume données élevé</t>
        </is>
      </c>
      <c r="D46" s="127">
        <f>ROUND($B$4*$B$11*$B$14*$B$18*$B$19*$B$22*$B$24,0)</f>
        <v/>
      </c>
      <c r="E46" s="127">
        <f>ROUND($B$4*$B$11*$B$14*$B$18*$B$19*$B$22*$B$25,0)</f>
        <v/>
      </c>
      <c r="F46" s="127">
        <f>ROUND($B$4*$B$11*$B$14*$B$18*$B$19*$B$23*$B$24,0)</f>
        <v/>
      </c>
      <c r="G46" s="127">
        <f>ROUND($B$4*$B$11*$B$14*$B$18*$B$19*$B$23*$B$25,0)</f>
        <v/>
      </c>
      <c r="H46" s="127">
        <f>ROUND($B$4*$B$11*$B$14*$B$18*$B$20*$B$22*$B$24,0)</f>
        <v/>
      </c>
      <c r="I46" s="127">
        <f>ROUND($B$4*$B$11*$B$14*$B$18*$B$20*$B$22*$B$25,0)</f>
        <v/>
      </c>
      <c r="J46" s="127">
        <f>ROUND($B$4*$B$11*$B$14*$B$18*$B$20*$B$23*$B$24,0)</f>
        <v/>
      </c>
      <c r="K46" s="127">
        <f>ROUND($B$4*$B$11*$B$14*$B$18*$B$20*$B$23*$B$25,0)</f>
        <v/>
      </c>
      <c r="L46" s="127">
        <f>ROUND($B$4*$B$11*$B$14*$B$18*$B$21*$B$22*$B$24,0)</f>
        <v/>
      </c>
      <c r="M46" s="127">
        <f>ROUND($B$4*$B$11*$B$14*$B$18*$B$21*$B$22*$B$25,0)</f>
        <v/>
      </c>
      <c r="N46" s="127">
        <f>ROUND($B$4*$B$11*$B$14*$B$18*$B$21*$B$23*$B$24,0)</f>
        <v/>
      </c>
      <c r="O46" s="127">
        <f>ROUND($B$4*$B$11*$B$14*$B$18*$B$21*$B$23*$B$25,0)</f>
        <v/>
      </c>
      <c r="P46" s="127">
        <f>ROUND($B$5*$B$11*$B$14*$B$18*$B$19*$B$22*$B$24,0)</f>
        <v/>
      </c>
      <c r="Q46" s="127">
        <f>ROUND($B$5*$B$11*$B$14*$B$18*$B$19*$B$22*$B$25,0)</f>
        <v/>
      </c>
      <c r="R46" s="127">
        <f>ROUND($B$5*$B$11*$B$14*$B$18*$B$19*$B$23*$B$24,0)</f>
        <v/>
      </c>
      <c r="S46" s="127">
        <f>ROUND($B$5*$B$11*$B$14*$B$18*$B$19*$B$23*$B$25,0)</f>
        <v/>
      </c>
      <c r="T46" s="127">
        <f>ROUND($B$5*$B$11*$B$14*$B$18*$B$20*$B$22*$B$24,0)</f>
        <v/>
      </c>
      <c r="U46" s="127">
        <f>ROUND($B$5*$B$11*$B$14*$B$18*$B$20*$B$22*$B$25,0)</f>
        <v/>
      </c>
      <c r="V46" s="127">
        <f>ROUND($B$5*$B$11*$B$14*$B$18*$B$20*$B$23*$B$24,0)</f>
        <v/>
      </c>
      <c r="W46" s="127">
        <f>ROUND($B$5*$B$11*$B$14*$B$18*$B$20*$B$23*$B$25,0)</f>
        <v/>
      </c>
      <c r="X46" s="127">
        <f>ROUND($B$5*$B$11*$B$14*$B$18*$B$21*$B$22*$B$24,0)</f>
        <v/>
      </c>
      <c r="Y46" s="127">
        <f>ROUND($B$5*$B$11*$B$14*$B$18*$B$21*$B$22*$B$25,0)</f>
        <v/>
      </c>
      <c r="Z46" s="127">
        <f>ROUND($B$5*$B$11*$B$14*$B$18*$B$21*$B$23*$B$24,0)</f>
        <v/>
      </c>
      <c r="AA46" s="127">
        <f>ROUND($B$5*$B$11*$B$14*$B$18*$B$21*$B$23*$B$25,0)</f>
        <v/>
      </c>
      <c r="AB46" s="127">
        <f>ROUND($B$6*$B$11*$B$14*$B$18*$B$19*$B$22*$B$24,0)</f>
        <v/>
      </c>
      <c r="AC46" s="127">
        <f>ROUND($B$6*$B$11*$B$14*$B$18*$B$19*$B$22*$B$25,0)</f>
        <v/>
      </c>
      <c r="AD46" s="127">
        <f>ROUND($B$6*$B$11*$B$14*$B$18*$B$19*$B$23*$B$24,0)</f>
        <v/>
      </c>
      <c r="AE46" s="127">
        <f>ROUND($B$6*$B$11*$B$14*$B$18*$B$19*$B$23*$B$25,0)</f>
        <v/>
      </c>
      <c r="AF46" s="127">
        <f>ROUND($B$6*$B$11*$B$14*$B$18*$B$20*$B$22*$B$24,0)</f>
        <v/>
      </c>
      <c r="AG46" s="127">
        <f>ROUND($B$6*$B$11*$B$14*$B$18*$B$20*$B$22*$B$25,0)</f>
        <v/>
      </c>
      <c r="AH46" s="127">
        <f>ROUND($B$6*$B$11*$B$14*$B$18*$B$20*$B$23*$B$24,0)</f>
        <v/>
      </c>
      <c r="AI46" s="127">
        <f>ROUND($B$6*$B$11*$B$14*$B$18*$B$20*$B$23*$B$25,0)</f>
        <v/>
      </c>
      <c r="AJ46" s="127">
        <f>ROUND($B$6*$B$11*$B$14*$B$18*$B$21*$B$22*$B$24,0)</f>
        <v/>
      </c>
      <c r="AK46" s="127">
        <f>ROUND($B$6*$B$11*$B$14*$B$18*$B$21*$B$22*$B$25,0)</f>
        <v/>
      </c>
      <c r="AL46" s="127">
        <f>ROUND($B$6*$B$11*$B$14*$B$18*$B$21*$B$23*$B$24,0)</f>
        <v/>
      </c>
      <c r="AM46" s="127">
        <f>ROUND($B$6*$B$11*$B$14*$B$18*$B$21*$B$23*$B$25,0)</f>
        <v/>
      </c>
      <c r="AN46" s="127">
        <f>ROUND($B$7*$B$11*$B$14*$B$18*$B$19*$B$22*$B$24,0)</f>
        <v/>
      </c>
      <c r="AO46" s="127">
        <f>ROUND($B$7*$B$11*$B$14*$B$18*$B$19*$B$22*$B$25,0)</f>
        <v/>
      </c>
      <c r="AP46" s="127">
        <f>ROUND($B$7*$B$11*$B$14*$B$18*$B$19*$B$23*$B$24,0)</f>
        <v/>
      </c>
      <c r="AQ46" s="127">
        <f>ROUND($B$7*$B$11*$B$14*$B$18*$B$19*$B$23*$B$25,0)</f>
        <v/>
      </c>
      <c r="AR46" s="127">
        <f>ROUND($B$7*$B$11*$B$14*$B$18*$B$20*$B$22*$B$24,0)</f>
        <v/>
      </c>
      <c r="AS46" s="127">
        <f>ROUND($B$7*$B$11*$B$14*$B$18*$B$20*$B$22*$B$25,0)</f>
        <v/>
      </c>
      <c r="AT46" s="127">
        <f>ROUND($B$7*$B$11*$B$14*$B$18*$B$20*$B$23*$B$24,0)</f>
        <v/>
      </c>
      <c r="AU46" s="127">
        <f>ROUND($B$7*$B$11*$B$14*$B$18*$B$20*$B$23*$B$25,0)</f>
        <v/>
      </c>
      <c r="AV46" s="127">
        <f>ROUND($B$7*$B$11*$B$14*$B$18*$B$21*$B$22*$B$24,0)</f>
        <v/>
      </c>
      <c r="AW46" s="127">
        <f>ROUND($B$7*$B$11*$B$14*$B$18*$B$21*$B$22*$B$25,0)</f>
        <v/>
      </c>
      <c r="AX46" s="127">
        <f>ROUND($B$7*$B$11*$B$14*$B$18*$B$21*$B$23*$B$24,0)</f>
        <v/>
      </c>
      <c r="AY46" s="127">
        <f>ROUND($B$7*$B$11*$B$14*$B$18*$B$21*$B$23*$B$25,0)</f>
        <v/>
      </c>
      <c r="AZ46" s="128">
        <f>ROUND($B$8*$B$11*$B$14*$B$18*$B$19*$B$22*$B$24,0)</f>
        <v/>
      </c>
      <c r="BA46" s="128">
        <f>ROUND($B$8*$B$11*$B$14*$B$18*$B$19*$B$22*$B$25,0)</f>
        <v/>
      </c>
      <c r="BB46" s="128">
        <f>ROUND($B$8*$B$11*$B$14*$B$18*$B$19*$B$23*$B$24,0)</f>
        <v/>
      </c>
      <c r="BC46" s="128">
        <f>ROUND($B$8*$B$11*$B$14*$B$18*$B$19*$B$23*$B$25,0)</f>
        <v/>
      </c>
      <c r="BD46" s="128">
        <f>ROUND($B$8*$B$11*$B$14*$B$18*$B$20*$B$22*$B$24,0)</f>
        <v/>
      </c>
      <c r="BE46" s="128">
        <f>ROUND($B$8*$B$11*$B$14*$B$18*$B$20*$B$22*$B$25,0)</f>
        <v/>
      </c>
      <c r="BF46" s="128">
        <f>ROUND($B$8*$B$11*$B$14*$B$18*$B$20*$B$23*$B$24,0)</f>
        <v/>
      </c>
      <c r="BG46" s="128">
        <f>ROUND($B$8*$B$11*$B$14*$B$18*$B$20*$B$23*$B$25,0)</f>
        <v/>
      </c>
      <c r="BH46" s="128">
        <f>ROUND($B$8*$B$11*$B$14*$B$18*$B$21*$B$22*$B$24,0)</f>
        <v/>
      </c>
      <c r="BI46" s="128">
        <f>ROUND($B$8*$B$11*$B$14*$B$18*$B$21*$B$22*$B$25,0)</f>
        <v/>
      </c>
      <c r="BJ46" s="128">
        <f>ROUND($B$8*$B$11*$B$14*$B$18*$B$21*$B$23*$B$24,0)</f>
        <v/>
      </c>
      <c r="BK46" s="128">
        <f>ROUND($B$8*$B$11*$B$14*$B$18*$B$21*$B$23*$B$25,0)</f>
        <v/>
      </c>
    </row>
    <row r="47" ht="20" customHeight="1" s="62">
      <c r="B47" s="125" t="inlineStr">
        <is>
          <t>IA NLP / Vision</t>
        </is>
      </c>
      <c r="C47" s="126" t="inlineStr">
        <is>
          <t>Volume données faible</t>
        </is>
      </c>
      <c r="D47" s="127">
        <f>ROUND($B$4*$B$11*$B$15*$B$16*$B$19*$B$22*$B$24,0)</f>
        <v/>
      </c>
      <c r="E47" s="127">
        <f>ROUND($B$4*$B$11*$B$15*$B$16*$B$19*$B$22*$B$25,0)</f>
        <v/>
      </c>
      <c r="F47" s="127">
        <f>ROUND($B$4*$B$11*$B$15*$B$16*$B$19*$B$23*$B$24,0)</f>
        <v/>
      </c>
      <c r="G47" s="127">
        <f>ROUND($B$4*$B$11*$B$15*$B$16*$B$19*$B$23*$B$25,0)</f>
        <v/>
      </c>
      <c r="H47" s="127">
        <f>ROUND($B$4*$B$11*$B$15*$B$16*$B$20*$B$22*$B$24,0)</f>
        <v/>
      </c>
      <c r="I47" s="127">
        <f>ROUND($B$4*$B$11*$B$15*$B$16*$B$20*$B$22*$B$25,0)</f>
        <v/>
      </c>
      <c r="J47" s="127">
        <f>ROUND($B$4*$B$11*$B$15*$B$16*$B$20*$B$23*$B$24,0)</f>
        <v/>
      </c>
      <c r="K47" s="127">
        <f>ROUND($B$4*$B$11*$B$15*$B$16*$B$20*$B$23*$B$25,0)</f>
        <v/>
      </c>
      <c r="L47" s="127">
        <f>ROUND($B$4*$B$11*$B$15*$B$16*$B$21*$B$22*$B$24,0)</f>
        <v/>
      </c>
      <c r="M47" s="127">
        <f>ROUND($B$4*$B$11*$B$15*$B$16*$B$21*$B$22*$B$25,0)</f>
        <v/>
      </c>
      <c r="N47" s="127">
        <f>ROUND($B$4*$B$11*$B$15*$B$16*$B$21*$B$23*$B$24,0)</f>
        <v/>
      </c>
      <c r="O47" s="127">
        <f>ROUND($B$4*$B$11*$B$15*$B$16*$B$21*$B$23*$B$25,0)</f>
        <v/>
      </c>
      <c r="P47" s="127">
        <f>ROUND($B$5*$B$11*$B$15*$B$16*$B$19*$B$22*$B$24,0)</f>
        <v/>
      </c>
      <c r="Q47" s="127">
        <f>ROUND($B$5*$B$11*$B$15*$B$16*$B$19*$B$22*$B$25,0)</f>
        <v/>
      </c>
      <c r="R47" s="127">
        <f>ROUND($B$5*$B$11*$B$15*$B$16*$B$19*$B$23*$B$24,0)</f>
        <v/>
      </c>
      <c r="S47" s="127">
        <f>ROUND($B$5*$B$11*$B$15*$B$16*$B$19*$B$23*$B$25,0)</f>
        <v/>
      </c>
      <c r="T47" s="127">
        <f>ROUND($B$5*$B$11*$B$15*$B$16*$B$20*$B$22*$B$24,0)</f>
        <v/>
      </c>
      <c r="U47" s="127">
        <f>ROUND($B$5*$B$11*$B$15*$B$16*$B$20*$B$22*$B$25,0)</f>
        <v/>
      </c>
      <c r="V47" s="127">
        <f>ROUND($B$5*$B$11*$B$15*$B$16*$B$20*$B$23*$B$24,0)</f>
        <v/>
      </c>
      <c r="W47" s="127">
        <f>ROUND($B$5*$B$11*$B$15*$B$16*$B$20*$B$23*$B$25,0)</f>
        <v/>
      </c>
      <c r="X47" s="127">
        <f>ROUND($B$5*$B$11*$B$15*$B$16*$B$21*$B$22*$B$24,0)</f>
        <v/>
      </c>
      <c r="Y47" s="127">
        <f>ROUND($B$5*$B$11*$B$15*$B$16*$B$21*$B$22*$B$25,0)</f>
        <v/>
      </c>
      <c r="Z47" s="127">
        <f>ROUND($B$5*$B$11*$B$15*$B$16*$B$21*$B$23*$B$24,0)</f>
        <v/>
      </c>
      <c r="AA47" s="127">
        <f>ROUND($B$5*$B$11*$B$15*$B$16*$B$21*$B$23*$B$25,0)</f>
        <v/>
      </c>
      <c r="AB47" s="127">
        <f>ROUND($B$6*$B$11*$B$15*$B$16*$B$19*$B$22*$B$24,0)</f>
        <v/>
      </c>
      <c r="AC47" s="127">
        <f>ROUND($B$6*$B$11*$B$15*$B$16*$B$19*$B$22*$B$25,0)</f>
        <v/>
      </c>
      <c r="AD47" s="127">
        <f>ROUND($B$6*$B$11*$B$15*$B$16*$B$19*$B$23*$B$24,0)</f>
        <v/>
      </c>
      <c r="AE47" s="127">
        <f>ROUND($B$6*$B$11*$B$15*$B$16*$B$19*$B$23*$B$25,0)</f>
        <v/>
      </c>
      <c r="AF47" s="127">
        <f>ROUND($B$6*$B$11*$B$15*$B$16*$B$20*$B$22*$B$24,0)</f>
        <v/>
      </c>
      <c r="AG47" s="127">
        <f>ROUND($B$6*$B$11*$B$15*$B$16*$B$20*$B$22*$B$25,0)</f>
        <v/>
      </c>
      <c r="AH47" s="127">
        <f>ROUND($B$6*$B$11*$B$15*$B$16*$B$20*$B$23*$B$24,0)</f>
        <v/>
      </c>
      <c r="AI47" s="127">
        <f>ROUND($B$6*$B$11*$B$15*$B$16*$B$20*$B$23*$B$25,0)</f>
        <v/>
      </c>
      <c r="AJ47" s="127">
        <f>ROUND($B$6*$B$11*$B$15*$B$16*$B$21*$B$22*$B$24,0)</f>
        <v/>
      </c>
      <c r="AK47" s="127">
        <f>ROUND($B$6*$B$11*$B$15*$B$16*$B$21*$B$22*$B$25,0)</f>
        <v/>
      </c>
      <c r="AL47" s="127">
        <f>ROUND($B$6*$B$11*$B$15*$B$16*$B$21*$B$23*$B$24,0)</f>
        <v/>
      </c>
      <c r="AM47" s="127">
        <f>ROUND($B$6*$B$11*$B$15*$B$16*$B$21*$B$23*$B$25,0)</f>
        <v/>
      </c>
      <c r="AN47" s="127">
        <f>ROUND($B$7*$B$11*$B$15*$B$16*$B$19*$B$22*$B$24,0)</f>
        <v/>
      </c>
      <c r="AO47" s="127">
        <f>ROUND($B$7*$B$11*$B$15*$B$16*$B$19*$B$22*$B$25,0)</f>
        <v/>
      </c>
      <c r="AP47" s="127">
        <f>ROUND($B$7*$B$11*$B$15*$B$16*$B$19*$B$23*$B$24,0)</f>
        <v/>
      </c>
      <c r="AQ47" s="127">
        <f>ROUND($B$7*$B$11*$B$15*$B$16*$B$19*$B$23*$B$25,0)</f>
        <v/>
      </c>
      <c r="AR47" s="127">
        <f>ROUND($B$7*$B$11*$B$15*$B$16*$B$20*$B$22*$B$24,0)</f>
        <v/>
      </c>
      <c r="AS47" s="127">
        <f>ROUND($B$7*$B$11*$B$15*$B$16*$B$20*$B$22*$B$25,0)</f>
        <v/>
      </c>
      <c r="AT47" s="127">
        <f>ROUND($B$7*$B$11*$B$15*$B$16*$B$20*$B$23*$B$24,0)</f>
        <v/>
      </c>
      <c r="AU47" s="127">
        <f>ROUND($B$7*$B$11*$B$15*$B$16*$B$20*$B$23*$B$25,0)</f>
        <v/>
      </c>
      <c r="AV47" s="127">
        <f>ROUND($B$7*$B$11*$B$15*$B$16*$B$21*$B$22*$B$24,0)</f>
        <v/>
      </c>
      <c r="AW47" s="127">
        <f>ROUND($B$7*$B$11*$B$15*$B$16*$B$21*$B$22*$B$25,0)</f>
        <v/>
      </c>
      <c r="AX47" s="127">
        <f>ROUND($B$7*$B$11*$B$15*$B$16*$B$21*$B$23*$B$24,0)</f>
        <v/>
      </c>
      <c r="AY47" s="127">
        <f>ROUND($B$7*$B$11*$B$15*$B$16*$B$21*$B$23*$B$25,0)</f>
        <v/>
      </c>
      <c r="AZ47" s="128">
        <f>ROUND($B$8*$B$11*$B$15*$B$16*$B$19*$B$22*$B$24,0)</f>
        <v/>
      </c>
      <c r="BA47" s="128">
        <f>ROUND($B$8*$B$11*$B$15*$B$16*$B$19*$B$22*$B$25,0)</f>
        <v/>
      </c>
      <c r="BB47" s="128">
        <f>ROUND($B$8*$B$11*$B$15*$B$16*$B$19*$B$23*$B$24,0)</f>
        <v/>
      </c>
      <c r="BC47" s="128">
        <f>ROUND($B$8*$B$11*$B$15*$B$16*$B$19*$B$23*$B$25,0)</f>
        <v/>
      </c>
      <c r="BD47" s="128">
        <f>ROUND($B$8*$B$11*$B$15*$B$16*$B$20*$B$22*$B$24,0)</f>
        <v/>
      </c>
      <c r="BE47" s="128">
        <f>ROUND($B$8*$B$11*$B$15*$B$16*$B$20*$B$22*$B$25,0)</f>
        <v/>
      </c>
      <c r="BF47" s="128">
        <f>ROUND($B$8*$B$11*$B$15*$B$16*$B$20*$B$23*$B$24,0)</f>
        <v/>
      </c>
      <c r="BG47" s="128">
        <f>ROUND($B$8*$B$11*$B$15*$B$16*$B$20*$B$23*$B$25,0)</f>
        <v/>
      </c>
      <c r="BH47" s="128">
        <f>ROUND($B$8*$B$11*$B$15*$B$16*$B$21*$B$22*$B$24,0)</f>
        <v/>
      </c>
      <c r="BI47" s="128">
        <f>ROUND($B$8*$B$11*$B$15*$B$16*$B$21*$B$22*$B$25,0)</f>
        <v/>
      </c>
      <c r="BJ47" s="128">
        <f>ROUND($B$8*$B$11*$B$15*$B$16*$B$21*$B$23*$B$24,0)</f>
        <v/>
      </c>
      <c r="BK47" s="128">
        <f>ROUND($B$8*$B$11*$B$15*$B$16*$B$21*$B$23*$B$25,0)</f>
        <v/>
      </c>
    </row>
    <row r="48" ht="20" customHeight="1" s="62">
      <c r="C48" s="125" t="inlineStr">
        <is>
          <t>Volume données moyen</t>
        </is>
      </c>
      <c r="D48" s="127">
        <f>ROUND($B$4*$B$11*$B$15*$B$17*$B$19*$B$22*$B$24,0)</f>
        <v/>
      </c>
      <c r="E48" s="127">
        <f>ROUND($B$4*$B$11*$B$15*$B$17*$B$19*$B$22*$B$25,0)</f>
        <v/>
      </c>
      <c r="F48" s="127">
        <f>ROUND($B$4*$B$11*$B$15*$B$17*$B$19*$B$23*$B$24,0)</f>
        <v/>
      </c>
      <c r="G48" s="127">
        <f>ROUND($B$4*$B$11*$B$15*$B$17*$B$19*$B$23*$B$25,0)</f>
        <v/>
      </c>
      <c r="H48" s="127">
        <f>ROUND($B$4*$B$11*$B$15*$B$17*$B$20*$B$22*$B$24,0)</f>
        <v/>
      </c>
      <c r="I48" s="127">
        <f>ROUND($B$4*$B$11*$B$15*$B$17*$B$20*$B$22*$B$25,0)</f>
        <v/>
      </c>
      <c r="J48" s="127">
        <f>ROUND($B$4*$B$11*$B$15*$B$17*$B$20*$B$23*$B$24,0)</f>
        <v/>
      </c>
      <c r="K48" s="127">
        <f>ROUND($B$4*$B$11*$B$15*$B$17*$B$20*$B$23*$B$25,0)</f>
        <v/>
      </c>
      <c r="L48" s="127">
        <f>ROUND($B$4*$B$11*$B$15*$B$17*$B$21*$B$22*$B$24,0)</f>
        <v/>
      </c>
      <c r="M48" s="127">
        <f>ROUND($B$4*$B$11*$B$15*$B$17*$B$21*$B$22*$B$25,0)</f>
        <v/>
      </c>
      <c r="N48" s="127">
        <f>ROUND($B$4*$B$11*$B$15*$B$17*$B$21*$B$23*$B$24,0)</f>
        <v/>
      </c>
      <c r="O48" s="127">
        <f>ROUND($B$4*$B$11*$B$15*$B$17*$B$21*$B$23*$B$25,0)</f>
        <v/>
      </c>
      <c r="P48" s="127">
        <f>ROUND($B$5*$B$11*$B$15*$B$17*$B$19*$B$22*$B$24,0)</f>
        <v/>
      </c>
      <c r="Q48" s="127">
        <f>ROUND($B$5*$B$11*$B$15*$B$17*$B$19*$B$22*$B$25,0)</f>
        <v/>
      </c>
      <c r="R48" s="127">
        <f>ROUND($B$5*$B$11*$B$15*$B$17*$B$19*$B$23*$B$24,0)</f>
        <v/>
      </c>
      <c r="S48" s="127">
        <f>ROUND($B$5*$B$11*$B$15*$B$17*$B$19*$B$23*$B$25,0)</f>
        <v/>
      </c>
      <c r="T48" s="127">
        <f>ROUND($B$5*$B$11*$B$15*$B$17*$B$20*$B$22*$B$24,0)</f>
        <v/>
      </c>
      <c r="U48" s="127">
        <f>ROUND($B$5*$B$11*$B$15*$B$17*$B$20*$B$22*$B$25,0)</f>
        <v/>
      </c>
      <c r="V48" s="127">
        <f>ROUND($B$5*$B$11*$B$15*$B$17*$B$20*$B$23*$B$24,0)</f>
        <v/>
      </c>
      <c r="W48" s="127">
        <f>ROUND($B$5*$B$11*$B$15*$B$17*$B$20*$B$23*$B$25,0)</f>
        <v/>
      </c>
      <c r="X48" s="127">
        <f>ROUND($B$5*$B$11*$B$15*$B$17*$B$21*$B$22*$B$24,0)</f>
        <v/>
      </c>
      <c r="Y48" s="127">
        <f>ROUND($B$5*$B$11*$B$15*$B$17*$B$21*$B$22*$B$25,0)</f>
        <v/>
      </c>
      <c r="Z48" s="127">
        <f>ROUND($B$5*$B$11*$B$15*$B$17*$B$21*$B$23*$B$24,0)</f>
        <v/>
      </c>
      <c r="AA48" s="127">
        <f>ROUND($B$5*$B$11*$B$15*$B$17*$B$21*$B$23*$B$25,0)</f>
        <v/>
      </c>
      <c r="AB48" s="127">
        <f>ROUND($B$6*$B$11*$B$15*$B$17*$B$19*$B$22*$B$24,0)</f>
        <v/>
      </c>
      <c r="AC48" s="127">
        <f>ROUND($B$6*$B$11*$B$15*$B$17*$B$19*$B$22*$B$25,0)</f>
        <v/>
      </c>
      <c r="AD48" s="127">
        <f>ROUND($B$6*$B$11*$B$15*$B$17*$B$19*$B$23*$B$24,0)</f>
        <v/>
      </c>
      <c r="AE48" s="127">
        <f>ROUND($B$6*$B$11*$B$15*$B$17*$B$19*$B$23*$B$25,0)</f>
        <v/>
      </c>
      <c r="AF48" s="127">
        <f>ROUND($B$6*$B$11*$B$15*$B$17*$B$20*$B$22*$B$24,0)</f>
        <v/>
      </c>
      <c r="AG48" s="127">
        <f>ROUND($B$6*$B$11*$B$15*$B$17*$B$20*$B$22*$B$25,0)</f>
        <v/>
      </c>
      <c r="AH48" s="127">
        <f>ROUND($B$6*$B$11*$B$15*$B$17*$B$20*$B$23*$B$24,0)</f>
        <v/>
      </c>
      <c r="AI48" s="127">
        <f>ROUND($B$6*$B$11*$B$15*$B$17*$B$20*$B$23*$B$25,0)</f>
        <v/>
      </c>
      <c r="AJ48" s="127">
        <f>ROUND($B$6*$B$11*$B$15*$B$17*$B$21*$B$22*$B$24,0)</f>
        <v/>
      </c>
      <c r="AK48" s="127">
        <f>ROUND($B$6*$B$11*$B$15*$B$17*$B$21*$B$22*$B$25,0)</f>
        <v/>
      </c>
      <c r="AL48" s="127">
        <f>ROUND($B$6*$B$11*$B$15*$B$17*$B$21*$B$23*$B$24,0)</f>
        <v/>
      </c>
      <c r="AM48" s="127">
        <f>ROUND($B$6*$B$11*$B$15*$B$17*$B$21*$B$23*$B$25,0)</f>
        <v/>
      </c>
      <c r="AN48" s="127">
        <f>ROUND($B$7*$B$11*$B$15*$B$17*$B$19*$B$22*$B$24,0)</f>
        <v/>
      </c>
      <c r="AO48" s="127">
        <f>ROUND($B$7*$B$11*$B$15*$B$17*$B$19*$B$22*$B$25,0)</f>
        <v/>
      </c>
      <c r="AP48" s="127">
        <f>ROUND($B$7*$B$11*$B$15*$B$17*$B$19*$B$23*$B$24,0)</f>
        <v/>
      </c>
      <c r="AQ48" s="127">
        <f>ROUND($B$7*$B$11*$B$15*$B$17*$B$19*$B$23*$B$25,0)</f>
        <v/>
      </c>
      <c r="AR48" s="127">
        <f>ROUND($B$7*$B$11*$B$15*$B$17*$B$20*$B$22*$B$24,0)</f>
        <v/>
      </c>
      <c r="AS48" s="127">
        <f>ROUND($B$7*$B$11*$B$15*$B$17*$B$20*$B$22*$B$25,0)</f>
        <v/>
      </c>
      <c r="AT48" s="127">
        <f>ROUND($B$7*$B$11*$B$15*$B$17*$B$20*$B$23*$B$24,0)</f>
        <v/>
      </c>
      <c r="AU48" s="127">
        <f>ROUND($B$7*$B$11*$B$15*$B$17*$B$20*$B$23*$B$25,0)</f>
        <v/>
      </c>
      <c r="AV48" s="127">
        <f>ROUND($B$7*$B$11*$B$15*$B$17*$B$21*$B$22*$B$24,0)</f>
        <v/>
      </c>
      <c r="AW48" s="127">
        <f>ROUND($B$7*$B$11*$B$15*$B$17*$B$21*$B$22*$B$25,0)</f>
        <v/>
      </c>
      <c r="AX48" s="127">
        <f>ROUND($B$7*$B$11*$B$15*$B$17*$B$21*$B$23*$B$24,0)</f>
        <v/>
      </c>
      <c r="AY48" s="127">
        <f>ROUND($B$7*$B$11*$B$15*$B$17*$B$21*$B$23*$B$25,0)</f>
        <v/>
      </c>
      <c r="AZ48" s="128">
        <f>ROUND($B$8*$B$11*$B$15*$B$17*$B$19*$B$22*$B$24,0)</f>
        <v/>
      </c>
      <c r="BA48" s="128">
        <f>ROUND($B$8*$B$11*$B$15*$B$17*$B$19*$B$22*$B$25,0)</f>
        <v/>
      </c>
      <c r="BB48" s="128">
        <f>ROUND($B$8*$B$11*$B$15*$B$17*$B$19*$B$23*$B$24,0)</f>
        <v/>
      </c>
      <c r="BC48" s="128">
        <f>ROUND($B$8*$B$11*$B$15*$B$17*$B$19*$B$23*$B$25,0)</f>
        <v/>
      </c>
      <c r="BD48" s="128">
        <f>ROUND($B$8*$B$11*$B$15*$B$17*$B$20*$B$22*$B$24,0)</f>
        <v/>
      </c>
      <c r="BE48" s="128">
        <f>ROUND($B$8*$B$11*$B$15*$B$17*$B$20*$B$22*$B$25,0)</f>
        <v/>
      </c>
      <c r="BF48" s="128">
        <f>ROUND($B$8*$B$11*$B$15*$B$17*$B$20*$B$23*$B$24,0)</f>
        <v/>
      </c>
      <c r="BG48" s="128">
        <f>ROUND($B$8*$B$11*$B$15*$B$17*$B$20*$B$23*$B$25,0)</f>
        <v/>
      </c>
      <c r="BH48" s="128">
        <f>ROUND($B$8*$B$11*$B$15*$B$17*$B$21*$B$22*$B$24,0)</f>
        <v/>
      </c>
      <c r="BI48" s="128">
        <f>ROUND($B$8*$B$11*$B$15*$B$17*$B$21*$B$22*$B$25,0)</f>
        <v/>
      </c>
      <c r="BJ48" s="128">
        <f>ROUND($B$8*$B$11*$B$15*$B$17*$B$21*$B$23*$B$24,0)</f>
        <v/>
      </c>
      <c r="BK48" s="128">
        <f>ROUND($B$8*$B$11*$B$15*$B$17*$B$21*$B$23*$B$25,0)</f>
        <v/>
      </c>
    </row>
    <row r="49" ht="20" customHeight="1" s="62">
      <c r="C49" s="129" t="inlineStr">
        <is>
          <t>Volume données élevé</t>
        </is>
      </c>
      <c r="D49" s="127">
        <f>ROUND($B$4*$B$11*$B$15*$B$18*$B$19*$B$22*$B$24,0)</f>
        <v/>
      </c>
      <c r="E49" s="127">
        <f>ROUND($B$4*$B$11*$B$15*$B$18*$B$19*$B$22*$B$25,0)</f>
        <v/>
      </c>
      <c r="F49" s="127">
        <f>ROUND($B$4*$B$11*$B$15*$B$18*$B$19*$B$23*$B$24,0)</f>
        <v/>
      </c>
      <c r="G49" s="127">
        <f>ROUND($B$4*$B$11*$B$15*$B$18*$B$19*$B$23*$B$25,0)</f>
        <v/>
      </c>
      <c r="H49" s="127">
        <f>ROUND($B$4*$B$11*$B$15*$B$18*$B$20*$B$22*$B$24,0)</f>
        <v/>
      </c>
      <c r="I49" s="127">
        <f>ROUND($B$4*$B$11*$B$15*$B$18*$B$20*$B$22*$B$25,0)</f>
        <v/>
      </c>
      <c r="J49" s="127">
        <f>ROUND($B$4*$B$11*$B$15*$B$18*$B$20*$B$23*$B$24,0)</f>
        <v/>
      </c>
      <c r="K49" s="127">
        <f>ROUND($B$4*$B$11*$B$15*$B$18*$B$20*$B$23*$B$25,0)</f>
        <v/>
      </c>
      <c r="L49" s="127">
        <f>ROUND($B$4*$B$11*$B$15*$B$18*$B$21*$B$22*$B$24,0)</f>
        <v/>
      </c>
      <c r="M49" s="127">
        <f>ROUND($B$4*$B$11*$B$15*$B$18*$B$21*$B$22*$B$25,0)</f>
        <v/>
      </c>
      <c r="N49" s="127">
        <f>ROUND($B$4*$B$11*$B$15*$B$18*$B$21*$B$23*$B$24,0)</f>
        <v/>
      </c>
      <c r="O49" s="127">
        <f>ROUND($B$4*$B$11*$B$15*$B$18*$B$21*$B$23*$B$25,0)</f>
        <v/>
      </c>
      <c r="P49" s="127">
        <f>ROUND($B$5*$B$11*$B$15*$B$18*$B$19*$B$22*$B$24,0)</f>
        <v/>
      </c>
      <c r="Q49" s="127">
        <f>ROUND($B$5*$B$11*$B$15*$B$18*$B$19*$B$22*$B$25,0)</f>
        <v/>
      </c>
      <c r="R49" s="127">
        <f>ROUND($B$5*$B$11*$B$15*$B$18*$B$19*$B$23*$B$24,0)</f>
        <v/>
      </c>
      <c r="S49" s="127">
        <f>ROUND($B$5*$B$11*$B$15*$B$18*$B$19*$B$23*$B$25,0)</f>
        <v/>
      </c>
      <c r="T49" s="127">
        <f>ROUND($B$5*$B$11*$B$15*$B$18*$B$20*$B$22*$B$24,0)</f>
        <v/>
      </c>
      <c r="U49" s="127">
        <f>ROUND($B$5*$B$11*$B$15*$B$18*$B$20*$B$22*$B$25,0)</f>
        <v/>
      </c>
      <c r="V49" s="127">
        <f>ROUND($B$5*$B$11*$B$15*$B$18*$B$20*$B$23*$B$24,0)</f>
        <v/>
      </c>
      <c r="W49" s="127">
        <f>ROUND($B$5*$B$11*$B$15*$B$18*$B$20*$B$23*$B$25,0)</f>
        <v/>
      </c>
      <c r="X49" s="127">
        <f>ROUND($B$5*$B$11*$B$15*$B$18*$B$21*$B$22*$B$24,0)</f>
        <v/>
      </c>
      <c r="Y49" s="127">
        <f>ROUND($B$5*$B$11*$B$15*$B$18*$B$21*$B$22*$B$25,0)</f>
        <v/>
      </c>
      <c r="Z49" s="127">
        <f>ROUND($B$5*$B$11*$B$15*$B$18*$B$21*$B$23*$B$24,0)</f>
        <v/>
      </c>
      <c r="AA49" s="127">
        <f>ROUND($B$5*$B$11*$B$15*$B$18*$B$21*$B$23*$B$25,0)</f>
        <v/>
      </c>
      <c r="AB49" s="127">
        <f>ROUND($B$6*$B$11*$B$15*$B$18*$B$19*$B$22*$B$24,0)</f>
        <v/>
      </c>
      <c r="AC49" s="127">
        <f>ROUND($B$6*$B$11*$B$15*$B$18*$B$19*$B$22*$B$25,0)</f>
        <v/>
      </c>
      <c r="AD49" s="127">
        <f>ROUND($B$6*$B$11*$B$15*$B$18*$B$19*$B$23*$B$24,0)</f>
        <v/>
      </c>
      <c r="AE49" s="127">
        <f>ROUND($B$6*$B$11*$B$15*$B$18*$B$19*$B$23*$B$25,0)</f>
        <v/>
      </c>
      <c r="AF49" s="127">
        <f>ROUND($B$6*$B$11*$B$15*$B$18*$B$20*$B$22*$B$24,0)</f>
        <v/>
      </c>
      <c r="AG49" s="127">
        <f>ROUND($B$6*$B$11*$B$15*$B$18*$B$20*$B$22*$B$25,0)</f>
        <v/>
      </c>
      <c r="AH49" s="127">
        <f>ROUND($B$6*$B$11*$B$15*$B$18*$B$20*$B$23*$B$24,0)</f>
        <v/>
      </c>
      <c r="AI49" s="127">
        <f>ROUND($B$6*$B$11*$B$15*$B$18*$B$20*$B$23*$B$25,0)</f>
        <v/>
      </c>
      <c r="AJ49" s="127">
        <f>ROUND($B$6*$B$11*$B$15*$B$18*$B$21*$B$22*$B$24,0)</f>
        <v/>
      </c>
      <c r="AK49" s="127">
        <f>ROUND($B$6*$B$11*$B$15*$B$18*$B$21*$B$22*$B$25,0)</f>
        <v/>
      </c>
      <c r="AL49" s="127">
        <f>ROUND($B$6*$B$11*$B$15*$B$18*$B$21*$B$23*$B$24,0)</f>
        <v/>
      </c>
      <c r="AM49" s="127">
        <f>ROUND($B$6*$B$11*$B$15*$B$18*$B$21*$B$23*$B$25,0)</f>
        <v/>
      </c>
      <c r="AN49" s="127">
        <f>ROUND($B$7*$B$11*$B$15*$B$18*$B$19*$B$22*$B$24,0)</f>
        <v/>
      </c>
      <c r="AO49" s="127">
        <f>ROUND($B$7*$B$11*$B$15*$B$18*$B$19*$B$22*$B$25,0)</f>
        <v/>
      </c>
      <c r="AP49" s="127">
        <f>ROUND($B$7*$B$11*$B$15*$B$18*$B$19*$B$23*$B$24,0)</f>
        <v/>
      </c>
      <c r="AQ49" s="127">
        <f>ROUND($B$7*$B$11*$B$15*$B$18*$B$19*$B$23*$B$25,0)</f>
        <v/>
      </c>
      <c r="AR49" s="127">
        <f>ROUND($B$7*$B$11*$B$15*$B$18*$B$20*$B$22*$B$24,0)</f>
        <v/>
      </c>
      <c r="AS49" s="127">
        <f>ROUND($B$7*$B$11*$B$15*$B$18*$B$20*$B$22*$B$25,0)</f>
        <v/>
      </c>
      <c r="AT49" s="127">
        <f>ROUND($B$7*$B$11*$B$15*$B$18*$B$20*$B$23*$B$24,0)</f>
        <v/>
      </c>
      <c r="AU49" s="127">
        <f>ROUND($B$7*$B$11*$B$15*$B$18*$B$20*$B$23*$B$25,0)</f>
        <v/>
      </c>
      <c r="AV49" s="127">
        <f>ROUND($B$7*$B$11*$B$15*$B$18*$B$21*$B$22*$B$24,0)</f>
        <v/>
      </c>
      <c r="AW49" s="127">
        <f>ROUND($B$7*$B$11*$B$15*$B$18*$B$21*$B$22*$B$25,0)</f>
        <v/>
      </c>
      <c r="AX49" s="127">
        <f>ROUND($B$7*$B$11*$B$15*$B$18*$B$21*$B$23*$B$24,0)</f>
        <v/>
      </c>
      <c r="AY49" s="127">
        <f>ROUND($B$7*$B$11*$B$15*$B$18*$B$21*$B$23*$B$25,0)</f>
        <v/>
      </c>
      <c r="AZ49" s="128">
        <f>ROUND($B$8*$B$11*$B$15*$B$18*$B$19*$B$22*$B$24,0)</f>
        <v/>
      </c>
      <c r="BA49" s="128">
        <f>ROUND($B$8*$B$11*$B$15*$B$18*$B$19*$B$22*$B$25,0)</f>
        <v/>
      </c>
      <c r="BB49" s="128">
        <f>ROUND($B$8*$B$11*$B$15*$B$18*$B$19*$B$23*$B$24,0)</f>
        <v/>
      </c>
      <c r="BC49" s="128">
        <f>ROUND($B$8*$B$11*$B$15*$B$18*$B$19*$B$23*$B$25,0)</f>
        <v/>
      </c>
      <c r="BD49" s="128">
        <f>ROUND($B$8*$B$11*$B$15*$B$18*$B$20*$B$22*$B$24,0)</f>
        <v/>
      </c>
      <c r="BE49" s="128">
        <f>ROUND($B$8*$B$11*$B$15*$B$18*$B$20*$B$22*$B$25,0)</f>
        <v/>
      </c>
      <c r="BF49" s="128">
        <f>ROUND($B$8*$B$11*$B$15*$B$18*$B$20*$B$23*$B$24,0)</f>
        <v/>
      </c>
      <c r="BG49" s="128">
        <f>ROUND($B$8*$B$11*$B$15*$B$18*$B$20*$B$23*$B$25,0)</f>
        <v/>
      </c>
      <c r="BH49" s="128">
        <f>ROUND($B$8*$B$11*$B$15*$B$18*$B$21*$B$22*$B$24,0)</f>
        <v/>
      </c>
      <c r="BI49" s="128">
        <f>ROUND($B$8*$B$11*$B$15*$B$18*$B$21*$B$22*$B$25,0)</f>
        <v/>
      </c>
      <c r="BJ49" s="128">
        <f>ROUND($B$8*$B$11*$B$15*$B$18*$B$21*$B$23*$B$24,0)</f>
        <v/>
      </c>
      <c r="BK49" s="128">
        <f>ROUND($B$8*$B$11*$B$15*$B$18*$B$21*$B$23*$B$25,0)</f>
        <v/>
      </c>
    </row>
    <row r="50" ht="20" customHeight="1" s="62">
      <c r="A50" s="124" t="inlineStr">
        <is>
          <t>Complexité complexe</t>
        </is>
      </c>
      <c r="B50" s="125" t="inlineStr">
        <is>
          <t>IA générative</t>
        </is>
      </c>
      <c r="C50" s="126" t="inlineStr">
        <is>
          <t>Volume données faible</t>
        </is>
      </c>
      <c r="D50" s="127">
        <f>ROUND($B$4*$B$12*$B$13*$B$16*$B$19*$B$22*$B$24,0)</f>
        <v/>
      </c>
      <c r="E50" s="127">
        <f>ROUND($B$4*$B$12*$B$13*$B$16*$B$19*$B$22*$B$25,0)</f>
        <v/>
      </c>
      <c r="F50" s="127">
        <f>ROUND($B$4*$B$12*$B$13*$B$16*$B$19*$B$23*$B$24,0)</f>
        <v/>
      </c>
      <c r="G50" s="127">
        <f>ROUND($B$4*$B$12*$B$13*$B$16*$B$19*$B$23*$B$25,0)</f>
        <v/>
      </c>
      <c r="H50" s="127">
        <f>ROUND($B$4*$B$12*$B$13*$B$16*$B$20*$B$22*$B$24,0)</f>
        <v/>
      </c>
      <c r="I50" s="127">
        <f>ROUND($B$4*$B$12*$B$13*$B$16*$B$20*$B$22*$B$25,0)</f>
        <v/>
      </c>
      <c r="J50" s="127">
        <f>ROUND($B$4*$B$12*$B$13*$B$16*$B$20*$B$23*$B$24,0)</f>
        <v/>
      </c>
      <c r="K50" s="127">
        <f>ROUND($B$4*$B$12*$B$13*$B$16*$B$20*$B$23*$B$25,0)</f>
        <v/>
      </c>
      <c r="L50" s="127">
        <f>ROUND($B$4*$B$12*$B$13*$B$16*$B$21*$B$22*$B$24,0)</f>
        <v/>
      </c>
      <c r="M50" s="127">
        <f>ROUND($B$4*$B$12*$B$13*$B$16*$B$21*$B$22*$B$25,0)</f>
        <v/>
      </c>
      <c r="N50" s="127">
        <f>ROUND($B$4*$B$12*$B$13*$B$16*$B$21*$B$23*$B$24,0)</f>
        <v/>
      </c>
      <c r="O50" s="127">
        <f>ROUND($B$4*$B$12*$B$13*$B$16*$B$21*$B$23*$B$25,0)</f>
        <v/>
      </c>
      <c r="P50" s="127">
        <f>ROUND($B$5*$B$12*$B$13*$B$16*$B$19*$B$22*$B$24,0)</f>
        <v/>
      </c>
      <c r="Q50" s="127">
        <f>ROUND($B$5*$B$12*$B$13*$B$16*$B$19*$B$22*$B$25,0)</f>
        <v/>
      </c>
      <c r="R50" s="127">
        <f>ROUND($B$5*$B$12*$B$13*$B$16*$B$19*$B$23*$B$24,0)</f>
        <v/>
      </c>
      <c r="S50" s="127">
        <f>ROUND($B$5*$B$12*$B$13*$B$16*$B$19*$B$23*$B$25,0)</f>
        <v/>
      </c>
      <c r="T50" s="127">
        <f>ROUND($B$5*$B$12*$B$13*$B$16*$B$20*$B$22*$B$24,0)</f>
        <v/>
      </c>
      <c r="U50" s="127">
        <f>ROUND($B$5*$B$12*$B$13*$B$16*$B$20*$B$22*$B$25,0)</f>
        <v/>
      </c>
      <c r="V50" s="127">
        <f>ROUND($B$5*$B$12*$B$13*$B$16*$B$20*$B$23*$B$24,0)</f>
        <v/>
      </c>
      <c r="W50" s="127">
        <f>ROUND($B$5*$B$12*$B$13*$B$16*$B$20*$B$23*$B$25,0)</f>
        <v/>
      </c>
      <c r="X50" s="127">
        <f>ROUND($B$5*$B$12*$B$13*$B$16*$B$21*$B$22*$B$24,0)</f>
        <v/>
      </c>
      <c r="Y50" s="127">
        <f>ROUND($B$5*$B$12*$B$13*$B$16*$B$21*$B$22*$B$25,0)</f>
        <v/>
      </c>
      <c r="Z50" s="127">
        <f>ROUND($B$5*$B$12*$B$13*$B$16*$B$21*$B$23*$B$24,0)</f>
        <v/>
      </c>
      <c r="AA50" s="127">
        <f>ROUND($B$5*$B$12*$B$13*$B$16*$B$21*$B$23*$B$25,0)</f>
        <v/>
      </c>
      <c r="AB50" s="127">
        <f>ROUND($B$6*$B$12*$B$13*$B$16*$B$19*$B$22*$B$24,0)</f>
        <v/>
      </c>
      <c r="AC50" s="127">
        <f>ROUND($B$6*$B$12*$B$13*$B$16*$B$19*$B$22*$B$25,0)</f>
        <v/>
      </c>
      <c r="AD50" s="127">
        <f>ROUND($B$6*$B$12*$B$13*$B$16*$B$19*$B$23*$B$24,0)</f>
        <v/>
      </c>
      <c r="AE50" s="127">
        <f>ROUND($B$6*$B$12*$B$13*$B$16*$B$19*$B$23*$B$25,0)</f>
        <v/>
      </c>
      <c r="AF50" s="127">
        <f>ROUND($B$6*$B$12*$B$13*$B$16*$B$20*$B$22*$B$24,0)</f>
        <v/>
      </c>
      <c r="AG50" s="127">
        <f>ROUND($B$6*$B$12*$B$13*$B$16*$B$20*$B$22*$B$25,0)</f>
        <v/>
      </c>
      <c r="AH50" s="127">
        <f>ROUND($B$6*$B$12*$B$13*$B$16*$B$20*$B$23*$B$24,0)</f>
        <v/>
      </c>
      <c r="AI50" s="127">
        <f>ROUND($B$6*$B$12*$B$13*$B$16*$B$20*$B$23*$B$25,0)</f>
        <v/>
      </c>
      <c r="AJ50" s="127">
        <f>ROUND($B$6*$B$12*$B$13*$B$16*$B$21*$B$22*$B$24,0)</f>
        <v/>
      </c>
      <c r="AK50" s="127">
        <f>ROUND($B$6*$B$12*$B$13*$B$16*$B$21*$B$22*$B$25,0)</f>
        <v/>
      </c>
      <c r="AL50" s="127">
        <f>ROUND($B$6*$B$12*$B$13*$B$16*$B$21*$B$23*$B$24,0)</f>
        <v/>
      </c>
      <c r="AM50" s="127">
        <f>ROUND($B$6*$B$12*$B$13*$B$16*$B$21*$B$23*$B$25,0)</f>
        <v/>
      </c>
      <c r="AN50" s="127">
        <f>ROUND($B$7*$B$12*$B$13*$B$16*$B$19*$B$22*$B$24,0)</f>
        <v/>
      </c>
      <c r="AO50" s="127">
        <f>ROUND($B$7*$B$12*$B$13*$B$16*$B$19*$B$22*$B$25,0)</f>
        <v/>
      </c>
      <c r="AP50" s="127">
        <f>ROUND($B$7*$B$12*$B$13*$B$16*$B$19*$B$23*$B$24,0)</f>
        <v/>
      </c>
      <c r="AQ50" s="127">
        <f>ROUND($B$7*$B$12*$B$13*$B$16*$B$19*$B$23*$B$25,0)</f>
        <v/>
      </c>
      <c r="AR50" s="127">
        <f>ROUND($B$7*$B$12*$B$13*$B$16*$B$20*$B$22*$B$24,0)</f>
        <v/>
      </c>
      <c r="AS50" s="127">
        <f>ROUND($B$7*$B$12*$B$13*$B$16*$B$20*$B$22*$B$25,0)</f>
        <v/>
      </c>
      <c r="AT50" s="127">
        <f>ROUND($B$7*$B$12*$B$13*$B$16*$B$20*$B$23*$B$24,0)</f>
        <v/>
      </c>
      <c r="AU50" s="127">
        <f>ROUND($B$7*$B$12*$B$13*$B$16*$B$20*$B$23*$B$25,0)</f>
        <v/>
      </c>
      <c r="AV50" s="127">
        <f>ROUND($B$7*$B$12*$B$13*$B$16*$B$21*$B$22*$B$24,0)</f>
        <v/>
      </c>
      <c r="AW50" s="127">
        <f>ROUND($B$7*$B$12*$B$13*$B$16*$B$21*$B$22*$B$25,0)</f>
        <v/>
      </c>
      <c r="AX50" s="127">
        <f>ROUND($B$7*$B$12*$B$13*$B$16*$B$21*$B$23*$B$24,0)</f>
        <v/>
      </c>
      <c r="AY50" s="127">
        <f>ROUND($B$7*$B$12*$B$13*$B$16*$B$21*$B$23*$B$25,0)</f>
        <v/>
      </c>
      <c r="AZ50" s="128">
        <f>ROUND($B$8*$B$12*$B$13*$B$16*$B$19*$B$22*$B$24,0)</f>
        <v/>
      </c>
      <c r="BA50" s="128">
        <f>ROUND($B$8*$B$12*$B$13*$B$16*$B$19*$B$22*$B$25,0)</f>
        <v/>
      </c>
      <c r="BB50" s="128">
        <f>ROUND($B$8*$B$12*$B$13*$B$16*$B$19*$B$23*$B$24,0)</f>
        <v/>
      </c>
      <c r="BC50" s="128">
        <f>ROUND($B$8*$B$12*$B$13*$B$16*$B$19*$B$23*$B$25,0)</f>
        <v/>
      </c>
      <c r="BD50" s="128">
        <f>ROUND($B$8*$B$12*$B$13*$B$16*$B$20*$B$22*$B$24,0)</f>
        <v/>
      </c>
      <c r="BE50" s="128">
        <f>ROUND($B$8*$B$12*$B$13*$B$16*$B$20*$B$22*$B$25,0)</f>
        <v/>
      </c>
      <c r="BF50" s="128">
        <f>ROUND($B$8*$B$12*$B$13*$B$16*$B$20*$B$23*$B$24,0)</f>
        <v/>
      </c>
      <c r="BG50" s="128">
        <f>ROUND($B$8*$B$12*$B$13*$B$16*$B$20*$B$23*$B$25,0)</f>
        <v/>
      </c>
      <c r="BH50" s="128">
        <f>ROUND($B$8*$B$12*$B$13*$B$16*$B$21*$B$22*$B$24,0)</f>
        <v/>
      </c>
      <c r="BI50" s="128">
        <f>ROUND($B$8*$B$12*$B$13*$B$16*$B$21*$B$22*$B$25,0)</f>
        <v/>
      </c>
      <c r="BJ50" s="128">
        <f>ROUND($B$8*$B$12*$B$13*$B$16*$B$21*$B$23*$B$24,0)</f>
        <v/>
      </c>
      <c r="BK50" s="128">
        <f>ROUND($B$8*$B$12*$B$13*$B$16*$B$21*$B$23*$B$25,0)</f>
        <v/>
      </c>
    </row>
    <row r="51" ht="20" customHeight="1" s="62">
      <c r="C51" s="125" t="inlineStr">
        <is>
          <t>Volume données moyen</t>
        </is>
      </c>
      <c r="D51" s="127">
        <f>ROUND($B$4*$B$12*$B$13*$B$17*$B$19*$B$22*$B$24,0)</f>
        <v/>
      </c>
      <c r="E51" s="127">
        <f>ROUND($B$4*$B$12*$B$13*$B$17*$B$19*$B$22*$B$25,0)</f>
        <v/>
      </c>
      <c r="F51" s="127">
        <f>ROUND($B$4*$B$12*$B$13*$B$17*$B$19*$B$23*$B$24,0)</f>
        <v/>
      </c>
      <c r="G51" s="127">
        <f>ROUND($B$4*$B$12*$B$13*$B$17*$B$19*$B$23*$B$25,0)</f>
        <v/>
      </c>
      <c r="H51" s="127">
        <f>ROUND($B$4*$B$12*$B$13*$B$17*$B$20*$B$22*$B$24,0)</f>
        <v/>
      </c>
      <c r="I51" s="127">
        <f>ROUND($B$4*$B$12*$B$13*$B$17*$B$20*$B$22*$B$25,0)</f>
        <v/>
      </c>
      <c r="J51" s="127">
        <f>ROUND($B$4*$B$12*$B$13*$B$17*$B$20*$B$23*$B$24,0)</f>
        <v/>
      </c>
      <c r="K51" s="127">
        <f>ROUND($B$4*$B$12*$B$13*$B$17*$B$20*$B$23*$B$25,0)</f>
        <v/>
      </c>
      <c r="L51" s="127">
        <f>ROUND($B$4*$B$12*$B$13*$B$17*$B$21*$B$22*$B$24,0)</f>
        <v/>
      </c>
      <c r="M51" s="127">
        <f>ROUND($B$4*$B$12*$B$13*$B$17*$B$21*$B$22*$B$25,0)</f>
        <v/>
      </c>
      <c r="N51" s="127">
        <f>ROUND($B$4*$B$12*$B$13*$B$17*$B$21*$B$23*$B$24,0)</f>
        <v/>
      </c>
      <c r="O51" s="127">
        <f>ROUND($B$4*$B$12*$B$13*$B$17*$B$21*$B$23*$B$25,0)</f>
        <v/>
      </c>
      <c r="P51" s="127">
        <f>ROUND($B$5*$B$12*$B$13*$B$17*$B$19*$B$22*$B$24,0)</f>
        <v/>
      </c>
      <c r="Q51" s="127">
        <f>ROUND($B$5*$B$12*$B$13*$B$17*$B$19*$B$22*$B$25,0)</f>
        <v/>
      </c>
      <c r="R51" s="127">
        <f>ROUND($B$5*$B$12*$B$13*$B$17*$B$19*$B$23*$B$24,0)</f>
        <v/>
      </c>
      <c r="S51" s="127">
        <f>ROUND($B$5*$B$12*$B$13*$B$17*$B$19*$B$23*$B$25,0)</f>
        <v/>
      </c>
      <c r="T51" s="127">
        <f>ROUND($B$5*$B$12*$B$13*$B$17*$B$20*$B$22*$B$24,0)</f>
        <v/>
      </c>
      <c r="U51" s="127">
        <f>ROUND($B$5*$B$12*$B$13*$B$17*$B$20*$B$22*$B$25,0)</f>
        <v/>
      </c>
      <c r="V51" s="127">
        <f>ROUND($B$5*$B$12*$B$13*$B$17*$B$20*$B$23*$B$24,0)</f>
        <v/>
      </c>
      <c r="W51" s="127">
        <f>ROUND($B$5*$B$12*$B$13*$B$17*$B$20*$B$23*$B$25,0)</f>
        <v/>
      </c>
      <c r="X51" s="127">
        <f>ROUND($B$5*$B$12*$B$13*$B$17*$B$21*$B$22*$B$24,0)</f>
        <v/>
      </c>
      <c r="Y51" s="127">
        <f>ROUND($B$5*$B$12*$B$13*$B$17*$B$21*$B$22*$B$25,0)</f>
        <v/>
      </c>
      <c r="Z51" s="127">
        <f>ROUND($B$5*$B$12*$B$13*$B$17*$B$21*$B$23*$B$24,0)</f>
        <v/>
      </c>
      <c r="AA51" s="127">
        <f>ROUND($B$5*$B$12*$B$13*$B$17*$B$21*$B$23*$B$25,0)</f>
        <v/>
      </c>
      <c r="AB51" s="127">
        <f>ROUND($B$6*$B$12*$B$13*$B$17*$B$19*$B$22*$B$24,0)</f>
        <v/>
      </c>
      <c r="AC51" s="127">
        <f>ROUND($B$6*$B$12*$B$13*$B$17*$B$19*$B$22*$B$25,0)</f>
        <v/>
      </c>
      <c r="AD51" s="127">
        <f>ROUND($B$6*$B$12*$B$13*$B$17*$B$19*$B$23*$B$24,0)</f>
        <v/>
      </c>
      <c r="AE51" s="127">
        <f>ROUND($B$6*$B$12*$B$13*$B$17*$B$19*$B$23*$B$25,0)</f>
        <v/>
      </c>
      <c r="AF51" s="127">
        <f>ROUND($B$6*$B$12*$B$13*$B$17*$B$20*$B$22*$B$24,0)</f>
        <v/>
      </c>
      <c r="AG51" s="127">
        <f>ROUND($B$6*$B$12*$B$13*$B$17*$B$20*$B$22*$B$25,0)</f>
        <v/>
      </c>
      <c r="AH51" s="127">
        <f>ROUND($B$6*$B$12*$B$13*$B$17*$B$20*$B$23*$B$24,0)</f>
        <v/>
      </c>
      <c r="AI51" s="127">
        <f>ROUND($B$6*$B$12*$B$13*$B$17*$B$20*$B$23*$B$25,0)</f>
        <v/>
      </c>
      <c r="AJ51" s="127">
        <f>ROUND($B$6*$B$12*$B$13*$B$17*$B$21*$B$22*$B$24,0)</f>
        <v/>
      </c>
      <c r="AK51" s="127">
        <f>ROUND($B$6*$B$12*$B$13*$B$17*$B$21*$B$22*$B$25,0)</f>
        <v/>
      </c>
      <c r="AL51" s="127">
        <f>ROUND($B$6*$B$12*$B$13*$B$17*$B$21*$B$23*$B$24,0)</f>
        <v/>
      </c>
      <c r="AM51" s="127">
        <f>ROUND($B$6*$B$12*$B$13*$B$17*$B$21*$B$23*$B$25,0)</f>
        <v/>
      </c>
      <c r="AN51" s="127">
        <f>ROUND($B$7*$B$12*$B$13*$B$17*$B$19*$B$22*$B$24,0)</f>
        <v/>
      </c>
      <c r="AO51" s="127">
        <f>ROUND($B$7*$B$12*$B$13*$B$17*$B$19*$B$22*$B$25,0)</f>
        <v/>
      </c>
      <c r="AP51" s="127">
        <f>ROUND($B$7*$B$12*$B$13*$B$17*$B$19*$B$23*$B$24,0)</f>
        <v/>
      </c>
      <c r="AQ51" s="127">
        <f>ROUND($B$7*$B$12*$B$13*$B$17*$B$19*$B$23*$B$25,0)</f>
        <v/>
      </c>
      <c r="AR51" s="127">
        <f>ROUND($B$7*$B$12*$B$13*$B$17*$B$20*$B$22*$B$24,0)</f>
        <v/>
      </c>
      <c r="AS51" s="127">
        <f>ROUND($B$7*$B$12*$B$13*$B$17*$B$20*$B$22*$B$25,0)</f>
        <v/>
      </c>
      <c r="AT51" s="127">
        <f>ROUND($B$7*$B$12*$B$13*$B$17*$B$20*$B$23*$B$24,0)</f>
        <v/>
      </c>
      <c r="AU51" s="127">
        <f>ROUND($B$7*$B$12*$B$13*$B$17*$B$20*$B$23*$B$25,0)</f>
        <v/>
      </c>
      <c r="AV51" s="127">
        <f>ROUND($B$7*$B$12*$B$13*$B$17*$B$21*$B$22*$B$24,0)</f>
        <v/>
      </c>
      <c r="AW51" s="127">
        <f>ROUND($B$7*$B$12*$B$13*$B$17*$B$21*$B$22*$B$25,0)</f>
        <v/>
      </c>
      <c r="AX51" s="127">
        <f>ROUND($B$7*$B$12*$B$13*$B$17*$B$21*$B$23*$B$24,0)</f>
        <v/>
      </c>
      <c r="AY51" s="127">
        <f>ROUND($B$7*$B$12*$B$13*$B$17*$B$21*$B$23*$B$25,0)</f>
        <v/>
      </c>
      <c r="AZ51" s="128">
        <f>ROUND($B$8*$B$12*$B$13*$B$17*$B$19*$B$22*$B$24,0)</f>
        <v/>
      </c>
      <c r="BA51" s="128">
        <f>ROUND($B$8*$B$12*$B$13*$B$17*$B$19*$B$22*$B$25,0)</f>
        <v/>
      </c>
      <c r="BB51" s="128">
        <f>ROUND($B$8*$B$12*$B$13*$B$17*$B$19*$B$23*$B$24,0)</f>
        <v/>
      </c>
      <c r="BC51" s="128">
        <f>ROUND($B$8*$B$12*$B$13*$B$17*$B$19*$B$23*$B$25,0)</f>
        <v/>
      </c>
      <c r="BD51" s="128">
        <f>ROUND($B$8*$B$12*$B$13*$B$17*$B$20*$B$22*$B$24,0)</f>
        <v/>
      </c>
      <c r="BE51" s="128">
        <f>ROUND($B$8*$B$12*$B$13*$B$17*$B$20*$B$22*$B$25,0)</f>
        <v/>
      </c>
      <c r="BF51" s="128">
        <f>ROUND($B$8*$B$12*$B$13*$B$17*$B$20*$B$23*$B$24,0)</f>
        <v/>
      </c>
      <c r="BG51" s="128">
        <f>ROUND($B$8*$B$12*$B$13*$B$17*$B$20*$B$23*$B$25,0)</f>
        <v/>
      </c>
      <c r="BH51" s="128">
        <f>ROUND($B$8*$B$12*$B$13*$B$17*$B$21*$B$22*$B$24,0)</f>
        <v/>
      </c>
      <c r="BI51" s="128">
        <f>ROUND($B$8*$B$12*$B$13*$B$17*$B$21*$B$22*$B$25,0)</f>
        <v/>
      </c>
      <c r="BJ51" s="128">
        <f>ROUND($B$8*$B$12*$B$13*$B$17*$B$21*$B$23*$B$24,0)</f>
        <v/>
      </c>
      <c r="BK51" s="128">
        <f>ROUND($B$8*$B$12*$B$13*$B$17*$B$21*$B$23*$B$25,0)</f>
        <v/>
      </c>
    </row>
    <row r="52" ht="20" customHeight="1" s="62">
      <c r="C52" s="129" t="inlineStr">
        <is>
          <t>Volume données élevé</t>
        </is>
      </c>
      <c r="D52" s="127">
        <f>ROUND($B$4*$B$12*$B$13*$B$18*$B$19*$B$22*$B$24,0)</f>
        <v/>
      </c>
      <c r="E52" s="127">
        <f>ROUND($B$4*$B$12*$B$13*$B$18*$B$19*$B$22*$B$25,0)</f>
        <v/>
      </c>
      <c r="F52" s="127">
        <f>ROUND($B$4*$B$12*$B$13*$B$18*$B$19*$B$23*$B$24,0)</f>
        <v/>
      </c>
      <c r="G52" s="127">
        <f>ROUND($B$4*$B$12*$B$13*$B$18*$B$19*$B$23*$B$25,0)</f>
        <v/>
      </c>
      <c r="H52" s="127">
        <f>ROUND($B$4*$B$12*$B$13*$B$18*$B$20*$B$22*$B$24,0)</f>
        <v/>
      </c>
      <c r="I52" s="127">
        <f>ROUND($B$4*$B$12*$B$13*$B$18*$B$20*$B$22*$B$25,0)</f>
        <v/>
      </c>
      <c r="J52" s="127">
        <f>ROUND($B$4*$B$12*$B$13*$B$18*$B$20*$B$23*$B$24,0)</f>
        <v/>
      </c>
      <c r="K52" s="127">
        <f>ROUND($B$4*$B$12*$B$13*$B$18*$B$20*$B$23*$B$25,0)</f>
        <v/>
      </c>
      <c r="L52" s="127">
        <f>ROUND($B$4*$B$12*$B$13*$B$18*$B$21*$B$22*$B$24,0)</f>
        <v/>
      </c>
      <c r="M52" s="127">
        <f>ROUND($B$4*$B$12*$B$13*$B$18*$B$21*$B$22*$B$25,0)</f>
        <v/>
      </c>
      <c r="N52" s="127">
        <f>ROUND($B$4*$B$12*$B$13*$B$18*$B$21*$B$23*$B$24,0)</f>
        <v/>
      </c>
      <c r="O52" s="127">
        <f>ROUND($B$4*$B$12*$B$13*$B$18*$B$21*$B$23*$B$25,0)</f>
        <v/>
      </c>
      <c r="P52" s="127">
        <f>ROUND($B$5*$B$12*$B$13*$B$18*$B$19*$B$22*$B$24,0)</f>
        <v/>
      </c>
      <c r="Q52" s="127">
        <f>ROUND($B$5*$B$12*$B$13*$B$18*$B$19*$B$22*$B$25,0)</f>
        <v/>
      </c>
      <c r="R52" s="127">
        <f>ROUND($B$5*$B$12*$B$13*$B$18*$B$19*$B$23*$B$24,0)</f>
        <v/>
      </c>
      <c r="S52" s="127">
        <f>ROUND($B$5*$B$12*$B$13*$B$18*$B$19*$B$23*$B$25,0)</f>
        <v/>
      </c>
      <c r="T52" s="127">
        <f>ROUND($B$5*$B$12*$B$13*$B$18*$B$20*$B$22*$B$24,0)</f>
        <v/>
      </c>
      <c r="U52" s="127">
        <f>ROUND($B$5*$B$12*$B$13*$B$18*$B$20*$B$22*$B$25,0)</f>
        <v/>
      </c>
      <c r="V52" s="127">
        <f>ROUND($B$5*$B$12*$B$13*$B$18*$B$20*$B$23*$B$24,0)</f>
        <v/>
      </c>
      <c r="W52" s="127">
        <f>ROUND($B$5*$B$12*$B$13*$B$18*$B$20*$B$23*$B$25,0)</f>
        <v/>
      </c>
      <c r="X52" s="127">
        <f>ROUND($B$5*$B$12*$B$13*$B$18*$B$21*$B$22*$B$24,0)</f>
        <v/>
      </c>
      <c r="Y52" s="127">
        <f>ROUND($B$5*$B$12*$B$13*$B$18*$B$21*$B$22*$B$25,0)</f>
        <v/>
      </c>
      <c r="Z52" s="127">
        <f>ROUND($B$5*$B$12*$B$13*$B$18*$B$21*$B$23*$B$24,0)</f>
        <v/>
      </c>
      <c r="AA52" s="127">
        <f>ROUND($B$5*$B$12*$B$13*$B$18*$B$21*$B$23*$B$25,0)</f>
        <v/>
      </c>
      <c r="AB52" s="127">
        <f>ROUND($B$6*$B$12*$B$13*$B$18*$B$19*$B$22*$B$24,0)</f>
        <v/>
      </c>
      <c r="AC52" s="127">
        <f>ROUND($B$6*$B$12*$B$13*$B$18*$B$19*$B$22*$B$25,0)</f>
        <v/>
      </c>
      <c r="AD52" s="127">
        <f>ROUND($B$6*$B$12*$B$13*$B$18*$B$19*$B$23*$B$24,0)</f>
        <v/>
      </c>
      <c r="AE52" s="127">
        <f>ROUND($B$6*$B$12*$B$13*$B$18*$B$19*$B$23*$B$25,0)</f>
        <v/>
      </c>
      <c r="AF52" s="127">
        <f>ROUND($B$6*$B$12*$B$13*$B$18*$B$20*$B$22*$B$24,0)</f>
        <v/>
      </c>
      <c r="AG52" s="127">
        <f>ROUND($B$6*$B$12*$B$13*$B$18*$B$20*$B$22*$B$25,0)</f>
        <v/>
      </c>
      <c r="AH52" s="127">
        <f>ROUND($B$6*$B$12*$B$13*$B$18*$B$20*$B$23*$B$24,0)</f>
        <v/>
      </c>
      <c r="AI52" s="127">
        <f>ROUND($B$6*$B$12*$B$13*$B$18*$B$20*$B$23*$B$25,0)</f>
        <v/>
      </c>
      <c r="AJ52" s="127">
        <f>ROUND($B$6*$B$12*$B$13*$B$18*$B$21*$B$22*$B$24,0)</f>
        <v/>
      </c>
      <c r="AK52" s="127">
        <f>ROUND($B$6*$B$12*$B$13*$B$18*$B$21*$B$22*$B$25,0)</f>
        <v/>
      </c>
      <c r="AL52" s="127">
        <f>ROUND($B$6*$B$12*$B$13*$B$18*$B$21*$B$23*$B$24,0)</f>
        <v/>
      </c>
      <c r="AM52" s="127">
        <f>ROUND($B$6*$B$12*$B$13*$B$18*$B$21*$B$23*$B$25,0)</f>
        <v/>
      </c>
      <c r="AN52" s="127">
        <f>ROUND($B$7*$B$12*$B$13*$B$18*$B$19*$B$22*$B$24,0)</f>
        <v/>
      </c>
      <c r="AO52" s="127">
        <f>ROUND($B$7*$B$12*$B$13*$B$18*$B$19*$B$22*$B$25,0)</f>
        <v/>
      </c>
      <c r="AP52" s="127">
        <f>ROUND($B$7*$B$12*$B$13*$B$18*$B$19*$B$23*$B$24,0)</f>
        <v/>
      </c>
      <c r="AQ52" s="127">
        <f>ROUND($B$7*$B$12*$B$13*$B$18*$B$19*$B$23*$B$25,0)</f>
        <v/>
      </c>
      <c r="AR52" s="127">
        <f>ROUND($B$7*$B$12*$B$13*$B$18*$B$20*$B$22*$B$24,0)</f>
        <v/>
      </c>
      <c r="AS52" s="127">
        <f>ROUND($B$7*$B$12*$B$13*$B$18*$B$20*$B$22*$B$25,0)</f>
        <v/>
      </c>
      <c r="AT52" s="127">
        <f>ROUND($B$7*$B$12*$B$13*$B$18*$B$20*$B$23*$B$24,0)</f>
        <v/>
      </c>
      <c r="AU52" s="127">
        <f>ROUND($B$7*$B$12*$B$13*$B$18*$B$20*$B$23*$B$25,0)</f>
        <v/>
      </c>
      <c r="AV52" s="127">
        <f>ROUND($B$7*$B$12*$B$13*$B$18*$B$21*$B$22*$B$24,0)</f>
        <v/>
      </c>
      <c r="AW52" s="127">
        <f>ROUND($B$7*$B$12*$B$13*$B$18*$B$21*$B$22*$B$25,0)</f>
        <v/>
      </c>
      <c r="AX52" s="127">
        <f>ROUND($B$7*$B$12*$B$13*$B$18*$B$21*$B$23*$B$24,0)</f>
        <v/>
      </c>
      <c r="AY52" s="127">
        <f>ROUND($B$7*$B$12*$B$13*$B$18*$B$21*$B$23*$B$25,0)</f>
        <v/>
      </c>
      <c r="AZ52" s="128">
        <f>ROUND($B$8*$B$12*$B$13*$B$18*$B$19*$B$22*$B$24,0)</f>
        <v/>
      </c>
      <c r="BA52" s="128">
        <f>ROUND($B$8*$B$12*$B$13*$B$18*$B$19*$B$22*$B$25,0)</f>
        <v/>
      </c>
      <c r="BB52" s="128">
        <f>ROUND($B$8*$B$12*$B$13*$B$18*$B$19*$B$23*$B$24,0)</f>
        <v/>
      </c>
      <c r="BC52" s="128">
        <f>ROUND($B$8*$B$12*$B$13*$B$18*$B$19*$B$23*$B$25,0)</f>
        <v/>
      </c>
      <c r="BD52" s="128">
        <f>ROUND($B$8*$B$12*$B$13*$B$18*$B$20*$B$22*$B$24,0)</f>
        <v/>
      </c>
      <c r="BE52" s="128">
        <f>ROUND($B$8*$B$12*$B$13*$B$18*$B$20*$B$22*$B$25,0)</f>
        <v/>
      </c>
      <c r="BF52" s="128">
        <f>ROUND($B$8*$B$12*$B$13*$B$18*$B$20*$B$23*$B$24,0)</f>
        <v/>
      </c>
      <c r="BG52" s="128">
        <f>ROUND($B$8*$B$12*$B$13*$B$18*$B$20*$B$23*$B$25,0)</f>
        <v/>
      </c>
      <c r="BH52" s="128">
        <f>ROUND($B$8*$B$12*$B$13*$B$18*$B$21*$B$22*$B$24,0)</f>
        <v/>
      </c>
      <c r="BI52" s="128">
        <f>ROUND($B$8*$B$12*$B$13*$B$18*$B$21*$B$22*$B$25,0)</f>
        <v/>
      </c>
      <c r="BJ52" s="128">
        <f>ROUND($B$8*$B$12*$B$13*$B$18*$B$21*$B$23*$B$24,0)</f>
        <v/>
      </c>
      <c r="BK52" s="128">
        <f>ROUND($B$8*$B$12*$B$13*$B$18*$B$21*$B$23*$B$25,0)</f>
        <v/>
      </c>
    </row>
    <row r="53" ht="20" customHeight="1" s="62">
      <c r="B53" s="125" t="inlineStr">
        <is>
          <t>IA prédictive / ML</t>
        </is>
      </c>
      <c r="C53" s="126" t="inlineStr">
        <is>
          <t>Volume données faible</t>
        </is>
      </c>
      <c r="D53" s="127">
        <f>ROUND($B$4*$B$12*$B$14*$B$16*$B$19*$B$22*$B$24,0)</f>
        <v/>
      </c>
      <c r="E53" s="127">
        <f>ROUND($B$4*$B$12*$B$14*$B$16*$B$19*$B$22*$B$25,0)</f>
        <v/>
      </c>
      <c r="F53" s="127">
        <f>ROUND($B$4*$B$12*$B$14*$B$16*$B$19*$B$23*$B$24,0)</f>
        <v/>
      </c>
      <c r="G53" s="127">
        <f>ROUND($B$4*$B$12*$B$14*$B$16*$B$19*$B$23*$B$25,0)</f>
        <v/>
      </c>
      <c r="H53" s="127">
        <f>ROUND($B$4*$B$12*$B$14*$B$16*$B$20*$B$22*$B$24,0)</f>
        <v/>
      </c>
      <c r="I53" s="127">
        <f>ROUND($B$4*$B$12*$B$14*$B$16*$B$20*$B$22*$B$25,0)</f>
        <v/>
      </c>
      <c r="J53" s="127">
        <f>ROUND($B$4*$B$12*$B$14*$B$16*$B$20*$B$23*$B$24,0)</f>
        <v/>
      </c>
      <c r="K53" s="127">
        <f>ROUND($B$4*$B$12*$B$14*$B$16*$B$20*$B$23*$B$25,0)</f>
        <v/>
      </c>
      <c r="L53" s="127">
        <f>ROUND($B$4*$B$12*$B$14*$B$16*$B$21*$B$22*$B$24,0)</f>
        <v/>
      </c>
      <c r="M53" s="127">
        <f>ROUND($B$4*$B$12*$B$14*$B$16*$B$21*$B$22*$B$25,0)</f>
        <v/>
      </c>
      <c r="N53" s="127">
        <f>ROUND($B$4*$B$12*$B$14*$B$16*$B$21*$B$23*$B$24,0)</f>
        <v/>
      </c>
      <c r="O53" s="127">
        <f>ROUND($B$4*$B$12*$B$14*$B$16*$B$21*$B$23*$B$25,0)</f>
        <v/>
      </c>
      <c r="P53" s="127">
        <f>ROUND($B$5*$B$12*$B$14*$B$16*$B$19*$B$22*$B$24,0)</f>
        <v/>
      </c>
      <c r="Q53" s="127">
        <f>ROUND($B$5*$B$12*$B$14*$B$16*$B$19*$B$22*$B$25,0)</f>
        <v/>
      </c>
      <c r="R53" s="127">
        <f>ROUND($B$5*$B$12*$B$14*$B$16*$B$19*$B$23*$B$24,0)</f>
        <v/>
      </c>
      <c r="S53" s="127">
        <f>ROUND($B$5*$B$12*$B$14*$B$16*$B$19*$B$23*$B$25,0)</f>
        <v/>
      </c>
      <c r="T53" s="127">
        <f>ROUND($B$5*$B$12*$B$14*$B$16*$B$20*$B$22*$B$24,0)</f>
        <v/>
      </c>
      <c r="U53" s="127">
        <f>ROUND($B$5*$B$12*$B$14*$B$16*$B$20*$B$22*$B$25,0)</f>
        <v/>
      </c>
      <c r="V53" s="127">
        <f>ROUND($B$5*$B$12*$B$14*$B$16*$B$20*$B$23*$B$24,0)</f>
        <v/>
      </c>
      <c r="W53" s="127">
        <f>ROUND($B$5*$B$12*$B$14*$B$16*$B$20*$B$23*$B$25,0)</f>
        <v/>
      </c>
      <c r="X53" s="127">
        <f>ROUND($B$5*$B$12*$B$14*$B$16*$B$21*$B$22*$B$24,0)</f>
        <v/>
      </c>
      <c r="Y53" s="127">
        <f>ROUND($B$5*$B$12*$B$14*$B$16*$B$21*$B$22*$B$25,0)</f>
        <v/>
      </c>
      <c r="Z53" s="127">
        <f>ROUND($B$5*$B$12*$B$14*$B$16*$B$21*$B$23*$B$24,0)</f>
        <v/>
      </c>
      <c r="AA53" s="127">
        <f>ROUND($B$5*$B$12*$B$14*$B$16*$B$21*$B$23*$B$25,0)</f>
        <v/>
      </c>
      <c r="AB53" s="127">
        <f>ROUND($B$6*$B$12*$B$14*$B$16*$B$19*$B$22*$B$24,0)</f>
        <v/>
      </c>
      <c r="AC53" s="127">
        <f>ROUND($B$6*$B$12*$B$14*$B$16*$B$19*$B$22*$B$25,0)</f>
        <v/>
      </c>
      <c r="AD53" s="127">
        <f>ROUND($B$6*$B$12*$B$14*$B$16*$B$19*$B$23*$B$24,0)</f>
        <v/>
      </c>
      <c r="AE53" s="127">
        <f>ROUND($B$6*$B$12*$B$14*$B$16*$B$19*$B$23*$B$25,0)</f>
        <v/>
      </c>
      <c r="AF53" s="127">
        <f>ROUND($B$6*$B$12*$B$14*$B$16*$B$20*$B$22*$B$24,0)</f>
        <v/>
      </c>
      <c r="AG53" s="127">
        <f>ROUND($B$6*$B$12*$B$14*$B$16*$B$20*$B$22*$B$25,0)</f>
        <v/>
      </c>
      <c r="AH53" s="127">
        <f>ROUND($B$6*$B$12*$B$14*$B$16*$B$20*$B$23*$B$24,0)</f>
        <v/>
      </c>
      <c r="AI53" s="127">
        <f>ROUND($B$6*$B$12*$B$14*$B$16*$B$20*$B$23*$B$25,0)</f>
        <v/>
      </c>
      <c r="AJ53" s="127">
        <f>ROUND($B$6*$B$12*$B$14*$B$16*$B$21*$B$22*$B$24,0)</f>
        <v/>
      </c>
      <c r="AK53" s="127">
        <f>ROUND($B$6*$B$12*$B$14*$B$16*$B$21*$B$22*$B$25,0)</f>
        <v/>
      </c>
      <c r="AL53" s="127">
        <f>ROUND($B$6*$B$12*$B$14*$B$16*$B$21*$B$23*$B$24,0)</f>
        <v/>
      </c>
      <c r="AM53" s="127">
        <f>ROUND($B$6*$B$12*$B$14*$B$16*$B$21*$B$23*$B$25,0)</f>
        <v/>
      </c>
      <c r="AN53" s="127">
        <f>ROUND($B$7*$B$12*$B$14*$B$16*$B$19*$B$22*$B$24,0)</f>
        <v/>
      </c>
      <c r="AO53" s="127">
        <f>ROUND($B$7*$B$12*$B$14*$B$16*$B$19*$B$22*$B$25,0)</f>
        <v/>
      </c>
      <c r="AP53" s="127">
        <f>ROUND($B$7*$B$12*$B$14*$B$16*$B$19*$B$23*$B$24,0)</f>
        <v/>
      </c>
      <c r="AQ53" s="127">
        <f>ROUND($B$7*$B$12*$B$14*$B$16*$B$19*$B$23*$B$25,0)</f>
        <v/>
      </c>
      <c r="AR53" s="127">
        <f>ROUND($B$7*$B$12*$B$14*$B$16*$B$20*$B$22*$B$24,0)</f>
        <v/>
      </c>
      <c r="AS53" s="127">
        <f>ROUND($B$7*$B$12*$B$14*$B$16*$B$20*$B$22*$B$25,0)</f>
        <v/>
      </c>
      <c r="AT53" s="127">
        <f>ROUND($B$7*$B$12*$B$14*$B$16*$B$20*$B$23*$B$24,0)</f>
        <v/>
      </c>
      <c r="AU53" s="127">
        <f>ROUND($B$7*$B$12*$B$14*$B$16*$B$20*$B$23*$B$25,0)</f>
        <v/>
      </c>
      <c r="AV53" s="127">
        <f>ROUND($B$7*$B$12*$B$14*$B$16*$B$21*$B$22*$B$24,0)</f>
        <v/>
      </c>
      <c r="AW53" s="127">
        <f>ROUND($B$7*$B$12*$B$14*$B$16*$B$21*$B$22*$B$25,0)</f>
        <v/>
      </c>
      <c r="AX53" s="127">
        <f>ROUND($B$7*$B$12*$B$14*$B$16*$B$21*$B$23*$B$24,0)</f>
        <v/>
      </c>
      <c r="AY53" s="127">
        <f>ROUND($B$7*$B$12*$B$14*$B$16*$B$21*$B$23*$B$25,0)</f>
        <v/>
      </c>
      <c r="AZ53" s="128">
        <f>ROUND($B$8*$B$12*$B$14*$B$16*$B$19*$B$22*$B$24,0)</f>
        <v/>
      </c>
      <c r="BA53" s="128">
        <f>ROUND($B$8*$B$12*$B$14*$B$16*$B$19*$B$22*$B$25,0)</f>
        <v/>
      </c>
      <c r="BB53" s="128">
        <f>ROUND($B$8*$B$12*$B$14*$B$16*$B$19*$B$23*$B$24,0)</f>
        <v/>
      </c>
      <c r="BC53" s="128">
        <f>ROUND($B$8*$B$12*$B$14*$B$16*$B$19*$B$23*$B$25,0)</f>
        <v/>
      </c>
      <c r="BD53" s="128">
        <f>ROUND($B$8*$B$12*$B$14*$B$16*$B$20*$B$22*$B$24,0)</f>
        <v/>
      </c>
      <c r="BE53" s="128">
        <f>ROUND($B$8*$B$12*$B$14*$B$16*$B$20*$B$22*$B$25,0)</f>
        <v/>
      </c>
      <c r="BF53" s="128">
        <f>ROUND($B$8*$B$12*$B$14*$B$16*$B$20*$B$23*$B$24,0)</f>
        <v/>
      </c>
      <c r="BG53" s="128">
        <f>ROUND($B$8*$B$12*$B$14*$B$16*$B$20*$B$23*$B$25,0)</f>
        <v/>
      </c>
      <c r="BH53" s="128">
        <f>ROUND($B$8*$B$12*$B$14*$B$16*$B$21*$B$22*$B$24,0)</f>
        <v/>
      </c>
      <c r="BI53" s="128">
        <f>ROUND($B$8*$B$12*$B$14*$B$16*$B$21*$B$22*$B$25,0)</f>
        <v/>
      </c>
      <c r="BJ53" s="128">
        <f>ROUND($B$8*$B$12*$B$14*$B$16*$B$21*$B$23*$B$24,0)</f>
        <v/>
      </c>
      <c r="BK53" s="128">
        <f>ROUND($B$8*$B$12*$B$14*$B$16*$B$21*$B$23*$B$25,0)</f>
        <v/>
      </c>
    </row>
    <row r="54" ht="20" customHeight="1" s="62">
      <c r="C54" s="125" t="inlineStr">
        <is>
          <t>Volume données moyen</t>
        </is>
      </c>
      <c r="D54" s="127">
        <f>ROUND($B$4*$B$12*$B$14*$B$17*$B$19*$B$22*$B$24,0)</f>
        <v/>
      </c>
      <c r="E54" s="127">
        <f>ROUND($B$4*$B$12*$B$14*$B$17*$B$19*$B$22*$B$25,0)</f>
        <v/>
      </c>
      <c r="F54" s="127">
        <f>ROUND($B$4*$B$12*$B$14*$B$17*$B$19*$B$23*$B$24,0)</f>
        <v/>
      </c>
      <c r="G54" s="127">
        <f>ROUND($B$4*$B$12*$B$14*$B$17*$B$19*$B$23*$B$25,0)</f>
        <v/>
      </c>
      <c r="H54" s="127">
        <f>ROUND($B$4*$B$12*$B$14*$B$17*$B$20*$B$22*$B$24,0)</f>
        <v/>
      </c>
      <c r="I54" s="127">
        <f>ROUND($B$4*$B$12*$B$14*$B$17*$B$20*$B$22*$B$25,0)</f>
        <v/>
      </c>
      <c r="J54" s="127">
        <f>ROUND($B$4*$B$12*$B$14*$B$17*$B$20*$B$23*$B$24,0)</f>
        <v/>
      </c>
      <c r="K54" s="127">
        <f>ROUND($B$4*$B$12*$B$14*$B$17*$B$20*$B$23*$B$25,0)</f>
        <v/>
      </c>
      <c r="L54" s="127">
        <f>ROUND($B$4*$B$12*$B$14*$B$17*$B$21*$B$22*$B$24,0)</f>
        <v/>
      </c>
      <c r="M54" s="127">
        <f>ROUND($B$4*$B$12*$B$14*$B$17*$B$21*$B$22*$B$25,0)</f>
        <v/>
      </c>
      <c r="N54" s="127">
        <f>ROUND($B$4*$B$12*$B$14*$B$17*$B$21*$B$23*$B$24,0)</f>
        <v/>
      </c>
      <c r="O54" s="127">
        <f>ROUND($B$4*$B$12*$B$14*$B$17*$B$21*$B$23*$B$25,0)</f>
        <v/>
      </c>
      <c r="P54" s="127">
        <f>ROUND($B$5*$B$12*$B$14*$B$17*$B$19*$B$22*$B$24,0)</f>
        <v/>
      </c>
      <c r="Q54" s="127">
        <f>ROUND($B$5*$B$12*$B$14*$B$17*$B$19*$B$22*$B$25,0)</f>
        <v/>
      </c>
      <c r="R54" s="127">
        <f>ROUND($B$5*$B$12*$B$14*$B$17*$B$19*$B$23*$B$24,0)</f>
        <v/>
      </c>
      <c r="S54" s="127">
        <f>ROUND($B$5*$B$12*$B$14*$B$17*$B$19*$B$23*$B$25,0)</f>
        <v/>
      </c>
      <c r="T54" s="127">
        <f>ROUND($B$5*$B$12*$B$14*$B$17*$B$20*$B$22*$B$24,0)</f>
        <v/>
      </c>
      <c r="U54" s="127">
        <f>ROUND($B$5*$B$12*$B$14*$B$17*$B$20*$B$22*$B$25,0)</f>
        <v/>
      </c>
      <c r="V54" s="127">
        <f>ROUND($B$5*$B$12*$B$14*$B$17*$B$20*$B$23*$B$24,0)</f>
        <v/>
      </c>
      <c r="W54" s="127">
        <f>ROUND($B$5*$B$12*$B$14*$B$17*$B$20*$B$23*$B$25,0)</f>
        <v/>
      </c>
      <c r="X54" s="127">
        <f>ROUND($B$5*$B$12*$B$14*$B$17*$B$21*$B$22*$B$24,0)</f>
        <v/>
      </c>
      <c r="Y54" s="127">
        <f>ROUND($B$5*$B$12*$B$14*$B$17*$B$21*$B$22*$B$25,0)</f>
        <v/>
      </c>
      <c r="Z54" s="127">
        <f>ROUND($B$5*$B$12*$B$14*$B$17*$B$21*$B$23*$B$24,0)</f>
        <v/>
      </c>
      <c r="AA54" s="127">
        <f>ROUND($B$5*$B$12*$B$14*$B$17*$B$21*$B$23*$B$25,0)</f>
        <v/>
      </c>
      <c r="AB54" s="127">
        <f>ROUND($B$6*$B$12*$B$14*$B$17*$B$19*$B$22*$B$24,0)</f>
        <v/>
      </c>
      <c r="AC54" s="127">
        <f>ROUND($B$6*$B$12*$B$14*$B$17*$B$19*$B$22*$B$25,0)</f>
        <v/>
      </c>
      <c r="AD54" s="127">
        <f>ROUND($B$6*$B$12*$B$14*$B$17*$B$19*$B$23*$B$24,0)</f>
        <v/>
      </c>
      <c r="AE54" s="127">
        <f>ROUND($B$6*$B$12*$B$14*$B$17*$B$19*$B$23*$B$25,0)</f>
        <v/>
      </c>
      <c r="AF54" s="127">
        <f>ROUND($B$6*$B$12*$B$14*$B$17*$B$20*$B$22*$B$24,0)</f>
        <v/>
      </c>
      <c r="AG54" s="127">
        <f>ROUND($B$6*$B$12*$B$14*$B$17*$B$20*$B$22*$B$25,0)</f>
        <v/>
      </c>
      <c r="AH54" s="127">
        <f>ROUND($B$6*$B$12*$B$14*$B$17*$B$20*$B$23*$B$24,0)</f>
        <v/>
      </c>
      <c r="AI54" s="127">
        <f>ROUND($B$6*$B$12*$B$14*$B$17*$B$20*$B$23*$B$25,0)</f>
        <v/>
      </c>
      <c r="AJ54" s="127">
        <f>ROUND($B$6*$B$12*$B$14*$B$17*$B$21*$B$22*$B$24,0)</f>
        <v/>
      </c>
      <c r="AK54" s="127">
        <f>ROUND($B$6*$B$12*$B$14*$B$17*$B$21*$B$22*$B$25,0)</f>
        <v/>
      </c>
      <c r="AL54" s="127">
        <f>ROUND($B$6*$B$12*$B$14*$B$17*$B$21*$B$23*$B$24,0)</f>
        <v/>
      </c>
      <c r="AM54" s="127">
        <f>ROUND($B$6*$B$12*$B$14*$B$17*$B$21*$B$23*$B$25,0)</f>
        <v/>
      </c>
      <c r="AN54" s="127">
        <f>ROUND($B$7*$B$12*$B$14*$B$17*$B$19*$B$22*$B$24,0)</f>
        <v/>
      </c>
      <c r="AO54" s="127">
        <f>ROUND($B$7*$B$12*$B$14*$B$17*$B$19*$B$22*$B$25,0)</f>
        <v/>
      </c>
      <c r="AP54" s="127">
        <f>ROUND($B$7*$B$12*$B$14*$B$17*$B$19*$B$23*$B$24,0)</f>
        <v/>
      </c>
      <c r="AQ54" s="127">
        <f>ROUND($B$7*$B$12*$B$14*$B$17*$B$19*$B$23*$B$25,0)</f>
        <v/>
      </c>
      <c r="AR54" s="127">
        <f>ROUND($B$7*$B$12*$B$14*$B$17*$B$20*$B$22*$B$24,0)</f>
        <v/>
      </c>
      <c r="AS54" s="127">
        <f>ROUND($B$7*$B$12*$B$14*$B$17*$B$20*$B$22*$B$25,0)</f>
        <v/>
      </c>
      <c r="AT54" s="127">
        <f>ROUND($B$7*$B$12*$B$14*$B$17*$B$20*$B$23*$B$24,0)</f>
        <v/>
      </c>
      <c r="AU54" s="127">
        <f>ROUND($B$7*$B$12*$B$14*$B$17*$B$20*$B$23*$B$25,0)</f>
        <v/>
      </c>
      <c r="AV54" s="127">
        <f>ROUND($B$7*$B$12*$B$14*$B$17*$B$21*$B$22*$B$24,0)</f>
        <v/>
      </c>
      <c r="AW54" s="127">
        <f>ROUND($B$7*$B$12*$B$14*$B$17*$B$21*$B$22*$B$25,0)</f>
        <v/>
      </c>
      <c r="AX54" s="127">
        <f>ROUND($B$7*$B$12*$B$14*$B$17*$B$21*$B$23*$B$24,0)</f>
        <v/>
      </c>
      <c r="AY54" s="127">
        <f>ROUND($B$7*$B$12*$B$14*$B$17*$B$21*$B$23*$B$25,0)</f>
        <v/>
      </c>
      <c r="AZ54" s="128">
        <f>ROUND($B$8*$B$12*$B$14*$B$17*$B$19*$B$22*$B$24,0)</f>
        <v/>
      </c>
      <c r="BA54" s="128">
        <f>ROUND($B$8*$B$12*$B$14*$B$17*$B$19*$B$22*$B$25,0)</f>
        <v/>
      </c>
      <c r="BB54" s="128">
        <f>ROUND($B$8*$B$12*$B$14*$B$17*$B$19*$B$23*$B$24,0)</f>
        <v/>
      </c>
      <c r="BC54" s="128">
        <f>ROUND($B$8*$B$12*$B$14*$B$17*$B$19*$B$23*$B$25,0)</f>
        <v/>
      </c>
      <c r="BD54" s="128">
        <f>ROUND($B$8*$B$12*$B$14*$B$17*$B$20*$B$22*$B$24,0)</f>
        <v/>
      </c>
      <c r="BE54" s="128">
        <f>ROUND($B$8*$B$12*$B$14*$B$17*$B$20*$B$22*$B$25,0)</f>
        <v/>
      </c>
      <c r="BF54" s="128">
        <f>ROUND($B$8*$B$12*$B$14*$B$17*$B$20*$B$23*$B$24,0)</f>
        <v/>
      </c>
      <c r="BG54" s="128">
        <f>ROUND($B$8*$B$12*$B$14*$B$17*$B$20*$B$23*$B$25,0)</f>
        <v/>
      </c>
      <c r="BH54" s="128">
        <f>ROUND($B$8*$B$12*$B$14*$B$17*$B$21*$B$22*$B$24,0)</f>
        <v/>
      </c>
      <c r="BI54" s="128">
        <f>ROUND($B$8*$B$12*$B$14*$B$17*$B$21*$B$22*$B$25,0)</f>
        <v/>
      </c>
      <c r="BJ54" s="128">
        <f>ROUND($B$8*$B$12*$B$14*$B$17*$B$21*$B$23*$B$24,0)</f>
        <v/>
      </c>
      <c r="BK54" s="128">
        <f>ROUND($B$8*$B$12*$B$14*$B$17*$B$21*$B$23*$B$25,0)</f>
        <v/>
      </c>
    </row>
    <row r="55" ht="20" customHeight="1" s="62">
      <c r="C55" s="129" t="inlineStr">
        <is>
          <t>Volume données élevé</t>
        </is>
      </c>
      <c r="D55" s="127">
        <f>ROUND($B$4*$B$12*$B$14*$B$18*$B$19*$B$22*$B$24,0)</f>
        <v/>
      </c>
      <c r="E55" s="127">
        <f>ROUND($B$4*$B$12*$B$14*$B$18*$B$19*$B$22*$B$25,0)</f>
        <v/>
      </c>
      <c r="F55" s="127">
        <f>ROUND($B$4*$B$12*$B$14*$B$18*$B$19*$B$23*$B$24,0)</f>
        <v/>
      </c>
      <c r="G55" s="127">
        <f>ROUND($B$4*$B$12*$B$14*$B$18*$B$19*$B$23*$B$25,0)</f>
        <v/>
      </c>
      <c r="H55" s="127">
        <f>ROUND($B$4*$B$12*$B$14*$B$18*$B$20*$B$22*$B$24,0)</f>
        <v/>
      </c>
      <c r="I55" s="127">
        <f>ROUND($B$4*$B$12*$B$14*$B$18*$B$20*$B$22*$B$25,0)</f>
        <v/>
      </c>
      <c r="J55" s="127">
        <f>ROUND($B$4*$B$12*$B$14*$B$18*$B$20*$B$23*$B$24,0)</f>
        <v/>
      </c>
      <c r="K55" s="127">
        <f>ROUND($B$4*$B$12*$B$14*$B$18*$B$20*$B$23*$B$25,0)</f>
        <v/>
      </c>
      <c r="L55" s="127">
        <f>ROUND($B$4*$B$12*$B$14*$B$18*$B$21*$B$22*$B$24,0)</f>
        <v/>
      </c>
      <c r="M55" s="127">
        <f>ROUND($B$4*$B$12*$B$14*$B$18*$B$21*$B$22*$B$25,0)</f>
        <v/>
      </c>
      <c r="N55" s="127">
        <f>ROUND($B$4*$B$12*$B$14*$B$18*$B$21*$B$23*$B$24,0)</f>
        <v/>
      </c>
      <c r="O55" s="127">
        <f>ROUND($B$4*$B$12*$B$14*$B$18*$B$21*$B$23*$B$25,0)</f>
        <v/>
      </c>
      <c r="P55" s="127">
        <f>ROUND($B$5*$B$12*$B$14*$B$18*$B$19*$B$22*$B$24,0)</f>
        <v/>
      </c>
      <c r="Q55" s="127">
        <f>ROUND($B$5*$B$12*$B$14*$B$18*$B$19*$B$22*$B$25,0)</f>
        <v/>
      </c>
      <c r="R55" s="127">
        <f>ROUND($B$5*$B$12*$B$14*$B$18*$B$19*$B$23*$B$24,0)</f>
        <v/>
      </c>
      <c r="S55" s="127">
        <f>ROUND($B$5*$B$12*$B$14*$B$18*$B$19*$B$23*$B$25,0)</f>
        <v/>
      </c>
      <c r="T55" s="127">
        <f>ROUND($B$5*$B$12*$B$14*$B$18*$B$20*$B$22*$B$24,0)</f>
        <v/>
      </c>
      <c r="U55" s="127">
        <f>ROUND($B$5*$B$12*$B$14*$B$18*$B$20*$B$22*$B$25,0)</f>
        <v/>
      </c>
      <c r="V55" s="127">
        <f>ROUND($B$5*$B$12*$B$14*$B$18*$B$20*$B$23*$B$24,0)</f>
        <v/>
      </c>
      <c r="W55" s="127">
        <f>ROUND($B$5*$B$12*$B$14*$B$18*$B$20*$B$23*$B$25,0)</f>
        <v/>
      </c>
      <c r="X55" s="127">
        <f>ROUND($B$5*$B$12*$B$14*$B$18*$B$21*$B$22*$B$24,0)</f>
        <v/>
      </c>
      <c r="Y55" s="127">
        <f>ROUND($B$5*$B$12*$B$14*$B$18*$B$21*$B$22*$B$25,0)</f>
        <v/>
      </c>
      <c r="Z55" s="127">
        <f>ROUND($B$5*$B$12*$B$14*$B$18*$B$21*$B$23*$B$24,0)</f>
        <v/>
      </c>
      <c r="AA55" s="127">
        <f>ROUND($B$5*$B$12*$B$14*$B$18*$B$21*$B$23*$B$25,0)</f>
        <v/>
      </c>
      <c r="AB55" s="127">
        <f>ROUND($B$6*$B$12*$B$14*$B$18*$B$19*$B$22*$B$24,0)</f>
        <v/>
      </c>
      <c r="AC55" s="127">
        <f>ROUND($B$6*$B$12*$B$14*$B$18*$B$19*$B$22*$B$25,0)</f>
        <v/>
      </c>
      <c r="AD55" s="127">
        <f>ROUND($B$6*$B$12*$B$14*$B$18*$B$19*$B$23*$B$24,0)</f>
        <v/>
      </c>
      <c r="AE55" s="127">
        <f>ROUND($B$6*$B$12*$B$14*$B$18*$B$19*$B$23*$B$25,0)</f>
        <v/>
      </c>
      <c r="AF55" s="127">
        <f>ROUND($B$6*$B$12*$B$14*$B$18*$B$20*$B$22*$B$24,0)</f>
        <v/>
      </c>
      <c r="AG55" s="127">
        <f>ROUND($B$6*$B$12*$B$14*$B$18*$B$20*$B$22*$B$25,0)</f>
        <v/>
      </c>
      <c r="AH55" s="127">
        <f>ROUND($B$6*$B$12*$B$14*$B$18*$B$20*$B$23*$B$24,0)</f>
        <v/>
      </c>
      <c r="AI55" s="127">
        <f>ROUND($B$6*$B$12*$B$14*$B$18*$B$20*$B$23*$B$25,0)</f>
        <v/>
      </c>
      <c r="AJ55" s="127">
        <f>ROUND($B$6*$B$12*$B$14*$B$18*$B$21*$B$22*$B$24,0)</f>
        <v/>
      </c>
      <c r="AK55" s="127">
        <f>ROUND($B$6*$B$12*$B$14*$B$18*$B$21*$B$22*$B$25,0)</f>
        <v/>
      </c>
      <c r="AL55" s="127">
        <f>ROUND($B$6*$B$12*$B$14*$B$18*$B$21*$B$23*$B$24,0)</f>
        <v/>
      </c>
      <c r="AM55" s="127">
        <f>ROUND($B$6*$B$12*$B$14*$B$18*$B$21*$B$23*$B$25,0)</f>
        <v/>
      </c>
      <c r="AN55" s="127">
        <f>ROUND($B$7*$B$12*$B$14*$B$18*$B$19*$B$22*$B$24,0)</f>
        <v/>
      </c>
      <c r="AO55" s="127">
        <f>ROUND($B$7*$B$12*$B$14*$B$18*$B$19*$B$22*$B$25,0)</f>
        <v/>
      </c>
      <c r="AP55" s="127">
        <f>ROUND($B$7*$B$12*$B$14*$B$18*$B$19*$B$23*$B$24,0)</f>
        <v/>
      </c>
      <c r="AQ55" s="127">
        <f>ROUND($B$7*$B$12*$B$14*$B$18*$B$19*$B$23*$B$25,0)</f>
        <v/>
      </c>
      <c r="AR55" s="127">
        <f>ROUND($B$7*$B$12*$B$14*$B$18*$B$20*$B$22*$B$24,0)</f>
        <v/>
      </c>
      <c r="AS55" s="127">
        <f>ROUND($B$7*$B$12*$B$14*$B$18*$B$20*$B$22*$B$25,0)</f>
        <v/>
      </c>
      <c r="AT55" s="127">
        <f>ROUND($B$7*$B$12*$B$14*$B$18*$B$20*$B$23*$B$24,0)</f>
        <v/>
      </c>
      <c r="AU55" s="127">
        <f>ROUND($B$7*$B$12*$B$14*$B$18*$B$20*$B$23*$B$25,0)</f>
        <v/>
      </c>
      <c r="AV55" s="127">
        <f>ROUND($B$7*$B$12*$B$14*$B$18*$B$21*$B$22*$B$24,0)</f>
        <v/>
      </c>
      <c r="AW55" s="127">
        <f>ROUND($B$7*$B$12*$B$14*$B$18*$B$21*$B$22*$B$25,0)</f>
        <v/>
      </c>
      <c r="AX55" s="127">
        <f>ROUND($B$7*$B$12*$B$14*$B$18*$B$21*$B$23*$B$24,0)</f>
        <v/>
      </c>
      <c r="AY55" s="127">
        <f>ROUND($B$7*$B$12*$B$14*$B$18*$B$21*$B$23*$B$25,0)</f>
        <v/>
      </c>
      <c r="AZ55" s="128">
        <f>ROUND($B$8*$B$12*$B$14*$B$18*$B$19*$B$22*$B$24,0)</f>
        <v/>
      </c>
      <c r="BA55" s="128">
        <f>ROUND($B$8*$B$12*$B$14*$B$18*$B$19*$B$22*$B$25,0)</f>
        <v/>
      </c>
      <c r="BB55" s="128">
        <f>ROUND($B$8*$B$12*$B$14*$B$18*$B$19*$B$23*$B$24,0)</f>
        <v/>
      </c>
      <c r="BC55" s="128">
        <f>ROUND($B$8*$B$12*$B$14*$B$18*$B$19*$B$23*$B$25,0)</f>
        <v/>
      </c>
      <c r="BD55" s="128">
        <f>ROUND($B$8*$B$12*$B$14*$B$18*$B$20*$B$22*$B$24,0)</f>
        <v/>
      </c>
      <c r="BE55" s="128">
        <f>ROUND($B$8*$B$12*$B$14*$B$18*$B$20*$B$22*$B$25,0)</f>
        <v/>
      </c>
      <c r="BF55" s="128">
        <f>ROUND($B$8*$B$12*$B$14*$B$18*$B$20*$B$23*$B$24,0)</f>
        <v/>
      </c>
      <c r="BG55" s="128">
        <f>ROUND($B$8*$B$12*$B$14*$B$18*$B$20*$B$23*$B$25,0)</f>
        <v/>
      </c>
      <c r="BH55" s="128">
        <f>ROUND($B$8*$B$12*$B$14*$B$18*$B$21*$B$22*$B$24,0)</f>
        <v/>
      </c>
      <c r="BI55" s="128">
        <f>ROUND($B$8*$B$12*$B$14*$B$18*$B$21*$B$22*$B$25,0)</f>
        <v/>
      </c>
      <c r="BJ55" s="128">
        <f>ROUND($B$8*$B$12*$B$14*$B$18*$B$21*$B$23*$B$24,0)</f>
        <v/>
      </c>
      <c r="BK55" s="128">
        <f>ROUND($B$8*$B$12*$B$14*$B$18*$B$21*$B$23*$B$25,0)</f>
        <v/>
      </c>
    </row>
    <row r="56" ht="20" customHeight="1" s="62">
      <c r="B56" s="125" t="inlineStr">
        <is>
          <t>IA NLP / Vision</t>
        </is>
      </c>
      <c r="C56" s="126" t="inlineStr">
        <is>
          <t>Volume données faible</t>
        </is>
      </c>
      <c r="D56" s="127">
        <f>ROUND($B$4*$B$12*$B$15*$B$16*$B$19*$B$22*$B$24,0)</f>
        <v/>
      </c>
      <c r="E56" s="127">
        <f>ROUND($B$4*$B$12*$B$15*$B$16*$B$19*$B$22*$B$25,0)</f>
        <v/>
      </c>
      <c r="F56" s="127">
        <f>ROUND($B$4*$B$12*$B$15*$B$16*$B$19*$B$23*$B$24,0)</f>
        <v/>
      </c>
      <c r="G56" s="127">
        <f>ROUND($B$4*$B$12*$B$15*$B$16*$B$19*$B$23*$B$25,0)</f>
        <v/>
      </c>
      <c r="H56" s="127">
        <f>ROUND($B$4*$B$12*$B$15*$B$16*$B$20*$B$22*$B$24,0)</f>
        <v/>
      </c>
      <c r="I56" s="127">
        <f>ROUND($B$4*$B$12*$B$15*$B$16*$B$20*$B$22*$B$25,0)</f>
        <v/>
      </c>
      <c r="J56" s="127">
        <f>ROUND($B$4*$B$12*$B$15*$B$16*$B$20*$B$23*$B$24,0)</f>
        <v/>
      </c>
      <c r="K56" s="127">
        <f>ROUND($B$4*$B$12*$B$15*$B$16*$B$20*$B$23*$B$25,0)</f>
        <v/>
      </c>
      <c r="L56" s="127">
        <f>ROUND($B$4*$B$12*$B$15*$B$16*$B$21*$B$22*$B$24,0)</f>
        <v/>
      </c>
      <c r="M56" s="127">
        <f>ROUND($B$4*$B$12*$B$15*$B$16*$B$21*$B$22*$B$25,0)</f>
        <v/>
      </c>
      <c r="N56" s="127">
        <f>ROUND($B$4*$B$12*$B$15*$B$16*$B$21*$B$23*$B$24,0)</f>
        <v/>
      </c>
      <c r="O56" s="127">
        <f>ROUND($B$4*$B$12*$B$15*$B$16*$B$21*$B$23*$B$25,0)</f>
        <v/>
      </c>
      <c r="P56" s="127">
        <f>ROUND($B$5*$B$12*$B$15*$B$16*$B$19*$B$22*$B$24,0)</f>
        <v/>
      </c>
      <c r="Q56" s="127">
        <f>ROUND($B$5*$B$12*$B$15*$B$16*$B$19*$B$22*$B$25,0)</f>
        <v/>
      </c>
      <c r="R56" s="127">
        <f>ROUND($B$5*$B$12*$B$15*$B$16*$B$19*$B$23*$B$24,0)</f>
        <v/>
      </c>
      <c r="S56" s="127">
        <f>ROUND($B$5*$B$12*$B$15*$B$16*$B$19*$B$23*$B$25,0)</f>
        <v/>
      </c>
      <c r="T56" s="127">
        <f>ROUND($B$5*$B$12*$B$15*$B$16*$B$20*$B$22*$B$24,0)</f>
        <v/>
      </c>
      <c r="U56" s="127">
        <f>ROUND($B$5*$B$12*$B$15*$B$16*$B$20*$B$22*$B$25,0)</f>
        <v/>
      </c>
      <c r="V56" s="127">
        <f>ROUND($B$5*$B$12*$B$15*$B$16*$B$20*$B$23*$B$24,0)</f>
        <v/>
      </c>
      <c r="W56" s="127">
        <f>ROUND($B$5*$B$12*$B$15*$B$16*$B$20*$B$23*$B$25,0)</f>
        <v/>
      </c>
      <c r="X56" s="127">
        <f>ROUND($B$5*$B$12*$B$15*$B$16*$B$21*$B$22*$B$24,0)</f>
        <v/>
      </c>
      <c r="Y56" s="127">
        <f>ROUND($B$5*$B$12*$B$15*$B$16*$B$21*$B$22*$B$25,0)</f>
        <v/>
      </c>
      <c r="Z56" s="127">
        <f>ROUND($B$5*$B$12*$B$15*$B$16*$B$21*$B$23*$B$24,0)</f>
        <v/>
      </c>
      <c r="AA56" s="127">
        <f>ROUND($B$5*$B$12*$B$15*$B$16*$B$21*$B$23*$B$25,0)</f>
        <v/>
      </c>
      <c r="AB56" s="127">
        <f>ROUND($B$6*$B$12*$B$15*$B$16*$B$19*$B$22*$B$24,0)</f>
        <v/>
      </c>
      <c r="AC56" s="127">
        <f>ROUND($B$6*$B$12*$B$15*$B$16*$B$19*$B$22*$B$25,0)</f>
        <v/>
      </c>
      <c r="AD56" s="127">
        <f>ROUND($B$6*$B$12*$B$15*$B$16*$B$19*$B$23*$B$24,0)</f>
        <v/>
      </c>
      <c r="AE56" s="127">
        <f>ROUND($B$6*$B$12*$B$15*$B$16*$B$19*$B$23*$B$25,0)</f>
        <v/>
      </c>
      <c r="AF56" s="127">
        <f>ROUND($B$6*$B$12*$B$15*$B$16*$B$20*$B$22*$B$24,0)</f>
        <v/>
      </c>
      <c r="AG56" s="127">
        <f>ROUND($B$6*$B$12*$B$15*$B$16*$B$20*$B$22*$B$25,0)</f>
        <v/>
      </c>
      <c r="AH56" s="127">
        <f>ROUND($B$6*$B$12*$B$15*$B$16*$B$20*$B$23*$B$24,0)</f>
        <v/>
      </c>
      <c r="AI56" s="127">
        <f>ROUND($B$6*$B$12*$B$15*$B$16*$B$20*$B$23*$B$25,0)</f>
        <v/>
      </c>
      <c r="AJ56" s="127">
        <f>ROUND($B$6*$B$12*$B$15*$B$16*$B$21*$B$22*$B$24,0)</f>
        <v/>
      </c>
      <c r="AK56" s="127">
        <f>ROUND($B$6*$B$12*$B$15*$B$16*$B$21*$B$22*$B$25,0)</f>
        <v/>
      </c>
      <c r="AL56" s="127">
        <f>ROUND($B$6*$B$12*$B$15*$B$16*$B$21*$B$23*$B$24,0)</f>
        <v/>
      </c>
      <c r="AM56" s="127">
        <f>ROUND($B$6*$B$12*$B$15*$B$16*$B$21*$B$23*$B$25,0)</f>
        <v/>
      </c>
      <c r="AN56" s="127">
        <f>ROUND($B$7*$B$12*$B$15*$B$16*$B$19*$B$22*$B$24,0)</f>
        <v/>
      </c>
      <c r="AO56" s="127">
        <f>ROUND($B$7*$B$12*$B$15*$B$16*$B$19*$B$22*$B$25,0)</f>
        <v/>
      </c>
      <c r="AP56" s="127">
        <f>ROUND($B$7*$B$12*$B$15*$B$16*$B$19*$B$23*$B$24,0)</f>
        <v/>
      </c>
      <c r="AQ56" s="127">
        <f>ROUND($B$7*$B$12*$B$15*$B$16*$B$19*$B$23*$B$25,0)</f>
        <v/>
      </c>
      <c r="AR56" s="127">
        <f>ROUND($B$7*$B$12*$B$15*$B$16*$B$20*$B$22*$B$24,0)</f>
        <v/>
      </c>
      <c r="AS56" s="127">
        <f>ROUND($B$7*$B$12*$B$15*$B$16*$B$20*$B$22*$B$25,0)</f>
        <v/>
      </c>
      <c r="AT56" s="127">
        <f>ROUND($B$7*$B$12*$B$15*$B$16*$B$20*$B$23*$B$24,0)</f>
        <v/>
      </c>
      <c r="AU56" s="127">
        <f>ROUND($B$7*$B$12*$B$15*$B$16*$B$20*$B$23*$B$25,0)</f>
        <v/>
      </c>
      <c r="AV56" s="127">
        <f>ROUND($B$7*$B$12*$B$15*$B$16*$B$21*$B$22*$B$24,0)</f>
        <v/>
      </c>
      <c r="AW56" s="127">
        <f>ROUND($B$7*$B$12*$B$15*$B$16*$B$21*$B$22*$B$25,0)</f>
        <v/>
      </c>
      <c r="AX56" s="127">
        <f>ROUND($B$7*$B$12*$B$15*$B$16*$B$21*$B$23*$B$24,0)</f>
        <v/>
      </c>
      <c r="AY56" s="127">
        <f>ROUND($B$7*$B$12*$B$15*$B$16*$B$21*$B$23*$B$25,0)</f>
        <v/>
      </c>
      <c r="AZ56" s="128">
        <f>ROUND($B$8*$B$12*$B$15*$B$16*$B$19*$B$22*$B$24,0)</f>
        <v/>
      </c>
      <c r="BA56" s="128">
        <f>ROUND($B$8*$B$12*$B$15*$B$16*$B$19*$B$22*$B$25,0)</f>
        <v/>
      </c>
      <c r="BB56" s="128">
        <f>ROUND($B$8*$B$12*$B$15*$B$16*$B$19*$B$23*$B$24,0)</f>
        <v/>
      </c>
      <c r="BC56" s="128">
        <f>ROUND($B$8*$B$12*$B$15*$B$16*$B$19*$B$23*$B$25,0)</f>
        <v/>
      </c>
      <c r="BD56" s="128">
        <f>ROUND($B$8*$B$12*$B$15*$B$16*$B$20*$B$22*$B$24,0)</f>
        <v/>
      </c>
      <c r="BE56" s="128">
        <f>ROUND($B$8*$B$12*$B$15*$B$16*$B$20*$B$22*$B$25,0)</f>
        <v/>
      </c>
      <c r="BF56" s="128">
        <f>ROUND($B$8*$B$12*$B$15*$B$16*$B$20*$B$23*$B$24,0)</f>
        <v/>
      </c>
      <c r="BG56" s="128">
        <f>ROUND($B$8*$B$12*$B$15*$B$16*$B$20*$B$23*$B$25,0)</f>
        <v/>
      </c>
      <c r="BH56" s="128">
        <f>ROUND($B$8*$B$12*$B$15*$B$16*$B$21*$B$22*$B$24,0)</f>
        <v/>
      </c>
      <c r="BI56" s="128">
        <f>ROUND($B$8*$B$12*$B$15*$B$16*$B$21*$B$22*$B$25,0)</f>
        <v/>
      </c>
      <c r="BJ56" s="128">
        <f>ROUND($B$8*$B$12*$B$15*$B$16*$B$21*$B$23*$B$24,0)</f>
        <v/>
      </c>
      <c r="BK56" s="128">
        <f>ROUND($B$8*$B$12*$B$15*$B$16*$B$21*$B$23*$B$25,0)</f>
        <v/>
      </c>
    </row>
    <row r="57" ht="20" customHeight="1" s="62">
      <c r="C57" s="125" t="inlineStr">
        <is>
          <t>Volume données moyen</t>
        </is>
      </c>
      <c r="D57" s="127">
        <f>ROUND($B$4*$B$12*$B$15*$B$17*$B$19*$B$22*$B$24,0)</f>
        <v/>
      </c>
      <c r="E57" s="127">
        <f>ROUND($B$4*$B$12*$B$15*$B$17*$B$19*$B$22*$B$25,0)</f>
        <v/>
      </c>
      <c r="F57" s="127">
        <f>ROUND($B$4*$B$12*$B$15*$B$17*$B$19*$B$23*$B$24,0)</f>
        <v/>
      </c>
      <c r="G57" s="127">
        <f>ROUND($B$4*$B$12*$B$15*$B$17*$B$19*$B$23*$B$25,0)</f>
        <v/>
      </c>
      <c r="H57" s="127">
        <f>ROUND($B$4*$B$12*$B$15*$B$17*$B$20*$B$22*$B$24,0)</f>
        <v/>
      </c>
      <c r="I57" s="127">
        <f>ROUND($B$4*$B$12*$B$15*$B$17*$B$20*$B$22*$B$25,0)</f>
        <v/>
      </c>
      <c r="J57" s="127">
        <f>ROUND($B$4*$B$12*$B$15*$B$17*$B$20*$B$23*$B$24,0)</f>
        <v/>
      </c>
      <c r="K57" s="127">
        <f>ROUND($B$4*$B$12*$B$15*$B$17*$B$20*$B$23*$B$25,0)</f>
        <v/>
      </c>
      <c r="L57" s="127">
        <f>ROUND($B$4*$B$12*$B$15*$B$17*$B$21*$B$22*$B$24,0)</f>
        <v/>
      </c>
      <c r="M57" s="127">
        <f>ROUND($B$4*$B$12*$B$15*$B$17*$B$21*$B$22*$B$25,0)</f>
        <v/>
      </c>
      <c r="N57" s="127">
        <f>ROUND($B$4*$B$12*$B$15*$B$17*$B$21*$B$23*$B$24,0)</f>
        <v/>
      </c>
      <c r="O57" s="127">
        <f>ROUND($B$4*$B$12*$B$15*$B$17*$B$21*$B$23*$B$25,0)</f>
        <v/>
      </c>
      <c r="P57" s="127">
        <f>ROUND($B$5*$B$12*$B$15*$B$17*$B$19*$B$22*$B$24,0)</f>
        <v/>
      </c>
      <c r="Q57" s="127">
        <f>ROUND($B$5*$B$12*$B$15*$B$17*$B$19*$B$22*$B$25,0)</f>
        <v/>
      </c>
      <c r="R57" s="127">
        <f>ROUND($B$5*$B$12*$B$15*$B$17*$B$19*$B$23*$B$24,0)</f>
        <v/>
      </c>
      <c r="S57" s="127">
        <f>ROUND($B$5*$B$12*$B$15*$B$17*$B$19*$B$23*$B$25,0)</f>
        <v/>
      </c>
      <c r="T57" s="127">
        <f>ROUND($B$5*$B$12*$B$15*$B$17*$B$20*$B$22*$B$24,0)</f>
        <v/>
      </c>
      <c r="U57" s="127">
        <f>ROUND($B$5*$B$12*$B$15*$B$17*$B$20*$B$22*$B$25,0)</f>
        <v/>
      </c>
      <c r="V57" s="127">
        <f>ROUND($B$5*$B$12*$B$15*$B$17*$B$20*$B$23*$B$24,0)</f>
        <v/>
      </c>
      <c r="W57" s="127">
        <f>ROUND($B$5*$B$12*$B$15*$B$17*$B$20*$B$23*$B$25,0)</f>
        <v/>
      </c>
      <c r="X57" s="127">
        <f>ROUND($B$5*$B$12*$B$15*$B$17*$B$21*$B$22*$B$24,0)</f>
        <v/>
      </c>
      <c r="Y57" s="127">
        <f>ROUND($B$5*$B$12*$B$15*$B$17*$B$21*$B$22*$B$25,0)</f>
        <v/>
      </c>
      <c r="Z57" s="127">
        <f>ROUND($B$5*$B$12*$B$15*$B$17*$B$21*$B$23*$B$24,0)</f>
        <v/>
      </c>
      <c r="AA57" s="127">
        <f>ROUND($B$5*$B$12*$B$15*$B$17*$B$21*$B$23*$B$25,0)</f>
        <v/>
      </c>
      <c r="AB57" s="127">
        <f>ROUND($B$6*$B$12*$B$15*$B$17*$B$19*$B$22*$B$24,0)</f>
        <v/>
      </c>
      <c r="AC57" s="127">
        <f>ROUND($B$6*$B$12*$B$15*$B$17*$B$19*$B$22*$B$25,0)</f>
        <v/>
      </c>
      <c r="AD57" s="127">
        <f>ROUND($B$6*$B$12*$B$15*$B$17*$B$19*$B$23*$B$24,0)</f>
        <v/>
      </c>
      <c r="AE57" s="127">
        <f>ROUND($B$6*$B$12*$B$15*$B$17*$B$19*$B$23*$B$25,0)</f>
        <v/>
      </c>
      <c r="AF57" s="127">
        <f>ROUND($B$6*$B$12*$B$15*$B$17*$B$20*$B$22*$B$24,0)</f>
        <v/>
      </c>
      <c r="AG57" s="127">
        <f>ROUND($B$6*$B$12*$B$15*$B$17*$B$20*$B$22*$B$25,0)</f>
        <v/>
      </c>
      <c r="AH57" s="127">
        <f>ROUND($B$6*$B$12*$B$15*$B$17*$B$20*$B$23*$B$24,0)</f>
        <v/>
      </c>
      <c r="AI57" s="127">
        <f>ROUND($B$6*$B$12*$B$15*$B$17*$B$20*$B$23*$B$25,0)</f>
        <v/>
      </c>
      <c r="AJ57" s="127">
        <f>ROUND($B$6*$B$12*$B$15*$B$17*$B$21*$B$22*$B$24,0)</f>
        <v/>
      </c>
      <c r="AK57" s="127">
        <f>ROUND($B$6*$B$12*$B$15*$B$17*$B$21*$B$22*$B$25,0)</f>
        <v/>
      </c>
      <c r="AL57" s="127">
        <f>ROUND($B$6*$B$12*$B$15*$B$17*$B$21*$B$23*$B$24,0)</f>
        <v/>
      </c>
      <c r="AM57" s="127">
        <f>ROUND($B$6*$B$12*$B$15*$B$17*$B$21*$B$23*$B$25,0)</f>
        <v/>
      </c>
      <c r="AN57" s="127">
        <f>ROUND($B$7*$B$12*$B$15*$B$17*$B$19*$B$22*$B$24,0)</f>
        <v/>
      </c>
      <c r="AO57" s="127">
        <f>ROUND($B$7*$B$12*$B$15*$B$17*$B$19*$B$22*$B$25,0)</f>
        <v/>
      </c>
      <c r="AP57" s="127">
        <f>ROUND($B$7*$B$12*$B$15*$B$17*$B$19*$B$23*$B$24,0)</f>
        <v/>
      </c>
      <c r="AQ57" s="127">
        <f>ROUND($B$7*$B$12*$B$15*$B$17*$B$19*$B$23*$B$25,0)</f>
        <v/>
      </c>
      <c r="AR57" s="127">
        <f>ROUND($B$7*$B$12*$B$15*$B$17*$B$20*$B$22*$B$24,0)</f>
        <v/>
      </c>
      <c r="AS57" s="127">
        <f>ROUND($B$7*$B$12*$B$15*$B$17*$B$20*$B$22*$B$25,0)</f>
        <v/>
      </c>
      <c r="AT57" s="127">
        <f>ROUND($B$7*$B$12*$B$15*$B$17*$B$20*$B$23*$B$24,0)</f>
        <v/>
      </c>
      <c r="AU57" s="127">
        <f>ROUND($B$7*$B$12*$B$15*$B$17*$B$20*$B$23*$B$25,0)</f>
        <v/>
      </c>
      <c r="AV57" s="127">
        <f>ROUND($B$7*$B$12*$B$15*$B$17*$B$21*$B$22*$B$24,0)</f>
        <v/>
      </c>
      <c r="AW57" s="127">
        <f>ROUND($B$7*$B$12*$B$15*$B$17*$B$21*$B$22*$B$25,0)</f>
        <v/>
      </c>
      <c r="AX57" s="127">
        <f>ROUND($B$7*$B$12*$B$15*$B$17*$B$21*$B$23*$B$24,0)</f>
        <v/>
      </c>
      <c r="AY57" s="127">
        <f>ROUND($B$7*$B$12*$B$15*$B$17*$B$21*$B$23*$B$25,0)</f>
        <v/>
      </c>
      <c r="AZ57" s="128">
        <f>ROUND($B$8*$B$12*$B$15*$B$17*$B$19*$B$22*$B$24,0)</f>
        <v/>
      </c>
      <c r="BA57" s="128">
        <f>ROUND($B$8*$B$12*$B$15*$B$17*$B$19*$B$22*$B$25,0)</f>
        <v/>
      </c>
      <c r="BB57" s="128">
        <f>ROUND($B$8*$B$12*$B$15*$B$17*$B$19*$B$23*$B$24,0)</f>
        <v/>
      </c>
      <c r="BC57" s="128">
        <f>ROUND($B$8*$B$12*$B$15*$B$17*$B$19*$B$23*$B$25,0)</f>
        <v/>
      </c>
      <c r="BD57" s="128">
        <f>ROUND($B$8*$B$12*$B$15*$B$17*$B$20*$B$22*$B$24,0)</f>
        <v/>
      </c>
      <c r="BE57" s="128">
        <f>ROUND($B$8*$B$12*$B$15*$B$17*$B$20*$B$22*$B$25,0)</f>
        <v/>
      </c>
      <c r="BF57" s="128">
        <f>ROUND($B$8*$B$12*$B$15*$B$17*$B$20*$B$23*$B$24,0)</f>
        <v/>
      </c>
      <c r="BG57" s="128">
        <f>ROUND($B$8*$B$12*$B$15*$B$17*$B$20*$B$23*$B$25,0)</f>
        <v/>
      </c>
      <c r="BH57" s="128">
        <f>ROUND($B$8*$B$12*$B$15*$B$17*$B$21*$B$22*$B$24,0)</f>
        <v/>
      </c>
      <c r="BI57" s="128">
        <f>ROUND($B$8*$B$12*$B$15*$B$17*$B$21*$B$22*$B$25,0)</f>
        <v/>
      </c>
      <c r="BJ57" s="128">
        <f>ROUND($B$8*$B$12*$B$15*$B$17*$B$21*$B$23*$B$24,0)</f>
        <v/>
      </c>
      <c r="BK57" s="128">
        <f>ROUND($B$8*$B$12*$B$15*$B$17*$B$21*$B$23*$B$25,0)</f>
        <v/>
      </c>
    </row>
    <row r="58" ht="20" customHeight="1" s="62">
      <c r="C58" s="129" t="inlineStr">
        <is>
          <t>Volume données élevé</t>
        </is>
      </c>
      <c r="D58" s="127">
        <f>ROUND($B$4*$B$12*$B$15*$B$18*$B$19*$B$22*$B$24,0)</f>
        <v/>
      </c>
      <c r="E58" s="127">
        <f>ROUND($B$4*$B$12*$B$15*$B$18*$B$19*$B$22*$B$25,0)</f>
        <v/>
      </c>
      <c r="F58" s="127">
        <f>ROUND($B$4*$B$12*$B$15*$B$18*$B$19*$B$23*$B$24,0)</f>
        <v/>
      </c>
      <c r="G58" s="127">
        <f>ROUND($B$4*$B$12*$B$15*$B$18*$B$19*$B$23*$B$25,0)</f>
        <v/>
      </c>
      <c r="H58" s="127">
        <f>ROUND($B$4*$B$12*$B$15*$B$18*$B$20*$B$22*$B$24,0)</f>
        <v/>
      </c>
      <c r="I58" s="127">
        <f>ROUND($B$4*$B$12*$B$15*$B$18*$B$20*$B$22*$B$25,0)</f>
        <v/>
      </c>
      <c r="J58" s="127">
        <f>ROUND($B$4*$B$12*$B$15*$B$18*$B$20*$B$23*$B$24,0)</f>
        <v/>
      </c>
      <c r="K58" s="127">
        <f>ROUND($B$4*$B$12*$B$15*$B$18*$B$20*$B$23*$B$25,0)</f>
        <v/>
      </c>
      <c r="L58" s="127">
        <f>ROUND($B$4*$B$12*$B$15*$B$18*$B$21*$B$22*$B$24,0)</f>
        <v/>
      </c>
      <c r="M58" s="127">
        <f>ROUND($B$4*$B$12*$B$15*$B$18*$B$21*$B$22*$B$25,0)</f>
        <v/>
      </c>
      <c r="N58" s="127">
        <f>ROUND($B$4*$B$12*$B$15*$B$18*$B$21*$B$23*$B$24,0)</f>
        <v/>
      </c>
      <c r="O58" s="127">
        <f>ROUND($B$4*$B$12*$B$15*$B$18*$B$21*$B$23*$B$25,0)</f>
        <v/>
      </c>
      <c r="P58" s="127">
        <f>ROUND($B$5*$B$12*$B$15*$B$18*$B$19*$B$22*$B$24,0)</f>
        <v/>
      </c>
      <c r="Q58" s="127">
        <f>ROUND($B$5*$B$12*$B$15*$B$18*$B$19*$B$22*$B$25,0)</f>
        <v/>
      </c>
      <c r="R58" s="127">
        <f>ROUND($B$5*$B$12*$B$15*$B$18*$B$19*$B$23*$B$24,0)</f>
        <v/>
      </c>
      <c r="S58" s="127">
        <f>ROUND($B$5*$B$12*$B$15*$B$18*$B$19*$B$23*$B$25,0)</f>
        <v/>
      </c>
      <c r="T58" s="127">
        <f>ROUND($B$5*$B$12*$B$15*$B$18*$B$20*$B$22*$B$24,0)</f>
        <v/>
      </c>
      <c r="U58" s="127">
        <f>ROUND($B$5*$B$12*$B$15*$B$18*$B$20*$B$22*$B$25,0)</f>
        <v/>
      </c>
      <c r="V58" s="127">
        <f>ROUND($B$5*$B$12*$B$15*$B$18*$B$20*$B$23*$B$24,0)</f>
        <v/>
      </c>
      <c r="W58" s="127">
        <f>ROUND($B$5*$B$12*$B$15*$B$18*$B$20*$B$23*$B$25,0)</f>
        <v/>
      </c>
      <c r="X58" s="127">
        <f>ROUND($B$5*$B$12*$B$15*$B$18*$B$21*$B$22*$B$24,0)</f>
        <v/>
      </c>
      <c r="Y58" s="127">
        <f>ROUND($B$5*$B$12*$B$15*$B$18*$B$21*$B$22*$B$25,0)</f>
        <v/>
      </c>
      <c r="Z58" s="127">
        <f>ROUND($B$5*$B$12*$B$15*$B$18*$B$21*$B$23*$B$24,0)</f>
        <v/>
      </c>
      <c r="AA58" s="127">
        <f>ROUND($B$5*$B$12*$B$15*$B$18*$B$21*$B$23*$B$25,0)</f>
        <v/>
      </c>
      <c r="AB58" s="127">
        <f>ROUND($B$6*$B$12*$B$15*$B$18*$B$19*$B$22*$B$24,0)</f>
        <v/>
      </c>
      <c r="AC58" s="127">
        <f>ROUND($B$6*$B$12*$B$15*$B$18*$B$19*$B$22*$B$25,0)</f>
        <v/>
      </c>
      <c r="AD58" s="127">
        <f>ROUND($B$6*$B$12*$B$15*$B$18*$B$19*$B$23*$B$24,0)</f>
        <v/>
      </c>
      <c r="AE58" s="127">
        <f>ROUND($B$6*$B$12*$B$15*$B$18*$B$19*$B$23*$B$25,0)</f>
        <v/>
      </c>
      <c r="AF58" s="127">
        <f>ROUND($B$6*$B$12*$B$15*$B$18*$B$20*$B$22*$B$24,0)</f>
        <v/>
      </c>
      <c r="AG58" s="127">
        <f>ROUND($B$6*$B$12*$B$15*$B$18*$B$20*$B$22*$B$25,0)</f>
        <v/>
      </c>
      <c r="AH58" s="127">
        <f>ROUND($B$6*$B$12*$B$15*$B$18*$B$20*$B$23*$B$24,0)</f>
        <v/>
      </c>
      <c r="AI58" s="127">
        <f>ROUND($B$6*$B$12*$B$15*$B$18*$B$20*$B$23*$B$25,0)</f>
        <v/>
      </c>
      <c r="AJ58" s="127">
        <f>ROUND($B$6*$B$12*$B$15*$B$18*$B$21*$B$22*$B$24,0)</f>
        <v/>
      </c>
      <c r="AK58" s="127">
        <f>ROUND($B$6*$B$12*$B$15*$B$18*$B$21*$B$22*$B$25,0)</f>
        <v/>
      </c>
      <c r="AL58" s="127">
        <f>ROUND($B$6*$B$12*$B$15*$B$18*$B$21*$B$23*$B$24,0)</f>
        <v/>
      </c>
      <c r="AM58" s="127">
        <f>ROUND($B$6*$B$12*$B$15*$B$18*$B$21*$B$23*$B$25,0)</f>
        <v/>
      </c>
      <c r="AN58" s="127">
        <f>ROUND($B$7*$B$12*$B$15*$B$18*$B$19*$B$22*$B$24,0)</f>
        <v/>
      </c>
      <c r="AO58" s="127">
        <f>ROUND($B$7*$B$12*$B$15*$B$18*$B$19*$B$22*$B$25,0)</f>
        <v/>
      </c>
      <c r="AP58" s="127">
        <f>ROUND($B$7*$B$12*$B$15*$B$18*$B$19*$B$23*$B$24,0)</f>
        <v/>
      </c>
      <c r="AQ58" s="127">
        <f>ROUND($B$7*$B$12*$B$15*$B$18*$B$19*$B$23*$B$25,0)</f>
        <v/>
      </c>
      <c r="AR58" s="127">
        <f>ROUND($B$7*$B$12*$B$15*$B$18*$B$20*$B$22*$B$24,0)</f>
        <v/>
      </c>
      <c r="AS58" s="127">
        <f>ROUND($B$7*$B$12*$B$15*$B$18*$B$20*$B$22*$B$25,0)</f>
        <v/>
      </c>
      <c r="AT58" s="127">
        <f>ROUND($B$7*$B$12*$B$15*$B$18*$B$20*$B$23*$B$24,0)</f>
        <v/>
      </c>
      <c r="AU58" s="127">
        <f>ROUND($B$7*$B$12*$B$15*$B$18*$B$20*$B$23*$B$25,0)</f>
        <v/>
      </c>
      <c r="AV58" s="127">
        <f>ROUND($B$7*$B$12*$B$15*$B$18*$B$21*$B$22*$B$24,0)</f>
        <v/>
      </c>
      <c r="AW58" s="127">
        <f>ROUND($B$7*$B$12*$B$15*$B$18*$B$21*$B$22*$B$25,0)</f>
        <v/>
      </c>
      <c r="AX58" s="127">
        <f>ROUND($B$7*$B$12*$B$15*$B$18*$B$21*$B$23*$B$24,0)</f>
        <v/>
      </c>
      <c r="AY58" s="127">
        <f>ROUND($B$7*$B$12*$B$15*$B$18*$B$21*$B$23*$B$25,0)</f>
        <v/>
      </c>
      <c r="AZ58" s="128">
        <f>ROUND($B$8*$B$12*$B$15*$B$18*$B$19*$B$22*$B$24,0)</f>
        <v/>
      </c>
      <c r="BA58" s="128">
        <f>ROUND($B$8*$B$12*$B$15*$B$18*$B$19*$B$22*$B$25,0)</f>
        <v/>
      </c>
      <c r="BB58" s="128">
        <f>ROUND($B$8*$B$12*$B$15*$B$18*$B$19*$B$23*$B$24,0)</f>
        <v/>
      </c>
      <c r="BC58" s="128">
        <f>ROUND($B$8*$B$12*$B$15*$B$18*$B$19*$B$23*$B$25,0)</f>
        <v/>
      </c>
      <c r="BD58" s="128">
        <f>ROUND($B$8*$B$12*$B$15*$B$18*$B$20*$B$22*$B$24,0)</f>
        <v/>
      </c>
      <c r="BE58" s="128">
        <f>ROUND($B$8*$B$12*$B$15*$B$18*$B$20*$B$22*$B$25,0)</f>
        <v/>
      </c>
      <c r="BF58" s="128">
        <f>ROUND($B$8*$B$12*$B$15*$B$18*$B$20*$B$23*$B$24,0)</f>
        <v/>
      </c>
      <c r="BG58" s="128">
        <f>ROUND($B$8*$B$12*$B$15*$B$18*$B$20*$B$23*$B$25,0)</f>
        <v/>
      </c>
      <c r="BH58" s="128">
        <f>ROUND($B$8*$B$12*$B$15*$B$18*$B$21*$B$22*$B$24,0)</f>
        <v/>
      </c>
      <c r="BI58" s="128">
        <f>ROUND($B$8*$B$12*$B$15*$B$18*$B$21*$B$22*$B$25,0)</f>
        <v/>
      </c>
      <c r="BJ58" s="128">
        <f>ROUND($B$8*$B$12*$B$15*$B$18*$B$21*$B$23*$B$24,0)</f>
        <v/>
      </c>
      <c r="BK58" s="128">
        <f>ROUND($B$8*$B$12*$B$15*$B$18*$B$21*$B$23*$B$25,0)</f>
        <v/>
      </c>
    </row>
  </sheetData>
  <mergeCells count="70">
    <mergeCell ref="Z30:AA30"/>
    <mergeCell ref="B53:B55"/>
    <mergeCell ref="AB30:AC30"/>
    <mergeCell ref="T30:U30"/>
    <mergeCell ref="AL30:AM30"/>
    <mergeCell ref="AN30:AO30"/>
    <mergeCell ref="A50:A58"/>
    <mergeCell ref="A41:A49"/>
    <mergeCell ref="AJ29:AM29"/>
    <mergeCell ref="A1:BK1"/>
    <mergeCell ref="D29:G29"/>
    <mergeCell ref="AR29:AU29"/>
    <mergeCell ref="A32:A40"/>
    <mergeCell ref="AZ29:BC29"/>
    <mergeCell ref="J30:K30"/>
    <mergeCell ref="F30:G30"/>
    <mergeCell ref="R30:S30"/>
    <mergeCell ref="AZ30:BA30"/>
    <mergeCell ref="D28:O28"/>
    <mergeCell ref="BB30:BC30"/>
    <mergeCell ref="B35:B37"/>
    <mergeCell ref="P28:AA28"/>
    <mergeCell ref="P29:S29"/>
    <mergeCell ref="B56:B58"/>
    <mergeCell ref="H29:K29"/>
    <mergeCell ref="B41:B43"/>
    <mergeCell ref="T29:W29"/>
    <mergeCell ref="B47:B49"/>
    <mergeCell ref="B32:B34"/>
    <mergeCell ref="B50:B52"/>
    <mergeCell ref="AB29:AE29"/>
    <mergeCell ref="B28:B31"/>
    <mergeCell ref="L30:M30"/>
    <mergeCell ref="V30:W30"/>
    <mergeCell ref="A26:BK26"/>
    <mergeCell ref="A3:BK3"/>
    <mergeCell ref="X30:Y30"/>
    <mergeCell ref="AD30:AE30"/>
    <mergeCell ref="AF30:AG30"/>
    <mergeCell ref="A2:BK2"/>
    <mergeCell ref="AJ30:AK30"/>
    <mergeCell ref="AP30:AQ30"/>
    <mergeCell ref="AB28:AM28"/>
    <mergeCell ref="AR30:AS30"/>
    <mergeCell ref="AF29:AI29"/>
    <mergeCell ref="AN28:AY28"/>
    <mergeCell ref="AN29:AQ29"/>
    <mergeCell ref="AH30:AI30"/>
    <mergeCell ref="C28:C31"/>
    <mergeCell ref="AV29:AY29"/>
    <mergeCell ref="BD29:BG29"/>
    <mergeCell ref="D30:E30"/>
    <mergeCell ref="N30:O30"/>
    <mergeCell ref="P30:Q30"/>
    <mergeCell ref="AV30:AW30"/>
    <mergeCell ref="AX30:AY30"/>
    <mergeCell ref="BD30:BE30"/>
    <mergeCell ref="BF30:BG30"/>
    <mergeCell ref="A28:A31"/>
    <mergeCell ref="B44:B46"/>
    <mergeCell ref="AZ28:BK28"/>
    <mergeCell ref="BJ30:BK30"/>
    <mergeCell ref="AT30:AU30"/>
    <mergeCell ref="B38:B40"/>
    <mergeCell ref="L29:O29"/>
    <mergeCell ref="X29:AA29"/>
    <mergeCell ref="A9:BK9"/>
    <mergeCell ref="BH29:BK29"/>
    <mergeCell ref="H30:I30"/>
    <mergeCell ref="BH30:BI3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2D1B69"/>
    <outlinePr summaryBelow="1" summaryRight="1"/>
    <pageSetUpPr/>
  </sheetPr>
  <dimension ref="A1:BW59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4" customWidth="1" style="62" min="1" max="1"/>
    <col width="22" customWidth="1" style="62" min="2" max="2"/>
    <col width="20" customWidth="1" style="62" min="3" max="3"/>
    <col width="13" customWidth="1" style="62" min="4" max="4"/>
    <col width="13" customWidth="1" style="62" min="5" max="5"/>
    <col width="13" customWidth="1" style="62" min="6" max="6"/>
    <col width="13" customWidth="1" style="62" min="7" max="7"/>
    <col width="13" customWidth="1" style="62" min="8" max="8"/>
    <col width="13" customWidth="1" style="62" min="9" max="9"/>
    <col width="13" customWidth="1" style="62" min="10" max="10"/>
    <col width="13" customWidth="1" style="62" min="11" max="11"/>
    <col width="13" customWidth="1" style="62" min="12" max="12"/>
    <col width="13" customWidth="1" style="62" min="13" max="13"/>
    <col width="13" customWidth="1" style="62" min="14" max="14"/>
    <col width="13" customWidth="1" style="62" min="15" max="15"/>
    <col width="13" customWidth="1" style="62" min="16" max="16"/>
    <col width="13" customWidth="1" style="62" min="17" max="17"/>
    <col width="13" customWidth="1" style="62" min="18" max="18"/>
    <col width="13" customWidth="1" style="62" min="19" max="19"/>
    <col width="13" customWidth="1" style="62" min="20" max="20"/>
    <col width="13" customWidth="1" style="62" min="21" max="21"/>
    <col width="13" customWidth="1" style="62" min="22" max="22"/>
    <col width="13" customWidth="1" style="62" min="23" max="23"/>
    <col width="13" customWidth="1" style="62" min="24" max="24"/>
    <col width="13" customWidth="1" style="62" min="25" max="25"/>
    <col width="13" customWidth="1" style="62" min="26" max="26"/>
    <col width="13" customWidth="1" style="62" min="27" max="27"/>
    <col width="13" customWidth="1" style="62" min="28" max="28"/>
    <col width="13" customWidth="1" style="62" min="29" max="29"/>
    <col width="13" customWidth="1" style="62" min="30" max="30"/>
    <col width="13" customWidth="1" style="62" min="31" max="31"/>
    <col width="13" customWidth="1" style="62" min="32" max="32"/>
    <col width="13" customWidth="1" style="62" min="33" max="33"/>
    <col width="13" customWidth="1" style="62" min="34" max="34"/>
    <col width="13" customWidth="1" style="62" min="35" max="35"/>
    <col width="13" customWidth="1" style="62" min="36" max="36"/>
    <col width="13" customWidth="1" style="62" min="37" max="37"/>
    <col width="13" customWidth="1" style="62" min="38" max="38"/>
    <col width="13" customWidth="1" style="62" min="39" max="39"/>
    <col width="13" customWidth="1" style="62" min="40" max="40"/>
    <col width="13" customWidth="1" style="62" min="41" max="41"/>
    <col width="13" customWidth="1" style="62" min="42" max="42"/>
    <col width="13" customWidth="1" style="62" min="43" max="43"/>
    <col width="13" customWidth="1" style="62" min="44" max="44"/>
    <col width="13" customWidth="1" style="62" min="45" max="45"/>
    <col width="13" customWidth="1" style="62" min="46" max="46"/>
    <col width="13" customWidth="1" style="62" min="47" max="47"/>
    <col width="13" customWidth="1" style="62" min="48" max="48"/>
    <col width="13" customWidth="1" style="62" min="49" max="49"/>
    <col width="13" customWidth="1" style="62" min="50" max="50"/>
    <col width="13" customWidth="1" style="62" min="51" max="51"/>
    <col width="13" customWidth="1" style="62" min="52" max="52"/>
    <col width="13" customWidth="1" style="62" min="53" max="53"/>
    <col width="13" customWidth="1" style="62" min="54" max="54"/>
    <col width="13" customWidth="1" style="62" min="55" max="55"/>
    <col width="13" customWidth="1" style="62" min="56" max="56"/>
    <col width="13" customWidth="1" style="62" min="57" max="57"/>
    <col width="13" customWidth="1" style="62" min="58" max="58"/>
    <col width="13" customWidth="1" style="62" min="59" max="59"/>
    <col width="13" customWidth="1" style="62" min="60" max="60"/>
    <col width="13" customWidth="1" style="62" min="61" max="61"/>
    <col width="13" customWidth="1" style="62" min="62" max="62"/>
    <col width="13" customWidth="1" style="62" min="63" max="63"/>
    <col width="13" customWidth="1" style="62" min="64" max="64"/>
    <col width="13" customWidth="1" style="62" min="65" max="65"/>
    <col width="13" customWidth="1" style="62" min="66" max="66"/>
    <col width="13" customWidth="1" style="62" min="67" max="67"/>
    <col width="13" customWidth="1" style="62" min="68" max="68"/>
    <col width="13" customWidth="1" style="62" min="69" max="69"/>
    <col width="13" customWidth="1" style="62" min="70" max="70"/>
    <col width="13" customWidth="1" style="62" min="71" max="71"/>
    <col width="13" customWidth="1" style="62" min="72" max="72"/>
    <col width="13" customWidth="1" style="62" min="73" max="73"/>
    <col width="13" customWidth="1" style="62" min="74" max="74"/>
    <col width="13" customWidth="1" style="62" min="75" max="75"/>
  </cols>
  <sheetData>
    <row r="1" ht="34" customHeight="1" s="62">
      <c r="A1" s="108" t="inlineStr">
        <is>
          <t>GRILLE TARIFAIRE — Audit de système et impact de l'IA</t>
        </is>
      </c>
    </row>
    <row r="2" ht="26" customHeight="1" s="62">
      <c r="A2" s="109" t="inlineStr">
        <is>
          <t>⚙  ZONE DE PARAMÉTRAGE — Remplissez uniquement les cases jaunes. Le tableau se calcule automatiquement.</t>
        </is>
      </c>
    </row>
    <row r="3" ht="22" customHeight="1" s="62">
      <c r="A3" s="110" t="inlineStr">
        <is>
          <t>TARIFS DE BASE  —  Par niveau de prestation</t>
        </is>
      </c>
    </row>
    <row r="4" ht="22" customHeight="1" s="62">
      <c r="A4" s="111" t="inlineStr">
        <is>
          <t>Tarif de base — Audit rapide (diagnostic initial)</t>
        </is>
      </c>
      <c r="B4" s="112" t="n">
        <v>2000</v>
      </c>
      <c r="C4" s="113" t="inlineStr">
        <is>
          <t>Fourchette : 1 000 – 3 000 €</t>
        </is>
      </c>
    </row>
    <row r="5" ht="22" customHeight="1" s="62">
      <c r="A5" s="111" t="inlineStr">
        <is>
          <t>Tarif de base — Audit complet (process + outils + opport.)</t>
        </is>
      </c>
      <c r="B5" s="112" t="n">
        <v>5500</v>
      </c>
      <c r="C5" s="113" t="inlineStr">
        <is>
          <t>Fourchette : 3 000 – 8 000 €</t>
        </is>
      </c>
    </row>
    <row r="6" ht="22" customHeight="1" s="62">
      <c r="A6" s="111" t="inlineStr">
        <is>
          <t>Tarif de base — Audit avancé (avec feuille de route strat.)</t>
        </is>
      </c>
      <c r="B6" s="112" t="n">
        <v>14000</v>
      </c>
      <c r="C6" s="113" t="inlineStr">
        <is>
          <t>Fourchette : 8 000 – 20 000 €</t>
        </is>
      </c>
    </row>
    <row r="7" ht="22" customHeight="1" s="62">
      <c r="A7" s="115" t="inlineStr">
        <is>
          <t>COEFFICIENTS MULTIPLICATEURS  —  1,00 = neutre. Ex : 1,20 = +20 %</t>
        </is>
      </c>
    </row>
    <row r="8" ht="20" customHeight="1" s="62">
      <c r="A8" s="116" t="inlineStr">
        <is>
          <t>Coeff. taille entreprise — Micro / TPE</t>
        </is>
      </c>
      <c r="B8" s="117" t="n">
        <v>0.7</v>
      </c>
      <c r="C8" s="118" t="inlineStr">
        <is>
          <t>Périmètre réduit</t>
        </is>
      </c>
    </row>
    <row r="9" ht="20" customHeight="1" s="62">
      <c r="A9" s="116" t="inlineStr">
        <is>
          <t>Coeff. taille entreprise — PME</t>
        </is>
      </c>
      <c r="B9" s="117" t="n">
        <v>1</v>
      </c>
      <c r="C9" s="118" t="inlineStr">
        <is>
          <t>Référence</t>
        </is>
      </c>
    </row>
    <row r="10" ht="20" customHeight="1" s="62">
      <c r="A10" s="116" t="inlineStr">
        <is>
          <t>Coeff. taille entreprise — ETI / Grand cpt</t>
        </is>
      </c>
      <c r="B10" s="117" t="n">
        <v>1.6</v>
      </c>
      <c r="C10" s="118" t="inlineStr">
        <is>
          <t>Périmètre large</t>
        </is>
      </c>
    </row>
    <row r="11" ht="20" customHeight="1" s="62">
      <c r="A11" s="116" t="inlineStr">
        <is>
          <t>Coeff. complexité SI — Simple</t>
        </is>
      </c>
      <c r="B11" s="117" t="n">
        <v>0.8</v>
      </c>
      <c r="C11" s="118" t="inlineStr">
        <is>
          <t>Peu d'outils</t>
        </is>
      </c>
    </row>
    <row r="12" ht="20" customHeight="1" s="62">
      <c r="A12" s="116" t="inlineStr">
        <is>
          <t>Coeff. complexité SI — Modérée</t>
        </is>
      </c>
      <c r="B12" s="117" t="n">
        <v>1</v>
      </c>
      <c r="C12" s="118" t="inlineStr">
        <is>
          <t>Référence</t>
        </is>
      </c>
    </row>
    <row r="13" ht="20" customHeight="1" s="62">
      <c r="A13" s="116" t="inlineStr">
        <is>
          <t>Coeff. complexité SI — Complexe</t>
        </is>
      </c>
      <c r="B13" s="117" t="n">
        <v>1.5</v>
      </c>
      <c r="C13" s="118" t="inlineStr">
        <is>
          <t>Nombreux outils / processus</t>
        </is>
      </c>
    </row>
    <row r="14" ht="20" customHeight="1" s="62">
      <c r="A14" s="116" t="inlineStr">
        <is>
          <t>Coeff. maturité digitale — Faible</t>
        </is>
      </c>
      <c r="B14" s="117" t="n">
        <v>1.1</v>
      </c>
      <c r="C14" s="118" t="inlineStr">
        <is>
          <t>Mise à niveau nécessaire</t>
        </is>
      </c>
    </row>
    <row r="15" ht="20" customHeight="1" s="62">
      <c r="A15" s="116" t="inlineStr">
        <is>
          <t>Coeff. maturité digitale — Intermédiaire</t>
        </is>
      </c>
      <c r="B15" s="117" t="n">
        <v>1</v>
      </c>
      <c r="C15" s="118" t="inlineStr">
        <is>
          <t>Référence</t>
        </is>
      </c>
    </row>
    <row r="16" ht="20" customHeight="1" s="62">
      <c r="A16" s="116" t="inlineStr">
        <is>
          <t>Coeff. maturité digitale — Avancée</t>
        </is>
      </c>
      <c r="B16" s="117" t="n">
        <v>0.9</v>
      </c>
      <c r="C16" s="118" t="inlineStr">
        <is>
          <t>Bonne base existante</t>
        </is>
      </c>
    </row>
    <row r="17" ht="20" customHeight="1" s="62">
      <c r="A17" s="116" t="inlineStr">
        <is>
          <t>Coeff. nb processus analysés — 1-5</t>
        </is>
      </c>
      <c r="B17" s="117" t="n">
        <v>0.8</v>
      </c>
      <c r="C17" s="118" t="inlineStr">
        <is>
          <t>Périmètre réduit</t>
        </is>
      </c>
    </row>
    <row r="18" ht="20" customHeight="1" s="62">
      <c r="A18" s="116" t="inlineStr">
        <is>
          <t>Coeff. nb processus analysés — 6-15</t>
        </is>
      </c>
      <c r="B18" s="117" t="n">
        <v>1</v>
      </c>
      <c r="C18" s="118" t="inlineStr">
        <is>
          <t>Référence</t>
        </is>
      </c>
    </row>
    <row r="19" ht="20" customHeight="1" s="62">
      <c r="A19" s="116" t="inlineStr">
        <is>
          <t>Coeff. nb processus analysés — 16+</t>
        </is>
      </c>
      <c r="B19" s="117" t="n">
        <v>1.45</v>
      </c>
      <c r="C19" s="118" t="inlineStr">
        <is>
          <t>Analyse exhaustive</t>
        </is>
      </c>
    </row>
    <row r="20" ht="20" customHeight="1" s="62">
      <c r="A20" s="116" t="inlineStr">
        <is>
          <t>Coeff. secteur — Standard</t>
        </is>
      </c>
      <c r="B20" s="117" t="n">
        <v>1</v>
      </c>
      <c r="C20" s="118" t="inlineStr">
        <is>
          <t>Référence</t>
        </is>
      </c>
    </row>
    <row r="21" ht="20" customHeight="1" s="62">
      <c r="A21" s="116" t="inlineStr">
        <is>
          <t>Coeff. secteur — Réglementé</t>
        </is>
      </c>
      <c r="B21" s="117" t="n">
        <v>1.25</v>
      </c>
      <c r="C21" s="118" t="inlineStr">
        <is>
          <t>Contraintes spécifiques</t>
        </is>
      </c>
    </row>
    <row r="22" ht="20" customHeight="1" s="62">
      <c r="A22" s="116" t="inlineStr">
        <is>
          <t>Coeff. restitution — Document seul</t>
        </is>
      </c>
      <c r="B22" s="117" t="n">
        <v>1</v>
      </c>
      <c r="C22" s="118" t="inlineStr">
        <is>
          <t>Référence</t>
        </is>
      </c>
    </row>
    <row r="23" ht="20" customHeight="1" s="62">
      <c r="A23" s="116" t="inlineStr">
        <is>
          <t>Coeff. restitution — Document + présentation</t>
        </is>
      </c>
      <c r="B23" s="117" t="n">
        <v>1.2</v>
      </c>
      <c r="C23" s="118" t="inlineStr">
        <is>
          <t>Session de restitution incluse</t>
        </is>
      </c>
    </row>
    <row r="24" ht="20" customHeight="1" s="62">
      <c r="A24" s="116" t="inlineStr">
        <is>
          <t>Coeff. mode — Distanciel</t>
        </is>
      </c>
      <c r="B24" s="117" t="n">
        <v>1</v>
      </c>
      <c r="C24" s="118" t="inlineStr">
        <is>
          <t>Référence</t>
        </is>
      </c>
    </row>
    <row r="25" ht="20" customHeight="1" s="62">
      <c r="A25" s="116" t="inlineStr">
        <is>
          <t>Coeff. mode — Présentiel</t>
        </is>
      </c>
      <c r="B25" s="117" t="n">
        <v>1.15</v>
      </c>
      <c r="C25" s="118" t="inlineStr">
        <is>
          <t>Sessions sur site</t>
        </is>
      </c>
    </row>
    <row r="26" ht="24" customHeight="1" s="62">
      <c r="A26" s="119" t="inlineStr">
        <is>
          <t>▼  GRILLE TARIFAIRE CALCULÉE AUTOMATIQUEMENT  — Les cellules violettes sont en lecture seule (formules).</t>
        </is>
      </c>
    </row>
    <row r="27" ht="6" customHeight="1" s="62"/>
    <row r="28" ht="38" customHeight="1" s="62">
      <c r="A28" s="120" t="inlineStr">
        <is>
          <t>Taille de l'entreprise</t>
        </is>
      </c>
      <c r="B28" s="121" t="inlineStr">
        <is>
          <t>Complexité du SI</t>
        </is>
      </c>
      <c r="C28" s="122" t="inlineStr">
        <is>
          <t>Nb de processus analysés</t>
        </is>
      </c>
      <c r="D28" s="120" t="inlineStr">
        <is>
          <t>Audit rapide (diagnostic initial)</t>
        </is>
      </c>
      <c r="AB28" s="120" t="inlineStr">
        <is>
          <t>Audit complet (process + outils + opport.)</t>
        </is>
      </c>
      <c r="AZ28" s="120" t="inlineStr">
        <is>
          <t>Audit avancé (avec feuille de route strat.)</t>
        </is>
      </c>
    </row>
    <row r="29" ht="38" customHeight="1" s="62">
      <c r="D29" s="121" t="inlineStr">
        <is>
          <t>Maturité digitale faible</t>
        </is>
      </c>
      <c r="L29" s="121" t="inlineStr">
        <is>
          <t>Maturité digitale intermédiaire</t>
        </is>
      </c>
      <c r="T29" s="121" t="inlineStr">
        <is>
          <t>Maturité digitale avancée</t>
        </is>
      </c>
      <c r="AB29" s="121" t="inlineStr">
        <is>
          <t>Maturité digitale faible</t>
        </is>
      </c>
      <c r="AJ29" s="121" t="inlineStr">
        <is>
          <t>Maturité digitale intermédiaire</t>
        </is>
      </c>
      <c r="AR29" s="121" t="inlineStr">
        <is>
          <t>Maturité digitale avancée</t>
        </is>
      </c>
      <c r="AZ29" s="121" t="inlineStr">
        <is>
          <t>Maturité digitale faible</t>
        </is>
      </c>
      <c r="BH29" s="121" t="inlineStr">
        <is>
          <t>Maturité digitale intermédiaire</t>
        </is>
      </c>
      <c r="BP29" s="121" t="inlineStr">
        <is>
          <t>Maturité digitale avancée</t>
        </is>
      </c>
    </row>
    <row r="30" ht="38" customHeight="1" s="62">
      <c r="D30" s="122" t="inlineStr">
        <is>
          <t>Secteur standard</t>
        </is>
      </c>
      <c r="H30" s="122" t="inlineStr">
        <is>
          <t>Secteur réglementé</t>
        </is>
      </c>
      <c r="L30" s="122" t="inlineStr">
        <is>
          <t>Secteur standard</t>
        </is>
      </c>
      <c r="P30" s="122" t="inlineStr">
        <is>
          <t>Secteur réglementé</t>
        </is>
      </c>
      <c r="T30" s="122" t="inlineStr">
        <is>
          <t>Secteur standard</t>
        </is>
      </c>
      <c r="X30" s="122" t="inlineStr">
        <is>
          <t>Secteur réglementé</t>
        </is>
      </c>
      <c r="AB30" s="122" t="inlineStr">
        <is>
          <t>Secteur standard</t>
        </is>
      </c>
      <c r="AF30" s="122" t="inlineStr">
        <is>
          <t>Secteur réglementé</t>
        </is>
      </c>
      <c r="AJ30" s="122" t="inlineStr">
        <is>
          <t>Secteur standard</t>
        </is>
      </c>
      <c r="AN30" s="122" t="inlineStr">
        <is>
          <t>Secteur réglementé</t>
        </is>
      </c>
      <c r="AR30" s="122" t="inlineStr">
        <is>
          <t>Secteur standard</t>
        </is>
      </c>
      <c r="AV30" s="122" t="inlineStr">
        <is>
          <t>Secteur réglementé</t>
        </is>
      </c>
      <c r="AZ30" s="122" t="inlineStr">
        <is>
          <t>Secteur standard</t>
        </is>
      </c>
      <c r="BD30" s="122" t="inlineStr">
        <is>
          <t>Secteur réglementé</t>
        </is>
      </c>
      <c r="BH30" s="122" t="inlineStr">
        <is>
          <t>Secteur standard</t>
        </is>
      </c>
      <c r="BL30" s="122" t="inlineStr">
        <is>
          <t>Secteur réglementé</t>
        </is>
      </c>
      <c r="BP30" s="122" t="inlineStr">
        <is>
          <t>Secteur standard</t>
        </is>
      </c>
      <c r="BT30" s="122" t="inlineStr">
        <is>
          <t>Secteur réglementé</t>
        </is>
      </c>
    </row>
    <row r="31" ht="38" customHeight="1" s="62">
      <c r="D31" s="123" t="inlineStr">
        <is>
          <t>Document seul</t>
        </is>
      </c>
      <c r="F31" s="123" t="inlineStr">
        <is>
          <t>Document + présentation</t>
        </is>
      </c>
      <c r="H31" s="123" t="inlineStr">
        <is>
          <t>Document seul</t>
        </is>
      </c>
      <c r="J31" s="123" t="inlineStr">
        <is>
          <t>Document + présentation</t>
        </is>
      </c>
      <c r="L31" s="123" t="inlineStr">
        <is>
          <t>Document seul</t>
        </is>
      </c>
      <c r="N31" s="123" t="inlineStr">
        <is>
          <t>Document + présentation</t>
        </is>
      </c>
      <c r="P31" s="123" t="inlineStr">
        <is>
          <t>Document seul</t>
        </is>
      </c>
      <c r="R31" s="123" t="inlineStr">
        <is>
          <t>Document + présentation</t>
        </is>
      </c>
      <c r="T31" s="123" t="inlineStr">
        <is>
          <t>Document seul</t>
        </is>
      </c>
      <c r="V31" s="123" t="inlineStr">
        <is>
          <t>Document + présentation</t>
        </is>
      </c>
      <c r="X31" s="123" t="inlineStr">
        <is>
          <t>Document seul</t>
        </is>
      </c>
      <c r="Z31" s="123" t="inlineStr">
        <is>
          <t>Document + présentation</t>
        </is>
      </c>
      <c r="AB31" s="123" t="inlineStr">
        <is>
          <t>Document seul</t>
        </is>
      </c>
      <c r="AD31" s="123" t="inlineStr">
        <is>
          <t>Document + présentation</t>
        </is>
      </c>
      <c r="AF31" s="123" t="inlineStr">
        <is>
          <t>Document seul</t>
        </is>
      </c>
      <c r="AH31" s="123" t="inlineStr">
        <is>
          <t>Document + présentation</t>
        </is>
      </c>
      <c r="AJ31" s="123" t="inlineStr">
        <is>
          <t>Document seul</t>
        </is>
      </c>
      <c r="AL31" s="123" t="inlineStr">
        <is>
          <t>Document + présentation</t>
        </is>
      </c>
      <c r="AN31" s="123" t="inlineStr">
        <is>
          <t>Document seul</t>
        </is>
      </c>
      <c r="AP31" s="123" t="inlineStr">
        <is>
          <t>Document + présentation</t>
        </is>
      </c>
      <c r="AR31" s="123" t="inlineStr">
        <is>
          <t>Document seul</t>
        </is>
      </c>
      <c r="AT31" s="123" t="inlineStr">
        <is>
          <t>Document + présentation</t>
        </is>
      </c>
      <c r="AV31" s="123" t="inlineStr">
        <is>
          <t>Document seul</t>
        </is>
      </c>
      <c r="AX31" s="123" t="inlineStr">
        <is>
          <t>Document + présentation</t>
        </is>
      </c>
      <c r="AZ31" s="123" t="inlineStr">
        <is>
          <t>Document seul</t>
        </is>
      </c>
      <c r="BB31" s="123" t="inlineStr">
        <is>
          <t>Document + présentation</t>
        </is>
      </c>
      <c r="BD31" s="123" t="inlineStr">
        <is>
          <t>Document seul</t>
        </is>
      </c>
      <c r="BF31" s="123" t="inlineStr">
        <is>
          <t>Document + présentation</t>
        </is>
      </c>
      <c r="BH31" s="123" t="inlineStr">
        <is>
          <t>Document seul</t>
        </is>
      </c>
      <c r="BJ31" s="123" t="inlineStr">
        <is>
          <t>Document + présentation</t>
        </is>
      </c>
      <c r="BL31" s="123" t="inlineStr">
        <is>
          <t>Document seul</t>
        </is>
      </c>
      <c r="BN31" s="123" t="inlineStr">
        <is>
          <t>Document + présentation</t>
        </is>
      </c>
      <c r="BP31" s="123" t="inlineStr">
        <is>
          <t>Document seul</t>
        </is>
      </c>
      <c r="BR31" s="123" t="inlineStr">
        <is>
          <t>Document + présentation</t>
        </is>
      </c>
      <c r="BT31" s="123" t="inlineStr">
        <is>
          <t>Document seul</t>
        </is>
      </c>
      <c r="BV31" s="123" t="inlineStr">
        <is>
          <t>Document + présentation</t>
        </is>
      </c>
    </row>
    <row r="32"/>
    <row r="33" ht="20" customHeight="1" s="62">
      <c r="A33" s="124" t="inlineStr">
        <is>
          <t>Micro / TPE</t>
        </is>
      </c>
      <c r="B33" s="125" t="inlineStr">
        <is>
          <t>SI simple</t>
        </is>
      </c>
      <c r="C33" s="126" t="inlineStr">
        <is>
          <t>1-5 processus analysés</t>
        </is>
      </c>
      <c r="D33" s="127">
        <f>ROUND($B$4*$B$8*$B$11*$B$17*$B$14*$B$20*$B$22*$B$24,0)</f>
        <v/>
      </c>
      <c r="E33" s="127">
        <f>ROUND($B$4*$B$8*$B$11*$B$17*$B$14*$B$20*$B$22*$B$25,0)</f>
        <v/>
      </c>
      <c r="F33" s="127">
        <f>ROUND($B$4*$B$8*$B$11*$B$17*$B$14*$B$20*$B$23*$B$24,0)</f>
        <v/>
      </c>
      <c r="G33" s="127">
        <f>ROUND($B$4*$B$8*$B$11*$B$17*$B$14*$B$20*$B$23*$B$25,0)</f>
        <v/>
      </c>
      <c r="H33" s="127">
        <f>ROUND($B$4*$B$8*$B$11*$B$17*$B$14*$B$21*$B$22*$B$24,0)</f>
        <v/>
      </c>
      <c r="I33" s="127">
        <f>ROUND($B$4*$B$8*$B$11*$B$17*$B$14*$B$21*$B$22*$B$25,0)</f>
        <v/>
      </c>
      <c r="J33" s="127">
        <f>ROUND($B$4*$B$8*$B$11*$B$17*$B$14*$B$21*$B$23*$B$24,0)</f>
        <v/>
      </c>
      <c r="K33" s="127">
        <f>ROUND($B$4*$B$8*$B$11*$B$17*$B$14*$B$21*$B$23*$B$25,0)</f>
        <v/>
      </c>
      <c r="L33" s="127">
        <f>ROUND($B$4*$B$8*$B$11*$B$17*$B$15*$B$20*$B$22*$B$24,0)</f>
        <v/>
      </c>
      <c r="M33" s="127">
        <f>ROUND($B$4*$B$8*$B$11*$B$17*$B$15*$B$20*$B$22*$B$25,0)</f>
        <v/>
      </c>
      <c r="N33" s="127">
        <f>ROUND($B$4*$B$8*$B$11*$B$17*$B$15*$B$20*$B$23*$B$24,0)</f>
        <v/>
      </c>
      <c r="O33" s="127">
        <f>ROUND($B$4*$B$8*$B$11*$B$17*$B$15*$B$20*$B$23*$B$25,0)</f>
        <v/>
      </c>
      <c r="P33" s="127">
        <f>ROUND($B$4*$B$8*$B$11*$B$17*$B$15*$B$21*$B$22*$B$24,0)</f>
        <v/>
      </c>
      <c r="Q33" s="127">
        <f>ROUND($B$4*$B$8*$B$11*$B$17*$B$15*$B$21*$B$22*$B$25,0)</f>
        <v/>
      </c>
      <c r="R33" s="127">
        <f>ROUND($B$4*$B$8*$B$11*$B$17*$B$15*$B$21*$B$23*$B$24,0)</f>
        <v/>
      </c>
      <c r="S33" s="127">
        <f>ROUND($B$4*$B$8*$B$11*$B$17*$B$15*$B$21*$B$23*$B$25,0)</f>
        <v/>
      </c>
      <c r="T33" s="127">
        <f>ROUND($B$4*$B$8*$B$11*$B$17*$B$16*$B$20*$B$22*$B$24,0)</f>
        <v/>
      </c>
      <c r="U33" s="127">
        <f>ROUND($B$4*$B$8*$B$11*$B$17*$B$16*$B$20*$B$22*$B$25,0)</f>
        <v/>
      </c>
      <c r="V33" s="127">
        <f>ROUND($B$4*$B$8*$B$11*$B$17*$B$16*$B$20*$B$23*$B$24,0)</f>
        <v/>
      </c>
      <c r="W33" s="127">
        <f>ROUND($B$4*$B$8*$B$11*$B$17*$B$16*$B$20*$B$23*$B$25,0)</f>
        <v/>
      </c>
      <c r="X33" s="127">
        <f>ROUND($B$4*$B$8*$B$11*$B$17*$B$16*$B$21*$B$22*$B$24,0)</f>
        <v/>
      </c>
      <c r="Y33" s="127">
        <f>ROUND($B$4*$B$8*$B$11*$B$17*$B$16*$B$21*$B$22*$B$25,0)</f>
        <v/>
      </c>
      <c r="Z33" s="127">
        <f>ROUND($B$4*$B$8*$B$11*$B$17*$B$16*$B$21*$B$23*$B$24,0)</f>
        <v/>
      </c>
      <c r="AA33" s="127">
        <f>ROUND($B$4*$B$8*$B$11*$B$17*$B$16*$B$21*$B$23*$B$25,0)</f>
        <v/>
      </c>
      <c r="AB33" s="127">
        <f>ROUND($B$5*$B$8*$B$11*$B$17*$B$14*$B$20*$B$22*$B$24,0)</f>
        <v/>
      </c>
      <c r="AC33" s="127">
        <f>ROUND($B$5*$B$8*$B$11*$B$17*$B$14*$B$20*$B$22*$B$25,0)</f>
        <v/>
      </c>
      <c r="AD33" s="127">
        <f>ROUND($B$5*$B$8*$B$11*$B$17*$B$14*$B$20*$B$23*$B$24,0)</f>
        <v/>
      </c>
      <c r="AE33" s="127">
        <f>ROUND($B$5*$B$8*$B$11*$B$17*$B$14*$B$20*$B$23*$B$25,0)</f>
        <v/>
      </c>
      <c r="AF33" s="127">
        <f>ROUND($B$5*$B$8*$B$11*$B$17*$B$14*$B$21*$B$22*$B$24,0)</f>
        <v/>
      </c>
      <c r="AG33" s="127">
        <f>ROUND($B$5*$B$8*$B$11*$B$17*$B$14*$B$21*$B$22*$B$25,0)</f>
        <v/>
      </c>
      <c r="AH33" s="127">
        <f>ROUND($B$5*$B$8*$B$11*$B$17*$B$14*$B$21*$B$23*$B$24,0)</f>
        <v/>
      </c>
      <c r="AI33" s="127">
        <f>ROUND($B$5*$B$8*$B$11*$B$17*$B$14*$B$21*$B$23*$B$25,0)</f>
        <v/>
      </c>
      <c r="AJ33" s="127">
        <f>ROUND($B$5*$B$8*$B$11*$B$17*$B$15*$B$20*$B$22*$B$24,0)</f>
        <v/>
      </c>
      <c r="AK33" s="127">
        <f>ROUND($B$5*$B$8*$B$11*$B$17*$B$15*$B$20*$B$22*$B$25,0)</f>
        <v/>
      </c>
      <c r="AL33" s="127">
        <f>ROUND($B$5*$B$8*$B$11*$B$17*$B$15*$B$20*$B$23*$B$24,0)</f>
        <v/>
      </c>
      <c r="AM33" s="127">
        <f>ROUND($B$5*$B$8*$B$11*$B$17*$B$15*$B$20*$B$23*$B$25,0)</f>
        <v/>
      </c>
      <c r="AN33" s="127">
        <f>ROUND($B$5*$B$8*$B$11*$B$17*$B$15*$B$21*$B$22*$B$24,0)</f>
        <v/>
      </c>
      <c r="AO33" s="127">
        <f>ROUND($B$5*$B$8*$B$11*$B$17*$B$15*$B$21*$B$22*$B$25,0)</f>
        <v/>
      </c>
      <c r="AP33" s="127">
        <f>ROUND($B$5*$B$8*$B$11*$B$17*$B$15*$B$21*$B$23*$B$24,0)</f>
        <v/>
      </c>
      <c r="AQ33" s="127">
        <f>ROUND($B$5*$B$8*$B$11*$B$17*$B$15*$B$21*$B$23*$B$25,0)</f>
        <v/>
      </c>
      <c r="AR33" s="127">
        <f>ROUND($B$5*$B$8*$B$11*$B$17*$B$16*$B$20*$B$22*$B$24,0)</f>
        <v/>
      </c>
      <c r="AS33" s="127">
        <f>ROUND($B$5*$B$8*$B$11*$B$17*$B$16*$B$20*$B$22*$B$25,0)</f>
        <v/>
      </c>
      <c r="AT33" s="127">
        <f>ROUND($B$5*$B$8*$B$11*$B$17*$B$16*$B$20*$B$23*$B$24,0)</f>
        <v/>
      </c>
      <c r="AU33" s="127">
        <f>ROUND($B$5*$B$8*$B$11*$B$17*$B$16*$B$20*$B$23*$B$25,0)</f>
        <v/>
      </c>
      <c r="AV33" s="127">
        <f>ROUND($B$5*$B$8*$B$11*$B$17*$B$16*$B$21*$B$22*$B$24,0)</f>
        <v/>
      </c>
      <c r="AW33" s="127">
        <f>ROUND($B$5*$B$8*$B$11*$B$17*$B$16*$B$21*$B$22*$B$25,0)</f>
        <v/>
      </c>
      <c r="AX33" s="127">
        <f>ROUND($B$5*$B$8*$B$11*$B$17*$B$16*$B$21*$B$23*$B$24,0)</f>
        <v/>
      </c>
      <c r="AY33" s="127">
        <f>ROUND($B$5*$B$8*$B$11*$B$17*$B$16*$B$21*$B$23*$B$25,0)</f>
        <v/>
      </c>
      <c r="AZ33" s="127">
        <f>ROUND($B$6*$B$8*$B$11*$B$17*$B$14*$B$20*$B$22*$B$24,0)</f>
        <v/>
      </c>
      <c r="BA33" s="127">
        <f>ROUND($B$6*$B$8*$B$11*$B$17*$B$14*$B$20*$B$22*$B$25,0)</f>
        <v/>
      </c>
      <c r="BB33" s="127">
        <f>ROUND($B$6*$B$8*$B$11*$B$17*$B$14*$B$20*$B$23*$B$24,0)</f>
        <v/>
      </c>
      <c r="BC33" s="127">
        <f>ROUND($B$6*$B$8*$B$11*$B$17*$B$14*$B$20*$B$23*$B$25,0)</f>
        <v/>
      </c>
      <c r="BD33" s="127">
        <f>ROUND($B$6*$B$8*$B$11*$B$17*$B$14*$B$21*$B$22*$B$24,0)</f>
        <v/>
      </c>
      <c r="BE33" s="127">
        <f>ROUND($B$6*$B$8*$B$11*$B$17*$B$14*$B$21*$B$22*$B$25,0)</f>
        <v/>
      </c>
      <c r="BF33" s="127">
        <f>ROUND($B$6*$B$8*$B$11*$B$17*$B$14*$B$21*$B$23*$B$24,0)</f>
        <v/>
      </c>
      <c r="BG33" s="127">
        <f>ROUND($B$6*$B$8*$B$11*$B$17*$B$14*$B$21*$B$23*$B$25,0)</f>
        <v/>
      </c>
      <c r="BH33" s="127">
        <f>ROUND($B$6*$B$8*$B$11*$B$17*$B$15*$B$20*$B$22*$B$24,0)</f>
        <v/>
      </c>
      <c r="BI33" s="127">
        <f>ROUND($B$6*$B$8*$B$11*$B$17*$B$15*$B$20*$B$22*$B$25,0)</f>
        <v/>
      </c>
      <c r="BJ33" s="127">
        <f>ROUND($B$6*$B$8*$B$11*$B$17*$B$15*$B$20*$B$23*$B$24,0)</f>
        <v/>
      </c>
      <c r="BK33" s="127">
        <f>ROUND($B$6*$B$8*$B$11*$B$17*$B$15*$B$20*$B$23*$B$25,0)</f>
        <v/>
      </c>
      <c r="BL33" s="127">
        <f>ROUND($B$6*$B$8*$B$11*$B$17*$B$15*$B$21*$B$22*$B$24,0)</f>
        <v/>
      </c>
      <c r="BM33" s="127">
        <f>ROUND($B$6*$B$8*$B$11*$B$17*$B$15*$B$21*$B$22*$B$25,0)</f>
        <v/>
      </c>
      <c r="BN33" s="127">
        <f>ROUND($B$6*$B$8*$B$11*$B$17*$B$15*$B$21*$B$23*$B$24,0)</f>
        <v/>
      </c>
      <c r="BO33" s="127">
        <f>ROUND($B$6*$B$8*$B$11*$B$17*$B$15*$B$21*$B$23*$B$25,0)</f>
        <v/>
      </c>
      <c r="BP33" s="127">
        <f>ROUND($B$6*$B$8*$B$11*$B$17*$B$16*$B$20*$B$22*$B$24,0)</f>
        <v/>
      </c>
      <c r="BQ33" s="127">
        <f>ROUND($B$6*$B$8*$B$11*$B$17*$B$16*$B$20*$B$22*$B$25,0)</f>
        <v/>
      </c>
      <c r="BR33" s="127">
        <f>ROUND($B$6*$B$8*$B$11*$B$17*$B$16*$B$20*$B$23*$B$24,0)</f>
        <v/>
      </c>
      <c r="BS33" s="127">
        <f>ROUND($B$6*$B$8*$B$11*$B$17*$B$16*$B$20*$B$23*$B$25,0)</f>
        <v/>
      </c>
      <c r="BT33" s="127">
        <f>ROUND($B$6*$B$8*$B$11*$B$17*$B$16*$B$21*$B$22*$B$24,0)</f>
        <v/>
      </c>
      <c r="BU33" s="127">
        <f>ROUND($B$6*$B$8*$B$11*$B$17*$B$16*$B$21*$B$22*$B$25,0)</f>
        <v/>
      </c>
      <c r="BV33" s="127">
        <f>ROUND($B$6*$B$8*$B$11*$B$17*$B$16*$B$21*$B$23*$B$24,0)</f>
        <v/>
      </c>
      <c r="BW33" s="127">
        <f>ROUND($B$6*$B$8*$B$11*$B$17*$B$16*$B$21*$B$23*$B$25,0)</f>
        <v/>
      </c>
    </row>
    <row r="34" ht="20" customHeight="1" s="62">
      <c r="C34" s="125" t="inlineStr">
        <is>
          <t>6-15 processus analysés</t>
        </is>
      </c>
      <c r="D34" s="127">
        <f>ROUND($B$4*$B$8*$B$11*$B$18*$B$14*$B$20*$B$22*$B$24,0)</f>
        <v/>
      </c>
      <c r="E34" s="127">
        <f>ROUND($B$4*$B$8*$B$11*$B$18*$B$14*$B$20*$B$22*$B$25,0)</f>
        <v/>
      </c>
      <c r="F34" s="127">
        <f>ROUND($B$4*$B$8*$B$11*$B$18*$B$14*$B$20*$B$23*$B$24,0)</f>
        <v/>
      </c>
      <c r="G34" s="127">
        <f>ROUND($B$4*$B$8*$B$11*$B$18*$B$14*$B$20*$B$23*$B$25,0)</f>
        <v/>
      </c>
      <c r="H34" s="127">
        <f>ROUND($B$4*$B$8*$B$11*$B$18*$B$14*$B$21*$B$22*$B$24,0)</f>
        <v/>
      </c>
      <c r="I34" s="127">
        <f>ROUND($B$4*$B$8*$B$11*$B$18*$B$14*$B$21*$B$22*$B$25,0)</f>
        <v/>
      </c>
      <c r="J34" s="127">
        <f>ROUND($B$4*$B$8*$B$11*$B$18*$B$14*$B$21*$B$23*$B$24,0)</f>
        <v/>
      </c>
      <c r="K34" s="127">
        <f>ROUND($B$4*$B$8*$B$11*$B$18*$B$14*$B$21*$B$23*$B$25,0)</f>
        <v/>
      </c>
      <c r="L34" s="127">
        <f>ROUND($B$4*$B$8*$B$11*$B$18*$B$15*$B$20*$B$22*$B$24,0)</f>
        <v/>
      </c>
      <c r="M34" s="127">
        <f>ROUND($B$4*$B$8*$B$11*$B$18*$B$15*$B$20*$B$22*$B$25,0)</f>
        <v/>
      </c>
      <c r="N34" s="127">
        <f>ROUND($B$4*$B$8*$B$11*$B$18*$B$15*$B$20*$B$23*$B$24,0)</f>
        <v/>
      </c>
      <c r="O34" s="127">
        <f>ROUND($B$4*$B$8*$B$11*$B$18*$B$15*$B$20*$B$23*$B$25,0)</f>
        <v/>
      </c>
      <c r="P34" s="127">
        <f>ROUND($B$4*$B$8*$B$11*$B$18*$B$15*$B$21*$B$22*$B$24,0)</f>
        <v/>
      </c>
      <c r="Q34" s="127">
        <f>ROUND($B$4*$B$8*$B$11*$B$18*$B$15*$B$21*$B$22*$B$25,0)</f>
        <v/>
      </c>
      <c r="R34" s="127">
        <f>ROUND($B$4*$B$8*$B$11*$B$18*$B$15*$B$21*$B$23*$B$24,0)</f>
        <v/>
      </c>
      <c r="S34" s="127">
        <f>ROUND($B$4*$B$8*$B$11*$B$18*$B$15*$B$21*$B$23*$B$25,0)</f>
        <v/>
      </c>
      <c r="T34" s="127">
        <f>ROUND($B$4*$B$8*$B$11*$B$18*$B$16*$B$20*$B$22*$B$24,0)</f>
        <v/>
      </c>
      <c r="U34" s="127">
        <f>ROUND($B$4*$B$8*$B$11*$B$18*$B$16*$B$20*$B$22*$B$25,0)</f>
        <v/>
      </c>
      <c r="V34" s="127">
        <f>ROUND($B$4*$B$8*$B$11*$B$18*$B$16*$B$20*$B$23*$B$24,0)</f>
        <v/>
      </c>
      <c r="W34" s="127">
        <f>ROUND($B$4*$B$8*$B$11*$B$18*$B$16*$B$20*$B$23*$B$25,0)</f>
        <v/>
      </c>
      <c r="X34" s="127">
        <f>ROUND($B$4*$B$8*$B$11*$B$18*$B$16*$B$21*$B$22*$B$24,0)</f>
        <v/>
      </c>
      <c r="Y34" s="127">
        <f>ROUND($B$4*$B$8*$B$11*$B$18*$B$16*$B$21*$B$22*$B$25,0)</f>
        <v/>
      </c>
      <c r="Z34" s="127">
        <f>ROUND($B$4*$B$8*$B$11*$B$18*$B$16*$B$21*$B$23*$B$24,0)</f>
        <v/>
      </c>
      <c r="AA34" s="127">
        <f>ROUND($B$4*$B$8*$B$11*$B$18*$B$16*$B$21*$B$23*$B$25,0)</f>
        <v/>
      </c>
      <c r="AB34" s="127">
        <f>ROUND($B$5*$B$8*$B$11*$B$18*$B$14*$B$20*$B$22*$B$24,0)</f>
        <v/>
      </c>
      <c r="AC34" s="127">
        <f>ROUND($B$5*$B$8*$B$11*$B$18*$B$14*$B$20*$B$22*$B$25,0)</f>
        <v/>
      </c>
      <c r="AD34" s="127">
        <f>ROUND($B$5*$B$8*$B$11*$B$18*$B$14*$B$20*$B$23*$B$24,0)</f>
        <v/>
      </c>
      <c r="AE34" s="127">
        <f>ROUND($B$5*$B$8*$B$11*$B$18*$B$14*$B$20*$B$23*$B$25,0)</f>
        <v/>
      </c>
      <c r="AF34" s="127">
        <f>ROUND($B$5*$B$8*$B$11*$B$18*$B$14*$B$21*$B$22*$B$24,0)</f>
        <v/>
      </c>
      <c r="AG34" s="127">
        <f>ROUND($B$5*$B$8*$B$11*$B$18*$B$14*$B$21*$B$22*$B$25,0)</f>
        <v/>
      </c>
      <c r="AH34" s="127">
        <f>ROUND($B$5*$B$8*$B$11*$B$18*$B$14*$B$21*$B$23*$B$24,0)</f>
        <v/>
      </c>
      <c r="AI34" s="127">
        <f>ROUND($B$5*$B$8*$B$11*$B$18*$B$14*$B$21*$B$23*$B$25,0)</f>
        <v/>
      </c>
      <c r="AJ34" s="127">
        <f>ROUND($B$5*$B$8*$B$11*$B$18*$B$15*$B$20*$B$22*$B$24,0)</f>
        <v/>
      </c>
      <c r="AK34" s="127">
        <f>ROUND($B$5*$B$8*$B$11*$B$18*$B$15*$B$20*$B$22*$B$25,0)</f>
        <v/>
      </c>
      <c r="AL34" s="127">
        <f>ROUND($B$5*$B$8*$B$11*$B$18*$B$15*$B$20*$B$23*$B$24,0)</f>
        <v/>
      </c>
      <c r="AM34" s="127">
        <f>ROUND($B$5*$B$8*$B$11*$B$18*$B$15*$B$20*$B$23*$B$25,0)</f>
        <v/>
      </c>
      <c r="AN34" s="127">
        <f>ROUND($B$5*$B$8*$B$11*$B$18*$B$15*$B$21*$B$22*$B$24,0)</f>
        <v/>
      </c>
      <c r="AO34" s="127">
        <f>ROUND($B$5*$B$8*$B$11*$B$18*$B$15*$B$21*$B$22*$B$25,0)</f>
        <v/>
      </c>
      <c r="AP34" s="127">
        <f>ROUND($B$5*$B$8*$B$11*$B$18*$B$15*$B$21*$B$23*$B$24,0)</f>
        <v/>
      </c>
      <c r="AQ34" s="127">
        <f>ROUND($B$5*$B$8*$B$11*$B$18*$B$15*$B$21*$B$23*$B$25,0)</f>
        <v/>
      </c>
      <c r="AR34" s="127">
        <f>ROUND($B$5*$B$8*$B$11*$B$18*$B$16*$B$20*$B$22*$B$24,0)</f>
        <v/>
      </c>
      <c r="AS34" s="127">
        <f>ROUND($B$5*$B$8*$B$11*$B$18*$B$16*$B$20*$B$22*$B$25,0)</f>
        <v/>
      </c>
      <c r="AT34" s="127">
        <f>ROUND($B$5*$B$8*$B$11*$B$18*$B$16*$B$20*$B$23*$B$24,0)</f>
        <v/>
      </c>
      <c r="AU34" s="127">
        <f>ROUND($B$5*$B$8*$B$11*$B$18*$B$16*$B$20*$B$23*$B$25,0)</f>
        <v/>
      </c>
      <c r="AV34" s="127">
        <f>ROUND($B$5*$B$8*$B$11*$B$18*$B$16*$B$21*$B$22*$B$24,0)</f>
        <v/>
      </c>
      <c r="AW34" s="127">
        <f>ROUND($B$5*$B$8*$B$11*$B$18*$B$16*$B$21*$B$22*$B$25,0)</f>
        <v/>
      </c>
      <c r="AX34" s="127">
        <f>ROUND($B$5*$B$8*$B$11*$B$18*$B$16*$B$21*$B$23*$B$24,0)</f>
        <v/>
      </c>
      <c r="AY34" s="127">
        <f>ROUND($B$5*$B$8*$B$11*$B$18*$B$16*$B$21*$B$23*$B$25,0)</f>
        <v/>
      </c>
      <c r="AZ34" s="127">
        <f>ROUND($B$6*$B$8*$B$11*$B$18*$B$14*$B$20*$B$22*$B$24,0)</f>
        <v/>
      </c>
      <c r="BA34" s="127">
        <f>ROUND($B$6*$B$8*$B$11*$B$18*$B$14*$B$20*$B$22*$B$25,0)</f>
        <v/>
      </c>
      <c r="BB34" s="127">
        <f>ROUND($B$6*$B$8*$B$11*$B$18*$B$14*$B$20*$B$23*$B$24,0)</f>
        <v/>
      </c>
      <c r="BC34" s="127">
        <f>ROUND($B$6*$B$8*$B$11*$B$18*$B$14*$B$20*$B$23*$B$25,0)</f>
        <v/>
      </c>
      <c r="BD34" s="127">
        <f>ROUND($B$6*$B$8*$B$11*$B$18*$B$14*$B$21*$B$22*$B$24,0)</f>
        <v/>
      </c>
      <c r="BE34" s="127">
        <f>ROUND($B$6*$B$8*$B$11*$B$18*$B$14*$B$21*$B$22*$B$25,0)</f>
        <v/>
      </c>
      <c r="BF34" s="127">
        <f>ROUND($B$6*$B$8*$B$11*$B$18*$B$14*$B$21*$B$23*$B$24,0)</f>
        <v/>
      </c>
      <c r="BG34" s="127">
        <f>ROUND($B$6*$B$8*$B$11*$B$18*$B$14*$B$21*$B$23*$B$25,0)</f>
        <v/>
      </c>
      <c r="BH34" s="127">
        <f>ROUND($B$6*$B$8*$B$11*$B$18*$B$15*$B$20*$B$22*$B$24,0)</f>
        <v/>
      </c>
      <c r="BI34" s="127">
        <f>ROUND($B$6*$B$8*$B$11*$B$18*$B$15*$B$20*$B$22*$B$25,0)</f>
        <v/>
      </c>
      <c r="BJ34" s="127">
        <f>ROUND($B$6*$B$8*$B$11*$B$18*$B$15*$B$20*$B$23*$B$24,0)</f>
        <v/>
      </c>
      <c r="BK34" s="127">
        <f>ROUND($B$6*$B$8*$B$11*$B$18*$B$15*$B$20*$B$23*$B$25,0)</f>
        <v/>
      </c>
      <c r="BL34" s="127">
        <f>ROUND($B$6*$B$8*$B$11*$B$18*$B$15*$B$21*$B$22*$B$24,0)</f>
        <v/>
      </c>
      <c r="BM34" s="127">
        <f>ROUND($B$6*$B$8*$B$11*$B$18*$B$15*$B$21*$B$22*$B$25,0)</f>
        <v/>
      </c>
      <c r="BN34" s="127">
        <f>ROUND($B$6*$B$8*$B$11*$B$18*$B$15*$B$21*$B$23*$B$24,0)</f>
        <v/>
      </c>
      <c r="BO34" s="127">
        <f>ROUND($B$6*$B$8*$B$11*$B$18*$B$15*$B$21*$B$23*$B$25,0)</f>
        <v/>
      </c>
      <c r="BP34" s="127">
        <f>ROUND($B$6*$B$8*$B$11*$B$18*$B$16*$B$20*$B$22*$B$24,0)</f>
        <v/>
      </c>
      <c r="BQ34" s="127">
        <f>ROUND($B$6*$B$8*$B$11*$B$18*$B$16*$B$20*$B$22*$B$25,0)</f>
        <v/>
      </c>
      <c r="BR34" s="127">
        <f>ROUND($B$6*$B$8*$B$11*$B$18*$B$16*$B$20*$B$23*$B$24,0)</f>
        <v/>
      </c>
      <c r="BS34" s="127">
        <f>ROUND($B$6*$B$8*$B$11*$B$18*$B$16*$B$20*$B$23*$B$25,0)</f>
        <v/>
      </c>
      <c r="BT34" s="127">
        <f>ROUND($B$6*$B$8*$B$11*$B$18*$B$16*$B$21*$B$22*$B$24,0)</f>
        <v/>
      </c>
      <c r="BU34" s="127">
        <f>ROUND($B$6*$B$8*$B$11*$B$18*$B$16*$B$21*$B$22*$B$25,0)</f>
        <v/>
      </c>
      <c r="BV34" s="127">
        <f>ROUND($B$6*$B$8*$B$11*$B$18*$B$16*$B$21*$B$23*$B$24,0)</f>
        <v/>
      </c>
      <c r="BW34" s="127">
        <f>ROUND($B$6*$B$8*$B$11*$B$18*$B$16*$B$21*$B$23*$B$25,0)</f>
        <v/>
      </c>
    </row>
    <row r="35" ht="20" customHeight="1" s="62">
      <c r="C35" s="129" t="inlineStr">
        <is>
          <t>16+ processus analysés</t>
        </is>
      </c>
      <c r="D35" s="127">
        <f>ROUND($B$4*$B$8*$B$11*$B$19*$B$14*$B$20*$B$22*$B$24,0)</f>
        <v/>
      </c>
      <c r="E35" s="127">
        <f>ROUND($B$4*$B$8*$B$11*$B$19*$B$14*$B$20*$B$22*$B$25,0)</f>
        <v/>
      </c>
      <c r="F35" s="127">
        <f>ROUND($B$4*$B$8*$B$11*$B$19*$B$14*$B$20*$B$23*$B$24,0)</f>
        <v/>
      </c>
      <c r="G35" s="127">
        <f>ROUND($B$4*$B$8*$B$11*$B$19*$B$14*$B$20*$B$23*$B$25,0)</f>
        <v/>
      </c>
      <c r="H35" s="127">
        <f>ROUND($B$4*$B$8*$B$11*$B$19*$B$14*$B$21*$B$22*$B$24,0)</f>
        <v/>
      </c>
      <c r="I35" s="127">
        <f>ROUND($B$4*$B$8*$B$11*$B$19*$B$14*$B$21*$B$22*$B$25,0)</f>
        <v/>
      </c>
      <c r="J35" s="127">
        <f>ROUND($B$4*$B$8*$B$11*$B$19*$B$14*$B$21*$B$23*$B$24,0)</f>
        <v/>
      </c>
      <c r="K35" s="127">
        <f>ROUND($B$4*$B$8*$B$11*$B$19*$B$14*$B$21*$B$23*$B$25,0)</f>
        <v/>
      </c>
      <c r="L35" s="127">
        <f>ROUND($B$4*$B$8*$B$11*$B$19*$B$15*$B$20*$B$22*$B$24,0)</f>
        <v/>
      </c>
      <c r="M35" s="127">
        <f>ROUND($B$4*$B$8*$B$11*$B$19*$B$15*$B$20*$B$22*$B$25,0)</f>
        <v/>
      </c>
      <c r="N35" s="127">
        <f>ROUND($B$4*$B$8*$B$11*$B$19*$B$15*$B$20*$B$23*$B$24,0)</f>
        <v/>
      </c>
      <c r="O35" s="127">
        <f>ROUND($B$4*$B$8*$B$11*$B$19*$B$15*$B$20*$B$23*$B$25,0)</f>
        <v/>
      </c>
      <c r="P35" s="127">
        <f>ROUND($B$4*$B$8*$B$11*$B$19*$B$15*$B$21*$B$22*$B$24,0)</f>
        <v/>
      </c>
      <c r="Q35" s="127">
        <f>ROUND($B$4*$B$8*$B$11*$B$19*$B$15*$B$21*$B$22*$B$25,0)</f>
        <v/>
      </c>
      <c r="R35" s="127">
        <f>ROUND($B$4*$B$8*$B$11*$B$19*$B$15*$B$21*$B$23*$B$24,0)</f>
        <v/>
      </c>
      <c r="S35" s="127">
        <f>ROUND($B$4*$B$8*$B$11*$B$19*$B$15*$B$21*$B$23*$B$25,0)</f>
        <v/>
      </c>
      <c r="T35" s="127">
        <f>ROUND($B$4*$B$8*$B$11*$B$19*$B$16*$B$20*$B$22*$B$24,0)</f>
        <v/>
      </c>
      <c r="U35" s="127">
        <f>ROUND($B$4*$B$8*$B$11*$B$19*$B$16*$B$20*$B$22*$B$25,0)</f>
        <v/>
      </c>
      <c r="V35" s="127">
        <f>ROUND($B$4*$B$8*$B$11*$B$19*$B$16*$B$20*$B$23*$B$24,0)</f>
        <v/>
      </c>
      <c r="W35" s="127">
        <f>ROUND($B$4*$B$8*$B$11*$B$19*$B$16*$B$20*$B$23*$B$25,0)</f>
        <v/>
      </c>
      <c r="X35" s="127">
        <f>ROUND($B$4*$B$8*$B$11*$B$19*$B$16*$B$21*$B$22*$B$24,0)</f>
        <v/>
      </c>
      <c r="Y35" s="127">
        <f>ROUND($B$4*$B$8*$B$11*$B$19*$B$16*$B$21*$B$22*$B$25,0)</f>
        <v/>
      </c>
      <c r="Z35" s="127">
        <f>ROUND($B$4*$B$8*$B$11*$B$19*$B$16*$B$21*$B$23*$B$24,0)</f>
        <v/>
      </c>
      <c r="AA35" s="127">
        <f>ROUND($B$4*$B$8*$B$11*$B$19*$B$16*$B$21*$B$23*$B$25,0)</f>
        <v/>
      </c>
      <c r="AB35" s="127">
        <f>ROUND($B$5*$B$8*$B$11*$B$19*$B$14*$B$20*$B$22*$B$24,0)</f>
        <v/>
      </c>
      <c r="AC35" s="127">
        <f>ROUND($B$5*$B$8*$B$11*$B$19*$B$14*$B$20*$B$22*$B$25,0)</f>
        <v/>
      </c>
      <c r="AD35" s="127">
        <f>ROUND($B$5*$B$8*$B$11*$B$19*$B$14*$B$20*$B$23*$B$24,0)</f>
        <v/>
      </c>
      <c r="AE35" s="127">
        <f>ROUND($B$5*$B$8*$B$11*$B$19*$B$14*$B$20*$B$23*$B$25,0)</f>
        <v/>
      </c>
      <c r="AF35" s="127">
        <f>ROUND($B$5*$B$8*$B$11*$B$19*$B$14*$B$21*$B$22*$B$24,0)</f>
        <v/>
      </c>
      <c r="AG35" s="127">
        <f>ROUND($B$5*$B$8*$B$11*$B$19*$B$14*$B$21*$B$22*$B$25,0)</f>
        <v/>
      </c>
      <c r="AH35" s="127">
        <f>ROUND($B$5*$B$8*$B$11*$B$19*$B$14*$B$21*$B$23*$B$24,0)</f>
        <v/>
      </c>
      <c r="AI35" s="127">
        <f>ROUND($B$5*$B$8*$B$11*$B$19*$B$14*$B$21*$B$23*$B$25,0)</f>
        <v/>
      </c>
      <c r="AJ35" s="127">
        <f>ROUND($B$5*$B$8*$B$11*$B$19*$B$15*$B$20*$B$22*$B$24,0)</f>
        <v/>
      </c>
      <c r="AK35" s="127">
        <f>ROUND($B$5*$B$8*$B$11*$B$19*$B$15*$B$20*$B$22*$B$25,0)</f>
        <v/>
      </c>
      <c r="AL35" s="127">
        <f>ROUND($B$5*$B$8*$B$11*$B$19*$B$15*$B$20*$B$23*$B$24,0)</f>
        <v/>
      </c>
      <c r="AM35" s="127">
        <f>ROUND($B$5*$B$8*$B$11*$B$19*$B$15*$B$20*$B$23*$B$25,0)</f>
        <v/>
      </c>
      <c r="AN35" s="127">
        <f>ROUND($B$5*$B$8*$B$11*$B$19*$B$15*$B$21*$B$22*$B$24,0)</f>
        <v/>
      </c>
      <c r="AO35" s="127">
        <f>ROUND($B$5*$B$8*$B$11*$B$19*$B$15*$B$21*$B$22*$B$25,0)</f>
        <v/>
      </c>
      <c r="AP35" s="127">
        <f>ROUND($B$5*$B$8*$B$11*$B$19*$B$15*$B$21*$B$23*$B$24,0)</f>
        <v/>
      </c>
      <c r="AQ35" s="127">
        <f>ROUND($B$5*$B$8*$B$11*$B$19*$B$15*$B$21*$B$23*$B$25,0)</f>
        <v/>
      </c>
      <c r="AR35" s="127">
        <f>ROUND($B$5*$B$8*$B$11*$B$19*$B$16*$B$20*$B$22*$B$24,0)</f>
        <v/>
      </c>
      <c r="AS35" s="127">
        <f>ROUND($B$5*$B$8*$B$11*$B$19*$B$16*$B$20*$B$22*$B$25,0)</f>
        <v/>
      </c>
      <c r="AT35" s="127">
        <f>ROUND($B$5*$B$8*$B$11*$B$19*$B$16*$B$20*$B$23*$B$24,0)</f>
        <v/>
      </c>
      <c r="AU35" s="127">
        <f>ROUND($B$5*$B$8*$B$11*$B$19*$B$16*$B$20*$B$23*$B$25,0)</f>
        <v/>
      </c>
      <c r="AV35" s="127">
        <f>ROUND($B$5*$B$8*$B$11*$B$19*$B$16*$B$21*$B$22*$B$24,0)</f>
        <v/>
      </c>
      <c r="AW35" s="127">
        <f>ROUND($B$5*$B$8*$B$11*$B$19*$B$16*$B$21*$B$22*$B$25,0)</f>
        <v/>
      </c>
      <c r="AX35" s="127">
        <f>ROUND($B$5*$B$8*$B$11*$B$19*$B$16*$B$21*$B$23*$B$24,0)</f>
        <v/>
      </c>
      <c r="AY35" s="127">
        <f>ROUND($B$5*$B$8*$B$11*$B$19*$B$16*$B$21*$B$23*$B$25,0)</f>
        <v/>
      </c>
      <c r="AZ35" s="127">
        <f>ROUND($B$6*$B$8*$B$11*$B$19*$B$14*$B$20*$B$22*$B$24,0)</f>
        <v/>
      </c>
      <c r="BA35" s="127">
        <f>ROUND($B$6*$B$8*$B$11*$B$19*$B$14*$B$20*$B$22*$B$25,0)</f>
        <v/>
      </c>
      <c r="BB35" s="127">
        <f>ROUND($B$6*$B$8*$B$11*$B$19*$B$14*$B$20*$B$23*$B$24,0)</f>
        <v/>
      </c>
      <c r="BC35" s="127">
        <f>ROUND($B$6*$B$8*$B$11*$B$19*$B$14*$B$20*$B$23*$B$25,0)</f>
        <v/>
      </c>
      <c r="BD35" s="127">
        <f>ROUND($B$6*$B$8*$B$11*$B$19*$B$14*$B$21*$B$22*$B$24,0)</f>
        <v/>
      </c>
      <c r="BE35" s="127">
        <f>ROUND($B$6*$B$8*$B$11*$B$19*$B$14*$B$21*$B$22*$B$25,0)</f>
        <v/>
      </c>
      <c r="BF35" s="127">
        <f>ROUND($B$6*$B$8*$B$11*$B$19*$B$14*$B$21*$B$23*$B$24,0)</f>
        <v/>
      </c>
      <c r="BG35" s="127">
        <f>ROUND($B$6*$B$8*$B$11*$B$19*$B$14*$B$21*$B$23*$B$25,0)</f>
        <v/>
      </c>
      <c r="BH35" s="127">
        <f>ROUND($B$6*$B$8*$B$11*$B$19*$B$15*$B$20*$B$22*$B$24,0)</f>
        <v/>
      </c>
      <c r="BI35" s="127">
        <f>ROUND($B$6*$B$8*$B$11*$B$19*$B$15*$B$20*$B$22*$B$25,0)</f>
        <v/>
      </c>
      <c r="BJ35" s="127">
        <f>ROUND($B$6*$B$8*$B$11*$B$19*$B$15*$B$20*$B$23*$B$24,0)</f>
        <v/>
      </c>
      <c r="BK35" s="127">
        <f>ROUND($B$6*$B$8*$B$11*$B$19*$B$15*$B$20*$B$23*$B$25,0)</f>
        <v/>
      </c>
      <c r="BL35" s="127">
        <f>ROUND($B$6*$B$8*$B$11*$B$19*$B$15*$B$21*$B$22*$B$24,0)</f>
        <v/>
      </c>
      <c r="BM35" s="127">
        <f>ROUND($B$6*$B$8*$B$11*$B$19*$B$15*$B$21*$B$22*$B$25,0)</f>
        <v/>
      </c>
      <c r="BN35" s="127">
        <f>ROUND($B$6*$B$8*$B$11*$B$19*$B$15*$B$21*$B$23*$B$24,0)</f>
        <v/>
      </c>
      <c r="BO35" s="127">
        <f>ROUND($B$6*$B$8*$B$11*$B$19*$B$15*$B$21*$B$23*$B$25,0)</f>
        <v/>
      </c>
      <c r="BP35" s="127">
        <f>ROUND($B$6*$B$8*$B$11*$B$19*$B$16*$B$20*$B$22*$B$24,0)</f>
        <v/>
      </c>
      <c r="BQ35" s="127">
        <f>ROUND($B$6*$B$8*$B$11*$B$19*$B$16*$B$20*$B$22*$B$25,0)</f>
        <v/>
      </c>
      <c r="BR35" s="127">
        <f>ROUND($B$6*$B$8*$B$11*$B$19*$B$16*$B$20*$B$23*$B$24,0)</f>
        <v/>
      </c>
      <c r="BS35" s="127">
        <f>ROUND($B$6*$B$8*$B$11*$B$19*$B$16*$B$20*$B$23*$B$25,0)</f>
        <v/>
      </c>
      <c r="BT35" s="127">
        <f>ROUND($B$6*$B$8*$B$11*$B$19*$B$16*$B$21*$B$22*$B$24,0)</f>
        <v/>
      </c>
      <c r="BU35" s="127">
        <f>ROUND($B$6*$B$8*$B$11*$B$19*$B$16*$B$21*$B$22*$B$25,0)</f>
        <v/>
      </c>
      <c r="BV35" s="127">
        <f>ROUND($B$6*$B$8*$B$11*$B$19*$B$16*$B$21*$B$23*$B$24,0)</f>
        <v/>
      </c>
      <c r="BW35" s="127">
        <f>ROUND($B$6*$B$8*$B$11*$B$19*$B$16*$B$21*$B$23*$B$25,0)</f>
        <v/>
      </c>
    </row>
    <row r="36" ht="20" customHeight="1" s="62">
      <c r="B36" s="125" t="inlineStr">
        <is>
          <t>SI modérée</t>
        </is>
      </c>
      <c r="C36" s="126" t="inlineStr">
        <is>
          <t>1-5 processus analysés</t>
        </is>
      </c>
      <c r="D36" s="127">
        <f>ROUND($B$4*$B$8*$B$12*$B$17*$B$14*$B$20*$B$22*$B$24,0)</f>
        <v/>
      </c>
      <c r="E36" s="127">
        <f>ROUND($B$4*$B$8*$B$12*$B$17*$B$14*$B$20*$B$22*$B$25,0)</f>
        <v/>
      </c>
      <c r="F36" s="127">
        <f>ROUND($B$4*$B$8*$B$12*$B$17*$B$14*$B$20*$B$23*$B$24,0)</f>
        <v/>
      </c>
      <c r="G36" s="127">
        <f>ROUND($B$4*$B$8*$B$12*$B$17*$B$14*$B$20*$B$23*$B$25,0)</f>
        <v/>
      </c>
      <c r="H36" s="127">
        <f>ROUND($B$4*$B$8*$B$12*$B$17*$B$14*$B$21*$B$22*$B$24,0)</f>
        <v/>
      </c>
      <c r="I36" s="127">
        <f>ROUND($B$4*$B$8*$B$12*$B$17*$B$14*$B$21*$B$22*$B$25,0)</f>
        <v/>
      </c>
      <c r="J36" s="127">
        <f>ROUND($B$4*$B$8*$B$12*$B$17*$B$14*$B$21*$B$23*$B$24,0)</f>
        <v/>
      </c>
      <c r="K36" s="127">
        <f>ROUND($B$4*$B$8*$B$12*$B$17*$B$14*$B$21*$B$23*$B$25,0)</f>
        <v/>
      </c>
      <c r="L36" s="127">
        <f>ROUND($B$4*$B$8*$B$12*$B$17*$B$15*$B$20*$B$22*$B$24,0)</f>
        <v/>
      </c>
      <c r="M36" s="127">
        <f>ROUND($B$4*$B$8*$B$12*$B$17*$B$15*$B$20*$B$22*$B$25,0)</f>
        <v/>
      </c>
      <c r="N36" s="127">
        <f>ROUND($B$4*$B$8*$B$12*$B$17*$B$15*$B$20*$B$23*$B$24,0)</f>
        <v/>
      </c>
      <c r="O36" s="127">
        <f>ROUND($B$4*$B$8*$B$12*$B$17*$B$15*$B$20*$B$23*$B$25,0)</f>
        <v/>
      </c>
      <c r="P36" s="127">
        <f>ROUND($B$4*$B$8*$B$12*$B$17*$B$15*$B$21*$B$22*$B$24,0)</f>
        <v/>
      </c>
      <c r="Q36" s="127">
        <f>ROUND($B$4*$B$8*$B$12*$B$17*$B$15*$B$21*$B$22*$B$25,0)</f>
        <v/>
      </c>
      <c r="R36" s="127">
        <f>ROUND($B$4*$B$8*$B$12*$B$17*$B$15*$B$21*$B$23*$B$24,0)</f>
        <v/>
      </c>
      <c r="S36" s="127">
        <f>ROUND($B$4*$B$8*$B$12*$B$17*$B$15*$B$21*$B$23*$B$25,0)</f>
        <v/>
      </c>
      <c r="T36" s="127">
        <f>ROUND($B$4*$B$8*$B$12*$B$17*$B$16*$B$20*$B$22*$B$24,0)</f>
        <v/>
      </c>
      <c r="U36" s="127">
        <f>ROUND($B$4*$B$8*$B$12*$B$17*$B$16*$B$20*$B$22*$B$25,0)</f>
        <v/>
      </c>
      <c r="V36" s="127">
        <f>ROUND($B$4*$B$8*$B$12*$B$17*$B$16*$B$20*$B$23*$B$24,0)</f>
        <v/>
      </c>
      <c r="W36" s="127">
        <f>ROUND($B$4*$B$8*$B$12*$B$17*$B$16*$B$20*$B$23*$B$25,0)</f>
        <v/>
      </c>
      <c r="X36" s="127">
        <f>ROUND($B$4*$B$8*$B$12*$B$17*$B$16*$B$21*$B$22*$B$24,0)</f>
        <v/>
      </c>
      <c r="Y36" s="127">
        <f>ROUND($B$4*$B$8*$B$12*$B$17*$B$16*$B$21*$B$22*$B$25,0)</f>
        <v/>
      </c>
      <c r="Z36" s="127">
        <f>ROUND($B$4*$B$8*$B$12*$B$17*$B$16*$B$21*$B$23*$B$24,0)</f>
        <v/>
      </c>
      <c r="AA36" s="127">
        <f>ROUND($B$4*$B$8*$B$12*$B$17*$B$16*$B$21*$B$23*$B$25,0)</f>
        <v/>
      </c>
      <c r="AB36" s="127">
        <f>ROUND($B$5*$B$8*$B$12*$B$17*$B$14*$B$20*$B$22*$B$24,0)</f>
        <v/>
      </c>
      <c r="AC36" s="127">
        <f>ROUND($B$5*$B$8*$B$12*$B$17*$B$14*$B$20*$B$22*$B$25,0)</f>
        <v/>
      </c>
      <c r="AD36" s="127">
        <f>ROUND($B$5*$B$8*$B$12*$B$17*$B$14*$B$20*$B$23*$B$24,0)</f>
        <v/>
      </c>
      <c r="AE36" s="127">
        <f>ROUND($B$5*$B$8*$B$12*$B$17*$B$14*$B$20*$B$23*$B$25,0)</f>
        <v/>
      </c>
      <c r="AF36" s="127">
        <f>ROUND($B$5*$B$8*$B$12*$B$17*$B$14*$B$21*$B$22*$B$24,0)</f>
        <v/>
      </c>
      <c r="AG36" s="127">
        <f>ROUND($B$5*$B$8*$B$12*$B$17*$B$14*$B$21*$B$22*$B$25,0)</f>
        <v/>
      </c>
      <c r="AH36" s="127">
        <f>ROUND($B$5*$B$8*$B$12*$B$17*$B$14*$B$21*$B$23*$B$24,0)</f>
        <v/>
      </c>
      <c r="AI36" s="127">
        <f>ROUND($B$5*$B$8*$B$12*$B$17*$B$14*$B$21*$B$23*$B$25,0)</f>
        <v/>
      </c>
      <c r="AJ36" s="127">
        <f>ROUND($B$5*$B$8*$B$12*$B$17*$B$15*$B$20*$B$22*$B$24,0)</f>
        <v/>
      </c>
      <c r="AK36" s="127">
        <f>ROUND($B$5*$B$8*$B$12*$B$17*$B$15*$B$20*$B$22*$B$25,0)</f>
        <v/>
      </c>
      <c r="AL36" s="127">
        <f>ROUND($B$5*$B$8*$B$12*$B$17*$B$15*$B$20*$B$23*$B$24,0)</f>
        <v/>
      </c>
      <c r="AM36" s="127">
        <f>ROUND($B$5*$B$8*$B$12*$B$17*$B$15*$B$20*$B$23*$B$25,0)</f>
        <v/>
      </c>
      <c r="AN36" s="127">
        <f>ROUND($B$5*$B$8*$B$12*$B$17*$B$15*$B$21*$B$22*$B$24,0)</f>
        <v/>
      </c>
      <c r="AO36" s="127">
        <f>ROUND($B$5*$B$8*$B$12*$B$17*$B$15*$B$21*$B$22*$B$25,0)</f>
        <v/>
      </c>
      <c r="AP36" s="127">
        <f>ROUND($B$5*$B$8*$B$12*$B$17*$B$15*$B$21*$B$23*$B$24,0)</f>
        <v/>
      </c>
      <c r="AQ36" s="127">
        <f>ROUND($B$5*$B$8*$B$12*$B$17*$B$15*$B$21*$B$23*$B$25,0)</f>
        <v/>
      </c>
      <c r="AR36" s="127">
        <f>ROUND($B$5*$B$8*$B$12*$B$17*$B$16*$B$20*$B$22*$B$24,0)</f>
        <v/>
      </c>
      <c r="AS36" s="127">
        <f>ROUND($B$5*$B$8*$B$12*$B$17*$B$16*$B$20*$B$22*$B$25,0)</f>
        <v/>
      </c>
      <c r="AT36" s="127">
        <f>ROUND($B$5*$B$8*$B$12*$B$17*$B$16*$B$20*$B$23*$B$24,0)</f>
        <v/>
      </c>
      <c r="AU36" s="127">
        <f>ROUND($B$5*$B$8*$B$12*$B$17*$B$16*$B$20*$B$23*$B$25,0)</f>
        <v/>
      </c>
      <c r="AV36" s="127">
        <f>ROUND($B$5*$B$8*$B$12*$B$17*$B$16*$B$21*$B$22*$B$24,0)</f>
        <v/>
      </c>
      <c r="AW36" s="127">
        <f>ROUND($B$5*$B$8*$B$12*$B$17*$B$16*$B$21*$B$22*$B$25,0)</f>
        <v/>
      </c>
      <c r="AX36" s="127">
        <f>ROUND($B$5*$B$8*$B$12*$B$17*$B$16*$B$21*$B$23*$B$24,0)</f>
        <v/>
      </c>
      <c r="AY36" s="127">
        <f>ROUND($B$5*$B$8*$B$12*$B$17*$B$16*$B$21*$B$23*$B$25,0)</f>
        <v/>
      </c>
      <c r="AZ36" s="127">
        <f>ROUND($B$6*$B$8*$B$12*$B$17*$B$14*$B$20*$B$22*$B$24,0)</f>
        <v/>
      </c>
      <c r="BA36" s="127">
        <f>ROUND($B$6*$B$8*$B$12*$B$17*$B$14*$B$20*$B$22*$B$25,0)</f>
        <v/>
      </c>
      <c r="BB36" s="127">
        <f>ROUND($B$6*$B$8*$B$12*$B$17*$B$14*$B$20*$B$23*$B$24,0)</f>
        <v/>
      </c>
      <c r="BC36" s="127">
        <f>ROUND($B$6*$B$8*$B$12*$B$17*$B$14*$B$20*$B$23*$B$25,0)</f>
        <v/>
      </c>
      <c r="BD36" s="127">
        <f>ROUND($B$6*$B$8*$B$12*$B$17*$B$14*$B$21*$B$22*$B$24,0)</f>
        <v/>
      </c>
      <c r="BE36" s="127">
        <f>ROUND($B$6*$B$8*$B$12*$B$17*$B$14*$B$21*$B$22*$B$25,0)</f>
        <v/>
      </c>
      <c r="BF36" s="127">
        <f>ROUND($B$6*$B$8*$B$12*$B$17*$B$14*$B$21*$B$23*$B$24,0)</f>
        <v/>
      </c>
      <c r="BG36" s="127">
        <f>ROUND($B$6*$B$8*$B$12*$B$17*$B$14*$B$21*$B$23*$B$25,0)</f>
        <v/>
      </c>
      <c r="BH36" s="127">
        <f>ROUND($B$6*$B$8*$B$12*$B$17*$B$15*$B$20*$B$22*$B$24,0)</f>
        <v/>
      </c>
      <c r="BI36" s="127">
        <f>ROUND($B$6*$B$8*$B$12*$B$17*$B$15*$B$20*$B$22*$B$25,0)</f>
        <v/>
      </c>
      <c r="BJ36" s="127">
        <f>ROUND($B$6*$B$8*$B$12*$B$17*$B$15*$B$20*$B$23*$B$24,0)</f>
        <v/>
      </c>
      <c r="BK36" s="127">
        <f>ROUND($B$6*$B$8*$B$12*$B$17*$B$15*$B$20*$B$23*$B$25,0)</f>
        <v/>
      </c>
      <c r="BL36" s="127">
        <f>ROUND($B$6*$B$8*$B$12*$B$17*$B$15*$B$21*$B$22*$B$24,0)</f>
        <v/>
      </c>
      <c r="BM36" s="127">
        <f>ROUND($B$6*$B$8*$B$12*$B$17*$B$15*$B$21*$B$22*$B$25,0)</f>
        <v/>
      </c>
      <c r="BN36" s="127">
        <f>ROUND($B$6*$B$8*$B$12*$B$17*$B$15*$B$21*$B$23*$B$24,0)</f>
        <v/>
      </c>
      <c r="BO36" s="127">
        <f>ROUND($B$6*$B$8*$B$12*$B$17*$B$15*$B$21*$B$23*$B$25,0)</f>
        <v/>
      </c>
      <c r="BP36" s="127">
        <f>ROUND($B$6*$B$8*$B$12*$B$17*$B$16*$B$20*$B$22*$B$24,0)</f>
        <v/>
      </c>
      <c r="BQ36" s="127">
        <f>ROUND($B$6*$B$8*$B$12*$B$17*$B$16*$B$20*$B$22*$B$25,0)</f>
        <v/>
      </c>
      <c r="BR36" s="127">
        <f>ROUND($B$6*$B$8*$B$12*$B$17*$B$16*$B$20*$B$23*$B$24,0)</f>
        <v/>
      </c>
      <c r="BS36" s="127">
        <f>ROUND($B$6*$B$8*$B$12*$B$17*$B$16*$B$20*$B$23*$B$25,0)</f>
        <v/>
      </c>
      <c r="BT36" s="127">
        <f>ROUND($B$6*$B$8*$B$12*$B$17*$B$16*$B$21*$B$22*$B$24,0)</f>
        <v/>
      </c>
      <c r="BU36" s="127">
        <f>ROUND($B$6*$B$8*$B$12*$B$17*$B$16*$B$21*$B$22*$B$25,0)</f>
        <v/>
      </c>
      <c r="BV36" s="127">
        <f>ROUND($B$6*$B$8*$B$12*$B$17*$B$16*$B$21*$B$23*$B$24,0)</f>
        <v/>
      </c>
      <c r="BW36" s="127">
        <f>ROUND($B$6*$B$8*$B$12*$B$17*$B$16*$B$21*$B$23*$B$25,0)</f>
        <v/>
      </c>
    </row>
    <row r="37" ht="20" customHeight="1" s="62">
      <c r="C37" s="125" t="inlineStr">
        <is>
          <t>6-15 processus analysés</t>
        </is>
      </c>
      <c r="D37" s="127">
        <f>ROUND($B$4*$B$8*$B$12*$B$18*$B$14*$B$20*$B$22*$B$24,0)</f>
        <v/>
      </c>
      <c r="E37" s="127">
        <f>ROUND($B$4*$B$8*$B$12*$B$18*$B$14*$B$20*$B$22*$B$25,0)</f>
        <v/>
      </c>
      <c r="F37" s="127">
        <f>ROUND($B$4*$B$8*$B$12*$B$18*$B$14*$B$20*$B$23*$B$24,0)</f>
        <v/>
      </c>
      <c r="G37" s="127">
        <f>ROUND($B$4*$B$8*$B$12*$B$18*$B$14*$B$20*$B$23*$B$25,0)</f>
        <v/>
      </c>
      <c r="H37" s="127">
        <f>ROUND($B$4*$B$8*$B$12*$B$18*$B$14*$B$21*$B$22*$B$24,0)</f>
        <v/>
      </c>
      <c r="I37" s="127">
        <f>ROUND($B$4*$B$8*$B$12*$B$18*$B$14*$B$21*$B$22*$B$25,0)</f>
        <v/>
      </c>
      <c r="J37" s="127">
        <f>ROUND($B$4*$B$8*$B$12*$B$18*$B$14*$B$21*$B$23*$B$24,0)</f>
        <v/>
      </c>
      <c r="K37" s="127">
        <f>ROUND($B$4*$B$8*$B$12*$B$18*$B$14*$B$21*$B$23*$B$25,0)</f>
        <v/>
      </c>
      <c r="L37" s="127">
        <f>ROUND($B$4*$B$8*$B$12*$B$18*$B$15*$B$20*$B$22*$B$24,0)</f>
        <v/>
      </c>
      <c r="M37" s="127">
        <f>ROUND($B$4*$B$8*$B$12*$B$18*$B$15*$B$20*$B$22*$B$25,0)</f>
        <v/>
      </c>
      <c r="N37" s="127">
        <f>ROUND($B$4*$B$8*$B$12*$B$18*$B$15*$B$20*$B$23*$B$24,0)</f>
        <v/>
      </c>
      <c r="O37" s="127">
        <f>ROUND($B$4*$B$8*$B$12*$B$18*$B$15*$B$20*$B$23*$B$25,0)</f>
        <v/>
      </c>
      <c r="P37" s="127">
        <f>ROUND($B$4*$B$8*$B$12*$B$18*$B$15*$B$21*$B$22*$B$24,0)</f>
        <v/>
      </c>
      <c r="Q37" s="127">
        <f>ROUND($B$4*$B$8*$B$12*$B$18*$B$15*$B$21*$B$22*$B$25,0)</f>
        <v/>
      </c>
      <c r="R37" s="127">
        <f>ROUND($B$4*$B$8*$B$12*$B$18*$B$15*$B$21*$B$23*$B$24,0)</f>
        <v/>
      </c>
      <c r="S37" s="127">
        <f>ROUND($B$4*$B$8*$B$12*$B$18*$B$15*$B$21*$B$23*$B$25,0)</f>
        <v/>
      </c>
      <c r="T37" s="127">
        <f>ROUND($B$4*$B$8*$B$12*$B$18*$B$16*$B$20*$B$22*$B$24,0)</f>
        <v/>
      </c>
      <c r="U37" s="127">
        <f>ROUND($B$4*$B$8*$B$12*$B$18*$B$16*$B$20*$B$22*$B$25,0)</f>
        <v/>
      </c>
      <c r="V37" s="127">
        <f>ROUND($B$4*$B$8*$B$12*$B$18*$B$16*$B$20*$B$23*$B$24,0)</f>
        <v/>
      </c>
      <c r="W37" s="127">
        <f>ROUND($B$4*$B$8*$B$12*$B$18*$B$16*$B$20*$B$23*$B$25,0)</f>
        <v/>
      </c>
      <c r="X37" s="127">
        <f>ROUND($B$4*$B$8*$B$12*$B$18*$B$16*$B$21*$B$22*$B$24,0)</f>
        <v/>
      </c>
      <c r="Y37" s="127">
        <f>ROUND($B$4*$B$8*$B$12*$B$18*$B$16*$B$21*$B$22*$B$25,0)</f>
        <v/>
      </c>
      <c r="Z37" s="127">
        <f>ROUND($B$4*$B$8*$B$12*$B$18*$B$16*$B$21*$B$23*$B$24,0)</f>
        <v/>
      </c>
      <c r="AA37" s="127">
        <f>ROUND($B$4*$B$8*$B$12*$B$18*$B$16*$B$21*$B$23*$B$25,0)</f>
        <v/>
      </c>
      <c r="AB37" s="127">
        <f>ROUND($B$5*$B$8*$B$12*$B$18*$B$14*$B$20*$B$22*$B$24,0)</f>
        <v/>
      </c>
      <c r="AC37" s="127">
        <f>ROUND($B$5*$B$8*$B$12*$B$18*$B$14*$B$20*$B$22*$B$25,0)</f>
        <v/>
      </c>
      <c r="AD37" s="127">
        <f>ROUND($B$5*$B$8*$B$12*$B$18*$B$14*$B$20*$B$23*$B$24,0)</f>
        <v/>
      </c>
      <c r="AE37" s="127">
        <f>ROUND($B$5*$B$8*$B$12*$B$18*$B$14*$B$20*$B$23*$B$25,0)</f>
        <v/>
      </c>
      <c r="AF37" s="127">
        <f>ROUND($B$5*$B$8*$B$12*$B$18*$B$14*$B$21*$B$22*$B$24,0)</f>
        <v/>
      </c>
      <c r="AG37" s="127">
        <f>ROUND($B$5*$B$8*$B$12*$B$18*$B$14*$B$21*$B$22*$B$25,0)</f>
        <v/>
      </c>
      <c r="AH37" s="127">
        <f>ROUND($B$5*$B$8*$B$12*$B$18*$B$14*$B$21*$B$23*$B$24,0)</f>
        <v/>
      </c>
      <c r="AI37" s="127">
        <f>ROUND($B$5*$B$8*$B$12*$B$18*$B$14*$B$21*$B$23*$B$25,0)</f>
        <v/>
      </c>
      <c r="AJ37" s="127">
        <f>ROUND($B$5*$B$8*$B$12*$B$18*$B$15*$B$20*$B$22*$B$24,0)</f>
        <v/>
      </c>
      <c r="AK37" s="127">
        <f>ROUND($B$5*$B$8*$B$12*$B$18*$B$15*$B$20*$B$22*$B$25,0)</f>
        <v/>
      </c>
      <c r="AL37" s="127">
        <f>ROUND($B$5*$B$8*$B$12*$B$18*$B$15*$B$20*$B$23*$B$24,0)</f>
        <v/>
      </c>
      <c r="AM37" s="127">
        <f>ROUND($B$5*$B$8*$B$12*$B$18*$B$15*$B$20*$B$23*$B$25,0)</f>
        <v/>
      </c>
      <c r="AN37" s="127">
        <f>ROUND($B$5*$B$8*$B$12*$B$18*$B$15*$B$21*$B$22*$B$24,0)</f>
        <v/>
      </c>
      <c r="AO37" s="127">
        <f>ROUND($B$5*$B$8*$B$12*$B$18*$B$15*$B$21*$B$22*$B$25,0)</f>
        <v/>
      </c>
      <c r="AP37" s="127">
        <f>ROUND($B$5*$B$8*$B$12*$B$18*$B$15*$B$21*$B$23*$B$24,0)</f>
        <v/>
      </c>
      <c r="AQ37" s="127">
        <f>ROUND($B$5*$B$8*$B$12*$B$18*$B$15*$B$21*$B$23*$B$25,0)</f>
        <v/>
      </c>
      <c r="AR37" s="127">
        <f>ROUND($B$5*$B$8*$B$12*$B$18*$B$16*$B$20*$B$22*$B$24,0)</f>
        <v/>
      </c>
      <c r="AS37" s="127">
        <f>ROUND($B$5*$B$8*$B$12*$B$18*$B$16*$B$20*$B$22*$B$25,0)</f>
        <v/>
      </c>
      <c r="AT37" s="127">
        <f>ROUND($B$5*$B$8*$B$12*$B$18*$B$16*$B$20*$B$23*$B$24,0)</f>
        <v/>
      </c>
      <c r="AU37" s="127">
        <f>ROUND($B$5*$B$8*$B$12*$B$18*$B$16*$B$20*$B$23*$B$25,0)</f>
        <v/>
      </c>
      <c r="AV37" s="127">
        <f>ROUND($B$5*$B$8*$B$12*$B$18*$B$16*$B$21*$B$22*$B$24,0)</f>
        <v/>
      </c>
      <c r="AW37" s="127">
        <f>ROUND($B$5*$B$8*$B$12*$B$18*$B$16*$B$21*$B$22*$B$25,0)</f>
        <v/>
      </c>
      <c r="AX37" s="127">
        <f>ROUND($B$5*$B$8*$B$12*$B$18*$B$16*$B$21*$B$23*$B$24,0)</f>
        <v/>
      </c>
      <c r="AY37" s="127">
        <f>ROUND($B$5*$B$8*$B$12*$B$18*$B$16*$B$21*$B$23*$B$25,0)</f>
        <v/>
      </c>
      <c r="AZ37" s="127">
        <f>ROUND($B$6*$B$8*$B$12*$B$18*$B$14*$B$20*$B$22*$B$24,0)</f>
        <v/>
      </c>
      <c r="BA37" s="127">
        <f>ROUND($B$6*$B$8*$B$12*$B$18*$B$14*$B$20*$B$22*$B$25,0)</f>
        <v/>
      </c>
      <c r="BB37" s="127">
        <f>ROUND($B$6*$B$8*$B$12*$B$18*$B$14*$B$20*$B$23*$B$24,0)</f>
        <v/>
      </c>
      <c r="BC37" s="127">
        <f>ROUND($B$6*$B$8*$B$12*$B$18*$B$14*$B$20*$B$23*$B$25,0)</f>
        <v/>
      </c>
      <c r="BD37" s="127">
        <f>ROUND($B$6*$B$8*$B$12*$B$18*$B$14*$B$21*$B$22*$B$24,0)</f>
        <v/>
      </c>
      <c r="BE37" s="127">
        <f>ROUND($B$6*$B$8*$B$12*$B$18*$B$14*$B$21*$B$22*$B$25,0)</f>
        <v/>
      </c>
      <c r="BF37" s="127">
        <f>ROUND($B$6*$B$8*$B$12*$B$18*$B$14*$B$21*$B$23*$B$24,0)</f>
        <v/>
      </c>
      <c r="BG37" s="127">
        <f>ROUND($B$6*$B$8*$B$12*$B$18*$B$14*$B$21*$B$23*$B$25,0)</f>
        <v/>
      </c>
      <c r="BH37" s="127">
        <f>ROUND($B$6*$B$8*$B$12*$B$18*$B$15*$B$20*$B$22*$B$24,0)</f>
        <v/>
      </c>
      <c r="BI37" s="127">
        <f>ROUND($B$6*$B$8*$B$12*$B$18*$B$15*$B$20*$B$22*$B$25,0)</f>
        <v/>
      </c>
      <c r="BJ37" s="127">
        <f>ROUND($B$6*$B$8*$B$12*$B$18*$B$15*$B$20*$B$23*$B$24,0)</f>
        <v/>
      </c>
      <c r="BK37" s="127">
        <f>ROUND($B$6*$B$8*$B$12*$B$18*$B$15*$B$20*$B$23*$B$25,0)</f>
        <v/>
      </c>
      <c r="BL37" s="127">
        <f>ROUND($B$6*$B$8*$B$12*$B$18*$B$15*$B$21*$B$22*$B$24,0)</f>
        <v/>
      </c>
      <c r="BM37" s="127">
        <f>ROUND($B$6*$B$8*$B$12*$B$18*$B$15*$B$21*$B$22*$B$25,0)</f>
        <v/>
      </c>
      <c r="BN37" s="127">
        <f>ROUND($B$6*$B$8*$B$12*$B$18*$B$15*$B$21*$B$23*$B$24,0)</f>
        <v/>
      </c>
      <c r="BO37" s="127">
        <f>ROUND($B$6*$B$8*$B$12*$B$18*$B$15*$B$21*$B$23*$B$25,0)</f>
        <v/>
      </c>
      <c r="BP37" s="127">
        <f>ROUND($B$6*$B$8*$B$12*$B$18*$B$16*$B$20*$B$22*$B$24,0)</f>
        <v/>
      </c>
      <c r="BQ37" s="127">
        <f>ROUND($B$6*$B$8*$B$12*$B$18*$B$16*$B$20*$B$22*$B$25,0)</f>
        <v/>
      </c>
      <c r="BR37" s="127">
        <f>ROUND($B$6*$B$8*$B$12*$B$18*$B$16*$B$20*$B$23*$B$24,0)</f>
        <v/>
      </c>
      <c r="BS37" s="127">
        <f>ROUND($B$6*$B$8*$B$12*$B$18*$B$16*$B$20*$B$23*$B$25,0)</f>
        <v/>
      </c>
      <c r="BT37" s="127">
        <f>ROUND($B$6*$B$8*$B$12*$B$18*$B$16*$B$21*$B$22*$B$24,0)</f>
        <v/>
      </c>
      <c r="BU37" s="127">
        <f>ROUND($B$6*$B$8*$B$12*$B$18*$B$16*$B$21*$B$22*$B$25,0)</f>
        <v/>
      </c>
      <c r="BV37" s="127">
        <f>ROUND($B$6*$B$8*$B$12*$B$18*$B$16*$B$21*$B$23*$B$24,0)</f>
        <v/>
      </c>
      <c r="BW37" s="127">
        <f>ROUND($B$6*$B$8*$B$12*$B$18*$B$16*$B$21*$B$23*$B$25,0)</f>
        <v/>
      </c>
    </row>
    <row r="38" ht="20" customHeight="1" s="62">
      <c r="C38" s="129" t="inlineStr">
        <is>
          <t>16+ processus analysés</t>
        </is>
      </c>
      <c r="D38" s="127">
        <f>ROUND($B$4*$B$8*$B$12*$B$19*$B$14*$B$20*$B$22*$B$24,0)</f>
        <v/>
      </c>
      <c r="E38" s="127">
        <f>ROUND($B$4*$B$8*$B$12*$B$19*$B$14*$B$20*$B$22*$B$25,0)</f>
        <v/>
      </c>
      <c r="F38" s="127">
        <f>ROUND($B$4*$B$8*$B$12*$B$19*$B$14*$B$20*$B$23*$B$24,0)</f>
        <v/>
      </c>
      <c r="G38" s="127">
        <f>ROUND($B$4*$B$8*$B$12*$B$19*$B$14*$B$20*$B$23*$B$25,0)</f>
        <v/>
      </c>
      <c r="H38" s="127">
        <f>ROUND($B$4*$B$8*$B$12*$B$19*$B$14*$B$21*$B$22*$B$24,0)</f>
        <v/>
      </c>
      <c r="I38" s="127">
        <f>ROUND($B$4*$B$8*$B$12*$B$19*$B$14*$B$21*$B$22*$B$25,0)</f>
        <v/>
      </c>
      <c r="J38" s="127">
        <f>ROUND($B$4*$B$8*$B$12*$B$19*$B$14*$B$21*$B$23*$B$24,0)</f>
        <v/>
      </c>
      <c r="K38" s="127">
        <f>ROUND($B$4*$B$8*$B$12*$B$19*$B$14*$B$21*$B$23*$B$25,0)</f>
        <v/>
      </c>
      <c r="L38" s="127">
        <f>ROUND($B$4*$B$8*$B$12*$B$19*$B$15*$B$20*$B$22*$B$24,0)</f>
        <v/>
      </c>
      <c r="M38" s="127">
        <f>ROUND($B$4*$B$8*$B$12*$B$19*$B$15*$B$20*$B$22*$B$25,0)</f>
        <v/>
      </c>
      <c r="N38" s="127">
        <f>ROUND($B$4*$B$8*$B$12*$B$19*$B$15*$B$20*$B$23*$B$24,0)</f>
        <v/>
      </c>
      <c r="O38" s="127">
        <f>ROUND($B$4*$B$8*$B$12*$B$19*$B$15*$B$20*$B$23*$B$25,0)</f>
        <v/>
      </c>
      <c r="P38" s="127">
        <f>ROUND($B$4*$B$8*$B$12*$B$19*$B$15*$B$21*$B$22*$B$24,0)</f>
        <v/>
      </c>
      <c r="Q38" s="127">
        <f>ROUND($B$4*$B$8*$B$12*$B$19*$B$15*$B$21*$B$22*$B$25,0)</f>
        <v/>
      </c>
      <c r="R38" s="127">
        <f>ROUND($B$4*$B$8*$B$12*$B$19*$B$15*$B$21*$B$23*$B$24,0)</f>
        <v/>
      </c>
      <c r="S38" s="127">
        <f>ROUND($B$4*$B$8*$B$12*$B$19*$B$15*$B$21*$B$23*$B$25,0)</f>
        <v/>
      </c>
      <c r="T38" s="127">
        <f>ROUND($B$4*$B$8*$B$12*$B$19*$B$16*$B$20*$B$22*$B$24,0)</f>
        <v/>
      </c>
      <c r="U38" s="127">
        <f>ROUND($B$4*$B$8*$B$12*$B$19*$B$16*$B$20*$B$22*$B$25,0)</f>
        <v/>
      </c>
      <c r="V38" s="127">
        <f>ROUND($B$4*$B$8*$B$12*$B$19*$B$16*$B$20*$B$23*$B$24,0)</f>
        <v/>
      </c>
      <c r="W38" s="127">
        <f>ROUND($B$4*$B$8*$B$12*$B$19*$B$16*$B$20*$B$23*$B$25,0)</f>
        <v/>
      </c>
      <c r="X38" s="127">
        <f>ROUND($B$4*$B$8*$B$12*$B$19*$B$16*$B$21*$B$22*$B$24,0)</f>
        <v/>
      </c>
      <c r="Y38" s="127">
        <f>ROUND($B$4*$B$8*$B$12*$B$19*$B$16*$B$21*$B$22*$B$25,0)</f>
        <v/>
      </c>
      <c r="Z38" s="127">
        <f>ROUND($B$4*$B$8*$B$12*$B$19*$B$16*$B$21*$B$23*$B$24,0)</f>
        <v/>
      </c>
      <c r="AA38" s="127">
        <f>ROUND($B$4*$B$8*$B$12*$B$19*$B$16*$B$21*$B$23*$B$25,0)</f>
        <v/>
      </c>
      <c r="AB38" s="127">
        <f>ROUND($B$5*$B$8*$B$12*$B$19*$B$14*$B$20*$B$22*$B$24,0)</f>
        <v/>
      </c>
      <c r="AC38" s="127">
        <f>ROUND($B$5*$B$8*$B$12*$B$19*$B$14*$B$20*$B$22*$B$25,0)</f>
        <v/>
      </c>
      <c r="AD38" s="127">
        <f>ROUND($B$5*$B$8*$B$12*$B$19*$B$14*$B$20*$B$23*$B$24,0)</f>
        <v/>
      </c>
      <c r="AE38" s="127">
        <f>ROUND($B$5*$B$8*$B$12*$B$19*$B$14*$B$20*$B$23*$B$25,0)</f>
        <v/>
      </c>
      <c r="AF38" s="127">
        <f>ROUND($B$5*$B$8*$B$12*$B$19*$B$14*$B$21*$B$22*$B$24,0)</f>
        <v/>
      </c>
      <c r="AG38" s="127">
        <f>ROUND($B$5*$B$8*$B$12*$B$19*$B$14*$B$21*$B$22*$B$25,0)</f>
        <v/>
      </c>
      <c r="AH38" s="127">
        <f>ROUND($B$5*$B$8*$B$12*$B$19*$B$14*$B$21*$B$23*$B$24,0)</f>
        <v/>
      </c>
      <c r="AI38" s="127">
        <f>ROUND($B$5*$B$8*$B$12*$B$19*$B$14*$B$21*$B$23*$B$25,0)</f>
        <v/>
      </c>
      <c r="AJ38" s="127">
        <f>ROUND($B$5*$B$8*$B$12*$B$19*$B$15*$B$20*$B$22*$B$24,0)</f>
        <v/>
      </c>
      <c r="AK38" s="127">
        <f>ROUND($B$5*$B$8*$B$12*$B$19*$B$15*$B$20*$B$22*$B$25,0)</f>
        <v/>
      </c>
      <c r="AL38" s="127">
        <f>ROUND($B$5*$B$8*$B$12*$B$19*$B$15*$B$20*$B$23*$B$24,0)</f>
        <v/>
      </c>
      <c r="AM38" s="127">
        <f>ROUND($B$5*$B$8*$B$12*$B$19*$B$15*$B$20*$B$23*$B$25,0)</f>
        <v/>
      </c>
      <c r="AN38" s="127">
        <f>ROUND($B$5*$B$8*$B$12*$B$19*$B$15*$B$21*$B$22*$B$24,0)</f>
        <v/>
      </c>
      <c r="AO38" s="127">
        <f>ROUND($B$5*$B$8*$B$12*$B$19*$B$15*$B$21*$B$22*$B$25,0)</f>
        <v/>
      </c>
      <c r="AP38" s="127">
        <f>ROUND($B$5*$B$8*$B$12*$B$19*$B$15*$B$21*$B$23*$B$24,0)</f>
        <v/>
      </c>
      <c r="AQ38" s="127">
        <f>ROUND($B$5*$B$8*$B$12*$B$19*$B$15*$B$21*$B$23*$B$25,0)</f>
        <v/>
      </c>
      <c r="AR38" s="127">
        <f>ROUND($B$5*$B$8*$B$12*$B$19*$B$16*$B$20*$B$22*$B$24,0)</f>
        <v/>
      </c>
      <c r="AS38" s="127">
        <f>ROUND($B$5*$B$8*$B$12*$B$19*$B$16*$B$20*$B$22*$B$25,0)</f>
        <v/>
      </c>
      <c r="AT38" s="127">
        <f>ROUND($B$5*$B$8*$B$12*$B$19*$B$16*$B$20*$B$23*$B$24,0)</f>
        <v/>
      </c>
      <c r="AU38" s="127">
        <f>ROUND($B$5*$B$8*$B$12*$B$19*$B$16*$B$20*$B$23*$B$25,0)</f>
        <v/>
      </c>
      <c r="AV38" s="127">
        <f>ROUND($B$5*$B$8*$B$12*$B$19*$B$16*$B$21*$B$22*$B$24,0)</f>
        <v/>
      </c>
      <c r="AW38" s="127">
        <f>ROUND($B$5*$B$8*$B$12*$B$19*$B$16*$B$21*$B$22*$B$25,0)</f>
        <v/>
      </c>
      <c r="AX38" s="127">
        <f>ROUND($B$5*$B$8*$B$12*$B$19*$B$16*$B$21*$B$23*$B$24,0)</f>
        <v/>
      </c>
      <c r="AY38" s="127">
        <f>ROUND($B$5*$B$8*$B$12*$B$19*$B$16*$B$21*$B$23*$B$25,0)</f>
        <v/>
      </c>
      <c r="AZ38" s="127">
        <f>ROUND($B$6*$B$8*$B$12*$B$19*$B$14*$B$20*$B$22*$B$24,0)</f>
        <v/>
      </c>
      <c r="BA38" s="127">
        <f>ROUND($B$6*$B$8*$B$12*$B$19*$B$14*$B$20*$B$22*$B$25,0)</f>
        <v/>
      </c>
      <c r="BB38" s="127">
        <f>ROUND($B$6*$B$8*$B$12*$B$19*$B$14*$B$20*$B$23*$B$24,0)</f>
        <v/>
      </c>
      <c r="BC38" s="127">
        <f>ROUND($B$6*$B$8*$B$12*$B$19*$B$14*$B$20*$B$23*$B$25,0)</f>
        <v/>
      </c>
      <c r="BD38" s="127">
        <f>ROUND($B$6*$B$8*$B$12*$B$19*$B$14*$B$21*$B$22*$B$24,0)</f>
        <v/>
      </c>
      <c r="BE38" s="127">
        <f>ROUND($B$6*$B$8*$B$12*$B$19*$B$14*$B$21*$B$22*$B$25,0)</f>
        <v/>
      </c>
      <c r="BF38" s="127">
        <f>ROUND($B$6*$B$8*$B$12*$B$19*$B$14*$B$21*$B$23*$B$24,0)</f>
        <v/>
      </c>
      <c r="BG38" s="127">
        <f>ROUND($B$6*$B$8*$B$12*$B$19*$B$14*$B$21*$B$23*$B$25,0)</f>
        <v/>
      </c>
      <c r="BH38" s="127">
        <f>ROUND($B$6*$B$8*$B$12*$B$19*$B$15*$B$20*$B$22*$B$24,0)</f>
        <v/>
      </c>
      <c r="BI38" s="127">
        <f>ROUND($B$6*$B$8*$B$12*$B$19*$B$15*$B$20*$B$22*$B$25,0)</f>
        <v/>
      </c>
      <c r="BJ38" s="127">
        <f>ROUND($B$6*$B$8*$B$12*$B$19*$B$15*$B$20*$B$23*$B$24,0)</f>
        <v/>
      </c>
      <c r="BK38" s="127">
        <f>ROUND($B$6*$B$8*$B$12*$B$19*$B$15*$B$20*$B$23*$B$25,0)</f>
        <v/>
      </c>
      <c r="BL38" s="127">
        <f>ROUND($B$6*$B$8*$B$12*$B$19*$B$15*$B$21*$B$22*$B$24,0)</f>
        <v/>
      </c>
      <c r="BM38" s="127">
        <f>ROUND($B$6*$B$8*$B$12*$B$19*$B$15*$B$21*$B$22*$B$25,0)</f>
        <v/>
      </c>
      <c r="BN38" s="127">
        <f>ROUND($B$6*$B$8*$B$12*$B$19*$B$15*$B$21*$B$23*$B$24,0)</f>
        <v/>
      </c>
      <c r="BO38" s="127">
        <f>ROUND($B$6*$B$8*$B$12*$B$19*$B$15*$B$21*$B$23*$B$25,0)</f>
        <v/>
      </c>
      <c r="BP38" s="127">
        <f>ROUND($B$6*$B$8*$B$12*$B$19*$B$16*$B$20*$B$22*$B$24,0)</f>
        <v/>
      </c>
      <c r="BQ38" s="127">
        <f>ROUND($B$6*$B$8*$B$12*$B$19*$B$16*$B$20*$B$22*$B$25,0)</f>
        <v/>
      </c>
      <c r="BR38" s="127">
        <f>ROUND($B$6*$B$8*$B$12*$B$19*$B$16*$B$20*$B$23*$B$24,0)</f>
        <v/>
      </c>
      <c r="BS38" s="127">
        <f>ROUND($B$6*$B$8*$B$12*$B$19*$B$16*$B$20*$B$23*$B$25,0)</f>
        <v/>
      </c>
      <c r="BT38" s="127">
        <f>ROUND($B$6*$B$8*$B$12*$B$19*$B$16*$B$21*$B$22*$B$24,0)</f>
        <v/>
      </c>
      <c r="BU38" s="127">
        <f>ROUND($B$6*$B$8*$B$12*$B$19*$B$16*$B$21*$B$22*$B$25,0)</f>
        <v/>
      </c>
      <c r="BV38" s="127">
        <f>ROUND($B$6*$B$8*$B$12*$B$19*$B$16*$B$21*$B$23*$B$24,0)</f>
        <v/>
      </c>
      <c r="BW38" s="127">
        <f>ROUND($B$6*$B$8*$B$12*$B$19*$B$16*$B$21*$B$23*$B$25,0)</f>
        <v/>
      </c>
    </row>
    <row r="39" ht="20" customHeight="1" s="62">
      <c r="B39" s="125" t="inlineStr">
        <is>
          <t>SI complexe</t>
        </is>
      </c>
      <c r="C39" s="126" t="inlineStr">
        <is>
          <t>1-5 processus analysés</t>
        </is>
      </c>
      <c r="D39" s="127">
        <f>ROUND($B$4*$B$8*$B$13*$B$17*$B$14*$B$20*$B$22*$B$24,0)</f>
        <v/>
      </c>
      <c r="E39" s="127">
        <f>ROUND($B$4*$B$8*$B$13*$B$17*$B$14*$B$20*$B$22*$B$25,0)</f>
        <v/>
      </c>
      <c r="F39" s="127">
        <f>ROUND($B$4*$B$8*$B$13*$B$17*$B$14*$B$20*$B$23*$B$24,0)</f>
        <v/>
      </c>
      <c r="G39" s="127">
        <f>ROUND($B$4*$B$8*$B$13*$B$17*$B$14*$B$20*$B$23*$B$25,0)</f>
        <v/>
      </c>
      <c r="H39" s="127">
        <f>ROUND($B$4*$B$8*$B$13*$B$17*$B$14*$B$21*$B$22*$B$24,0)</f>
        <v/>
      </c>
      <c r="I39" s="127">
        <f>ROUND($B$4*$B$8*$B$13*$B$17*$B$14*$B$21*$B$22*$B$25,0)</f>
        <v/>
      </c>
      <c r="J39" s="127">
        <f>ROUND($B$4*$B$8*$B$13*$B$17*$B$14*$B$21*$B$23*$B$24,0)</f>
        <v/>
      </c>
      <c r="K39" s="127">
        <f>ROUND($B$4*$B$8*$B$13*$B$17*$B$14*$B$21*$B$23*$B$25,0)</f>
        <v/>
      </c>
      <c r="L39" s="127">
        <f>ROUND($B$4*$B$8*$B$13*$B$17*$B$15*$B$20*$B$22*$B$24,0)</f>
        <v/>
      </c>
      <c r="M39" s="127">
        <f>ROUND($B$4*$B$8*$B$13*$B$17*$B$15*$B$20*$B$22*$B$25,0)</f>
        <v/>
      </c>
      <c r="N39" s="127">
        <f>ROUND($B$4*$B$8*$B$13*$B$17*$B$15*$B$20*$B$23*$B$24,0)</f>
        <v/>
      </c>
      <c r="O39" s="127">
        <f>ROUND($B$4*$B$8*$B$13*$B$17*$B$15*$B$20*$B$23*$B$25,0)</f>
        <v/>
      </c>
      <c r="P39" s="127">
        <f>ROUND($B$4*$B$8*$B$13*$B$17*$B$15*$B$21*$B$22*$B$24,0)</f>
        <v/>
      </c>
      <c r="Q39" s="127">
        <f>ROUND($B$4*$B$8*$B$13*$B$17*$B$15*$B$21*$B$22*$B$25,0)</f>
        <v/>
      </c>
      <c r="R39" s="127">
        <f>ROUND($B$4*$B$8*$B$13*$B$17*$B$15*$B$21*$B$23*$B$24,0)</f>
        <v/>
      </c>
      <c r="S39" s="127">
        <f>ROUND($B$4*$B$8*$B$13*$B$17*$B$15*$B$21*$B$23*$B$25,0)</f>
        <v/>
      </c>
      <c r="T39" s="127">
        <f>ROUND($B$4*$B$8*$B$13*$B$17*$B$16*$B$20*$B$22*$B$24,0)</f>
        <v/>
      </c>
      <c r="U39" s="127">
        <f>ROUND($B$4*$B$8*$B$13*$B$17*$B$16*$B$20*$B$22*$B$25,0)</f>
        <v/>
      </c>
      <c r="V39" s="127">
        <f>ROUND($B$4*$B$8*$B$13*$B$17*$B$16*$B$20*$B$23*$B$24,0)</f>
        <v/>
      </c>
      <c r="W39" s="127">
        <f>ROUND($B$4*$B$8*$B$13*$B$17*$B$16*$B$20*$B$23*$B$25,0)</f>
        <v/>
      </c>
      <c r="X39" s="127">
        <f>ROUND($B$4*$B$8*$B$13*$B$17*$B$16*$B$21*$B$22*$B$24,0)</f>
        <v/>
      </c>
      <c r="Y39" s="127">
        <f>ROUND($B$4*$B$8*$B$13*$B$17*$B$16*$B$21*$B$22*$B$25,0)</f>
        <v/>
      </c>
      <c r="Z39" s="127">
        <f>ROUND($B$4*$B$8*$B$13*$B$17*$B$16*$B$21*$B$23*$B$24,0)</f>
        <v/>
      </c>
      <c r="AA39" s="127">
        <f>ROUND($B$4*$B$8*$B$13*$B$17*$B$16*$B$21*$B$23*$B$25,0)</f>
        <v/>
      </c>
      <c r="AB39" s="127">
        <f>ROUND($B$5*$B$8*$B$13*$B$17*$B$14*$B$20*$B$22*$B$24,0)</f>
        <v/>
      </c>
      <c r="AC39" s="127">
        <f>ROUND($B$5*$B$8*$B$13*$B$17*$B$14*$B$20*$B$22*$B$25,0)</f>
        <v/>
      </c>
      <c r="AD39" s="127">
        <f>ROUND($B$5*$B$8*$B$13*$B$17*$B$14*$B$20*$B$23*$B$24,0)</f>
        <v/>
      </c>
      <c r="AE39" s="127">
        <f>ROUND($B$5*$B$8*$B$13*$B$17*$B$14*$B$20*$B$23*$B$25,0)</f>
        <v/>
      </c>
      <c r="AF39" s="127">
        <f>ROUND($B$5*$B$8*$B$13*$B$17*$B$14*$B$21*$B$22*$B$24,0)</f>
        <v/>
      </c>
      <c r="AG39" s="127">
        <f>ROUND($B$5*$B$8*$B$13*$B$17*$B$14*$B$21*$B$22*$B$25,0)</f>
        <v/>
      </c>
      <c r="AH39" s="127">
        <f>ROUND($B$5*$B$8*$B$13*$B$17*$B$14*$B$21*$B$23*$B$24,0)</f>
        <v/>
      </c>
      <c r="AI39" s="127">
        <f>ROUND($B$5*$B$8*$B$13*$B$17*$B$14*$B$21*$B$23*$B$25,0)</f>
        <v/>
      </c>
      <c r="AJ39" s="127">
        <f>ROUND($B$5*$B$8*$B$13*$B$17*$B$15*$B$20*$B$22*$B$24,0)</f>
        <v/>
      </c>
      <c r="AK39" s="127">
        <f>ROUND($B$5*$B$8*$B$13*$B$17*$B$15*$B$20*$B$22*$B$25,0)</f>
        <v/>
      </c>
      <c r="AL39" s="127">
        <f>ROUND($B$5*$B$8*$B$13*$B$17*$B$15*$B$20*$B$23*$B$24,0)</f>
        <v/>
      </c>
      <c r="AM39" s="127">
        <f>ROUND($B$5*$B$8*$B$13*$B$17*$B$15*$B$20*$B$23*$B$25,0)</f>
        <v/>
      </c>
      <c r="AN39" s="127">
        <f>ROUND($B$5*$B$8*$B$13*$B$17*$B$15*$B$21*$B$22*$B$24,0)</f>
        <v/>
      </c>
      <c r="AO39" s="127">
        <f>ROUND($B$5*$B$8*$B$13*$B$17*$B$15*$B$21*$B$22*$B$25,0)</f>
        <v/>
      </c>
      <c r="AP39" s="127">
        <f>ROUND($B$5*$B$8*$B$13*$B$17*$B$15*$B$21*$B$23*$B$24,0)</f>
        <v/>
      </c>
      <c r="AQ39" s="127">
        <f>ROUND($B$5*$B$8*$B$13*$B$17*$B$15*$B$21*$B$23*$B$25,0)</f>
        <v/>
      </c>
      <c r="AR39" s="127">
        <f>ROUND($B$5*$B$8*$B$13*$B$17*$B$16*$B$20*$B$22*$B$24,0)</f>
        <v/>
      </c>
      <c r="AS39" s="127">
        <f>ROUND($B$5*$B$8*$B$13*$B$17*$B$16*$B$20*$B$22*$B$25,0)</f>
        <v/>
      </c>
      <c r="AT39" s="127">
        <f>ROUND($B$5*$B$8*$B$13*$B$17*$B$16*$B$20*$B$23*$B$24,0)</f>
        <v/>
      </c>
      <c r="AU39" s="127">
        <f>ROUND($B$5*$B$8*$B$13*$B$17*$B$16*$B$20*$B$23*$B$25,0)</f>
        <v/>
      </c>
      <c r="AV39" s="127">
        <f>ROUND($B$5*$B$8*$B$13*$B$17*$B$16*$B$21*$B$22*$B$24,0)</f>
        <v/>
      </c>
      <c r="AW39" s="127">
        <f>ROUND($B$5*$B$8*$B$13*$B$17*$B$16*$B$21*$B$22*$B$25,0)</f>
        <v/>
      </c>
      <c r="AX39" s="127">
        <f>ROUND($B$5*$B$8*$B$13*$B$17*$B$16*$B$21*$B$23*$B$24,0)</f>
        <v/>
      </c>
      <c r="AY39" s="127">
        <f>ROUND($B$5*$B$8*$B$13*$B$17*$B$16*$B$21*$B$23*$B$25,0)</f>
        <v/>
      </c>
      <c r="AZ39" s="127">
        <f>ROUND($B$6*$B$8*$B$13*$B$17*$B$14*$B$20*$B$22*$B$24,0)</f>
        <v/>
      </c>
      <c r="BA39" s="127">
        <f>ROUND($B$6*$B$8*$B$13*$B$17*$B$14*$B$20*$B$22*$B$25,0)</f>
        <v/>
      </c>
      <c r="BB39" s="127">
        <f>ROUND($B$6*$B$8*$B$13*$B$17*$B$14*$B$20*$B$23*$B$24,0)</f>
        <v/>
      </c>
      <c r="BC39" s="127">
        <f>ROUND($B$6*$B$8*$B$13*$B$17*$B$14*$B$20*$B$23*$B$25,0)</f>
        <v/>
      </c>
      <c r="BD39" s="127">
        <f>ROUND($B$6*$B$8*$B$13*$B$17*$B$14*$B$21*$B$22*$B$24,0)</f>
        <v/>
      </c>
      <c r="BE39" s="127">
        <f>ROUND($B$6*$B$8*$B$13*$B$17*$B$14*$B$21*$B$22*$B$25,0)</f>
        <v/>
      </c>
      <c r="BF39" s="127">
        <f>ROUND($B$6*$B$8*$B$13*$B$17*$B$14*$B$21*$B$23*$B$24,0)</f>
        <v/>
      </c>
      <c r="BG39" s="127">
        <f>ROUND($B$6*$B$8*$B$13*$B$17*$B$14*$B$21*$B$23*$B$25,0)</f>
        <v/>
      </c>
      <c r="BH39" s="127">
        <f>ROUND($B$6*$B$8*$B$13*$B$17*$B$15*$B$20*$B$22*$B$24,0)</f>
        <v/>
      </c>
      <c r="BI39" s="127">
        <f>ROUND($B$6*$B$8*$B$13*$B$17*$B$15*$B$20*$B$22*$B$25,0)</f>
        <v/>
      </c>
      <c r="BJ39" s="127">
        <f>ROUND($B$6*$B$8*$B$13*$B$17*$B$15*$B$20*$B$23*$B$24,0)</f>
        <v/>
      </c>
      <c r="BK39" s="127">
        <f>ROUND($B$6*$B$8*$B$13*$B$17*$B$15*$B$20*$B$23*$B$25,0)</f>
        <v/>
      </c>
      <c r="BL39" s="127">
        <f>ROUND($B$6*$B$8*$B$13*$B$17*$B$15*$B$21*$B$22*$B$24,0)</f>
        <v/>
      </c>
      <c r="BM39" s="127">
        <f>ROUND($B$6*$B$8*$B$13*$B$17*$B$15*$B$21*$B$22*$B$25,0)</f>
        <v/>
      </c>
      <c r="BN39" s="127">
        <f>ROUND($B$6*$B$8*$B$13*$B$17*$B$15*$B$21*$B$23*$B$24,0)</f>
        <v/>
      </c>
      <c r="BO39" s="127">
        <f>ROUND($B$6*$B$8*$B$13*$B$17*$B$15*$B$21*$B$23*$B$25,0)</f>
        <v/>
      </c>
      <c r="BP39" s="127">
        <f>ROUND($B$6*$B$8*$B$13*$B$17*$B$16*$B$20*$B$22*$B$24,0)</f>
        <v/>
      </c>
      <c r="BQ39" s="127">
        <f>ROUND($B$6*$B$8*$B$13*$B$17*$B$16*$B$20*$B$22*$B$25,0)</f>
        <v/>
      </c>
      <c r="BR39" s="127">
        <f>ROUND($B$6*$B$8*$B$13*$B$17*$B$16*$B$20*$B$23*$B$24,0)</f>
        <v/>
      </c>
      <c r="BS39" s="127">
        <f>ROUND($B$6*$B$8*$B$13*$B$17*$B$16*$B$20*$B$23*$B$25,0)</f>
        <v/>
      </c>
      <c r="BT39" s="127">
        <f>ROUND($B$6*$B$8*$B$13*$B$17*$B$16*$B$21*$B$22*$B$24,0)</f>
        <v/>
      </c>
      <c r="BU39" s="127">
        <f>ROUND($B$6*$B$8*$B$13*$B$17*$B$16*$B$21*$B$22*$B$25,0)</f>
        <v/>
      </c>
      <c r="BV39" s="127">
        <f>ROUND($B$6*$B$8*$B$13*$B$17*$B$16*$B$21*$B$23*$B$24,0)</f>
        <v/>
      </c>
      <c r="BW39" s="127">
        <f>ROUND($B$6*$B$8*$B$13*$B$17*$B$16*$B$21*$B$23*$B$25,0)</f>
        <v/>
      </c>
    </row>
    <row r="40" ht="20" customHeight="1" s="62">
      <c r="C40" s="125" t="inlineStr">
        <is>
          <t>6-15 processus analysés</t>
        </is>
      </c>
      <c r="D40" s="127">
        <f>ROUND($B$4*$B$8*$B$13*$B$18*$B$14*$B$20*$B$22*$B$24,0)</f>
        <v/>
      </c>
      <c r="E40" s="127">
        <f>ROUND($B$4*$B$8*$B$13*$B$18*$B$14*$B$20*$B$22*$B$25,0)</f>
        <v/>
      </c>
      <c r="F40" s="127">
        <f>ROUND($B$4*$B$8*$B$13*$B$18*$B$14*$B$20*$B$23*$B$24,0)</f>
        <v/>
      </c>
      <c r="G40" s="127">
        <f>ROUND($B$4*$B$8*$B$13*$B$18*$B$14*$B$20*$B$23*$B$25,0)</f>
        <v/>
      </c>
      <c r="H40" s="127">
        <f>ROUND($B$4*$B$8*$B$13*$B$18*$B$14*$B$21*$B$22*$B$24,0)</f>
        <v/>
      </c>
      <c r="I40" s="127">
        <f>ROUND($B$4*$B$8*$B$13*$B$18*$B$14*$B$21*$B$22*$B$25,0)</f>
        <v/>
      </c>
      <c r="J40" s="127">
        <f>ROUND($B$4*$B$8*$B$13*$B$18*$B$14*$B$21*$B$23*$B$24,0)</f>
        <v/>
      </c>
      <c r="K40" s="127">
        <f>ROUND($B$4*$B$8*$B$13*$B$18*$B$14*$B$21*$B$23*$B$25,0)</f>
        <v/>
      </c>
      <c r="L40" s="127">
        <f>ROUND($B$4*$B$8*$B$13*$B$18*$B$15*$B$20*$B$22*$B$24,0)</f>
        <v/>
      </c>
      <c r="M40" s="127">
        <f>ROUND($B$4*$B$8*$B$13*$B$18*$B$15*$B$20*$B$22*$B$25,0)</f>
        <v/>
      </c>
      <c r="N40" s="127">
        <f>ROUND($B$4*$B$8*$B$13*$B$18*$B$15*$B$20*$B$23*$B$24,0)</f>
        <v/>
      </c>
      <c r="O40" s="127">
        <f>ROUND($B$4*$B$8*$B$13*$B$18*$B$15*$B$20*$B$23*$B$25,0)</f>
        <v/>
      </c>
      <c r="P40" s="127">
        <f>ROUND($B$4*$B$8*$B$13*$B$18*$B$15*$B$21*$B$22*$B$24,0)</f>
        <v/>
      </c>
      <c r="Q40" s="127">
        <f>ROUND($B$4*$B$8*$B$13*$B$18*$B$15*$B$21*$B$22*$B$25,0)</f>
        <v/>
      </c>
      <c r="R40" s="127">
        <f>ROUND($B$4*$B$8*$B$13*$B$18*$B$15*$B$21*$B$23*$B$24,0)</f>
        <v/>
      </c>
      <c r="S40" s="127">
        <f>ROUND($B$4*$B$8*$B$13*$B$18*$B$15*$B$21*$B$23*$B$25,0)</f>
        <v/>
      </c>
      <c r="T40" s="127">
        <f>ROUND($B$4*$B$8*$B$13*$B$18*$B$16*$B$20*$B$22*$B$24,0)</f>
        <v/>
      </c>
      <c r="U40" s="127">
        <f>ROUND($B$4*$B$8*$B$13*$B$18*$B$16*$B$20*$B$22*$B$25,0)</f>
        <v/>
      </c>
      <c r="V40" s="127">
        <f>ROUND($B$4*$B$8*$B$13*$B$18*$B$16*$B$20*$B$23*$B$24,0)</f>
        <v/>
      </c>
      <c r="W40" s="127">
        <f>ROUND($B$4*$B$8*$B$13*$B$18*$B$16*$B$20*$B$23*$B$25,0)</f>
        <v/>
      </c>
      <c r="X40" s="127">
        <f>ROUND($B$4*$B$8*$B$13*$B$18*$B$16*$B$21*$B$22*$B$24,0)</f>
        <v/>
      </c>
      <c r="Y40" s="127">
        <f>ROUND($B$4*$B$8*$B$13*$B$18*$B$16*$B$21*$B$22*$B$25,0)</f>
        <v/>
      </c>
      <c r="Z40" s="127">
        <f>ROUND($B$4*$B$8*$B$13*$B$18*$B$16*$B$21*$B$23*$B$24,0)</f>
        <v/>
      </c>
      <c r="AA40" s="127">
        <f>ROUND($B$4*$B$8*$B$13*$B$18*$B$16*$B$21*$B$23*$B$25,0)</f>
        <v/>
      </c>
      <c r="AB40" s="127">
        <f>ROUND($B$5*$B$8*$B$13*$B$18*$B$14*$B$20*$B$22*$B$24,0)</f>
        <v/>
      </c>
      <c r="AC40" s="127">
        <f>ROUND($B$5*$B$8*$B$13*$B$18*$B$14*$B$20*$B$22*$B$25,0)</f>
        <v/>
      </c>
      <c r="AD40" s="127">
        <f>ROUND($B$5*$B$8*$B$13*$B$18*$B$14*$B$20*$B$23*$B$24,0)</f>
        <v/>
      </c>
      <c r="AE40" s="127">
        <f>ROUND($B$5*$B$8*$B$13*$B$18*$B$14*$B$20*$B$23*$B$25,0)</f>
        <v/>
      </c>
      <c r="AF40" s="127">
        <f>ROUND($B$5*$B$8*$B$13*$B$18*$B$14*$B$21*$B$22*$B$24,0)</f>
        <v/>
      </c>
      <c r="AG40" s="127">
        <f>ROUND($B$5*$B$8*$B$13*$B$18*$B$14*$B$21*$B$22*$B$25,0)</f>
        <v/>
      </c>
      <c r="AH40" s="127">
        <f>ROUND($B$5*$B$8*$B$13*$B$18*$B$14*$B$21*$B$23*$B$24,0)</f>
        <v/>
      </c>
      <c r="AI40" s="127">
        <f>ROUND($B$5*$B$8*$B$13*$B$18*$B$14*$B$21*$B$23*$B$25,0)</f>
        <v/>
      </c>
      <c r="AJ40" s="127">
        <f>ROUND($B$5*$B$8*$B$13*$B$18*$B$15*$B$20*$B$22*$B$24,0)</f>
        <v/>
      </c>
      <c r="AK40" s="127">
        <f>ROUND($B$5*$B$8*$B$13*$B$18*$B$15*$B$20*$B$22*$B$25,0)</f>
        <v/>
      </c>
      <c r="AL40" s="127">
        <f>ROUND($B$5*$B$8*$B$13*$B$18*$B$15*$B$20*$B$23*$B$24,0)</f>
        <v/>
      </c>
      <c r="AM40" s="127">
        <f>ROUND($B$5*$B$8*$B$13*$B$18*$B$15*$B$20*$B$23*$B$25,0)</f>
        <v/>
      </c>
      <c r="AN40" s="127">
        <f>ROUND($B$5*$B$8*$B$13*$B$18*$B$15*$B$21*$B$22*$B$24,0)</f>
        <v/>
      </c>
      <c r="AO40" s="127">
        <f>ROUND($B$5*$B$8*$B$13*$B$18*$B$15*$B$21*$B$22*$B$25,0)</f>
        <v/>
      </c>
      <c r="AP40" s="127">
        <f>ROUND($B$5*$B$8*$B$13*$B$18*$B$15*$B$21*$B$23*$B$24,0)</f>
        <v/>
      </c>
      <c r="AQ40" s="127">
        <f>ROUND($B$5*$B$8*$B$13*$B$18*$B$15*$B$21*$B$23*$B$25,0)</f>
        <v/>
      </c>
      <c r="AR40" s="127">
        <f>ROUND($B$5*$B$8*$B$13*$B$18*$B$16*$B$20*$B$22*$B$24,0)</f>
        <v/>
      </c>
      <c r="AS40" s="127">
        <f>ROUND($B$5*$B$8*$B$13*$B$18*$B$16*$B$20*$B$22*$B$25,0)</f>
        <v/>
      </c>
      <c r="AT40" s="127">
        <f>ROUND($B$5*$B$8*$B$13*$B$18*$B$16*$B$20*$B$23*$B$24,0)</f>
        <v/>
      </c>
      <c r="AU40" s="127">
        <f>ROUND($B$5*$B$8*$B$13*$B$18*$B$16*$B$20*$B$23*$B$25,0)</f>
        <v/>
      </c>
      <c r="AV40" s="127">
        <f>ROUND($B$5*$B$8*$B$13*$B$18*$B$16*$B$21*$B$22*$B$24,0)</f>
        <v/>
      </c>
      <c r="AW40" s="127">
        <f>ROUND($B$5*$B$8*$B$13*$B$18*$B$16*$B$21*$B$22*$B$25,0)</f>
        <v/>
      </c>
      <c r="AX40" s="127">
        <f>ROUND($B$5*$B$8*$B$13*$B$18*$B$16*$B$21*$B$23*$B$24,0)</f>
        <v/>
      </c>
      <c r="AY40" s="127">
        <f>ROUND($B$5*$B$8*$B$13*$B$18*$B$16*$B$21*$B$23*$B$25,0)</f>
        <v/>
      </c>
      <c r="AZ40" s="127">
        <f>ROUND($B$6*$B$8*$B$13*$B$18*$B$14*$B$20*$B$22*$B$24,0)</f>
        <v/>
      </c>
      <c r="BA40" s="127">
        <f>ROUND($B$6*$B$8*$B$13*$B$18*$B$14*$B$20*$B$22*$B$25,0)</f>
        <v/>
      </c>
      <c r="BB40" s="127">
        <f>ROUND($B$6*$B$8*$B$13*$B$18*$B$14*$B$20*$B$23*$B$24,0)</f>
        <v/>
      </c>
      <c r="BC40" s="127">
        <f>ROUND($B$6*$B$8*$B$13*$B$18*$B$14*$B$20*$B$23*$B$25,0)</f>
        <v/>
      </c>
      <c r="BD40" s="127">
        <f>ROUND($B$6*$B$8*$B$13*$B$18*$B$14*$B$21*$B$22*$B$24,0)</f>
        <v/>
      </c>
      <c r="BE40" s="127">
        <f>ROUND($B$6*$B$8*$B$13*$B$18*$B$14*$B$21*$B$22*$B$25,0)</f>
        <v/>
      </c>
      <c r="BF40" s="127">
        <f>ROUND($B$6*$B$8*$B$13*$B$18*$B$14*$B$21*$B$23*$B$24,0)</f>
        <v/>
      </c>
      <c r="BG40" s="127">
        <f>ROUND($B$6*$B$8*$B$13*$B$18*$B$14*$B$21*$B$23*$B$25,0)</f>
        <v/>
      </c>
      <c r="BH40" s="127">
        <f>ROUND($B$6*$B$8*$B$13*$B$18*$B$15*$B$20*$B$22*$B$24,0)</f>
        <v/>
      </c>
      <c r="BI40" s="127">
        <f>ROUND($B$6*$B$8*$B$13*$B$18*$B$15*$B$20*$B$22*$B$25,0)</f>
        <v/>
      </c>
      <c r="BJ40" s="127">
        <f>ROUND($B$6*$B$8*$B$13*$B$18*$B$15*$B$20*$B$23*$B$24,0)</f>
        <v/>
      </c>
      <c r="BK40" s="127">
        <f>ROUND($B$6*$B$8*$B$13*$B$18*$B$15*$B$20*$B$23*$B$25,0)</f>
        <v/>
      </c>
      <c r="BL40" s="127">
        <f>ROUND($B$6*$B$8*$B$13*$B$18*$B$15*$B$21*$B$22*$B$24,0)</f>
        <v/>
      </c>
      <c r="BM40" s="127">
        <f>ROUND($B$6*$B$8*$B$13*$B$18*$B$15*$B$21*$B$22*$B$25,0)</f>
        <v/>
      </c>
      <c r="BN40" s="127">
        <f>ROUND($B$6*$B$8*$B$13*$B$18*$B$15*$B$21*$B$23*$B$24,0)</f>
        <v/>
      </c>
      <c r="BO40" s="127">
        <f>ROUND($B$6*$B$8*$B$13*$B$18*$B$15*$B$21*$B$23*$B$25,0)</f>
        <v/>
      </c>
      <c r="BP40" s="127">
        <f>ROUND($B$6*$B$8*$B$13*$B$18*$B$16*$B$20*$B$22*$B$24,0)</f>
        <v/>
      </c>
      <c r="BQ40" s="127">
        <f>ROUND($B$6*$B$8*$B$13*$B$18*$B$16*$B$20*$B$22*$B$25,0)</f>
        <v/>
      </c>
      <c r="BR40" s="127">
        <f>ROUND($B$6*$B$8*$B$13*$B$18*$B$16*$B$20*$B$23*$B$24,0)</f>
        <v/>
      </c>
      <c r="BS40" s="127">
        <f>ROUND($B$6*$B$8*$B$13*$B$18*$B$16*$B$20*$B$23*$B$25,0)</f>
        <v/>
      </c>
      <c r="BT40" s="127">
        <f>ROUND($B$6*$B$8*$B$13*$B$18*$B$16*$B$21*$B$22*$B$24,0)</f>
        <v/>
      </c>
      <c r="BU40" s="127">
        <f>ROUND($B$6*$B$8*$B$13*$B$18*$B$16*$B$21*$B$22*$B$25,0)</f>
        <v/>
      </c>
      <c r="BV40" s="127">
        <f>ROUND($B$6*$B$8*$B$13*$B$18*$B$16*$B$21*$B$23*$B$24,0)</f>
        <v/>
      </c>
      <c r="BW40" s="127">
        <f>ROUND($B$6*$B$8*$B$13*$B$18*$B$16*$B$21*$B$23*$B$25,0)</f>
        <v/>
      </c>
    </row>
    <row r="41" ht="20" customHeight="1" s="62">
      <c r="C41" s="129" t="inlineStr">
        <is>
          <t>16+ processus analysés</t>
        </is>
      </c>
      <c r="D41" s="127">
        <f>ROUND($B$4*$B$8*$B$13*$B$19*$B$14*$B$20*$B$22*$B$24,0)</f>
        <v/>
      </c>
      <c r="E41" s="127">
        <f>ROUND($B$4*$B$8*$B$13*$B$19*$B$14*$B$20*$B$22*$B$25,0)</f>
        <v/>
      </c>
      <c r="F41" s="127">
        <f>ROUND($B$4*$B$8*$B$13*$B$19*$B$14*$B$20*$B$23*$B$24,0)</f>
        <v/>
      </c>
      <c r="G41" s="127">
        <f>ROUND($B$4*$B$8*$B$13*$B$19*$B$14*$B$20*$B$23*$B$25,0)</f>
        <v/>
      </c>
      <c r="H41" s="127">
        <f>ROUND($B$4*$B$8*$B$13*$B$19*$B$14*$B$21*$B$22*$B$24,0)</f>
        <v/>
      </c>
      <c r="I41" s="127">
        <f>ROUND($B$4*$B$8*$B$13*$B$19*$B$14*$B$21*$B$22*$B$25,0)</f>
        <v/>
      </c>
      <c r="J41" s="127">
        <f>ROUND($B$4*$B$8*$B$13*$B$19*$B$14*$B$21*$B$23*$B$24,0)</f>
        <v/>
      </c>
      <c r="K41" s="127">
        <f>ROUND($B$4*$B$8*$B$13*$B$19*$B$14*$B$21*$B$23*$B$25,0)</f>
        <v/>
      </c>
      <c r="L41" s="127">
        <f>ROUND($B$4*$B$8*$B$13*$B$19*$B$15*$B$20*$B$22*$B$24,0)</f>
        <v/>
      </c>
      <c r="M41" s="127">
        <f>ROUND($B$4*$B$8*$B$13*$B$19*$B$15*$B$20*$B$22*$B$25,0)</f>
        <v/>
      </c>
      <c r="N41" s="127">
        <f>ROUND($B$4*$B$8*$B$13*$B$19*$B$15*$B$20*$B$23*$B$24,0)</f>
        <v/>
      </c>
      <c r="O41" s="127">
        <f>ROUND($B$4*$B$8*$B$13*$B$19*$B$15*$B$20*$B$23*$B$25,0)</f>
        <v/>
      </c>
      <c r="P41" s="127">
        <f>ROUND($B$4*$B$8*$B$13*$B$19*$B$15*$B$21*$B$22*$B$24,0)</f>
        <v/>
      </c>
      <c r="Q41" s="127">
        <f>ROUND($B$4*$B$8*$B$13*$B$19*$B$15*$B$21*$B$22*$B$25,0)</f>
        <v/>
      </c>
      <c r="R41" s="127">
        <f>ROUND($B$4*$B$8*$B$13*$B$19*$B$15*$B$21*$B$23*$B$24,0)</f>
        <v/>
      </c>
      <c r="S41" s="127">
        <f>ROUND($B$4*$B$8*$B$13*$B$19*$B$15*$B$21*$B$23*$B$25,0)</f>
        <v/>
      </c>
      <c r="T41" s="127">
        <f>ROUND($B$4*$B$8*$B$13*$B$19*$B$16*$B$20*$B$22*$B$24,0)</f>
        <v/>
      </c>
      <c r="U41" s="127">
        <f>ROUND($B$4*$B$8*$B$13*$B$19*$B$16*$B$20*$B$22*$B$25,0)</f>
        <v/>
      </c>
      <c r="V41" s="127">
        <f>ROUND($B$4*$B$8*$B$13*$B$19*$B$16*$B$20*$B$23*$B$24,0)</f>
        <v/>
      </c>
      <c r="W41" s="127">
        <f>ROUND($B$4*$B$8*$B$13*$B$19*$B$16*$B$20*$B$23*$B$25,0)</f>
        <v/>
      </c>
      <c r="X41" s="127">
        <f>ROUND($B$4*$B$8*$B$13*$B$19*$B$16*$B$21*$B$22*$B$24,0)</f>
        <v/>
      </c>
      <c r="Y41" s="127">
        <f>ROUND($B$4*$B$8*$B$13*$B$19*$B$16*$B$21*$B$22*$B$25,0)</f>
        <v/>
      </c>
      <c r="Z41" s="127">
        <f>ROUND($B$4*$B$8*$B$13*$B$19*$B$16*$B$21*$B$23*$B$24,0)</f>
        <v/>
      </c>
      <c r="AA41" s="127">
        <f>ROUND($B$4*$B$8*$B$13*$B$19*$B$16*$B$21*$B$23*$B$25,0)</f>
        <v/>
      </c>
      <c r="AB41" s="127">
        <f>ROUND($B$5*$B$8*$B$13*$B$19*$B$14*$B$20*$B$22*$B$24,0)</f>
        <v/>
      </c>
      <c r="AC41" s="127">
        <f>ROUND($B$5*$B$8*$B$13*$B$19*$B$14*$B$20*$B$22*$B$25,0)</f>
        <v/>
      </c>
      <c r="AD41" s="127">
        <f>ROUND($B$5*$B$8*$B$13*$B$19*$B$14*$B$20*$B$23*$B$24,0)</f>
        <v/>
      </c>
      <c r="AE41" s="127">
        <f>ROUND($B$5*$B$8*$B$13*$B$19*$B$14*$B$20*$B$23*$B$25,0)</f>
        <v/>
      </c>
      <c r="AF41" s="127">
        <f>ROUND($B$5*$B$8*$B$13*$B$19*$B$14*$B$21*$B$22*$B$24,0)</f>
        <v/>
      </c>
      <c r="AG41" s="127">
        <f>ROUND($B$5*$B$8*$B$13*$B$19*$B$14*$B$21*$B$22*$B$25,0)</f>
        <v/>
      </c>
      <c r="AH41" s="127">
        <f>ROUND($B$5*$B$8*$B$13*$B$19*$B$14*$B$21*$B$23*$B$24,0)</f>
        <v/>
      </c>
      <c r="AI41" s="127">
        <f>ROUND($B$5*$B$8*$B$13*$B$19*$B$14*$B$21*$B$23*$B$25,0)</f>
        <v/>
      </c>
      <c r="AJ41" s="127">
        <f>ROUND($B$5*$B$8*$B$13*$B$19*$B$15*$B$20*$B$22*$B$24,0)</f>
        <v/>
      </c>
      <c r="AK41" s="127">
        <f>ROUND($B$5*$B$8*$B$13*$B$19*$B$15*$B$20*$B$22*$B$25,0)</f>
        <v/>
      </c>
      <c r="AL41" s="127">
        <f>ROUND($B$5*$B$8*$B$13*$B$19*$B$15*$B$20*$B$23*$B$24,0)</f>
        <v/>
      </c>
      <c r="AM41" s="127">
        <f>ROUND($B$5*$B$8*$B$13*$B$19*$B$15*$B$20*$B$23*$B$25,0)</f>
        <v/>
      </c>
      <c r="AN41" s="127">
        <f>ROUND($B$5*$B$8*$B$13*$B$19*$B$15*$B$21*$B$22*$B$24,0)</f>
        <v/>
      </c>
      <c r="AO41" s="127">
        <f>ROUND($B$5*$B$8*$B$13*$B$19*$B$15*$B$21*$B$22*$B$25,0)</f>
        <v/>
      </c>
      <c r="AP41" s="127">
        <f>ROUND($B$5*$B$8*$B$13*$B$19*$B$15*$B$21*$B$23*$B$24,0)</f>
        <v/>
      </c>
      <c r="AQ41" s="127">
        <f>ROUND($B$5*$B$8*$B$13*$B$19*$B$15*$B$21*$B$23*$B$25,0)</f>
        <v/>
      </c>
      <c r="AR41" s="127">
        <f>ROUND($B$5*$B$8*$B$13*$B$19*$B$16*$B$20*$B$22*$B$24,0)</f>
        <v/>
      </c>
      <c r="AS41" s="127">
        <f>ROUND($B$5*$B$8*$B$13*$B$19*$B$16*$B$20*$B$22*$B$25,0)</f>
        <v/>
      </c>
      <c r="AT41" s="127">
        <f>ROUND($B$5*$B$8*$B$13*$B$19*$B$16*$B$20*$B$23*$B$24,0)</f>
        <v/>
      </c>
      <c r="AU41" s="127">
        <f>ROUND($B$5*$B$8*$B$13*$B$19*$B$16*$B$20*$B$23*$B$25,0)</f>
        <v/>
      </c>
      <c r="AV41" s="127">
        <f>ROUND($B$5*$B$8*$B$13*$B$19*$B$16*$B$21*$B$22*$B$24,0)</f>
        <v/>
      </c>
      <c r="AW41" s="127">
        <f>ROUND($B$5*$B$8*$B$13*$B$19*$B$16*$B$21*$B$22*$B$25,0)</f>
        <v/>
      </c>
      <c r="AX41" s="127">
        <f>ROUND($B$5*$B$8*$B$13*$B$19*$B$16*$B$21*$B$23*$B$24,0)</f>
        <v/>
      </c>
      <c r="AY41" s="127">
        <f>ROUND($B$5*$B$8*$B$13*$B$19*$B$16*$B$21*$B$23*$B$25,0)</f>
        <v/>
      </c>
      <c r="AZ41" s="127">
        <f>ROUND($B$6*$B$8*$B$13*$B$19*$B$14*$B$20*$B$22*$B$24,0)</f>
        <v/>
      </c>
      <c r="BA41" s="127">
        <f>ROUND($B$6*$B$8*$B$13*$B$19*$B$14*$B$20*$B$22*$B$25,0)</f>
        <v/>
      </c>
      <c r="BB41" s="127">
        <f>ROUND($B$6*$B$8*$B$13*$B$19*$B$14*$B$20*$B$23*$B$24,0)</f>
        <v/>
      </c>
      <c r="BC41" s="127">
        <f>ROUND($B$6*$B$8*$B$13*$B$19*$B$14*$B$20*$B$23*$B$25,0)</f>
        <v/>
      </c>
      <c r="BD41" s="127">
        <f>ROUND($B$6*$B$8*$B$13*$B$19*$B$14*$B$21*$B$22*$B$24,0)</f>
        <v/>
      </c>
      <c r="BE41" s="127">
        <f>ROUND($B$6*$B$8*$B$13*$B$19*$B$14*$B$21*$B$22*$B$25,0)</f>
        <v/>
      </c>
      <c r="BF41" s="127">
        <f>ROUND($B$6*$B$8*$B$13*$B$19*$B$14*$B$21*$B$23*$B$24,0)</f>
        <v/>
      </c>
      <c r="BG41" s="127">
        <f>ROUND($B$6*$B$8*$B$13*$B$19*$B$14*$B$21*$B$23*$B$25,0)</f>
        <v/>
      </c>
      <c r="BH41" s="127">
        <f>ROUND($B$6*$B$8*$B$13*$B$19*$B$15*$B$20*$B$22*$B$24,0)</f>
        <v/>
      </c>
      <c r="BI41" s="127">
        <f>ROUND($B$6*$B$8*$B$13*$B$19*$B$15*$B$20*$B$22*$B$25,0)</f>
        <v/>
      </c>
      <c r="BJ41" s="127">
        <f>ROUND($B$6*$B$8*$B$13*$B$19*$B$15*$B$20*$B$23*$B$24,0)</f>
        <v/>
      </c>
      <c r="BK41" s="127">
        <f>ROUND($B$6*$B$8*$B$13*$B$19*$B$15*$B$20*$B$23*$B$25,0)</f>
        <v/>
      </c>
      <c r="BL41" s="127">
        <f>ROUND($B$6*$B$8*$B$13*$B$19*$B$15*$B$21*$B$22*$B$24,0)</f>
        <v/>
      </c>
      <c r="BM41" s="127">
        <f>ROUND($B$6*$B$8*$B$13*$B$19*$B$15*$B$21*$B$22*$B$25,0)</f>
        <v/>
      </c>
      <c r="BN41" s="127">
        <f>ROUND($B$6*$B$8*$B$13*$B$19*$B$15*$B$21*$B$23*$B$24,0)</f>
        <v/>
      </c>
      <c r="BO41" s="127">
        <f>ROUND($B$6*$B$8*$B$13*$B$19*$B$15*$B$21*$B$23*$B$25,0)</f>
        <v/>
      </c>
      <c r="BP41" s="127">
        <f>ROUND($B$6*$B$8*$B$13*$B$19*$B$16*$B$20*$B$22*$B$24,0)</f>
        <v/>
      </c>
      <c r="BQ41" s="127">
        <f>ROUND($B$6*$B$8*$B$13*$B$19*$B$16*$B$20*$B$22*$B$25,0)</f>
        <v/>
      </c>
      <c r="BR41" s="127">
        <f>ROUND($B$6*$B$8*$B$13*$B$19*$B$16*$B$20*$B$23*$B$24,0)</f>
        <v/>
      </c>
      <c r="BS41" s="127">
        <f>ROUND($B$6*$B$8*$B$13*$B$19*$B$16*$B$20*$B$23*$B$25,0)</f>
        <v/>
      </c>
      <c r="BT41" s="127">
        <f>ROUND($B$6*$B$8*$B$13*$B$19*$B$16*$B$21*$B$22*$B$24,0)</f>
        <v/>
      </c>
      <c r="BU41" s="127">
        <f>ROUND($B$6*$B$8*$B$13*$B$19*$B$16*$B$21*$B$22*$B$25,0)</f>
        <v/>
      </c>
      <c r="BV41" s="127">
        <f>ROUND($B$6*$B$8*$B$13*$B$19*$B$16*$B$21*$B$23*$B$24,0)</f>
        <v/>
      </c>
      <c r="BW41" s="127">
        <f>ROUND($B$6*$B$8*$B$13*$B$19*$B$16*$B$21*$B$23*$B$25,0)</f>
        <v/>
      </c>
    </row>
    <row r="42" ht="20" customHeight="1" s="62">
      <c r="A42" s="124" t="inlineStr">
        <is>
          <t>PME</t>
        </is>
      </c>
      <c r="B42" s="125" t="inlineStr">
        <is>
          <t>SI simple</t>
        </is>
      </c>
      <c r="C42" s="126" t="inlineStr">
        <is>
          <t>1-5 processus analysés</t>
        </is>
      </c>
      <c r="D42" s="127">
        <f>ROUND($B$4*$B$9*$B$11*$B$17*$B$14*$B$20*$B$22*$B$24,0)</f>
        <v/>
      </c>
      <c r="E42" s="127">
        <f>ROUND($B$4*$B$9*$B$11*$B$17*$B$14*$B$20*$B$22*$B$25,0)</f>
        <v/>
      </c>
      <c r="F42" s="127">
        <f>ROUND($B$4*$B$9*$B$11*$B$17*$B$14*$B$20*$B$23*$B$24,0)</f>
        <v/>
      </c>
      <c r="G42" s="127">
        <f>ROUND($B$4*$B$9*$B$11*$B$17*$B$14*$B$20*$B$23*$B$25,0)</f>
        <v/>
      </c>
      <c r="H42" s="127">
        <f>ROUND($B$4*$B$9*$B$11*$B$17*$B$14*$B$21*$B$22*$B$24,0)</f>
        <v/>
      </c>
      <c r="I42" s="127">
        <f>ROUND($B$4*$B$9*$B$11*$B$17*$B$14*$B$21*$B$22*$B$25,0)</f>
        <v/>
      </c>
      <c r="J42" s="127">
        <f>ROUND($B$4*$B$9*$B$11*$B$17*$B$14*$B$21*$B$23*$B$24,0)</f>
        <v/>
      </c>
      <c r="K42" s="127">
        <f>ROUND($B$4*$B$9*$B$11*$B$17*$B$14*$B$21*$B$23*$B$25,0)</f>
        <v/>
      </c>
      <c r="L42" s="127">
        <f>ROUND($B$4*$B$9*$B$11*$B$17*$B$15*$B$20*$B$22*$B$24,0)</f>
        <v/>
      </c>
      <c r="M42" s="127">
        <f>ROUND($B$4*$B$9*$B$11*$B$17*$B$15*$B$20*$B$22*$B$25,0)</f>
        <v/>
      </c>
      <c r="N42" s="127">
        <f>ROUND($B$4*$B$9*$B$11*$B$17*$B$15*$B$20*$B$23*$B$24,0)</f>
        <v/>
      </c>
      <c r="O42" s="127">
        <f>ROUND($B$4*$B$9*$B$11*$B$17*$B$15*$B$20*$B$23*$B$25,0)</f>
        <v/>
      </c>
      <c r="P42" s="127">
        <f>ROUND($B$4*$B$9*$B$11*$B$17*$B$15*$B$21*$B$22*$B$24,0)</f>
        <v/>
      </c>
      <c r="Q42" s="127">
        <f>ROUND($B$4*$B$9*$B$11*$B$17*$B$15*$B$21*$B$22*$B$25,0)</f>
        <v/>
      </c>
      <c r="R42" s="127">
        <f>ROUND($B$4*$B$9*$B$11*$B$17*$B$15*$B$21*$B$23*$B$24,0)</f>
        <v/>
      </c>
      <c r="S42" s="127">
        <f>ROUND($B$4*$B$9*$B$11*$B$17*$B$15*$B$21*$B$23*$B$25,0)</f>
        <v/>
      </c>
      <c r="T42" s="127">
        <f>ROUND($B$4*$B$9*$B$11*$B$17*$B$16*$B$20*$B$22*$B$24,0)</f>
        <v/>
      </c>
      <c r="U42" s="127">
        <f>ROUND($B$4*$B$9*$B$11*$B$17*$B$16*$B$20*$B$22*$B$25,0)</f>
        <v/>
      </c>
      <c r="V42" s="127">
        <f>ROUND($B$4*$B$9*$B$11*$B$17*$B$16*$B$20*$B$23*$B$24,0)</f>
        <v/>
      </c>
      <c r="W42" s="127">
        <f>ROUND($B$4*$B$9*$B$11*$B$17*$B$16*$B$20*$B$23*$B$25,0)</f>
        <v/>
      </c>
      <c r="X42" s="127">
        <f>ROUND($B$4*$B$9*$B$11*$B$17*$B$16*$B$21*$B$22*$B$24,0)</f>
        <v/>
      </c>
      <c r="Y42" s="127">
        <f>ROUND($B$4*$B$9*$B$11*$B$17*$B$16*$B$21*$B$22*$B$25,0)</f>
        <v/>
      </c>
      <c r="Z42" s="127">
        <f>ROUND($B$4*$B$9*$B$11*$B$17*$B$16*$B$21*$B$23*$B$24,0)</f>
        <v/>
      </c>
      <c r="AA42" s="127">
        <f>ROUND($B$4*$B$9*$B$11*$B$17*$B$16*$B$21*$B$23*$B$25,0)</f>
        <v/>
      </c>
      <c r="AB42" s="127">
        <f>ROUND($B$5*$B$9*$B$11*$B$17*$B$14*$B$20*$B$22*$B$24,0)</f>
        <v/>
      </c>
      <c r="AC42" s="127">
        <f>ROUND($B$5*$B$9*$B$11*$B$17*$B$14*$B$20*$B$22*$B$25,0)</f>
        <v/>
      </c>
      <c r="AD42" s="127">
        <f>ROUND($B$5*$B$9*$B$11*$B$17*$B$14*$B$20*$B$23*$B$24,0)</f>
        <v/>
      </c>
      <c r="AE42" s="127">
        <f>ROUND($B$5*$B$9*$B$11*$B$17*$B$14*$B$20*$B$23*$B$25,0)</f>
        <v/>
      </c>
      <c r="AF42" s="127">
        <f>ROUND($B$5*$B$9*$B$11*$B$17*$B$14*$B$21*$B$22*$B$24,0)</f>
        <v/>
      </c>
      <c r="AG42" s="127">
        <f>ROUND($B$5*$B$9*$B$11*$B$17*$B$14*$B$21*$B$22*$B$25,0)</f>
        <v/>
      </c>
      <c r="AH42" s="127">
        <f>ROUND($B$5*$B$9*$B$11*$B$17*$B$14*$B$21*$B$23*$B$24,0)</f>
        <v/>
      </c>
      <c r="AI42" s="127">
        <f>ROUND($B$5*$B$9*$B$11*$B$17*$B$14*$B$21*$B$23*$B$25,0)</f>
        <v/>
      </c>
      <c r="AJ42" s="127">
        <f>ROUND($B$5*$B$9*$B$11*$B$17*$B$15*$B$20*$B$22*$B$24,0)</f>
        <v/>
      </c>
      <c r="AK42" s="127">
        <f>ROUND($B$5*$B$9*$B$11*$B$17*$B$15*$B$20*$B$22*$B$25,0)</f>
        <v/>
      </c>
      <c r="AL42" s="127">
        <f>ROUND($B$5*$B$9*$B$11*$B$17*$B$15*$B$20*$B$23*$B$24,0)</f>
        <v/>
      </c>
      <c r="AM42" s="127">
        <f>ROUND($B$5*$B$9*$B$11*$B$17*$B$15*$B$20*$B$23*$B$25,0)</f>
        <v/>
      </c>
      <c r="AN42" s="127">
        <f>ROUND($B$5*$B$9*$B$11*$B$17*$B$15*$B$21*$B$22*$B$24,0)</f>
        <v/>
      </c>
      <c r="AO42" s="127">
        <f>ROUND($B$5*$B$9*$B$11*$B$17*$B$15*$B$21*$B$22*$B$25,0)</f>
        <v/>
      </c>
      <c r="AP42" s="127">
        <f>ROUND($B$5*$B$9*$B$11*$B$17*$B$15*$B$21*$B$23*$B$24,0)</f>
        <v/>
      </c>
      <c r="AQ42" s="127">
        <f>ROUND($B$5*$B$9*$B$11*$B$17*$B$15*$B$21*$B$23*$B$25,0)</f>
        <v/>
      </c>
      <c r="AR42" s="127">
        <f>ROUND($B$5*$B$9*$B$11*$B$17*$B$16*$B$20*$B$22*$B$24,0)</f>
        <v/>
      </c>
      <c r="AS42" s="127">
        <f>ROUND($B$5*$B$9*$B$11*$B$17*$B$16*$B$20*$B$22*$B$25,0)</f>
        <v/>
      </c>
      <c r="AT42" s="127">
        <f>ROUND($B$5*$B$9*$B$11*$B$17*$B$16*$B$20*$B$23*$B$24,0)</f>
        <v/>
      </c>
      <c r="AU42" s="127">
        <f>ROUND($B$5*$B$9*$B$11*$B$17*$B$16*$B$20*$B$23*$B$25,0)</f>
        <v/>
      </c>
      <c r="AV42" s="127">
        <f>ROUND($B$5*$B$9*$B$11*$B$17*$B$16*$B$21*$B$22*$B$24,0)</f>
        <v/>
      </c>
      <c r="AW42" s="127">
        <f>ROUND($B$5*$B$9*$B$11*$B$17*$B$16*$B$21*$B$22*$B$25,0)</f>
        <v/>
      </c>
      <c r="AX42" s="127">
        <f>ROUND($B$5*$B$9*$B$11*$B$17*$B$16*$B$21*$B$23*$B$24,0)</f>
        <v/>
      </c>
      <c r="AY42" s="127">
        <f>ROUND($B$5*$B$9*$B$11*$B$17*$B$16*$B$21*$B$23*$B$25,0)</f>
        <v/>
      </c>
      <c r="AZ42" s="127">
        <f>ROUND($B$6*$B$9*$B$11*$B$17*$B$14*$B$20*$B$22*$B$24,0)</f>
        <v/>
      </c>
      <c r="BA42" s="127">
        <f>ROUND($B$6*$B$9*$B$11*$B$17*$B$14*$B$20*$B$22*$B$25,0)</f>
        <v/>
      </c>
      <c r="BB42" s="127">
        <f>ROUND($B$6*$B$9*$B$11*$B$17*$B$14*$B$20*$B$23*$B$24,0)</f>
        <v/>
      </c>
      <c r="BC42" s="127">
        <f>ROUND($B$6*$B$9*$B$11*$B$17*$B$14*$B$20*$B$23*$B$25,0)</f>
        <v/>
      </c>
      <c r="BD42" s="127">
        <f>ROUND($B$6*$B$9*$B$11*$B$17*$B$14*$B$21*$B$22*$B$24,0)</f>
        <v/>
      </c>
      <c r="BE42" s="127">
        <f>ROUND($B$6*$B$9*$B$11*$B$17*$B$14*$B$21*$B$22*$B$25,0)</f>
        <v/>
      </c>
      <c r="BF42" s="127">
        <f>ROUND($B$6*$B$9*$B$11*$B$17*$B$14*$B$21*$B$23*$B$24,0)</f>
        <v/>
      </c>
      <c r="BG42" s="127">
        <f>ROUND($B$6*$B$9*$B$11*$B$17*$B$14*$B$21*$B$23*$B$25,0)</f>
        <v/>
      </c>
      <c r="BH42" s="127">
        <f>ROUND($B$6*$B$9*$B$11*$B$17*$B$15*$B$20*$B$22*$B$24,0)</f>
        <v/>
      </c>
      <c r="BI42" s="127">
        <f>ROUND($B$6*$B$9*$B$11*$B$17*$B$15*$B$20*$B$22*$B$25,0)</f>
        <v/>
      </c>
      <c r="BJ42" s="127">
        <f>ROUND($B$6*$B$9*$B$11*$B$17*$B$15*$B$20*$B$23*$B$24,0)</f>
        <v/>
      </c>
      <c r="BK42" s="127">
        <f>ROUND($B$6*$B$9*$B$11*$B$17*$B$15*$B$20*$B$23*$B$25,0)</f>
        <v/>
      </c>
      <c r="BL42" s="127">
        <f>ROUND($B$6*$B$9*$B$11*$B$17*$B$15*$B$21*$B$22*$B$24,0)</f>
        <v/>
      </c>
      <c r="BM42" s="127">
        <f>ROUND($B$6*$B$9*$B$11*$B$17*$B$15*$B$21*$B$22*$B$25,0)</f>
        <v/>
      </c>
      <c r="BN42" s="127">
        <f>ROUND($B$6*$B$9*$B$11*$B$17*$B$15*$B$21*$B$23*$B$24,0)</f>
        <v/>
      </c>
      <c r="BO42" s="127">
        <f>ROUND($B$6*$B$9*$B$11*$B$17*$B$15*$B$21*$B$23*$B$25,0)</f>
        <v/>
      </c>
      <c r="BP42" s="127">
        <f>ROUND($B$6*$B$9*$B$11*$B$17*$B$16*$B$20*$B$22*$B$24,0)</f>
        <v/>
      </c>
      <c r="BQ42" s="127">
        <f>ROUND($B$6*$B$9*$B$11*$B$17*$B$16*$B$20*$B$22*$B$25,0)</f>
        <v/>
      </c>
      <c r="BR42" s="127">
        <f>ROUND($B$6*$B$9*$B$11*$B$17*$B$16*$B$20*$B$23*$B$24,0)</f>
        <v/>
      </c>
      <c r="BS42" s="127">
        <f>ROUND($B$6*$B$9*$B$11*$B$17*$B$16*$B$20*$B$23*$B$25,0)</f>
        <v/>
      </c>
      <c r="BT42" s="127">
        <f>ROUND($B$6*$B$9*$B$11*$B$17*$B$16*$B$21*$B$22*$B$24,0)</f>
        <v/>
      </c>
      <c r="BU42" s="127">
        <f>ROUND($B$6*$B$9*$B$11*$B$17*$B$16*$B$21*$B$22*$B$25,0)</f>
        <v/>
      </c>
      <c r="BV42" s="127">
        <f>ROUND($B$6*$B$9*$B$11*$B$17*$B$16*$B$21*$B$23*$B$24,0)</f>
        <v/>
      </c>
      <c r="BW42" s="127">
        <f>ROUND($B$6*$B$9*$B$11*$B$17*$B$16*$B$21*$B$23*$B$25,0)</f>
        <v/>
      </c>
    </row>
    <row r="43" ht="20" customHeight="1" s="62">
      <c r="C43" s="125" t="inlineStr">
        <is>
          <t>6-15 processus analysés</t>
        </is>
      </c>
      <c r="D43" s="127">
        <f>ROUND($B$4*$B$9*$B$11*$B$18*$B$14*$B$20*$B$22*$B$24,0)</f>
        <v/>
      </c>
      <c r="E43" s="127">
        <f>ROUND($B$4*$B$9*$B$11*$B$18*$B$14*$B$20*$B$22*$B$25,0)</f>
        <v/>
      </c>
      <c r="F43" s="127">
        <f>ROUND($B$4*$B$9*$B$11*$B$18*$B$14*$B$20*$B$23*$B$24,0)</f>
        <v/>
      </c>
      <c r="G43" s="127">
        <f>ROUND($B$4*$B$9*$B$11*$B$18*$B$14*$B$20*$B$23*$B$25,0)</f>
        <v/>
      </c>
      <c r="H43" s="127">
        <f>ROUND($B$4*$B$9*$B$11*$B$18*$B$14*$B$21*$B$22*$B$24,0)</f>
        <v/>
      </c>
      <c r="I43" s="127">
        <f>ROUND($B$4*$B$9*$B$11*$B$18*$B$14*$B$21*$B$22*$B$25,0)</f>
        <v/>
      </c>
      <c r="J43" s="127">
        <f>ROUND($B$4*$B$9*$B$11*$B$18*$B$14*$B$21*$B$23*$B$24,0)</f>
        <v/>
      </c>
      <c r="K43" s="127">
        <f>ROUND($B$4*$B$9*$B$11*$B$18*$B$14*$B$21*$B$23*$B$25,0)</f>
        <v/>
      </c>
      <c r="L43" s="127">
        <f>ROUND($B$4*$B$9*$B$11*$B$18*$B$15*$B$20*$B$22*$B$24,0)</f>
        <v/>
      </c>
      <c r="M43" s="127">
        <f>ROUND($B$4*$B$9*$B$11*$B$18*$B$15*$B$20*$B$22*$B$25,0)</f>
        <v/>
      </c>
      <c r="N43" s="127">
        <f>ROUND($B$4*$B$9*$B$11*$B$18*$B$15*$B$20*$B$23*$B$24,0)</f>
        <v/>
      </c>
      <c r="O43" s="127">
        <f>ROUND($B$4*$B$9*$B$11*$B$18*$B$15*$B$20*$B$23*$B$25,0)</f>
        <v/>
      </c>
      <c r="P43" s="127">
        <f>ROUND($B$4*$B$9*$B$11*$B$18*$B$15*$B$21*$B$22*$B$24,0)</f>
        <v/>
      </c>
      <c r="Q43" s="127">
        <f>ROUND($B$4*$B$9*$B$11*$B$18*$B$15*$B$21*$B$22*$B$25,0)</f>
        <v/>
      </c>
      <c r="R43" s="127">
        <f>ROUND($B$4*$B$9*$B$11*$B$18*$B$15*$B$21*$B$23*$B$24,0)</f>
        <v/>
      </c>
      <c r="S43" s="127">
        <f>ROUND($B$4*$B$9*$B$11*$B$18*$B$15*$B$21*$B$23*$B$25,0)</f>
        <v/>
      </c>
      <c r="T43" s="127">
        <f>ROUND($B$4*$B$9*$B$11*$B$18*$B$16*$B$20*$B$22*$B$24,0)</f>
        <v/>
      </c>
      <c r="U43" s="127">
        <f>ROUND($B$4*$B$9*$B$11*$B$18*$B$16*$B$20*$B$22*$B$25,0)</f>
        <v/>
      </c>
      <c r="V43" s="127">
        <f>ROUND($B$4*$B$9*$B$11*$B$18*$B$16*$B$20*$B$23*$B$24,0)</f>
        <v/>
      </c>
      <c r="W43" s="127">
        <f>ROUND($B$4*$B$9*$B$11*$B$18*$B$16*$B$20*$B$23*$B$25,0)</f>
        <v/>
      </c>
      <c r="X43" s="127">
        <f>ROUND($B$4*$B$9*$B$11*$B$18*$B$16*$B$21*$B$22*$B$24,0)</f>
        <v/>
      </c>
      <c r="Y43" s="127">
        <f>ROUND($B$4*$B$9*$B$11*$B$18*$B$16*$B$21*$B$22*$B$25,0)</f>
        <v/>
      </c>
      <c r="Z43" s="127">
        <f>ROUND($B$4*$B$9*$B$11*$B$18*$B$16*$B$21*$B$23*$B$24,0)</f>
        <v/>
      </c>
      <c r="AA43" s="127">
        <f>ROUND($B$4*$B$9*$B$11*$B$18*$B$16*$B$21*$B$23*$B$25,0)</f>
        <v/>
      </c>
      <c r="AB43" s="127">
        <f>ROUND($B$5*$B$9*$B$11*$B$18*$B$14*$B$20*$B$22*$B$24,0)</f>
        <v/>
      </c>
      <c r="AC43" s="127">
        <f>ROUND($B$5*$B$9*$B$11*$B$18*$B$14*$B$20*$B$22*$B$25,0)</f>
        <v/>
      </c>
      <c r="AD43" s="127">
        <f>ROUND($B$5*$B$9*$B$11*$B$18*$B$14*$B$20*$B$23*$B$24,0)</f>
        <v/>
      </c>
      <c r="AE43" s="127">
        <f>ROUND($B$5*$B$9*$B$11*$B$18*$B$14*$B$20*$B$23*$B$25,0)</f>
        <v/>
      </c>
      <c r="AF43" s="127">
        <f>ROUND($B$5*$B$9*$B$11*$B$18*$B$14*$B$21*$B$22*$B$24,0)</f>
        <v/>
      </c>
      <c r="AG43" s="127">
        <f>ROUND($B$5*$B$9*$B$11*$B$18*$B$14*$B$21*$B$22*$B$25,0)</f>
        <v/>
      </c>
      <c r="AH43" s="127">
        <f>ROUND($B$5*$B$9*$B$11*$B$18*$B$14*$B$21*$B$23*$B$24,0)</f>
        <v/>
      </c>
      <c r="AI43" s="127">
        <f>ROUND($B$5*$B$9*$B$11*$B$18*$B$14*$B$21*$B$23*$B$25,0)</f>
        <v/>
      </c>
      <c r="AJ43" s="127">
        <f>ROUND($B$5*$B$9*$B$11*$B$18*$B$15*$B$20*$B$22*$B$24,0)</f>
        <v/>
      </c>
      <c r="AK43" s="127">
        <f>ROUND($B$5*$B$9*$B$11*$B$18*$B$15*$B$20*$B$22*$B$25,0)</f>
        <v/>
      </c>
      <c r="AL43" s="127">
        <f>ROUND($B$5*$B$9*$B$11*$B$18*$B$15*$B$20*$B$23*$B$24,0)</f>
        <v/>
      </c>
      <c r="AM43" s="127">
        <f>ROUND($B$5*$B$9*$B$11*$B$18*$B$15*$B$20*$B$23*$B$25,0)</f>
        <v/>
      </c>
      <c r="AN43" s="127">
        <f>ROUND($B$5*$B$9*$B$11*$B$18*$B$15*$B$21*$B$22*$B$24,0)</f>
        <v/>
      </c>
      <c r="AO43" s="127">
        <f>ROUND($B$5*$B$9*$B$11*$B$18*$B$15*$B$21*$B$22*$B$25,0)</f>
        <v/>
      </c>
      <c r="AP43" s="127">
        <f>ROUND($B$5*$B$9*$B$11*$B$18*$B$15*$B$21*$B$23*$B$24,0)</f>
        <v/>
      </c>
      <c r="AQ43" s="127">
        <f>ROUND($B$5*$B$9*$B$11*$B$18*$B$15*$B$21*$B$23*$B$25,0)</f>
        <v/>
      </c>
      <c r="AR43" s="127">
        <f>ROUND($B$5*$B$9*$B$11*$B$18*$B$16*$B$20*$B$22*$B$24,0)</f>
        <v/>
      </c>
      <c r="AS43" s="127">
        <f>ROUND($B$5*$B$9*$B$11*$B$18*$B$16*$B$20*$B$22*$B$25,0)</f>
        <v/>
      </c>
      <c r="AT43" s="127">
        <f>ROUND($B$5*$B$9*$B$11*$B$18*$B$16*$B$20*$B$23*$B$24,0)</f>
        <v/>
      </c>
      <c r="AU43" s="127">
        <f>ROUND($B$5*$B$9*$B$11*$B$18*$B$16*$B$20*$B$23*$B$25,0)</f>
        <v/>
      </c>
      <c r="AV43" s="127">
        <f>ROUND($B$5*$B$9*$B$11*$B$18*$B$16*$B$21*$B$22*$B$24,0)</f>
        <v/>
      </c>
      <c r="AW43" s="127">
        <f>ROUND($B$5*$B$9*$B$11*$B$18*$B$16*$B$21*$B$22*$B$25,0)</f>
        <v/>
      </c>
      <c r="AX43" s="127">
        <f>ROUND($B$5*$B$9*$B$11*$B$18*$B$16*$B$21*$B$23*$B$24,0)</f>
        <v/>
      </c>
      <c r="AY43" s="127">
        <f>ROUND($B$5*$B$9*$B$11*$B$18*$B$16*$B$21*$B$23*$B$25,0)</f>
        <v/>
      </c>
      <c r="AZ43" s="127">
        <f>ROUND($B$6*$B$9*$B$11*$B$18*$B$14*$B$20*$B$22*$B$24,0)</f>
        <v/>
      </c>
      <c r="BA43" s="127">
        <f>ROUND($B$6*$B$9*$B$11*$B$18*$B$14*$B$20*$B$22*$B$25,0)</f>
        <v/>
      </c>
      <c r="BB43" s="127">
        <f>ROUND($B$6*$B$9*$B$11*$B$18*$B$14*$B$20*$B$23*$B$24,0)</f>
        <v/>
      </c>
      <c r="BC43" s="127">
        <f>ROUND($B$6*$B$9*$B$11*$B$18*$B$14*$B$20*$B$23*$B$25,0)</f>
        <v/>
      </c>
      <c r="BD43" s="127">
        <f>ROUND($B$6*$B$9*$B$11*$B$18*$B$14*$B$21*$B$22*$B$24,0)</f>
        <v/>
      </c>
      <c r="BE43" s="127">
        <f>ROUND($B$6*$B$9*$B$11*$B$18*$B$14*$B$21*$B$22*$B$25,0)</f>
        <v/>
      </c>
      <c r="BF43" s="127">
        <f>ROUND($B$6*$B$9*$B$11*$B$18*$B$14*$B$21*$B$23*$B$24,0)</f>
        <v/>
      </c>
      <c r="BG43" s="127">
        <f>ROUND($B$6*$B$9*$B$11*$B$18*$B$14*$B$21*$B$23*$B$25,0)</f>
        <v/>
      </c>
      <c r="BH43" s="127">
        <f>ROUND($B$6*$B$9*$B$11*$B$18*$B$15*$B$20*$B$22*$B$24,0)</f>
        <v/>
      </c>
      <c r="BI43" s="127">
        <f>ROUND($B$6*$B$9*$B$11*$B$18*$B$15*$B$20*$B$22*$B$25,0)</f>
        <v/>
      </c>
      <c r="BJ43" s="127">
        <f>ROUND($B$6*$B$9*$B$11*$B$18*$B$15*$B$20*$B$23*$B$24,0)</f>
        <v/>
      </c>
      <c r="BK43" s="127">
        <f>ROUND($B$6*$B$9*$B$11*$B$18*$B$15*$B$20*$B$23*$B$25,0)</f>
        <v/>
      </c>
      <c r="BL43" s="127">
        <f>ROUND($B$6*$B$9*$B$11*$B$18*$B$15*$B$21*$B$22*$B$24,0)</f>
        <v/>
      </c>
      <c r="BM43" s="127">
        <f>ROUND($B$6*$B$9*$B$11*$B$18*$B$15*$B$21*$B$22*$B$25,0)</f>
        <v/>
      </c>
      <c r="BN43" s="127">
        <f>ROUND($B$6*$B$9*$B$11*$B$18*$B$15*$B$21*$B$23*$B$24,0)</f>
        <v/>
      </c>
      <c r="BO43" s="127">
        <f>ROUND($B$6*$B$9*$B$11*$B$18*$B$15*$B$21*$B$23*$B$25,0)</f>
        <v/>
      </c>
      <c r="BP43" s="127">
        <f>ROUND($B$6*$B$9*$B$11*$B$18*$B$16*$B$20*$B$22*$B$24,0)</f>
        <v/>
      </c>
      <c r="BQ43" s="127">
        <f>ROUND($B$6*$B$9*$B$11*$B$18*$B$16*$B$20*$B$22*$B$25,0)</f>
        <v/>
      </c>
      <c r="BR43" s="127">
        <f>ROUND($B$6*$B$9*$B$11*$B$18*$B$16*$B$20*$B$23*$B$24,0)</f>
        <v/>
      </c>
      <c r="BS43" s="127">
        <f>ROUND($B$6*$B$9*$B$11*$B$18*$B$16*$B$20*$B$23*$B$25,0)</f>
        <v/>
      </c>
      <c r="BT43" s="127">
        <f>ROUND($B$6*$B$9*$B$11*$B$18*$B$16*$B$21*$B$22*$B$24,0)</f>
        <v/>
      </c>
      <c r="BU43" s="127">
        <f>ROUND($B$6*$B$9*$B$11*$B$18*$B$16*$B$21*$B$22*$B$25,0)</f>
        <v/>
      </c>
      <c r="BV43" s="127">
        <f>ROUND($B$6*$B$9*$B$11*$B$18*$B$16*$B$21*$B$23*$B$24,0)</f>
        <v/>
      </c>
      <c r="BW43" s="127">
        <f>ROUND($B$6*$B$9*$B$11*$B$18*$B$16*$B$21*$B$23*$B$25,0)</f>
        <v/>
      </c>
    </row>
    <row r="44" ht="20" customHeight="1" s="62">
      <c r="C44" s="129" t="inlineStr">
        <is>
          <t>16+ processus analysés</t>
        </is>
      </c>
      <c r="D44" s="127">
        <f>ROUND($B$4*$B$9*$B$11*$B$19*$B$14*$B$20*$B$22*$B$24,0)</f>
        <v/>
      </c>
      <c r="E44" s="127">
        <f>ROUND($B$4*$B$9*$B$11*$B$19*$B$14*$B$20*$B$22*$B$25,0)</f>
        <v/>
      </c>
      <c r="F44" s="127">
        <f>ROUND($B$4*$B$9*$B$11*$B$19*$B$14*$B$20*$B$23*$B$24,0)</f>
        <v/>
      </c>
      <c r="G44" s="127">
        <f>ROUND($B$4*$B$9*$B$11*$B$19*$B$14*$B$20*$B$23*$B$25,0)</f>
        <v/>
      </c>
      <c r="H44" s="127">
        <f>ROUND($B$4*$B$9*$B$11*$B$19*$B$14*$B$21*$B$22*$B$24,0)</f>
        <v/>
      </c>
      <c r="I44" s="127">
        <f>ROUND($B$4*$B$9*$B$11*$B$19*$B$14*$B$21*$B$22*$B$25,0)</f>
        <v/>
      </c>
      <c r="J44" s="127">
        <f>ROUND($B$4*$B$9*$B$11*$B$19*$B$14*$B$21*$B$23*$B$24,0)</f>
        <v/>
      </c>
      <c r="K44" s="127">
        <f>ROUND($B$4*$B$9*$B$11*$B$19*$B$14*$B$21*$B$23*$B$25,0)</f>
        <v/>
      </c>
      <c r="L44" s="127">
        <f>ROUND($B$4*$B$9*$B$11*$B$19*$B$15*$B$20*$B$22*$B$24,0)</f>
        <v/>
      </c>
      <c r="M44" s="127">
        <f>ROUND($B$4*$B$9*$B$11*$B$19*$B$15*$B$20*$B$22*$B$25,0)</f>
        <v/>
      </c>
      <c r="N44" s="127">
        <f>ROUND($B$4*$B$9*$B$11*$B$19*$B$15*$B$20*$B$23*$B$24,0)</f>
        <v/>
      </c>
      <c r="O44" s="127">
        <f>ROUND($B$4*$B$9*$B$11*$B$19*$B$15*$B$20*$B$23*$B$25,0)</f>
        <v/>
      </c>
      <c r="P44" s="127">
        <f>ROUND($B$4*$B$9*$B$11*$B$19*$B$15*$B$21*$B$22*$B$24,0)</f>
        <v/>
      </c>
      <c r="Q44" s="127">
        <f>ROUND($B$4*$B$9*$B$11*$B$19*$B$15*$B$21*$B$22*$B$25,0)</f>
        <v/>
      </c>
      <c r="R44" s="127">
        <f>ROUND($B$4*$B$9*$B$11*$B$19*$B$15*$B$21*$B$23*$B$24,0)</f>
        <v/>
      </c>
      <c r="S44" s="127">
        <f>ROUND($B$4*$B$9*$B$11*$B$19*$B$15*$B$21*$B$23*$B$25,0)</f>
        <v/>
      </c>
      <c r="T44" s="127">
        <f>ROUND($B$4*$B$9*$B$11*$B$19*$B$16*$B$20*$B$22*$B$24,0)</f>
        <v/>
      </c>
      <c r="U44" s="127">
        <f>ROUND($B$4*$B$9*$B$11*$B$19*$B$16*$B$20*$B$22*$B$25,0)</f>
        <v/>
      </c>
      <c r="V44" s="127">
        <f>ROUND($B$4*$B$9*$B$11*$B$19*$B$16*$B$20*$B$23*$B$24,0)</f>
        <v/>
      </c>
      <c r="W44" s="127">
        <f>ROUND($B$4*$B$9*$B$11*$B$19*$B$16*$B$20*$B$23*$B$25,0)</f>
        <v/>
      </c>
      <c r="X44" s="127">
        <f>ROUND($B$4*$B$9*$B$11*$B$19*$B$16*$B$21*$B$22*$B$24,0)</f>
        <v/>
      </c>
      <c r="Y44" s="127">
        <f>ROUND($B$4*$B$9*$B$11*$B$19*$B$16*$B$21*$B$22*$B$25,0)</f>
        <v/>
      </c>
      <c r="Z44" s="127">
        <f>ROUND($B$4*$B$9*$B$11*$B$19*$B$16*$B$21*$B$23*$B$24,0)</f>
        <v/>
      </c>
      <c r="AA44" s="127">
        <f>ROUND($B$4*$B$9*$B$11*$B$19*$B$16*$B$21*$B$23*$B$25,0)</f>
        <v/>
      </c>
      <c r="AB44" s="127">
        <f>ROUND($B$5*$B$9*$B$11*$B$19*$B$14*$B$20*$B$22*$B$24,0)</f>
        <v/>
      </c>
      <c r="AC44" s="127">
        <f>ROUND($B$5*$B$9*$B$11*$B$19*$B$14*$B$20*$B$22*$B$25,0)</f>
        <v/>
      </c>
      <c r="AD44" s="127">
        <f>ROUND($B$5*$B$9*$B$11*$B$19*$B$14*$B$20*$B$23*$B$24,0)</f>
        <v/>
      </c>
      <c r="AE44" s="127">
        <f>ROUND($B$5*$B$9*$B$11*$B$19*$B$14*$B$20*$B$23*$B$25,0)</f>
        <v/>
      </c>
      <c r="AF44" s="127">
        <f>ROUND($B$5*$B$9*$B$11*$B$19*$B$14*$B$21*$B$22*$B$24,0)</f>
        <v/>
      </c>
      <c r="AG44" s="127">
        <f>ROUND($B$5*$B$9*$B$11*$B$19*$B$14*$B$21*$B$22*$B$25,0)</f>
        <v/>
      </c>
      <c r="AH44" s="127">
        <f>ROUND($B$5*$B$9*$B$11*$B$19*$B$14*$B$21*$B$23*$B$24,0)</f>
        <v/>
      </c>
      <c r="AI44" s="127">
        <f>ROUND($B$5*$B$9*$B$11*$B$19*$B$14*$B$21*$B$23*$B$25,0)</f>
        <v/>
      </c>
      <c r="AJ44" s="127">
        <f>ROUND($B$5*$B$9*$B$11*$B$19*$B$15*$B$20*$B$22*$B$24,0)</f>
        <v/>
      </c>
      <c r="AK44" s="127">
        <f>ROUND($B$5*$B$9*$B$11*$B$19*$B$15*$B$20*$B$22*$B$25,0)</f>
        <v/>
      </c>
      <c r="AL44" s="127">
        <f>ROUND($B$5*$B$9*$B$11*$B$19*$B$15*$B$20*$B$23*$B$24,0)</f>
        <v/>
      </c>
      <c r="AM44" s="127">
        <f>ROUND($B$5*$B$9*$B$11*$B$19*$B$15*$B$20*$B$23*$B$25,0)</f>
        <v/>
      </c>
      <c r="AN44" s="127">
        <f>ROUND($B$5*$B$9*$B$11*$B$19*$B$15*$B$21*$B$22*$B$24,0)</f>
        <v/>
      </c>
      <c r="AO44" s="127">
        <f>ROUND($B$5*$B$9*$B$11*$B$19*$B$15*$B$21*$B$22*$B$25,0)</f>
        <v/>
      </c>
      <c r="AP44" s="127">
        <f>ROUND($B$5*$B$9*$B$11*$B$19*$B$15*$B$21*$B$23*$B$24,0)</f>
        <v/>
      </c>
      <c r="AQ44" s="127">
        <f>ROUND($B$5*$B$9*$B$11*$B$19*$B$15*$B$21*$B$23*$B$25,0)</f>
        <v/>
      </c>
      <c r="AR44" s="127">
        <f>ROUND($B$5*$B$9*$B$11*$B$19*$B$16*$B$20*$B$22*$B$24,0)</f>
        <v/>
      </c>
      <c r="AS44" s="127">
        <f>ROUND($B$5*$B$9*$B$11*$B$19*$B$16*$B$20*$B$22*$B$25,0)</f>
        <v/>
      </c>
      <c r="AT44" s="127">
        <f>ROUND($B$5*$B$9*$B$11*$B$19*$B$16*$B$20*$B$23*$B$24,0)</f>
        <v/>
      </c>
      <c r="AU44" s="127">
        <f>ROUND($B$5*$B$9*$B$11*$B$19*$B$16*$B$20*$B$23*$B$25,0)</f>
        <v/>
      </c>
      <c r="AV44" s="127">
        <f>ROUND($B$5*$B$9*$B$11*$B$19*$B$16*$B$21*$B$22*$B$24,0)</f>
        <v/>
      </c>
      <c r="AW44" s="127">
        <f>ROUND($B$5*$B$9*$B$11*$B$19*$B$16*$B$21*$B$22*$B$25,0)</f>
        <v/>
      </c>
      <c r="AX44" s="127">
        <f>ROUND($B$5*$B$9*$B$11*$B$19*$B$16*$B$21*$B$23*$B$24,0)</f>
        <v/>
      </c>
      <c r="AY44" s="127">
        <f>ROUND($B$5*$B$9*$B$11*$B$19*$B$16*$B$21*$B$23*$B$25,0)</f>
        <v/>
      </c>
      <c r="AZ44" s="127">
        <f>ROUND($B$6*$B$9*$B$11*$B$19*$B$14*$B$20*$B$22*$B$24,0)</f>
        <v/>
      </c>
      <c r="BA44" s="127">
        <f>ROUND($B$6*$B$9*$B$11*$B$19*$B$14*$B$20*$B$22*$B$25,0)</f>
        <v/>
      </c>
      <c r="BB44" s="127">
        <f>ROUND($B$6*$B$9*$B$11*$B$19*$B$14*$B$20*$B$23*$B$24,0)</f>
        <v/>
      </c>
      <c r="BC44" s="127">
        <f>ROUND($B$6*$B$9*$B$11*$B$19*$B$14*$B$20*$B$23*$B$25,0)</f>
        <v/>
      </c>
      <c r="BD44" s="127">
        <f>ROUND($B$6*$B$9*$B$11*$B$19*$B$14*$B$21*$B$22*$B$24,0)</f>
        <v/>
      </c>
      <c r="BE44" s="127">
        <f>ROUND($B$6*$B$9*$B$11*$B$19*$B$14*$B$21*$B$22*$B$25,0)</f>
        <v/>
      </c>
      <c r="BF44" s="127">
        <f>ROUND($B$6*$B$9*$B$11*$B$19*$B$14*$B$21*$B$23*$B$24,0)</f>
        <v/>
      </c>
      <c r="BG44" s="127">
        <f>ROUND($B$6*$B$9*$B$11*$B$19*$B$14*$B$21*$B$23*$B$25,0)</f>
        <v/>
      </c>
      <c r="BH44" s="127">
        <f>ROUND($B$6*$B$9*$B$11*$B$19*$B$15*$B$20*$B$22*$B$24,0)</f>
        <v/>
      </c>
      <c r="BI44" s="127">
        <f>ROUND($B$6*$B$9*$B$11*$B$19*$B$15*$B$20*$B$22*$B$25,0)</f>
        <v/>
      </c>
      <c r="BJ44" s="127">
        <f>ROUND($B$6*$B$9*$B$11*$B$19*$B$15*$B$20*$B$23*$B$24,0)</f>
        <v/>
      </c>
      <c r="BK44" s="127">
        <f>ROUND($B$6*$B$9*$B$11*$B$19*$B$15*$B$20*$B$23*$B$25,0)</f>
        <v/>
      </c>
      <c r="BL44" s="127">
        <f>ROUND($B$6*$B$9*$B$11*$B$19*$B$15*$B$21*$B$22*$B$24,0)</f>
        <v/>
      </c>
      <c r="BM44" s="127">
        <f>ROUND($B$6*$B$9*$B$11*$B$19*$B$15*$B$21*$B$22*$B$25,0)</f>
        <v/>
      </c>
      <c r="BN44" s="127">
        <f>ROUND($B$6*$B$9*$B$11*$B$19*$B$15*$B$21*$B$23*$B$24,0)</f>
        <v/>
      </c>
      <c r="BO44" s="127">
        <f>ROUND($B$6*$B$9*$B$11*$B$19*$B$15*$B$21*$B$23*$B$25,0)</f>
        <v/>
      </c>
      <c r="BP44" s="127">
        <f>ROUND($B$6*$B$9*$B$11*$B$19*$B$16*$B$20*$B$22*$B$24,0)</f>
        <v/>
      </c>
      <c r="BQ44" s="127">
        <f>ROUND($B$6*$B$9*$B$11*$B$19*$B$16*$B$20*$B$22*$B$25,0)</f>
        <v/>
      </c>
      <c r="BR44" s="127">
        <f>ROUND($B$6*$B$9*$B$11*$B$19*$B$16*$B$20*$B$23*$B$24,0)</f>
        <v/>
      </c>
      <c r="BS44" s="127">
        <f>ROUND($B$6*$B$9*$B$11*$B$19*$B$16*$B$20*$B$23*$B$25,0)</f>
        <v/>
      </c>
      <c r="BT44" s="127">
        <f>ROUND($B$6*$B$9*$B$11*$B$19*$B$16*$B$21*$B$22*$B$24,0)</f>
        <v/>
      </c>
      <c r="BU44" s="127">
        <f>ROUND($B$6*$B$9*$B$11*$B$19*$B$16*$B$21*$B$22*$B$25,0)</f>
        <v/>
      </c>
      <c r="BV44" s="127">
        <f>ROUND($B$6*$B$9*$B$11*$B$19*$B$16*$B$21*$B$23*$B$24,0)</f>
        <v/>
      </c>
      <c r="BW44" s="127">
        <f>ROUND($B$6*$B$9*$B$11*$B$19*$B$16*$B$21*$B$23*$B$25,0)</f>
        <v/>
      </c>
    </row>
    <row r="45" ht="20" customHeight="1" s="62">
      <c r="B45" s="125" t="inlineStr">
        <is>
          <t>SI modérée</t>
        </is>
      </c>
      <c r="C45" s="126" t="inlineStr">
        <is>
          <t>1-5 processus analysés</t>
        </is>
      </c>
      <c r="D45" s="127">
        <f>ROUND($B$4*$B$9*$B$12*$B$17*$B$14*$B$20*$B$22*$B$24,0)</f>
        <v/>
      </c>
      <c r="E45" s="127">
        <f>ROUND($B$4*$B$9*$B$12*$B$17*$B$14*$B$20*$B$22*$B$25,0)</f>
        <v/>
      </c>
      <c r="F45" s="127">
        <f>ROUND($B$4*$B$9*$B$12*$B$17*$B$14*$B$20*$B$23*$B$24,0)</f>
        <v/>
      </c>
      <c r="G45" s="127">
        <f>ROUND($B$4*$B$9*$B$12*$B$17*$B$14*$B$20*$B$23*$B$25,0)</f>
        <v/>
      </c>
      <c r="H45" s="127">
        <f>ROUND($B$4*$B$9*$B$12*$B$17*$B$14*$B$21*$B$22*$B$24,0)</f>
        <v/>
      </c>
      <c r="I45" s="127">
        <f>ROUND($B$4*$B$9*$B$12*$B$17*$B$14*$B$21*$B$22*$B$25,0)</f>
        <v/>
      </c>
      <c r="J45" s="127">
        <f>ROUND($B$4*$B$9*$B$12*$B$17*$B$14*$B$21*$B$23*$B$24,0)</f>
        <v/>
      </c>
      <c r="K45" s="127">
        <f>ROUND($B$4*$B$9*$B$12*$B$17*$B$14*$B$21*$B$23*$B$25,0)</f>
        <v/>
      </c>
      <c r="L45" s="127">
        <f>ROUND($B$4*$B$9*$B$12*$B$17*$B$15*$B$20*$B$22*$B$24,0)</f>
        <v/>
      </c>
      <c r="M45" s="127">
        <f>ROUND($B$4*$B$9*$B$12*$B$17*$B$15*$B$20*$B$22*$B$25,0)</f>
        <v/>
      </c>
      <c r="N45" s="127">
        <f>ROUND($B$4*$B$9*$B$12*$B$17*$B$15*$B$20*$B$23*$B$24,0)</f>
        <v/>
      </c>
      <c r="O45" s="127">
        <f>ROUND($B$4*$B$9*$B$12*$B$17*$B$15*$B$20*$B$23*$B$25,0)</f>
        <v/>
      </c>
      <c r="P45" s="127">
        <f>ROUND($B$4*$B$9*$B$12*$B$17*$B$15*$B$21*$B$22*$B$24,0)</f>
        <v/>
      </c>
      <c r="Q45" s="127">
        <f>ROUND($B$4*$B$9*$B$12*$B$17*$B$15*$B$21*$B$22*$B$25,0)</f>
        <v/>
      </c>
      <c r="R45" s="127">
        <f>ROUND($B$4*$B$9*$B$12*$B$17*$B$15*$B$21*$B$23*$B$24,0)</f>
        <v/>
      </c>
      <c r="S45" s="127">
        <f>ROUND($B$4*$B$9*$B$12*$B$17*$B$15*$B$21*$B$23*$B$25,0)</f>
        <v/>
      </c>
      <c r="T45" s="127">
        <f>ROUND($B$4*$B$9*$B$12*$B$17*$B$16*$B$20*$B$22*$B$24,0)</f>
        <v/>
      </c>
      <c r="U45" s="127">
        <f>ROUND($B$4*$B$9*$B$12*$B$17*$B$16*$B$20*$B$22*$B$25,0)</f>
        <v/>
      </c>
      <c r="V45" s="127">
        <f>ROUND($B$4*$B$9*$B$12*$B$17*$B$16*$B$20*$B$23*$B$24,0)</f>
        <v/>
      </c>
      <c r="W45" s="127">
        <f>ROUND($B$4*$B$9*$B$12*$B$17*$B$16*$B$20*$B$23*$B$25,0)</f>
        <v/>
      </c>
      <c r="X45" s="127">
        <f>ROUND($B$4*$B$9*$B$12*$B$17*$B$16*$B$21*$B$22*$B$24,0)</f>
        <v/>
      </c>
      <c r="Y45" s="127">
        <f>ROUND($B$4*$B$9*$B$12*$B$17*$B$16*$B$21*$B$22*$B$25,0)</f>
        <v/>
      </c>
      <c r="Z45" s="127">
        <f>ROUND($B$4*$B$9*$B$12*$B$17*$B$16*$B$21*$B$23*$B$24,0)</f>
        <v/>
      </c>
      <c r="AA45" s="127">
        <f>ROUND($B$4*$B$9*$B$12*$B$17*$B$16*$B$21*$B$23*$B$25,0)</f>
        <v/>
      </c>
      <c r="AB45" s="127">
        <f>ROUND($B$5*$B$9*$B$12*$B$17*$B$14*$B$20*$B$22*$B$24,0)</f>
        <v/>
      </c>
      <c r="AC45" s="127">
        <f>ROUND($B$5*$B$9*$B$12*$B$17*$B$14*$B$20*$B$22*$B$25,0)</f>
        <v/>
      </c>
      <c r="AD45" s="127">
        <f>ROUND($B$5*$B$9*$B$12*$B$17*$B$14*$B$20*$B$23*$B$24,0)</f>
        <v/>
      </c>
      <c r="AE45" s="127">
        <f>ROUND($B$5*$B$9*$B$12*$B$17*$B$14*$B$20*$B$23*$B$25,0)</f>
        <v/>
      </c>
      <c r="AF45" s="127">
        <f>ROUND($B$5*$B$9*$B$12*$B$17*$B$14*$B$21*$B$22*$B$24,0)</f>
        <v/>
      </c>
      <c r="AG45" s="127">
        <f>ROUND($B$5*$B$9*$B$12*$B$17*$B$14*$B$21*$B$22*$B$25,0)</f>
        <v/>
      </c>
      <c r="AH45" s="127">
        <f>ROUND($B$5*$B$9*$B$12*$B$17*$B$14*$B$21*$B$23*$B$24,0)</f>
        <v/>
      </c>
      <c r="AI45" s="127">
        <f>ROUND($B$5*$B$9*$B$12*$B$17*$B$14*$B$21*$B$23*$B$25,0)</f>
        <v/>
      </c>
      <c r="AJ45" s="127">
        <f>ROUND($B$5*$B$9*$B$12*$B$17*$B$15*$B$20*$B$22*$B$24,0)</f>
        <v/>
      </c>
      <c r="AK45" s="127">
        <f>ROUND($B$5*$B$9*$B$12*$B$17*$B$15*$B$20*$B$22*$B$25,0)</f>
        <v/>
      </c>
      <c r="AL45" s="127">
        <f>ROUND($B$5*$B$9*$B$12*$B$17*$B$15*$B$20*$B$23*$B$24,0)</f>
        <v/>
      </c>
      <c r="AM45" s="127">
        <f>ROUND($B$5*$B$9*$B$12*$B$17*$B$15*$B$20*$B$23*$B$25,0)</f>
        <v/>
      </c>
      <c r="AN45" s="127">
        <f>ROUND($B$5*$B$9*$B$12*$B$17*$B$15*$B$21*$B$22*$B$24,0)</f>
        <v/>
      </c>
      <c r="AO45" s="127">
        <f>ROUND($B$5*$B$9*$B$12*$B$17*$B$15*$B$21*$B$22*$B$25,0)</f>
        <v/>
      </c>
      <c r="AP45" s="127">
        <f>ROUND($B$5*$B$9*$B$12*$B$17*$B$15*$B$21*$B$23*$B$24,0)</f>
        <v/>
      </c>
      <c r="AQ45" s="127">
        <f>ROUND($B$5*$B$9*$B$12*$B$17*$B$15*$B$21*$B$23*$B$25,0)</f>
        <v/>
      </c>
      <c r="AR45" s="127">
        <f>ROUND($B$5*$B$9*$B$12*$B$17*$B$16*$B$20*$B$22*$B$24,0)</f>
        <v/>
      </c>
      <c r="AS45" s="127">
        <f>ROUND($B$5*$B$9*$B$12*$B$17*$B$16*$B$20*$B$22*$B$25,0)</f>
        <v/>
      </c>
      <c r="AT45" s="127">
        <f>ROUND($B$5*$B$9*$B$12*$B$17*$B$16*$B$20*$B$23*$B$24,0)</f>
        <v/>
      </c>
      <c r="AU45" s="127">
        <f>ROUND($B$5*$B$9*$B$12*$B$17*$B$16*$B$20*$B$23*$B$25,0)</f>
        <v/>
      </c>
      <c r="AV45" s="127">
        <f>ROUND($B$5*$B$9*$B$12*$B$17*$B$16*$B$21*$B$22*$B$24,0)</f>
        <v/>
      </c>
      <c r="AW45" s="127">
        <f>ROUND($B$5*$B$9*$B$12*$B$17*$B$16*$B$21*$B$22*$B$25,0)</f>
        <v/>
      </c>
      <c r="AX45" s="127">
        <f>ROUND($B$5*$B$9*$B$12*$B$17*$B$16*$B$21*$B$23*$B$24,0)</f>
        <v/>
      </c>
      <c r="AY45" s="127">
        <f>ROUND($B$5*$B$9*$B$12*$B$17*$B$16*$B$21*$B$23*$B$25,0)</f>
        <v/>
      </c>
      <c r="AZ45" s="127">
        <f>ROUND($B$6*$B$9*$B$12*$B$17*$B$14*$B$20*$B$22*$B$24,0)</f>
        <v/>
      </c>
      <c r="BA45" s="127">
        <f>ROUND($B$6*$B$9*$B$12*$B$17*$B$14*$B$20*$B$22*$B$25,0)</f>
        <v/>
      </c>
      <c r="BB45" s="127">
        <f>ROUND($B$6*$B$9*$B$12*$B$17*$B$14*$B$20*$B$23*$B$24,0)</f>
        <v/>
      </c>
      <c r="BC45" s="127">
        <f>ROUND($B$6*$B$9*$B$12*$B$17*$B$14*$B$20*$B$23*$B$25,0)</f>
        <v/>
      </c>
      <c r="BD45" s="127">
        <f>ROUND($B$6*$B$9*$B$12*$B$17*$B$14*$B$21*$B$22*$B$24,0)</f>
        <v/>
      </c>
      <c r="BE45" s="127">
        <f>ROUND($B$6*$B$9*$B$12*$B$17*$B$14*$B$21*$B$22*$B$25,0)</f>
        <v/>
      </c>
      <c r="BF45" s="127">
        <f>ROUND($B$6*$B$9*$B$12*$B$17*$B$14*$B$21*$B$23*$B$24,0)</f>
        <v/>
      </c>
      <c r="BG45" s="127">
        <f>ROUND($B$6*$B$9*$B$12*$B$17*$B$14*$B$21*$B$23*$B$25,0)</f>
        <v/>
      </c>
      <c r="BH45" s="127">
        <f>ROUND($B$6*$B$9*$B$12*$B$17*$B$15*$B$20*$B$22*$B$24,0)</f>
        <v/>
      </c>
      <c r="BI45" s="127">
        <f>ROUND($B$6*$B$9*$B$12*$B$17*$B$15*$B$20*$B$22*$B$25,0)</f>
        <v/>
      </c>
      <c r="BJ45" s="127">
        <f>ROUND($B$6*$B$9*$B$12*$B$17*$B$15*$B$20*$B$23*$B$24,0)</f>
        <v/>
      </c>
      <c r="BK45" s="127">
        <f>ROUND($B$6*$B$9*$B$12*$B$17*$B$15*$B$20*$B$23*$B$25,0)</f>
        <v/>
      </c>
      <c r="BL45" s="127">
        <f>ROUND($B$6*$B$9*$B$12*$B$17*$B$15*$B$21*$B$22*$B$24,0)</f>
        <v/>
      </c>
      <c r="BM45" s="127">
        <f>ROUND($B$6*$B$9*$B$12*$B$17*$B$15*$B$21*$B$22*$B$25,0)</f>
        <v/>
      </c>
      <c r="BN45" s="127">
        <f>ROUND($B$6*$B$9*$B$12*$B$17*$B$15*$B$21*$B$23*$B$24,0)</f>
        <v/>
      </c>
      <c r="BO45" s="127">
        <f>ROUND($B$6*$B$9*$B$12*$B$17*$B$15*$B$21*$B$23*$B$25,0)</f>
        <v/>
      </c>
      <c r="BP45" s="127">
        <f>ROUND($B$6*$B$9*$B$12*$B$17*$B$16*$B$20*$B$22*$B$24,0)</f>
        <v/>
      </c>
      <c r="BQ45" s="127">
        <f>ROUND($B$6*$B$9*$B$12*$B$17*$B$16*$B$20*$B$22*$B$25,0)</f>
        <v/>
      </c>
      <c r="BR45" s="127">
        <f>ROUND($B$6*$B$9*$B$12*$B$17*$B$16*$B$20*$B$23*$B$24,0)</f>
        <v/>
      </c>
      <c r="BS45" s="127">
        <f>ROUND($B$6*$B$9*$B$12*$B$17*$B$16*$B$20*$B$23*$B$25,0)</f>
        <v/>
      </c>
      <c r="BT45" s="127">
        <f>ROUND($B$6*$B$9*$B$12*$B$17*$B$16*$B$21*$B$22*$B$24,0)</f>
        <v/>
      </c>
      <c r="BU45" s="127">
        <f>ROUND($B$6*$B$9*$B$12*$B$17*$B$16*$B$21*$B$22*$B$25,0)</f>
        <v/>
      </c>
      <c r="BV45" s="127">
        <f>ROUND($B$6*$B$9*$B$12*$B$17*$B$16*$B$21*$B$23*$B$24,0)</f>
        <v/>
      </c>
      <c r="BW45" s="127">
        <f>ROUND($B$6*$B$9*$B$12*$B$17*$B$16*$B$21*$B$23*$B$25,0)</f>
        <v/>
      </c>
    </row>
    <row r="46" ht="20" customHeight="1" s="62">
      <c r="C46" s="125" t="inlineStr">
        <is>
          <t>6-15 processus analysés</t>
        </is>
      </c>
      <c r="D46" s="127">
        <f>ROUND($B$4*$B$9*$B$12*$B$18*$B$14*$B$20*$B$22*$B$24,0)</f>
        <v/>
      </c>
      <c r="E46" s="127">
        <f>ROUND($B$4*$B$9*$B$12*$B$18*$B$14*$B$20*$B$22*$B$25,0)</f>
        <v/>
      </c>
      <c r="F46" s="127">
        <f>ROUND($B$4*$B$9*$B$12*$B$18*$B$14*$B$20*$B$23*$B$24,0)</f>
        <v/>
      </c>
      <c r="G46" s="127">
        <f>ROUND($B$4*$B$9*$B$12*$B$18*$B$14*$B$20*$B$23*$B$25,0)</f>
        <v/>
      </c>
      <c r="H46" s="127">
        <f>ROUND($B$4*$B$9*$B$12*$B$18*$B$14*$B$21*$B$22*$B$24,0)</f>
        <v/>
      </c>
      <c r="I46" s="127">
        <f>ROUND($B$4*$B$9*$B$12*$B$18*$B$14*$B$21*$B$22*$B$25,0)</f>
        <v/>
      </c>
      <c r="J46" s="127">
        <f>ROUND($B$4*$B$9*$B$12*$B$18*$B$14*$B$21*$B$23*$B$24,0)</f>
        <v/>
      </c>
      <c r="K46" s="127">
        <f>ROUND($B$4*$B$9*$B$12*$B$18*$B$14*$B$21*$B$23*$B$25,0)</f>
        <v/>
      </c>
      <c r="L46" s="127">
        <f>ROUND($B$4*$B$9*$B$12*$B$18*$B$15*$B$20*$B$22*$B$24,0)</f>
        <v/>
      </c>
      <c r="M46" s="127">
        <f>ROUND($B$4*$B$9*$B$12*$B$18*$B$15*$B$20*$B$22*$B$25,0)</f>
        <v/>
      </c>
      <c r="N46" s="127">
        <f>ROUND($B$4*$B$9*$B$12*$B$18*$B$15*$B$20*$B$23*$B$24,0)</f>
        <v/>
      </c>
      <c r="O46" s="127">
        <f>ROUND($B$4*$B$9*$B$12*$B$18*$B$15*$B$20*$B$23*$B$25,0)</f>
        <v/>
      </c>
      <c r="P46" s="127">
        <f>ROUND($B$4*$B$9*$B$12*$B$18*$B$15*$B$21*$B$22*$B$24,0)</f>
        <v/>
      </c>
      <c r="Q46" s="127">
        <f>ROUND($B$4*$B$9*$B$12*$B$18*$B$15*$B$21*$B$22*$B$25,0)</f>
        <v/>
      </c>
      <c r="R46" s="127">
        <f>ROUND($B$4*$B$9*$B$12*$B$18*$B$15*$B$21*$B$23*$B$24,0)</f>
        <v/>
      </c>
      <c r="S46" s="127">
        <f>ROUND($B$4*$B$9*$B$12*$B$18*$B$15*$B$21*$B$23*$B$25,0)</f>
        <v/>
      </c>
      <c r="T46" s="127">
        <f>ROUND($B$4*$B$9*$B$12*$B$18*$B$16*$B$20*$B$22*$B$24,0)</f>
        <v/>
      </c>
      <c r="U46" s="127">
        <f>ROUND($B$4*$B$9*$B$12*$B$18*$B$16*$B$20*$B$22*$B$25,0)</f>
        <v/>
      </c>
      <c r="V46" s="127">
        <f>ROUND($B$4*$B$9*$B$12*$B$18*$B$16*$B$20*$B$23*$B$24,0)</f>
        <v/>
      </c>
      <c r="W46" s="127">
        <f>ROUND($B$4*$B$9*$B$12*$B$18*$B$16*$B$20*$B$23*$B$25,0)</f>
        <v/>
      </c>
      <c r="X46" s="127">
        <f>ROUND($B$4*$B$9*$B$12*$B$18*$B$16*$B$21*$B$22*$B$24,0)</f>
        <v/>
      </c>
      <c r="Y46" s="127">
        <f>ROUND($B$4*$B$9*$B$12*$B$18*$B$16*$B$21*$B$22*$B$25,0)</f>
        <v/>
      </c>
      <c r="Z46" s="127">
        <f>ROUND($B$4*$B$9*$B$12*$B$18*$B$16*$B$21*$B$23*$B$24,0)</f>
        <v/>
      </c>
      <c r="AA46" s="127">
        <f>ROUND($B$4*$B$9*$B$12*$B$18*$B$16*$B$21*$B$23*$B$25,0)</f>
        <v/>
      </c>
      <c r="AB46" s="127">
        <f>ROUND($B$5*$B$9*$B$12*$B$18*$B$14*$B$20*$B$22*$B$24,0)</f>
        <v/>
      </c>
      <c r="AC46" s="127">
        <f>ROUND($B$5*$B$9*$B$12*$B$18*$B$14*$B$20*$B$22*$B$25,0)</f>
        <v/>
      </c>
      <c r="AD46" s="127">
        <f>ROUND($B$5*$B$9*$B$12*$B$18*$B$14*$B$20*$B$23*$B$24,0)</f>
        <v/>
      </c>
      <c r="AE46" s="127">
        <f>ROUND($B$5*$B$9*$B$12*$B$18*$B$14*$B$20*$B$23*$B$25,0)</f>
        <v/>
      </c>
      <c r="AF46" s="127">
        <f>ROUND($B$5*$B$9*$B$12*$B$18*$B$14*$B$21*$B$22*$B$24,0)</f>
        <v/>
      </c>
      <c r="AG46" s="127">
        <f>ROUND($B$5*$B$9*$B$12*$B$18*$B$14*$B$21*$B$22*$B$25,0)</f>
        <v/>
      </c>
      <c r="AH46" s="127">
        <f>ROUND($B$5*$B$9*$B$12*$B$18*$B$14*$B$21*$B$23*$B$24,0)</f>
        <v/>
      </c>
      <c r="AI46" s="127">
        <f>ROUND($B$5*$B$9*$B$12*$B$18*$B$14*$B$21*$B$23*$B$25,0)</f>
        <v/>
      </c>
      <c r="AJ46" s="127">
        <f>ROUND($B$5*$B$9*$B$12*$B$18*$B$15*$B$20*$B$22*$B$24,0)</f>
        <v/>
      </c>
      <c r="AK46" s="127">
        <f>ROUND($B$5*$B$9*$B$12*$B$18*$B$15*$B$20*$B$22*$B$25,0)</f>
        <v/>
      </c>
      <c r="AL46" s="127">
        <f>ROUND($B$5*$B$9*$B$12*$B$18*$B$15*$B$20*$B$23*$B$24,0)</f>
        <v/>
      </c>
      <c r="AM46" s="127">
        <f>ROUND($B$5*$B$9*$B$12*$B$18*$B$15*$B$20*$B$23*$B$25,0)</f>
        <v/>
      </c>
      <c r="AN46" s="127">
        <f>ROUND($B$5*$B$9*$B$12*$B$18*$B$15*$B$21*$B$22*$B$24,0)</f>
        <v/>
      </c>
      <c r="AO46" s="127">
        <f>ROUND($B$5*$B$9*$B$12*$B$18*$B$15*$B$21*$B$22*$B$25,0)</f>
        <v/>
      </c>
      <c r="AP46" s="127">
        <f>ROUND($B$5*$B$9*$B$12*$B$18*$B$15*$B$21*$B$23*$B$24,0)</f>
        <v/>
      </c>
      <c r="AQ46" s="127">
        <f>ROUND($B$5*$B$9*$B$12*$B$18*$B$15*$B$21*$B$23*$B$25,0)</f>
        <v/>
      </c>
      <c r="AR46" s="127">
        <f>ROUND($B$5*$B$9*$B$12*$B$18*$B$16*$B$20*$B$22*$B$24,0)</f>
        <v/>
      </c>
      <c r="AS46" s="127">
        <f>ROUND($B$5*$B$9*$B$12*$B$18*$B$16*$B$20*$B$22*$B$25,0)</f>
        <v/>
      </c>
      <c r="AT46" s="127">
        <f>ROUND($B$5*$B$9*$B$12*$B$18*$B$16*$B$20*$B$23*$B$24,0)</f>
        <v/>
      </c>
      <c r="AU46" s="127">
        <f>ROUND($B$5*$B$9*$B$12*$B$18*$B$16*$B$20*$B$23*$B$25,0)</f>
        <v/>
      </c>
      <c r="AV46" s="127">
        <f>ROUND($B$5*$B$9*$B$12*$B$18*$B$16*$B$21*$B$22*$B$24,0)</f>
        <v/>
      </c>
      <c r="AW46" s="127">
        <f>ROUND($B$5*$B$9*$B$12*$B$18*$B$16*$B$21*$B$22*$B$25,0)</f>
        <v/>
      </c>
      <c r="AX46" s="127">
        <f>ROUND($B$5*$B$9*$B$12*$B$18*$B$16*$B$21*$B$23*$B$24,0)</f>
        <v/>
      </c>
      <c r="AY46" s="127">
        <f>ROUND($B$5*$B$9*$B$12*$B$18*$B$16*$B$21*$B$23*$B$25,0)</f>
        <v/>
      </c>
      <c r="AZ46" s="127">
        <f>ROUND($B$6*$B$9*$B$12*$B$18*$B$14*$B$20*$B$22*$B$24,0)</f>
        <v/>
      </c>
      <c r="BA46" s="127">
        <f>ROUND($B$6*$B$9*$B$12*$B$18*$B$14*$B$20*$B$22*$B$25,0)</f>
        <v/>
      </c>
      <c r="BB46" s="127">
        <f>ROUND($B$6*$B$9*$B$12*$B$18*$B$14*$B$20*$B$23*$B$24,0)</f>
        <v/>
      </c>
      <c r="BC46" s="127">
        <f>ROUND($B$6*$B$9*$B$12*$B$18*$B$14*$B$20*$B$23*$B$25,0)</f>
        <v/>
      </c>
      <c r="BD46" s="127">
        <f>ROUND($B$6*$B$9*$B$12*$B$18*$B$14*$B$21*$B$22*$B$24,0)</f>
        <v/>
      </c>
      <c r="BE46" s="127">
        <f>ROUND($B$6*$B$9*$B$12*$B$18*$B$14*$B$21*$B$22*$B$25,0)</f>
        <v/>
      </c>
      <c r="BF46" s="127">
        <f>ROUND($B$6*$B$9*$B$12*$B$18*$B$14*$B$21*$B$23*$B$24,0)</f>
        <v/>
      </c>
      <c r="BG46" s="127">
        <f>ROUND($B$6*$B$9*$B$12*$B$18*$B$14*$B$21*$B$23*$B$25,0)</f>
        <v/>
      </c>
      <c r="BH46" s="127">
        <f>ROUND($B$6*$B$9*$B$12*$B$18*$B$15*$B$20*$B$22*$B$24,0)</f>
        <v/>
      </c>
      <c r="BI46" s="127">
        <f>ROUND($B$6*$B$9*$B$12*$B$18*$B$15*$B$20*$B$22*$B$25,0)</f>
        <v/>
      </c>
      <c r="BJ46" s="127">
        <f>ROUND($B$6*$B$9*$B$12*$B$18*$B$15*$B$20*$B$23*$B$24,0)</f>
        <v/>
      </c>
      <c r="BK46" s="127">
        <f>ROUND($B$6*$B$9*$B$12*$B$18*$B$15*$B$20*$B$23*$B$25,0)</f>
        <v/>
      </c>
      <c r="BL46" s="127">
        <f>ROUND($B$6*$B$9*$B$12*$B$18*$B$15*$B$21*$B$22*$B$24,0)</f>
        <v/>
      </c>
      <c r="BM46" s="127">
        <f>ROUND($B$6*$B$9*$B$12*$B$18*$B$15*$B$21*$B$22*$B$25,0)</f>
        <v/>
      </c>
      <c r="BN46" s="127">
        <f>ROUND($B$6*$B$9*$B$12*$B$18*$B$15*$B$21*$B$23*$B$24,0)</f>
        <v/>
      </c>
      <c r="BO46" s="127">
        <f>ROUND($B$6*$B$9*$B$12*$B$18*$B$15*$B$21*$B$23*$B$25,0)</f>
        <v/>
      </c>
      <c r="BP46" s="127">
        <f>ROUND($B$6*$B$9*$B$12*$B$18*$B$16*$B$20*$B$22*$B$24,0)</f>
        <v/>
      </c>
      <c r="BQ46" s="127">
        <f>ROUND($B$6*$B$9*$B$12*$B$18*$B$16*$B$20*$B$22*$B$25,0)</f>
        <v/>
      </c>
      <c r="BR46" s="127">
        <f>ROUND($B$6*$B$9*$B$12*$B$18*$B$16*$B$20*$B$23*$B$24,0)</f>
        <v/>
      </c>
      <c r="BS46" s="127">
        <f>ROUND($B$6*$B$9*$B$12*$B$18*$B$16*$B$20*$B$23*$B$25,0)</f>
        <v/>
      </c>
      <c r="BT46" s="127">
        <f>ROUND($B$6*$B$9*$B$12*$B$18*$B$16*$B$21*$B$22*$B$24,0)</f>
        <v/>
      </c>
      <c r="BU46" s="127">
        <f>ROUND($B$6*$B$9*$B$12*$B$18*$B$16*$B$21*$B$22*$B$25,0)</f>
        <v/>
      </c>
      <c r="BV46" s="127">
        <f>ROUND($B$6*$B$9*$B$12*$B$18*$B$16*$B$21*$B$23*$B$24,0)</f>
        <v/>
      </c>
      <c r="BW46" s="127">
        <f>ROUND($B$6*$B$9*$B$12*$B$18*$B$16*$B$21*$B$23*$B$25,0)</f>
        <v/>
      </c>
    </row>
    <row r="47" ht="20" customHeight="1" s="62">
      <c r="C47" s="129" t="inlineStr">
        <is>
          <t>16+ processus analysés</t>
        </is>
      </c>
      <c r="D47" s="127">
        <f>ROUND($B$4*$B$9*$B$12*$B$19*$B$14*$B$20*$B$22*$B$24,0)</f>
        <v/>
      </c>
      <c r="E47" s="127">
        <f>ROUND($B$4*$B$9*$B$12*$B$19*$B$14*$B$20*$B$22*$B$25,0)</f>
        <v/>
      </c>
      <c r="F47" s="127">
        <f>ROUND($B$4*$B$9*$B$12*$B$19*$B$14*$B$20*$B$23*$B$24,0)</f>
        <v/>
      </c>
      <c r="G47" s="127">
        <f>ROUND($B$4*$B$9*$B$12*$B$19*$B$14*$B$20*$B$23*$B$25,0)</f>
        <v/>
      </c>
      <c r="H47" s="127">
        <f>ROUND($B$4*$B$9*$B$12*$B$19*$B$14*$B$21*$B$22*$B$24,0)</f>
        <v/>
      </c>
      <c r="I47" s="127">
        <f>ROUND($B$4*$B$9*$B$12*$B$19*$B$14*$B$21*$B$22*$B$25,0)</f>
        <v/>
      </c>
      <c r="J47" s="127">
        <f>ROUND($B$4*$B$9*$B$12*$B$19*$B$14*$B$21*$B$23*$B$24,0)</f>
        <v/>
      </c>
      <c r="K47" s="127">
        <f>ROUND($B$4*$B$9*$B$12*$B$19*$B$14*$B$21*$B$23*$B$25,0)</f>
        <v/>
      </c>
      <c r="L47" s="127">
        <f>ROUND($B$4*$B$9*$B$12*$B$19*$B$15*$B$20*$B$22*$B$24,0)</f>
        <v/>
      </c>
      <c r="M47" s="127">
        <f>ROUND($B$4*$B$9*$B$12*$B$19*$B$15*$B$20*$B$22*$B$25,0)</f>
        <v/>
      </c>
      <c r="N47" s="127">
        <f>ROUND($B$4*$B$9*$B$12*$B$19*$B$15*$B$20*$B$23*$B$24,0)</f>
        <v/>
      </c>
      <c r="O47" s="127">
        <f>ROUND($B$4*$B$9*$B$12*$B$19*$B$15*$B$20*$B$23*$B$25,0)</f>
        <v/>
      </c>
      <c r="P47" s="127">
        <f>ROUND($B$4*$B$9*$B$12*$B$19*$B$15*$B$21*$B$22*$B$24,0)</f>
        <v/>
      </c>
      <c r="Q47" s="127">
        <f>ROUND($B$4*$B$9*$B$12*$B$19*$B$15*$B$21*$B$22*$B$25,0)</f>
        <v/>
      </c>
      <c r="R47" s="127">
        <f>ROUND($B$4*$B$9*$B$12*$B$19*$B$15*$B$21*$B$23*$B$24,0)</f>
        <v/>
      </c>
      <c r="S47" s="127">
        <f>ROUND($B$4*$B$9*$B$12*$B$19*$B$15*$B$21*$B$23*$B$25,0)</f>
        <v/>
      </c>
      <c r="T47" s="127">
        <f>ROUND($B$4*$B$9*$B$12*$B$19*$B$16*$B$20*$B$22*$B$24,0)</f>
        <v/>
      </c>
      <c r="U47" s="127">
        <f>ROUND($B$4*$B$9*$B$12*$B$19*$B$16*$B$20*$B$22*$B$25,0)</f>
        <v/>
      </c>
      <c r="V47" s="127">
        <f>ROUND($B$4*$B$9*$B$12*$B$19*$B$16*$B$20*$B$23*$B$24,0)</f>
        <v/>
      </c>
      <c r="W47" s="127">
        <f>ROUND($B$4*$B$9*$B$12*$B$19*$B$16*$B$20*$B$23*$B$25,0)</f>
        <v/>
      </c>
      <c r="X47" s="127">
        <f>ROUND($B$4*$B$9*$B$12*$B$19*$B$16*$B$21*$B$22*$B$24,0)</f>
        <v/>
      </c>
      <c r="Y47" s="127">
        <f>ROUND($B$4*$B$9*$B$12*$B$19*$B$16*$B$21*$B$22*$B$25,0)</f>
        <v/>
      </c>
      <c r="Z47" s="127">
        <f>ROUND($B$4*$B$9*$B$12*$B$19*$B$16*$B$21*$B$23*$B$24,0)</f>
        <v/>
      </c>
      <c r="AA47" s="127">
        <f>ROUND($B$4*$B$9*$B$12*$B$19*$B$16*$B$21*$B$23*$B$25,0)</f>
        <v/>
      </c>
      <c r="AB47" s="127">
        <f>ROUND($B$5*$B$9*$B$12*$B$19*$B$14*$B$20*$B$22*$B$24,0)</f>
        <v/>
      </c>
      <c r="AC47" s="127">
        <f>ROUND($B$5*$B$9*$B$12*$B$19*$B$14*$B$20*$B$22*$B$25,0)</f>
        <v/>
      </c>
      <c r="AD47" s="127">
        <f>ROUND($B$5*$B$9*$B$12*$B$19*$B$14*$B$20*$B$23*$B$24,0)</f>
        <v/>
      </c>
      <c r="AE47" s="127">
        <f>ROUND($B$5*$B$9*$B$12*$B$19*$B$14*$B$20*$B$23*$B$25,0)</f>
        <v/>
      </c>
      <c r="AF47" s="127">
        <f>ROUND($B$5*$B$9*$B$12*$B$19*$B$14*$B$21*$B$22*$B$24,0)</f>
        <v/>
      </c>
      <c r="AG47" s="127">
        <f>ROUND($B$5*$B$9*$B$12*$B$19*$B$14*$B$21*$B$22*$B$25,0)</f>
        <v/>
      </c>
      <c r="AH47" s="127">
        <f>ROUND($B$5*$B$9*$B$12*$B$19*$B$14*$B$21*$B$23*$B$24,0)</f>
        <v/>
      </c>
      <c r="AI47" s="127">
        <f>ROUND($B$5*$B$9*$B$12*$B$19*$B$14*$B$21*$B$23*$B$25,0)</f>
        <v/>
      </c>
      <c r="AJ47" s="127">
        <f>ROUND($B$5*$B$9*$B$12*$B$19*$B$15*$B$20*$B$22*$B$24,0)</f>
        <v/>
      </c>
      <c r="AK47" s="127">
        <f>ROUND($B$5*$B$9*$B$12*$B$19*$B$15*$B$20*$B$22*$B$25,0)</f>
        <v/>
      </c>
      <c r="AL47" s="127">
        <f>ROUND($B$5*$B$9*$B$12*$B$19*$B$15*$B$20*$B$23*$B$24,0)</f>
        <v/>
      </c>
      <c r="AM47" s="127">
        <f>ROUND($B$5*$B$9*$B$12*$B$19*$B$15*$B$20*$B$23*$B$25,0)</f>
        <v/>
      </c>
      <c r="AN47" s="127">
        <f>ROUND($B$5*$B$9*$B$12*$B$19*$B$15*$B$21*$B$22*$B$24,0)</f>
        <v/>
      </c>
      <c r="AO47" s="127">
        <f>ROUND($B$5*$B$9*$B$12*$B$19*$B$15*$B$21*$B$22*$B$25,0)</f>
        <v/>
      </c>
      <c r="AP47" s="127">
        <f>ROUND($B$5*$B$9*$B$12*$B$19*$B$15*$B$21*$B$23*$B$24,0)</f>
        <v/>
      </c>
      <c r="AQ47" s="127">
        <f>ROUND($B$5*$B$9*$B$12*$B$19*$B$15*$B$21*$B$23*$B$25,0)</f>
        <v/>
      </c>
      <c r="AR47" s="127">
        <f>ROUND($B$5*$B$9*$B$12*$B$19*$B$16*$B$20*$B$22*$B$24,0)</f>
        <v/>
      </c>
      <c r="AS47" s="127">
        <f>ROUND($B$5*$B$9*$B$12*$B$19*$B$16*$B$20*$B$22*$B$25,0)</f>
        <v/>
      </c>
      <c r="AT47" s="127">
        <f>ROUND($B$5*$B$9*$B$12*$B$19*$B$16*$B$20*$B$23*$B$24,0)</f>
        <v/>
      </c>
      <c r="AU47" s="127">
        <f>ROUND($B$5*$B$9*$B$12*$B$19*$B$16*$B$20*$B$23*$B$25,0)</f>
        <v/>
      </c>
      <c r="AV47" s="127">
        <f>ROUND($B$5*$B$9*$B$12*$B$19*$B$16*$B$21*$B$22*$B$24,0)</f>
        <v/>
      </c>
      <c r="AW47" s="127">
        <f>ROUND($B$5*$B$9*$B$12*$B$19*$B$16*$B$21*$B$22*$B$25,0)</f>
        <v/>
      </c>
      <c r="AX47" s="127">
        <f>ROUND($B$5*$B$9*$B$12*$B$19*$B$16*$B$21*$B$23*$B$24,0)</f>
        <v/>
      </c>
      <c r="AY47" s="127">
        <f>ROUND($B$5*$B$9*$B$12*$B$19*$B$16*$B$21*$B$23*$B$25,0)</f>
        <v/>
      </c>
      <c r="AZ47" s="127">
        <f>ROUND($B$6*$B$9*$B$12*$B$19*$B$14*$B$20*$B$22*$B$24,0)</f>
        <v/>
      </c>
      <c r="BA47" s="127">
        <f>ROUND($B$6*$B$9*$B$12*$B$19*$B$14*$B$20*$B$22*$B$25,0)</f>
        <v/>
      </c>
      <c r="BB47" s="127">
        <f>ROUND($B$6*$B$9*$B$12*$B$19*$B$14*$B$20*$B$23*$B$24,0)</f>
        <v/>
      </c>
      <c r="BC47" s="127">
        <f>ROUND($B$6*$B$9*$B$12*$B$19*$B$14*$B$20*$B$23*$B$25,0)</f>
        <v/>
      </c>
      <c r="BD47" s="127">
        <f>ROUND($B$6*$B$9*$B$12*$B$19*$B$14*$B$21*$B$22*$B$24,0)</f>
        <v/>
      </c>
      <c r="BE47" s="127">
        <f>ROUND($B$6*$B$9*$B$12*$B$19*$B$14*$B$21*$B$22*$B$25,0)</f>
        <v/>
      </c>
      <c r="BF47" s="127">
        <f>ROUND($B$6*$B$9*$B$12*$B$19*$B$14*$B$21*$B$23*$B$24,0)</f>
        <v/>
      </c>
      <c r="BG47" s="127">
        <f>ROUND($B$6*$B$9*$B$12*$B$19*$B$14*$B$21*$B$23*$B$25,0)</f>
        <v/>
      </c>
      <c r="BH47" s="127">
        <f>ROUND($B$6*$B$9*$B$12*$B$19*$B$15*$B$20*$B$22*$B$24,0)</f>
        <v/>
      </c>
      <c r="BI47" s="127">
        <f>ROUND($B$6*$B$9*$B$12*$B$19*$B$15*$B$20*$B$22*$B$25,0)</f>
        <v/>
      </c>
      <c r="BJ47" s="127">
        <f>ROUND($B$6*$B$9*$B$12*$B$19*$B$15*$B$20*$B$23*$B$24,0)</f>
        <v/>
      </c>
      <c r="BK47" s="127">
        <f>ROUND($B$6*$B$9*$B$12*$B$19*$B$15*$B$20*$B$23*$B$25,0)</f>
        <v/>
      </c>
      <c r="BL47" s="127">
        <f>ROUND($B$6*$B$9*$B$12*$B$19*$B$15*$B$21*$B$22*$B$24,0)</f>
        <v/>
      </c>
      <c r="BM47" s="127">
        <f>ROUND($B$6*$B$9*$B$12*$B$19*$B$15*$B$21*$B$22*$B$25,0)</f>
        <v/>
      </c>
      <c r="BN47" s="127">
        <f>ROUND($B$6*$B$9*$B$12*$B$19*$B$15*$B$21*$B$23*$B$24,0)</f>
        <v/>
      </c>
      <c r="BO47" s="127">
        <f>ROUND($B$6*$B$9*$B$12*$B$19*$B$15*$B$21*$B$23*$B$25,0)</f>
        <v/>
      </c>
      <c r="BP47" s="127">
        <f>ROUND($B$6*$B$9*$B$12*$B$19*$B$16*$B$20*$B$22*$B$24,0)</f>
        <v/>
      </c>
      <c r="BQ47" s="127">
        <f>ROUND($B$6*$B$9*$B$12*$B$19*$B$16*$B$20*$B$22*$B$25,0)</f>
        <v/>
      </c>
      <c r="BR47" s="127">
        <f>ROUND($B$6*$B$9*$B$12*$B$19*$B$16*$B$20*$B$23*$B$24,0)</f>
        <v/>
      </c>
      <c r="BS47" s="127">
        <f>ROUND($B$6*$B$9*$B$12*$B$19*$B$16*$B$20*$B$23*$B$25,0)</f>
        <v/>
      </c>
      <c r="BT47" s="127">
        <f>ROUND($B$6*$B$9*$B$12*$B$19*$B$16*$B$21*$B$22*$B$24,0)</f>
        <v/>
      </c>
      <c r="BU47" s="127">
        <f>ROUND($B$6*$B$9*$B$12*$B$19*$B$16*$B$21*$B$22*$B$25,0)</f>
        <v/>
      </c>
      <c r="BV47" s="127">
        <f>ROUND($B$6*$B$9*$B$12*$B$19*$B$16*$B$21*$B$23*$B$24,0)</f>
        <v/>
      </c>
      <c r="BW47" s="127">
        <f>ROUND($B$6*$B$9*$B$12*$B$19*$B$16*$B$21*$B$23*$B$25,0)</f>
        <v/>
      </c>
    </row>
    <row r="48" ht="20" customHeight="1" s="62">
      <c r="B48" s="125" t="inlineStr">
        <is>
          <t>SI complexe</t>
        </is>
      </c>
      <c r="C48" s="126" t="inlineStr">
        <is>
          <t>1-5 processus analysés</t>
        </is>
      </c>
      <c r="D48" s="127">
        <f>ROUND($B$4*$B$9*$B$13*$B$17*$B$14*$B$20*$B$22*$B$24,0)</f>
        <v/>
      </c>
      <c r="E48" s="127">
        <f>ROUND($B$4*$B$9*$B$13*$B$17*$B$14*$B$20*$B$22*$B$25,0)</f>
        <v/>
      </c>
      <c r="F48" s="127">
        <f>ROUND($B$4*$B$9*$B$13*$B$17*$B$14*$B$20*$B$23*$B$24,0)</f>
        <v/>
      </c>
      <c r="G48" s="127">
        <f>ROUND($B$4*$B$9*$B$13*$B$17*$B$14*$B$20*$B$23*$B$25,0)</f>
        <v/>
      </c>
      <c r="H48" s="127">
        <f>ROUND($B$4*$B$9*$B$13*$B$17*$B$14*$B$21*$B$22*$B$24,0)</f>
        <v/>
      </c>
      <c r="I48" s="127">
        <f>ROUND($B$4*$B$9*$B$13*$B$17*$B$14*$B$21*$B$22*$B$25,0)</f>
        <v/>
      </c>
      <c r="J48" s="127">
        <f>ROUND($B$4*$B$9*$B$13*$B$17*$B$14*$B$21*$B$23*$B$24,0)</f>
        <v/>
      </c>
      <c r="K48" s="127">
        <f>ROUND($B$4*$B$9*$B$13*$B$17*$B$14*$B$21*$B$23*$B$25,0)</f>
        <v/>
      </c>
      <c r="L48" s="127">
        <f>ROUND($B$4*$B$9*$B$13*$B$17*$B$15*$B$20*$B$22*$B$24,0)</f>
        <v/>
      </c>
      <c r="M48" s="127">
        <f>ROUND($B$4*$B$9*$B$13*$B$17*$B$15*$B$20*$B$22*$B$25,0)</f>
        <v/>
      </c>
      <c r="N48" s="127">
        <f>ROUND($B$4*$B$9*$B$13*$B$17*$B$15*$B$20*$B$23*$B$24,0)</f>
        <v/>
      </c>
      <c r="O48" s="127">
        <f>ROUND($B$4*$B$9*$B$13*$B$17*$B$15*$B$20*$B$23*$B$25,0)</f>
        <v/>
      </c>
      <c r="P48" s="127">
        <f>ROUND($B$4*$B$9*$B$13*$B$17*$B$15*$B$21*$B$22*$B$24,0)</f>
        <v/>
      </c>
      <c r="Q48" s="127">
        <f>ROUND($B$4*$B$9*$B$13*$B$17*$B$15*$B$21*$B$22*$B$25,0)</f>
        <v/>
      </c>
      <c r="R48" s="127">
        <f>ROUND($B$4*$B$9*$B$13*$B$17*$B$15*$B$21*$B$23*$B$24,0)</f>
        <v/>
      </c>
      <c r="S48" s="127">
        <f>ROUND($B$4*$B$9*$B$13*$B$17*$B$15*$B$21*$B$23*$B$25,0)</f>
        <v/>
      </c>
      <c r="T48" s="127">
        <f>ROUND($B$4*$B$9*$B$13*$B$17*$B$16*$B$20*$B$22*$B$24,0)</f>
        <v/>
      </c>
      <c r="U48" s="127">
        <f>ROUND($B$4*$B$9*$B$13*$B$17*$B$16*$B$20*$B$22*$B$25,0)</f>
        <v/>
      </c>
      <c r="V48" s="127">
        <f>ROUND($B$4*$B$9*$B$13*$B$17*$B$16*$B$20*$B$23*$B$24,0)</f>
        <v/>
      </c>
      <c r="W48" s="127">
        <f>ROUND($B$4*$B$9*$B$13*$B$17*$B$16*$B$20*$B$23*$B$25,0)</f>
        <v/>
      </c>
      <c r="X48" s="127">
        <f>ROUND($B$4*$B$9*$B$13*$B$17*$B$16*$B$21*$B$22*$B$24,0)</f>
        <v/>
      </c>
      <c r="Y48" s="127">
        <f>ROUND($B$4*$B$9*$B$13*$B$17*$B$16*$B$21*$B$22*$B$25,0)</f>
        <v/>
      </c>
      <c r="Z48" s="127">
        <f>ROUND($B$4*$B$9*$B$13*$B$17*$B$16*$B$21*$B$23*$B$24,0)</f>
        <v/>
      </c>
      <c r="AA48" s="127">
        <f>ROUND($B$4*$B$9*$B$13*$B$17*$B$16*$B$21*$B$23*$B$25,0)</f>
        <v/>
      </c>
      <c r="AB48" s="127">
        <f>ROUND($B$5*$B$9*$B$13*$B$17*$B$14*$B$20*$B$22*$B$24,0)</f>
        <v/>
      </c>
      <c r="AC48" s="127">
        <f>ROUND($B$5*$B$9*$B$13*$B$17*$B$14*$B$20*$B$22*$B$25,0)</f>
        <v/>
      </c>
      <c r="AD48" s="127">
        <f>ROUND($B$5*$B$9*$B$13*$B$17*$B$14*$B$20*$B$23*$B$24,0)</f>
        <v/>
      </c>
      <c r="AE48" s="127">
        <f>ROUND($B$5*$B$9*$B$13*$B$17*$B$14*$B$20*$B$23*$B$25,0)</f>
        <v/>
      </c>
      <c r="AF48" s="127">
        <f>ROUND($B$5*$B$9*$B$13*$B$17*$B$14*$B$21*$B$22*$B$24,0)</f>
        <v/>
      </c>
      <c r="AG48" s="127">
        <f>ROUND($B$5*$B$9*$B$13*$B$17*$B$14*$B$21*$B$22*$B$25,0)</f>
        <v/>
      </c>
      <c r="AH48" s="127">
        <f>ROUND($B$5*$B$9*$B$13*$B$17*$B$14*$B$21*$B$23*$B$24,0)</f>
        <v/>
      </c>
      <c r="AI48" s="127">
        <f>ROUND($B$5*$B$9*$B$13*$B$17*$B$14*$B$21*$B$23*$B$25,0)</f>
        <v/>
      </c>
      <c r="AJ48" s="127">
        <f>ROUND($B$5*$B$9*$B$13*$B$17*$B$15*$B$20*$B$22*$B$24,0)</f>
        <v/>
      </c>
      <c r="AK48" s="127">
        <f>ROUND($B$5*$B$9*$B$13*$B$17*$B$15*$B$20*$B$22*$B$25,0)</f>
        <v/>
      </c>
      <c r="AL48" s="127">
        <f>ROUND($B$5*$B$9*$B$13*$B$17*$B$15*$B$20*$B$23*$B$24,0)</f>
        <v/>
      </c>
      <c r="AM48" s="127">
        <f>ROUND($B$5*$B$9*$B$13*$B$17*$B$15*$B$20*$B$23*$B$25,0)</f>
        <v/>
      </c>
      <c r="AN48" s="127">
        <f>ROUND($B$5*$B$9*$B$13*$B$17*$B$15*$B$21*$B$22*$B$24,0)</f>
        <v/>
      </c>
      <c r="AO48" s="127">
        <f>ROUND($B$5*$B$9*$B$13*$B$17*$B$15*$B$21*$B$22*$B$25,0)</f>
        <v/>
      </c>
      <c r="AP48" s="127">
        <f>ROUND($B$5*$B$9*$B$13*$B$17*$B$15*$B$21*$B$23*$B$24,0)</f>
        <v/>
      </c>
      <c r="AQ48" s="127">
        <f>ROUND($B$5*$B$9*$B$13*$B$17*$B$15*$B$21*$B$23*$B$25,0)</f>
        <v/>
      </c>
      <c r="AR48" s="127">
        <f>ROUND($B$5*$B$9*$B$13*$B$17*$B$16*$B$20*$B$22*$B$24,0)</f>
        <v/>
      </c>
      <c r="AS48" s="127">
        <f>ROUND($B$5*$B$9*$B$13*$B$17*$B$16*$B$20*$B$22*$B$25,0)</f>
        <v/>
      </c>
      <c r="AT48" s="127">
        <f>ROUND($B$5*$B$9*$B$13*$B$17*$B$16*$B$20*$B$23*$B$24,0)</f>
        <v/>
      </c>
      <c r="AU48" s="127">
        <f>ROUND($B$5*$B$9*$B$13*$B$17*$B$16*$B$20*$B$23*$B$25,0)</f>
        <v/>
      </c>
      <c r="AV48" s="127">
        <f>ROUND($B$5*$B$9*$B$13*$B$17*$B$16*$B$21*$B$22*$B$24,0)</f>
        <v/>
      </c>
      <c r="AW48" s="127">
        <f>ROUND($B$5*$B$9*$B$13*$B$17*$B$16*$B$21*$B$22*$B$25,0)</f>
        <v/>
      </c>
      <c r="AX48" s="127">
        <f>ROUND($B$5*$B$9*$B$13*$B$17*$B$16*$B$21*$B$23*$B$24,0)</f>
        <v/>
      </c>
      <c r="AY48" s="127">
        <f>ROUND($B$5*$B$9*$B$13*$B$17*$B$16*$B$21*$B$23*$B$25,0)</f>
        <v/>
      </c>
      <c r="AZ48" s="127">
        <f>ROUND($B$6*$B$9*$B$13*$B$17*$B$14*$B$20*$B$22*$B$24,0)</f>
        <v/>
      </c>
      <c r="BA48" s="127">
        <f>ROUND($B$6*$B$9*$B$13*$B$17*$B$14*$B$20*$B$22*$B$25,0)</f>
        <v/>
      </c>
      <c r="BB48" s="127">
        <f>ROUND($B$6*$B$9*$B$13*$B$17*$B$14*$B$20*$B$23*$B$24,0)</f>
        <v/>
      </c>
      <c r="BC48" s="127">
        <f>ROUND($B$6*$B$9*$B$13*$B$17*$B$14*$B$20*$B$23*$B$25,0)</f>
        <v/>
      </c>
      <c r="BD48" s="127">
        <f>ROUND($B$6*$B$9*$B$13*$B$17*$B$14*$B$21*$B$22*$B$24,0)</f>
        <v/>
      </c>
      <c r="BE48" s="127">
        <f>ROUND($B$6*$B$9*$B$13*$B$17*$B$14*$B$21*$B$22*$B$25,0)</f>
        <v/>
      </c>
      <c r="BF48" s="127">
        <f>ROUND($B$6*$B$9*$B$13*$B$17*$B$14*$B$21*$B$23*$B$24,0)</f>
        <v/>
      </c>
      <c r="BG48" s="127">
        <f>ROUND($B$6*$B$9*$B$13*$B$17*$B$14*$B$21*$B$23*$B$25,0)</f>
        <v/>
      </c>
      <c r="BH48" s="127">
        <f>ROUND($B$6*$B$9*$B$13*$B$17*$B$15*$B$20*$B$22*$B$24,0)</f>
        <v/>
      </c>
      <c r="BI48" s="127">
        <f>ROUND($B$6*$B$9*$B$13*$B$17*$B$15*$B$20*$B$22*$B$25,0)</f>
        <v/>
      </c>
      <c r="BJ48" s="127">
        <f>ROUND($B$6*$B$9*$B$13*$B$17*$B$15*$B$20*$B$23*$B$24,0)</f>
        <v/>
      </c>
      <c r="BK48" s="127">
        <f>ROUND($B$6*$B$9*$B$13*$B$17*$B$15*$B$20*$B$23*$B$25,0)</f>
        <v/>
      </c>
      <c r="BL48" s="127">
        <f>ROUND($B$6*$B$9*$B$13*$B$17*$B$15*$B$21*$B$22*$B$24,0)</f>
        <v/>
      </c>
      <c r="BM48" s="127">
        <f>ROUND($B$6*$B$9*$B$13*$B$17*$B$15*$B$21*$B$22*$B$25,0)</f>
        <v/>
      </c>
      <c r="BN48" s="127">
        <f>ROUND($B$6*$B$9*$B$13*$B$17*$B$15*$B$21*$B$23*$B$24,0)</f>
        <v/>
      </c>
      <c r="BO48" s="127">
        <f>ROUND($B$6*$B$9*$B$13*$B$17*$B$15*$B$21*$B$23*$B$25,0)</f>
        <v/>
      </c>
      <c r="BP48" s="127">
        <f>ROUND($B$6*$B$9*$B$13*$B$17*$B$16*$B$20*$B$22*$B$24,0)</f>
        <v/>
      </c>
      <c r="BQ48" s="127">
        <f>ROUND($B$6*$B$9*$B$13*$B$17*$B$16*$B$20*$B$22*$B$25,0)</f>
        <v/>
      </c>
      <c r="BR48" s="127">
        <f>ROUND($B$6*$B$9*$B$13*$B$17*$B$16*$B$20*$B$23*$B$24,0)</f>
        <v/>
      </c>
      <c r="BS48" s="127">
        <f>ROUND($B$6*$B$9*$B$13*$B$17*$B$16*$B$20*$B$23*$B$25,0)</f>
        <v/>
      </c>
      <c r="BT48" s="127">
        <f>ROUND($B$6*$B$9*$B$13*$B$17*$B$16*$B$21*$B$22*$B$24,0)</f>
        <v/>
      </c>
      <c r="BU48" s="127">
        <f>ROUND($B$6*$B$9*$B$13*$B$17*$B$16*$B$21*$B$22*$B$25,0)</f>
        <v/>
      </c>
      <c r="BV48" s="127">
        <f>ROUND($B$6*$B$9*$B$13*$B$17*$B$16*$B$21*$B$23*$B$24,0)</f>
        <v/>
      </c>
      <c r="BW48" s="127">
        <f>ROUND($B$6*$B$9*$B$13*$B$17*$B$16*$B$21*$B$23*$B$25,0)</f>
        <v/>
      </c>
    </row>
    <row r="49" ht="20" customHeight="1" s="62">
      <c r="C49" s="125" t="inlineStr">
        <is>
          <t>6-15 processus analysés</t>
        </is>
      </c>
      <c r="D49" s="127">
        <f>ROUND($B$4*$B$9*$B$13*$B$18*$B$14*$B$20*$B$22*$B$24,0)</f>
        <v/>
      </c>
      <c r="E49" s="127">
        <f>ROUND($B$4*$B$9*$B$13*$B$18*$B$14*$B$20*$B$22*$B$25,0)</f>
        <v/>
      </c>
      <c r="F49" s="127">
        <f>ROUND($B$4*$B$9*$B$13*$B$18*$B$14*$B$20*$B$23*$B$24,0)</f>
        <v/>
      </c>
      <c r="G49" s="127">
        <f>ROUND($B$4*$B$9*$B$13*$B$18*$B$14*$B$20*$B$23*$B$25,0)</f>
        <v/>
      </c>
      <c r="H49" s="127">
        <f>ROUND($B$4*$B$9*$B$13*$B$18*$B$14*$B$21*$B$22*$B$24,0)</f>
        <v/>
      </c>
      <c r="I49" s="127">
        <f>ROUND($B$4*$B$9*$B$13*$B$18*$B$14*$B$21*$B$22*$B$25,0)</f>
        <v/>
      </c>
      <c r="J49" s="127">
        <f>ROUND($B$4*$B$9*$B$13*$B$18*$B$14*$B$21*$B$23*$B$24,0)</f>
        <v/>
      </c>
      <c r="K49" s="127">
        <f>ROUND($B$4*$B$9*$B$13*$B$18*$B$14*$B$21*$B$23*$B$25,0)</f>
        <v/>
      </c>
      <c r="L49" s="127">
        <f>ROUND($B$4*$B$9*$B$13*$B$18*$B$15*$B$20*$B$22*$B$24,0)</f>
        <v/>
      </c>
      <c r="M49" s="127">
        <f>ROUND($B$4*$B$9*$B$13*$B$18*$B$15*$B$20*$B$22*$B$25,0)</f>
        <v/>
      </c>
      <c r="N49" s="127">
        <f>ROUND($B$4*$B$9*$B$13*$B$18*$B$15*$B$20*$B$23*$B$24,0)</f>
        <v/>
      </c>
      <c r="O49" s="127">
        <f>ROUND($B$4*$B$9*$B$13*$B$18*$B$15*$B$20*$B$23*$B$25,0)</f>
        <v/>
      </c>
      <c r="P49" s="127">
        <f>ROUND($B$4*$B$9*$B$13*$B$18*$B$15*$B$21*$B$22*$B$24,0)</f>
        <v/>
      </c>
      <c r="Q49" s="127">
        <f>ROUND($B$4*$B$9*$B$13*$B$18*$B$15*$B$21*$B$22*$B$25,0)</f>
        <v/>
      </c>
      <c r="R49" s="127">
        <f>ROUND($B$4*$B$9*$B$13*$B$18*$B$15*$B$21*$B$23*$B$24,0)</f>
        <v/>
      </c>
      <c r="S49" s="127">
        <f>ROUND($B$4*$B$9*$B$13*$B$18*$B$15*$B$21*$B$23*$B$25,0)</f>
        <v/>
      </c>
      <c r="T49" s="127">
        <f>ROUND($B$4*$B$9*$B$13*$B$18*$B$16*$B$20*$B$22*$B$24,0)</f>
        <v/>
      </c>
      <c r="U49" s="127">
        <f>ROUND($B$4*$B$9*$B$13*$B$18*$B$16*$B$20*$B$22*$B$25,0)</f>
        <v/>
      </c>
      <c r="V49" s="127">
        <f>ROUND($B$4*$B$9*$B$13*$B$18*$B$16*$B$20*$B$23*$B$24,0)</f>
        <v/>
      </c>
      <c r="W49" s="127">
        <f>ROUND($B$4*$B$9*$B$13*$B$18*$B$16*$B$20*$B$23*$B$25,0)</f>
        <v/>
      </c>
      <c r="X49" s="127">
        <f>ROUND($B$4*$B$9*$B$13*$B$18*$B$16*$B$21*$B$22*$B$24,0)</f>
        <v/>
      </c>
      <c r="Y49" s="127">
        <f>ROUND($B$4*$B$9*$B$13*$B$18*$B$16*$B$21*$B$22*$B$25,0)</f>
        <v/>
      </c>
      <c r="Z49" s="127">
        <f>ROUND($B$4*$B$9*$B$13*$B$18*$B$16*$B$21*$B$23*$B$24,0)</f>
        <v/>
      </c>
      <c r="AA49" s="127">
        <f>ROUND($B$4*$B$9*$B$13*$B$18*$B$16*$B$21*$B$23*$B$25,0)</f>
        <v/>
      </c>
      <c r="AB49" s="127">
        <f>ROUND($B$5*$B$9*$B$13*$B$18*$B$14*$B$20*$B$22*$B$24,0)</f>
        <v/>
      </c>
      <c r="AC49" s="127">
        <f>ROUND($B$5*$B$9*$B$13*$B$18*$B$14*$B$20*$B$22*$B$25,0)</f>
        <v/>
      </c>
      <c r="AD49" s="127">
        <f>ROUND($B$5*$B$9*$B$13*$B$18*$B$14*$B$20*$B$23*$B$24,0)</f>
        <v/>
      </c>
      <c r="AE49" s="127">
        <f>ROUND($B$5*$B$9*$B$13*$B$18*$B$14*$B$20*$B$23*$B$25,0)</f>
        <v/>
      </c>
      <c r="AF49" s="127">
        <f>ROUND($B$5*$B$9*$B$13*$B$18*$B$14*$B$21*$B$22*$B$24,0)</f>
        <v/>
      </c>
      <c r="AG49" s="127">
        <f>ROUND($B$5*$B$9*$B$13*$B$18*$B$14*$B$21*$B$22*$B$25,0)</f>
        <v/>
      </c>
      <c r="AH49" s="127">
        <f>ROUND($B$5*$B$9*$B$13*$B$18*$B$14*$B$21*$B$23*$B$24,0)</f>
        <v/>
      </c>
      <c r="AI49" s="127">
        <f>ROUND($B$5*$B$9*$B$13*$B$18*$B$14*$B$21*$B$23*$B$25,0)</f>
        <v/>
      </c>
      <c r="AJ49" s="127">
        <f>ROUND($B$5*$B$9*$B$13*$B$18*$B$15*$B$20*$B$22*$B$24,0)</f>
        <v/>
      </c>
      <c r="AK49" s="127">
        <f>ROUND($B$5*$B$9*$B$13*$B$18*$B$15*$B$20*$B$22*$B$25,0)</f>
        <v/>
      </c>
      <c r="AL49" s="127">
        <f>ROUND($B$5*$B$9*$B$13*$B$18*$B$15*$B$20*$B$23*$B$24,0)</f>
        <v/>
      </c>
      <c r="AM49" s="127">
        <f>ROUND($B$5*$B$9*$B$13*$B$18*$B$15*$B$20*$B$23*$B$25,0)</f>
        <v/>
      </c>
      <c r="AN49" s="127">
        <f>ROUND($B$5*$B$9*$B$13*$B$18*$B$15*$B$21*$B$22*$B$24,0)</f>
        <v/>
      </c>
      <c r="AO49" s="127">
        <f>ROUND($B$5*$B$9*$B$13*$B$18*$B$15*$B$21*$B$22*$B$25,0)</f>
        <v/>
      </c>
      <c r="AP49" s="127">
        <f>ROUND($B$5*$B$9*$B$13*$B$18*$B$15*$B$21*$B$23*$B$24,0)</f>
        <v/>
      </c>
      <c r="AQ49" s="127">
        <f>ROUND($B$5*$B$9*$B$13*$B$18*$B$15*$B$21*$B$23*$B$25,0)</f>
        <v/>
      </c>
      <c r="AR49" s="127">
        <f>ROUND($B$5*$B$9*$B$13*$B$18*$B$16*$B$20*$B$22*$B$24,0)</f>
        <v/>
      </c>
      <c r="AS49" s="127">
        <f>ROUND($B$5*$B$9*$B$13*$B$18*$B$16*$B$20*$B$22*$B$25,0)</f>
        <v/>
      </c>
      <c r="AT49" s="127">
        <f>ROUND($B$5*$B$9*$B$13*$B$18*$B$16*$B$20*$B$23*$B$24,0)</f>
        <v/>
      </c>
      <c r="AU49" s="127">
        <f>ROUND($B$5*$B$9*$B$13*$B$18*$B$16*$B$20*$B$23*$B$25,0)</f>
        <v/>
      </c>
      <c r="AV49" s="127">
        <f>ROUND($B$5*$B$9*$B$13*$B$18*$B$16*$B$21*$B$22*$B$24,0)</f>
        <v/>
      </c>
      <c r="AW49" s="127">
        <f>ROUND($B$5*$B$9*$B$13*$B$18*$B$16*$B$21*$B$22*$B$25,0)</f>
        <v/>
      </c>
      <c r="AX49" s="127">
        <f>ROUND($B$5*$B$9*$B$13*$B$18*$B$16*$B$21*$B$23*$B$24,0)</f>
        <v/>
      </c>
      <c r="AY49" s="127">
        <f>ROUND($B$5*$B$9*$B$13*$B$18*$B$16*$B$21*$B$23*$B$25,0)</f>
        <v/>
      </c>
      <c r="AZ49" s="127">
        <f>ROUND($B$6*$B$9*$B$13*$B$18*$B$14*$B$20*$B$22*$B$24,0)</f>
        <v/>
      </c>
      <c r="BA49" s="127">
        <f>ROUND($B$6*$B$9*$B$13*$B$18*$B$14*$B$20*$B$22*$B$25,0)</f>
        <v/>
      </c>
      <c r="BB49" s="127">
        <f>ROUND($B$6*$B$9*$B$13*$B$18*$B$14*$B$20*$B$23*$B$24,0)</f>
        <v/>
      </c>
      <c r="BC49" s="127">
        <f>ROUND($B$6*$B$9*$B$13*$B$18*$B$14*$B$20*$B$23*$B$25,0)</f>
        <v/>
      </c>
      <c r="BD49" s="127">
        <f>ROUND($B$6*$B$9*$B$13*$B$18*$B$14*$B$21*$B$22*$B$24,0)</f>
        <v/>
      </c>
      <c r="BE49" s="127">
        <f>ROUND($B$6*$B$9*$B$13*$B$18*$B$14*$B$21*$B$22*$B$25,0)</f>
        <v/>
      </c>
      <c r="BF49" s="127">
        <f>ROUND($B$6*$B$9*$B$13*$B$18*$B$14*$B$21*$B$23*$B$24,0)</f>
        <v/>
      </c>
      <c r="BG49" s="127">
        <f>ROUND($B$6*$B$9*$B$13*$B$18*$B$14*$B$21*$B$23*$B$25,0)</f>
        <v/>
      </c>
      <c r="BH49" s="127">
        <f>ROUND($B$6*$B$9*$B$13*$B$18*$B$15*$B$20*$B$22*$B$24,0)</f>
        <v/>
      </c>
      <c r="BI49" s="127">
        <f>ROUND($B$6*$B$9*$B$13*$B$18*$B$15*$B$20*$B$22*$B$25,0)</f>
        <v/>
      </c>
      <c r="BJ49" s="127">
        <f>ROUND($B$6*$B$9*$B$13*$B$18*$B$15*$B$20*$B$23*$B$24,0)</f>
        <v/>
      </c>
      <c r="BK49" s="127">
        <f>ROUND($B$6*$B$9*$B$13*$B$18*$B$15*$B$20*$B$23*$B$25,0)</f>
        <v/>
      </c>
      <c r="BL49" s="127">
        <f>ROUND($B$6*$B$9*$B$13*$B$18*$B$15*$B$21*$B$22*$B$24,0)</f>
        <v/>
      </c>
      <c r="BM49" s="127">
        <f>ROUND($B$6*$B$9*$B$13*$B$18*$B$15*$B$21*$B$22*$B$25,0)</f>
        <v/>
      </c>
      <c r="BN49" s="127">
        <f>ROUND($B$6*$B$9*$B$13*$B$18*$B$15*$B$21*$B$23*$B$24,0)</f>
        <v/>
      </c>
      <c r="BO49" s="127">
        <f>ROUND($B$6*$B$9*$B$13*$B$18*$B$15*$B$21*$B$23*$B$25,0)</f>
        <v/>
      </c>
      <c r="BP49" s="127">
        <f>ROUND($B$6*$B$9*$B$13*$B$18*$B$16*$B$20*$B$22*$B$24,0)</f>
        <v/>
      </c>
      <c r="BQ49" s="127">
        <f>ROUND($B$6*$B$9*$B$13*$B$18*$B$16*$B$20*$B$22*$B$25,0)</f>
        <v/>
      </c>
      <c r="BR49" s="127">
        <f>ROUND($B$6*$B$9*$B$13*$B$18*$B$16*$B$20*$B$23*$B$24,0)</f>
        <v/>
      </c>
      <c r="BS49" s="127">
        <f>ROUND($B$6*$B$9*$B$13*$B$18*$B$16*$B$20*$B$23*$B$25,0)</f>
        <v/>
      </c>
      <c r="BT49" s="127">
        <f>ROUND($B$6*$B$9*$B$13*$B$18*$B$16*$B$21*$B$22*$B$24,0)</f>
        <v/>
      </c>
      <c r="BU49" s="127">
        <f>ROUND($B$6*$B$9*$B$13*$B$18*$B$16*$B$21*$B$22*$B$25,0)</f>
        <v/>
      </c>
      <c r="BV49" s="127">
        <f>ROUND($B$6*$B$9*$B$13*$B$18*$B$16*$B$21*$B$23*$B$24,0)</f>
        <v/>
      </c>
      <c r="BW49" s="127">
        <f>ROUND($B$6*$B$9*$B$13*$B$18*$B$16*$B$21*$B$23*$B$25,0)</f>
        <v/>
      </c>
    </row>
    <row r="50" ht="20" customHeight="1" s="62">
      <c r="C50" s="129" t="inlineStr">
        <is>
          <t>16+ processus analysés</t>
        </is>
      </c>
      <c r="D50" s="127">
        <f>ROUND($B$4*$B$9*$B$13*$B$19*$B$14*$B$20*$B$22*$B$24,0)</f>
        <v/>
      </c>
      <c r="E50" s="127">
        <f>ROUND($B$4*$B$9*$B$13*$B$19*$B$14*$B$20*$B$22*$B$25,0)</f>
        <v/>
      </c>
      <c r="F50" s="127">
        <f>ROUND($B$4*$B$9*$B$13*$B$19*$B$14*$B$20*$B$23*$B$24,0)</f>
        <v/>
      </c>
      <c r="G50" s="127">
        <f>ROUND($B$4*$B$9*$B$13*$B$19*$B$14*$B$20*$B$23*$B$25,0)</f>
        <v/>
      </c>
      <c r="H50" s="127">
        <f>ROUND($B$4*$B$9*$B$13*$B$19*$B$14*$B$21*$B$22*$B$24,0)</f>
        <v/>
      </c>
      <c r="I50" s="127">
        <f>ROUND($B$4*$B$9*$B$13*$B$19*$B$14*$B$21*$B$22*$B$25,0)</f>
        <v/>
      </c>
      <c r="J50" s="127">
        <f>ROUND($B$4*$B$9*$B$13*$B$19*$B$14*$B$21*$B$23*$B$24,0)</f>
        <v/>
      </c>
      <c r="K50" s="127">
        <f>ROUND($B$4*$B$9*$B$13*$B$19*$B$14*$B$21*$B$23*$B$25,0)</f>
        <v/>
      </c>
      <c r="L50" s="127">
        <f>ROUND($B$4*$B$9*$B$13*$B$19*$B$15*$B$20*$B$22*$B$24,0)</f>
        <v/>
      </c>
      <c r="M50" s="127">
        <f>ROUND($B$4*$B$9*$B$13*$B$19*$B$15*$B$20*$B$22*$B$25,0)</f>
        <v/>
      </c>
      <c r="N50" s="127">
        <f>ROUND($B$4*$B$9*$B$13*$B$19*$B$15*$B$20*$B$23*$B$24,0)</f>
        <v/>
      </c>
      <c r="O50" s="127">
        <f>ROUND($B$4*$B$9*$B$13*$B$19*$B$15*$B$20*$B$23*$B$25,0)</f>
        <v/>
      </c>
      <c r="P50" s="127">
        <f>ROUND($B$4*$B$9*$B$13*$B$19*$B$15*$B$21*$B$22*$B$24,0)</f>
        <v/>
      </c>
      <c r="Q50" s="127">
        <f>ROUND($B$4*$B$9*$B$13*$B$19*$B$15*$B$21*$B$22*$B$25,0)</f>
        <v/>
      </c>
      <c r="R50" s="127">
        <f>ROUND($B$4*$B$9*$B$13*$B$19*$B$15*$B$21*$B$23*$B$24,0)</f>
        <v/>
      </c>
      <c r="S50" s="127">
        <f>ROUND($B$4*$B$9*$B$13*$B$19*$B$15*$B$21*$B$23*$B$25,0)</f>
        <v/>
      </c>
      <c r="T50" s="127">
        <f>ROUND($B$4*$B$9*$B$13*$B$19*$B$16*$B$20*$B$22*$B$24,0)</f>
        <v/>
      </c>
      <c r="U50" s="127">
        <f>ROUND($B$4*$B$9*$B$13*$B$19*$B$16*$B$20*$B$22*$B$25,0)</f>
        <v/>
      </c>
      <c r="V50" s="127">
        <f>ROUND($B$4*$B$9*$B$13*$B$19*$B$16*$B$20*$B$23*$B$24,0)</f>
        <v/>
      </c>
      <c r="W50" s="127">
        <f>ROUND($B$4*$B$9*$B$13*$B$19*$B$16*$B$20*$B$23*$B$25,0)</f>
        <v/>
      </c>
      <c r="X50" s="127">
        <f>ROUND($B$4*$B$9*$B$13*$B$19*$B$16*$B$21*$B$22*$B$24,0)</f>
        <v/>
      </c>
      <c r="Y50" s="127">
        <f>ROUND($B$4*$B$9*$B$13*$B$19*$B$16*$B$21*$B$22*$B$25,0)</f>
        <v/>
      </c>
      <c r="Z50" s="127">
        <f>ROUND($B$4*$B$9*$B$13*$B$19*$B$16*$B$21*$B$23*$B$24,0)</f>
        <v/>
      </c>
      <c r="AA50" s="127">
        <f>ROUND($B$4*$B$9*$B$13*$B$19*$B$16*$B$21*$B$23*$B$25,0)</f>
        <v/>
      </c>
      <c r="AB50" s="127">
        <f>ROUND($B$5*$B$9*$B$13*$B$19*$B$14*$B$20*$B$22*$B$24,0)</f>
        <v/>
      </c>
      <c r="AC50" s="127">
        <f>ROUND($B$5*$B$9*$B$13*$B$19*$B$14*$B$20*$B$22*$B$25,0)</f>
        <v/>
      </c>
      <c r="AD50" s="127">
        <f>ROUND($B$5*$B$9*$B$13*$B$19*$B$14*$B$20*$B$23*$B$24,0)</f>
        <v/>
      </c>
      <c r="AE50" s="127">
        <f>ROUND($B$5*$B$9*$B$13*$B$19*$B$14*$B$20*$B$23*$B$25,0)</f>
        <v/>
      </c>
      <c r="AF50" s="127">
        <f>ROUND($B$5*$B$9*$B$13*$B$19*$B$14*$B$21*$B$22*$B$24,0)</f>
        <v/>
      </c>
      <c r="AG50" s="127">
        <f>ROUND($B$5*$B$9*$B$13*$B$19*$B$14*$B$21*$B$22*$B$25,0)</f>
        <v/>
      </c>
      <c r="AH50" s="127">
        <f>ROUND($B$5*$B$9*$B$13*$B$19*$B$14*$B$21*$B$23*$B$24,0)</f>
        <v/>
      </c>
      <c r="AI50" s="127">
        <f>ROUND($B$5*$B$9*$B$13*$B$19*$B$14*$B$21*$B$23*$B$25,0)</f>
        <v/>
      </c>
      <c r="AJ50" s="127">
        <f>ROUND($B$5*$B$9*$B$13*$B$19*$B$15*$B$20*$B$22*$B$24,0)</f>
        <v/>
      </c>
      <c r="AK50" s="127">
        <f>ROUND($B$5*$B$9*$B$13*$B$19*$B$15*$B$20*$B$22*$B$25,0)</f>
        <v/>
      </c>
      <c r="AL50" s="127">
        <f>ROUND($B$5*$B$9*$B$13*$B$19*$B$15*$B$20*$B$23*$B$24,0)</f>
        <v/>
      </c>
      <c r="AM50" s="127">
        <f>ROUND($B$5*$B$9*$B$13*$B$19*$B$15*$B$20*$B$23*$B$25,0)</f>
        <v/>
      </c>
      <c r="AN50" s="127">
        <f>ROUND($B$5*$B$9*$B$13*$B$19*$B$15*$B$21*$B$22*$B$24,0)</f>
        <v/>
      </c>
      <c r="AO50" s="127">
        <f>ROUND($B$5*$B$9*$B$13*$B$19*$B$15*$B$21*$B$22*$B$25,0)</f>
        <v/>
      </c>
      <c r="AP50" s="127">
        <f>ROUND($B$5*$B$9*$B$13*$B$19*$B$15*$B$21*$B$23*$B$24,0)</f>
        <v/>
      </c>
      <c r="AQ50" s="127">
        <f>ROUND($B$5*$B$9*$B$13*$B$19*$B$15*$B$21*$B$23*$B$25,0)</f>
        <v/>
      </c>
      <c r="AR50" s="127">
        <f>ROUND($B$5*$B$9*$B$13*$B$19*$B$16*$B$20*$B$22*$B$24,0)</f>
        <v/>
      </c>
      <c r="AS50" s="127">
        <f>ROUND($B$5*$B$9*$B$13*$B$19*$B$16*$B$20*$B$22*$B$25,0)</f>
        <v/>
      </c>
      <c r="AT50" s="127">
        <f>ROUND($B$5*$B$9*$B$13*$B$19*$B$16*$B$20*$B$23*$B$24,0)</f>
        <v/>
      </c>
      <c r="AU50" s="127">
        <f>ROUND($B$5*$B$9*$B$13*$B$19*$B$16*$B$20*$B$23*$B$25,0)</f>
        <v/>
      </c>
      <c r="AV50" s="127">
        <f>ROUND($B$5*$B$9*$B$13*$B$19*$B$16*$B$21*$B$22*$B$24,0)</f>
        <v/>
      </c>
      <c r="AW50" s="127">
        <f>ROUND($B$5*$B$9*$B$13*$B$19*$B$16*$B$21*$B$22*$B$25,0)</f>
        <v/>
      </c>
      <c r="AX50" s="127">
        <f>ROUND($B$5*$B$9*$B$13*$B$19*$B$16*$B$21*$B$23*$B$24,0)</f>
        <v/>
      </c>
      <c r="AY50" s="127">
        <f>ROUND($B$5*$B$9*$B$13*$B$19*$B$16*$B$21*$B$23*$B$25,0)</f>
        <v/>
      </c>
      <c r="AZ50" s="127">
        <f>ROUND($B$6*$B$9*$B$13*$B$19*$B$14*$B$20*$B$22*$B$24,0)</f>
        <v/>
      </c>
      <c r="BA50" s="127">
        <f>ROUND($B$6*$B$9*$B$13*$B$19*$B$14*$B$20*$B$22*$B$25,0)</f>
        <v/>
      </c>
      <c r="BB50" s="127">
        <f>ROUND($B$6*$B$9*$B$13*$B$19*$B$14*$B$20*$B$23*$B$24,0)</f>
        <v/>
      </c>
      <c r="BC50" s="127">
        <f>ROUND($B$6*$B$9*$B$13*$B$19*$B$14*$B$20*$B$23*$B$25,0)</f>
        <v/>
      </c>
      <c r="BD50" s="127">
        <f>ROUND($B$6*$B$9*$B$13*$B$19*$B$14*$B$21*$B$22*$B$24,0)</f>
        <v/>
      </c>
      <c r="BE50" s="127">
        <f>ROUND($B$6*$B$9*$B$13*$B$19*$B$14*$B$21*$B$22*$B$25,0)</f>
        <v/>
      </c>
      <c r="BF50" s="127">
        <f>ROUND($B$6*$B$9*$B$13*$B$19*$B$14*$B$21*$B$23*$B$24,0)</f>
        <v/>
      </c>
      <c r="BG50" s="127">
        <f>ROUND($B$6*$B$9*$B$13*$B$19*$B$14*$B$21*$B$23*$B$25,0)</f>
        <v/>
      </c>
      <c r="BH50" s="127">
        <f>ROUND($B$6*$B$9*$B$13*$B$19*$B$15*$B$20*$B$22*$B$24,0)</f>
        <v/>
      </c>
      <c r="BI50" s="127">
        <f>ROUND($B$6*$B$9*$B$13*$B$19*$B$15*$B$20*$B$22*$B$25,0)</f>
        <v/>
      </c>
      <c r="BJ50" s="127">
        <f>ROUND($B$6*$B$9*$B$13*$B$19*$B$15*$B$20*$B$23*$B$24,0)</f>
        <v/>
      </c>
      <c r="BK50" s="127">
        <f>ROUND($B$6*$B$9*$B$13*$B$19*$B$15*$B$20*$B$23*$B$25,0)</f>
        <v/>
      </c>
      <c r="BL50" s="127">
        <f>ROUND($B$6*$B$9*$B$13*$B$19*$B$15*$B$21*$B$22*$B$24,0)</f>
        <v/>
      </c>
      <c r="BM50" s="127">
        <f>ROUND($B$6*$B$9*$B$13*$B$19*$B$15*$B$21*$B$22*$B$25,0)</f>
        <v/>
      </c>
      <c r="BN50" s="127">
        <f>ROUND($B$6*$B$9*$B$13*$B$19*$B$15*$B$21*$B$23*$B$24,0)</f>
        <v/>
      </c>
      <c r="BO50" s="127">
        <f>ROUND($B$6*$B$9*$B$13*$B$19*$B$15*$B$21*$B$23*$B$25,0)</f>
        <v/>
      </c>
      <c r="BP50" s="127">
        <f>ROUND($B$6*$B$9*$B$13*$B$19*$B$16*$B$20*$B$22*$B$24,0)</f>
        <v/>
      </c>
      <c r="BQ50" s="127">
        <f>ROUND($B$6*$B$9*$B$13*$B$19*$B$16*$B$20*$B$22*$B$25,0)</f>
        <v/>
      </c>
      <c r="BR50" s="127">
        <f>ROUND($B$6*$B$9*$B$13*$B$19*$B$16*$B$20*$B$23*$B$24,0)</f>
        <v/>
      </c>
      <c r="BS50" s="127">
        <f>ROUND($B$6*$B$9*$B$13*$B$19*$B$16*$B$20*$B$23*$B$25,0)</f>
        <v/>
      </c>
      <c r="BT50" s="127">
        <f>ROUND($B$6*$B$9*$B$13*$B$19*$B$16*$B$21*$B$22*$B$24,0)</f>
        <v/>
      </c>
      <c r="BU50" s="127">
        <f>ROUND($B$6*$B$9*$B$13*$B$19*$B$16*$B$21*$B$22*$B$25,0)</f>
        <v/>
      </c>
      <c r="BV50" s="127">
        <f>ROUND($B$6*$B$9*$B$13*$B$19*$B$16*$B$21*$B$23*$B$24,0)</f>
        <v/>
      </c>
      <c r="BW50" s="127">
        <f>ROUND($B$6*$B$9*$B$13*$B$19*$B$16*$B$21*$B$23*$B$25,0)</f>
        <v/>
      </c>
    </row>
    <row r="51" ht="20" customHeight="1" s="62">
      <c r="A51" s="124" t="inlineStr">
        <is>
          <t>ETI / Grand compte</t>
        </is>
      </c>
      <c r="B51" s="125" t="inlineStr">
        <is>
          <t>SI simple</t>
        </is>
      </c>
      <c r="C51" s="126" t="inlineStr">
        <is>
          <t>1-5 processus analysés</t>
        </is>
      </c>
      <c r="D51" s="127">
        <f>ROUND($B$4*$B$10*$B$11*$B$17*$B$14*$B$20*$B$22*$B$24,0)</f>
        <v/>
      </c>
      <c r="E51" s="127">
        <f>ROUND($B$4*$B$10*$B$11*$B$17*$B$14*$B$20*$B$22*$B$25,0)</f>
        <v/>
      </c>
      <c r="F51" s="127">
        <f>ROUND($B$4*$B$10*$B$11*$B$17*$B$14*$B$20*$B$23*$B$24,0)</f>
        <v/>
      </c>
      <c r="G51" s="127">
        <f>ROUND($B$4*$B$10*$B$11*$B$17*$B$14*$B$20*$B$23*$B$25,0)</f>
        <v/>
      </c>
      <c r="H51" s="127">
        <f>ROUND($B$4*$B$10*$B$11*$B$17*$B$14*$B$21*$B$22*$B$24,0)</f>
        <v/>
      </c>
      <c r="I51" s="127">
        <f>ROUND($B$4*$B$10*$B$11*$B$17*$B$14*$B$21*$B$22*$B$25,0)</f>
        <v/>
      </c>
      <c r="J51" s="127">
        <f>ROUND($B$4*$B$10*$B$11*$B$17*$B$14*$B$21*$B$23*$B$24,0)</f>
        <v/>
      </c>
      <c r="K51" s="127">
        <f>ROUND($B$4*$B$10*$B$11*$B$17*$B$14*$B$21*$B$23*$B$25,0)</f>
        <v/>
      </c>
      <c r="L51" s="127">
        <f>ROUND($B$4*$B$10*$B$11*$B$17*$B$15*$B$20*$B$22*$B$24,0)</f>
        <v/>
      </c>
      <c r="M51" s="127">
        <f>ROUND($B$4*$B$10*$B$11*$B$17*$B$15*$B$20*$B$22*$B$25,0)</f>
        <v/>
      </c>
      <c r="N51" s="127">
        <f>ROUND($B$4*$B$10*$B$11*$B$17*$B$15*$B$20*$B$23*$B$24,0)</f>
        <v/>
      </c>
      <c r="O51" s="127">
        <f>ROUND($B$4*$B$10*$B$11*$B$17*$B$15*$B$20*$B$23*$B$25,0)</f>
        <v/>
      </c>
      <c r="P51" s="127">
        <f>ROUND($B$4*$B$10*$B$11*$B$17*$B$15*$B$21*$B$22*$B$24,0)</f>
        <v/>
      </c>
      <c r="Q51" s="127">
        <f>ROUND($B$4*$B$10*$B$11*$B$17*$B$15*$B$21*$B$22*$B$25,0)</f>
        <v/>
      </c>
      <c r="R51" s="127">
        <f>ROUND($B$4*$B$10*$B$11*$B$17*$B$15*$B$21*$B$23*$B$24,0)</f>
        <v/>
      </c>
      <c r="S51" s="127">
        <f>ROUND($B$4*$B$10*$B$11*$B$17*$B$15*$B$21*$B$23*$B$25,0)</f>
        <v/>
      </c>
      <c r="T51" s="127">
        <f>ROUND($B$4*$B$10*$B$11*$B$17*$B$16*$B$20*$B$22*$B$24,0)</f>
        <v/>
      </c>
      <c r="U51" s="127">
        <f>ROUND($B$4*$B$10*$B$11*$B$17*$B$16*$B$20*$B$22*$B$25,0)</f>
        <v/>
      </c>
      <c r="V51" s="127">
        <f>ROUND($B$4*$B$10*$B$11*$B$17*$B$16*$B$20*$B$23*$B$24,0)</f>
        <v/>
      </c>
      <c r="W51" s="127">
        <f>ROUND($B$4*$B$10*$B$11*$B$17*$B$16*$B$20*$B$23*$B$25,0)</f>
        <v/>
      </c>
      <c r="X51" s="127">
        <f>ROUND($B$4*$B$10*$B$11*$B$17*$B$16*$B$21*$B$22*$B$24,0)</f>
        <v/>
      </c>
      <c r="Y51" s="127">
        <f>ROUND($B$4*$B$10*$B$11*$B$17*$B$16*$B$21*$B$22*$B$25,0)</f>
        <v/>
      </c>
      <c r="Z51" s="127">
        <f>ROUND($B$4*$B$10*$B$11*$B$17*$B$16*$B$21*$B$23*$B$24,0)</f>
        <v/>
      </c>
      <c r="AA51" s="127">
        <f>ROUND($B$4*$B$10*$B$11*$B$17*$B$16*$B$21*$B$23*$B$25,0)</f>
        <v/>
      </c>
      <c r="AB51" s="127">
        <f>ROUND($B$5*$B$10*$B$11*$B$17*$B$14*$B$20*$B$22*$B$24,0)</f>
        <v/>
      </c>
      <c r="AC51" s="127">
        <f>ROUND($B$5*$B$10*$B$11*$B$17*$B$14*$B$20*$B$22*$B$25,0)</f>
        <v/>
      </c>
      <c r="AD51" s="127">
        <f>ROUND($B$5*$B$10*$B$11*$B$17*$B$14*$B$20*$B$23*$B$24,0)</f>
        <v/>
      </c>
      <c r="AE51" s="127">
        <f>ROUND($B$5*$B$10*$B$11*$B$17*$B$14*$B$20*$B$23*$B$25,0)</f>
        <v/>
      </c>
      <c r="AF51" s="127">
        <f>ROUND($B$5*$B$10*$B$11*$B$17*$B$14*$B$21*$B$22*$B$24,0)</f>
        <v/>
      </c>
      <c r="AG51" s="127">
        <f>ROUND($B$5*$B$10*$B$11*$B$17*$B$14*$B$21*$B$22*$B$25,0)</f>
        <v/>
      </c>
      <c r="AH51" s="127">
        <f>ROUND($B$5*$B$10*$B$11*$B$17*$B$14*$B$21*$B$23*$B$24,0)</f>
        <v/>
      </c>
      <c r="AI51" s="127">
        <f>ROUND($B$5*$B$10*$B$11*$B$17*$B$14*$B$21*$B$23*$B$25,0)</f>
        <v/>
      </c>
      <c r="AJ51" s="127">
        <f>ROUND($B$5*$B$10*$B$11*$B$17*$B$15*$B$20*$B$22*$B$24,0)</f>
        <v/>
      </c>
      <c r="AK51" s="127">
        <f>ROUND($B$5*$B$10*$B$11*$B$17*$B$15*$B$20*$B$22*$B$25,0)</f>
        <v/>
      </c>
      <c r="AL51" s="127">
        <f>ROUND($B$5*$B$10*$B$11*$B$17*$B$15*$B$20*$B$23*$B$24,0)</f>
        <v/>
      </c>
      <c r="AM51" s="127">
        <f>ROUND($B$5*$B$10*$B$11*$B$17*$B$15*$B$20*$B$23*$B$25,0)</f>
        <v/>
      </c>
      <c r="AN51" s="127">
        <f>ROUND($B$5*$B$10*$B$11*$B$17*$B$15*$B$21*$B$22*$B$24,0)</f>
        <v/>
      </c>
      <c r="AO51" s="127">
        <f>ROUND($B$5*$B$10*$B$11*$B$17*$B$15*$B$21*$B$22*$B$25,0)</f>
        <v/>
      </c>
      <c r="AP51" s="127">
        <f>ROUND($B$5*$B$10*$B$11*$B$17*$B$15*$B$21*$B$23*$B$24,0)</f>
        <v/>
      </c>
      <c r="AQ51" s="127">
        <f>ROUND($B$5*$B$10*$B$11*$B$17*$B$15*$B$21*$B$23*$B$25,0)</f>
        <v/>
      </c>
      <c r="AR51" s="127">
        <f>ROUND($B$5*$B$10*$B$11*$B$17*$B$16*$B$20*$B$22*$B$24,0)</f>
        <v/>
      </c>
      <c r="AS51" s="127">
        <f>ROUND($B$5*$B$10*$B$11*$B$17*$B$16*$B$20*$B$22*$B$25,0)</f>
        <v/>
      </c>
      <c r="AT51" s="127">
        <f>ROUND($B$5*$B$10*$B$11*$B$17*$B$16*$B$20*$B$23*$B$24,0)</f>
        <v/>
      </c>
      <c r="AU51" s="127">
        <f>ROUND($B$5*$B$10*$B$11*$B$17*$B$16*$B$20*$B$23*$B$25,0)</f>
        <v/>
      </c>
      <c r="AV51" s="127">
        <f>ROUND($B$5*$B$10*$B$11*$B$17*$B$16*$B$21*$B$22*$B$24,0)</f>
        <v/>
      </c>
      <c r="AW51" s="127">
        <f>ROUND($B$5*$B$10*$B$11*$B$17*$B$16*$B$21*$B$22*$B$25,0)</f>
        <v/>
      </c>
      <c r="AX51" s="127">
        <f>ROUND($B$5*$B$10*$B$11*$B$17*$B$16*$B$21*$B$23*$B$24,0)</f>
        <v/>
      </c>
      <c r="AY51" s="127">
        <f>ROUND($B$5*$B$10*$B$11*$B$17*$B$16*$B$21*$B$23*$B$25,0)</f>
        <v/>
      </c>
      <c r="AZ51" s="127">
        <f>ROUND($B$6*$B$10*$B$11*$B$17*$B$14*$B$20*$B$22*$B$24,0)</f>
        <v/>
      </c>
      <c r="BA51" s="127">
        <f>ROUND($B$6*$B$10*$B$11*$B$17*$B$14*$B$20*$B$22*$B$25,0)</f>
        <v/>
      </c>
      <c r="BB51" s="127">
        <f>ROUND($B$6*$B$10*$B$11*$B$17*$B$14*$B$20*$B$23*$B$24,0)</f>
        <v/>
      </c>
      <c r="BC51" s="127">
        <f>ROUND($B$6*$B$10*$B$11*$B$17*$B$14*$B$20*$B$23*$B$25,0)</f>
        <v/>
      </c>
      <c r="BD51" s="127">
        <f>ROUND($B$6*$B$10*$B$11*$B$17*$B$14*$B$21*$B$22*$B$24,0)</f>
        <v/>
      </c>
      <c r="BE51" s="127">
        <f>ROUND($B$6*$B$10*$B$11*$B$17*$B$14*$B$21*$B$22*$B$25,0)</f>
        <v/>
      </c>
      <c r="BF51" s="127">
        <f>ROUND($B$6*$B$10*$B$11*$B$17*$B$14*$B$21*$B$23*$B$24,0)</f>
        <v/>
      </c>
      <c r="BG51" s="127">
        <f>ROUND($B$6*$B$10*$B$11*$B$17*$B$14*$B$21*$B$23*$B$25,0)</f>
        <v/>
      </c>
      <c r="BH51" s="127">
        <f>ROUND($B$6*$B$10*$B$11*$B$17*$B$15*$B$20*$B$22*$B$24,0)</f>
        <v/>
      </c>
      <c r="BI51" s="127">
        <f>ROUND($B$6*$B$10*$B$11*$B$17*$B$15*$B$20*$B$22*$B$25,0)</f>
        <v/>
      </c>
      <c r="BJ51" s="127">
        <f>ROUND($B$6*$B$10*$B$11*$B$17*$B$15*$B$20*$B$23*$B$24,0)</f>
        <v/>
      </c>
      <c r="BK51" s="127">
        <f>ROUND($B$6*$B$10*$B$11*$B$17*$B$15*$B$20*$B$23*$B$25,0)</f>
        <v/>
      </c>
      <c r="BL51" s="127">
        <f>ROUND($B$6*$B$10*$B$11*$B$17*$B$15*$B$21*$B$22*$B$24,0)</f>
        <v/>
      </c>
      <c r="BM51" s="127">
        <f>ROUND($B$6*$B$10*$B$11*$B$17*$B$15*$B$21*$B$22*$B$25,0)</f>
        <v/>
      </c>
      <c r="BN51" s="127">
        <f>ROUND($B$6*$B$10*$B$11*$B$17*$B$15*$B$21*$B$23*$B$24,0)</f>
        <v/>
      </c>
      <c r="BO51" s="127">
        <f>ROUND($B$6*$B$10*$B$11*$B$17*$B$15*$B$21*$B$23*$B$25,0)</f>
        <v/>
      </c>
      <c r="BP51" s="127">
        <f>ROUND($B$6*$B$10*$B$11*$B$17*$B$16*$B$20*$B$22*$B$24,0)</f>
        <v/>
      </c>
      <c r="BQ51" s="127">
        <f>ROUND($B$6*$B$10*$B$11*$B$17*$B$16*$B$20*$B$22*$B$25,0)</f>
        <v/>
      </c>
      <c r="BR51" s="127">
        <f>ROUND($B$6*$B$10*$B$11*$B$17*$B$16*$B$20*$B$23*$B$24,0)</f>
        <v/>
      </c>
      <c r="BS51" s="127">
        <f>ROUND($B$6*$B$10*$B$11*$B$17*$B$16*$B$20*$B$23*$B$25,0)</f>
        <v/>
      </c>
      <c r="BT51" s="127">
        <f>ROUND($B$6*$B$10*$B$11*$B$17*$B$16*$B$21*$B$22*$B$24,0)</f>
        <v/>
      </c>
      <c r="BU51" s="127">
        <f>ROUND($B$6*$B$10*$B$11*$B$17*$B$16*$B$21*$B$22*$B$25,0)</f>
        <v/>
      </c>
      <c r="BV51" s="127">
        <f>ROUND($B$6*$B$10*$B$11*$B$17*$B$16*$B$21*$B$23*$B$24,0)</f>
        <v/>
      </c>
      <c r="BW51" s="127">
        <f>ROUND($B$6*$B$10*$B$11*$B$17*$B$16*$B$21*$B$23*$B$25,0)</f>
        <v/>
      </c>
    </row>
    <row r="52" ht="20" customHeight="1" s="62">
      <c r="C52" s="125" t="inlineStr">
        <is>
          <t>6-15 processus analysés</t>
        </is>
      </c>
      <c r="D52" s="127">
        <f>ROUND($B$4*$B$10*$B$11*$B$18*$B$14*$B$20*$B$22*$B$24,0)</f>
        <v/>
      </c>
      <c r="E52" s="127">
        <f>ROUND($B$4*$B$10*$B$11*$B$18*$B$14*$B$20*$B$22*$B$25,0)</f>
        <v/>
      </c>
      <c r="F52" s="127">
        <f>ROUND($B$4*$B$10*$B$11*$B$18*$B$14*$B$20*$B$23*$B$24,0)</f>
        <v/>
      </c>
      <c r="G52" s="127">
        <f>ROUND($B$4*$B$10*$B$11*$B$18*$B$14*$B$20*$B$23*$B$25,0)</f>
        <v/>
      </c>
      <c r="H52" s="127">
        <f>ROUND($B$4*$B$10*$B$11*$B$18*$B$14*$B$21*$B$22*$B$24,0)</f>
        <v/>
      </c>
      <c r="I52" s="127">
        <f>ROUND($B$4*$B$10*$B$11*$B$18*$B$14*$B$21*$B$22*$B$25,0)</f>
        <v/>
      </c>
      <c r="J52" s="127">
        <f>ROUND($B$4*$B$10*$B$11*$B$18*$B$14*$B$21*$B$23*$B$24,0)</f>
        <v/>
      </c>
      <c r="K52" s="127">
        <f>ROUND($B$4*$B$10*$B$11*$B$18*$B$14*$B$21*$B$23*$B$25,0)</f>
        <v/>
      </c>
      <c r="L52" s="127">
        <f>ROUND($B$4*$B$10*$B$11*$B$18*$B$15*$B$20*$B$22*$B$24,0)</f>
        <v/>
      </c>
      <c r="M52" s="127">
        <f>ROUND($B$4*$B$10*$B$11*$B$18*$B$15*$B$20*$B$22*$B$25,0)</f>
        <v/>
      </c>
      <c r="N52" s="127">
        <f>ROUND($B$4*$B$10*$B$11*$B$18*$B$15*$B$20*$B$23*$B$24,0)</f>
        <v/>
      </c>
      <c r="O52" s="127">
        <f>ROUND($B$4*$B$10*$B$11*$B$18*$B$15*$B$20*$B$23*$B$25,0)</f>
        <v/>
      </c>
      <c r="P52" s="127">
        <f>ROUND($B$4*$B$10*$B$11*$B$18*$B$15*$B$21*$B$22*$B$24,0)</f>
        <v/>
      </c>
      <c r="Q52" s="127">
        <f>ROUND($B$4*$B$10*$B$11*$B$18*$B$15*$B$21*$B$22*$B$25,0)</f>
        <v/>
      </c>
      <c r="R52" s="127">
        <f>ROUND($B$4*$B$10*$B$11*$B$18*$B$15*$B$21*$B$23*$B$24,0)</f>
        <v/>
      </c>
      <c r="S52" s="127">
        <f>ROUND($B$4*$B$10*$B$11*$B$18*$B$15*$B$21*$B$23*$B$25,0)</f>
        <v/>
      </c>
      <c r="T52" s="127">
        <f>ROUND($B$4*$B$10*$B$11*$B$18*$B$16*$B$20*$B$22*$B$24,0)</f>
        <v/>
      </c>
      <c r="U52" s="127">
        <f>ROUND($B$4*$B$10*$B$11*$B$18*$B$16*$B$20*$B$22*$B$25,0)</f>
        <v/>
      </c>
      <c r="V52" s="127">
        <f>ROUND($B$4*$B$10*$B$11*$B$18*$B$16*$B$20*$B$23*$B$24,0)</f>
        <v/>
      </c>
      <c r="W52" s="127">
        <f>ROUND($B$4*$B$10*$B$11*$B$18*$B$16*$B$20*$B$23*$B$25,0)</f>
        <v/>
      </c>
      <c r="X52" s="127">
        <f>ROUND($B$4*$B$10*$B$11*$B$18*$B$16*$B$21*$B$22*$B$24,0)</f>
        <v/>
      </c>
      <c r="Y52" s="127">
        <f>ROUND($B$4*$B$10*$B$11*$B$18*$B$16*$B$21*$B$22*$B$25,0)</f>
        <v/>
      </c>
      <c r="Z52" s="127">
        <f>ROUND($B$4*$B$10*$B$11*$B$18*$B$16*$B$21*$B$23*$B$24,0)</f>
        <v/>
      </c>
      <c r="AA52" s="127">
        <f>ROUND($B$4*$B$10*$B$11*$B$18*$B$16*$B$21*$B$23*$B$25,0)</f>
        <v/>
      </c>
      <c r="AB52" s="127">
        <f>ROUND($B$5*$B$10*$B$11*$B$18*$B$14*$B$20*$B$22*$B$24,0)</f>
        <v/>
      </c>
      <c r="AC52" s="127">
        <f>ROUND($B$5*$B$10*$B$11*$B$18*$B$14*$B$20*$B$22*$B$25,0)</f>
        <v/>
      </c>
      <c r="AD52" s="127">
        <f>ROUND($B$5*$B$10*$B$11*$B$18*$B$14*$B$20*$B$23*$B$24,0)</f>
        <v/>
      </c>
      <c r="AE52" s="127">
        <f>ROUND($B$5*$B$10*$B$11*$B$18*$B$14*$B$20*$B$23*$B$25,0)</f>
        <v/>
      </c>
      <c r="AF52" s="127">
        <f>ROUND($B$5*$B$10*$B$11*$B$18*$B$14*$B$21*$B$22*$B$24,0)</f>
        <v/>
      </c>
      <c r="AG52" s="127">
        <f>ROUND($B$5*$B$10*$B$11*$B$18*$B$14*$B$21*$B$22*$B$25,0)</f>
        <v/>
      </c>
      <c r="AH52" s="127">
        <f>ROUND($B$5*$B$10*$B$11*$B$18*$B$14*$B$21*$B$23*$B$24,0)</f>
        <v/>
      </c>
      <c r="AI52" s="127">
        <f>ROUND($B$5*$B$10*$B$11*$B$18*$B$14*$B$21*$B$23*$B$25,0)</f>
        <v/>
      </c>
      <c r="AJ52" s="127">
        <f>ROUND($B$5*$B$10*$B$11*$B$18*$B$15*$B$20*$B$22*$B$24,0)</f>
        <v/>
      </c>
      <c r="AK52" s="127">
        <f>ROUND($B$5*$B$10*$B$11*$B$18*$B$15*$B$20*$B$22*$B$25,0)</f>
        <v/>
      </c>
      <c r="AL52" s="127">
        <f>ROUND($B$5*$B$10*$B$11*$B$18*$B$15*$B$20*$B$23*$B$24,0)</f>
        <v/>
      </c>
      <c r="AM52" s="127">
        <f>ROUND($B$5*$B$10*$B$11*$B$18*$B$15*$B$20*$B$23*$B$25,0)</f>
        <v/>
      </c>
      <c r="AN52" s="127">
        <f>ROUND($B$5*$B$10*$B$11*$B$18*$B$15*$B$21*$B$22*$B$24,0)</f>
        <v/>
      </c>
      <c r="AO52" s="127">
        <f>ROUND($B$5*$B$10*$B$11*$B$18*$B$15*$B$21*$B$22*$B$25,0)</f>
        <v/>
      </c>
      <c r="AP52" s="127">
        <f>ROUND($B$5*$B$10*$B$11*$B$18*$B$15*$B$21*$B$23*$B$24,0)</f>
        <v/>
      </c>
      <c r="AQ52" s="127">
        <f>ROUND($B$5*$B$10*$B$11*$B$18*$B$15*$B$21*$B$23*$B$25,0)</f>
        <v/>
      </c>
      <c r="AR52" s="127">
        <f>ROUND($B$5*$B$10*$B$11*$B$18*$B$16*$B$20*$B$22*$B$24,0)</f>
        <v/>
      </c>
      <c r="AS52" s="127">
        <f>ROUND($B$5*$B$10*$B$11*$B$18*$B$16*$B$20*$B$22*$B$25,0)</f>
        <v/>
      </c>
      <c r="AT52" s="127">
        <f>ROUND($B$5*$B$10*$B$11*$B$18*$B$16*$B$20*$B$23*$B$24,0)</f>
        <v/>
      </c>
      <c r="AU52" s="127">
        <f>ROUND($B$5*$B$10*$B$11*$B$18*$B$16*$B$20*$B$23*$B$25,0)</f>
        <v/>
      </c>
      <c r="AV52" s="127">
        <f>ROUND($B$5*$B$10*$B$11*$B$18*$B$16*$B$21*$B$22*$B$24,0)</f>
        <v/>
      </c>
      <c r="AW52" s="127">
        <f>ROUND($B$5*$B$10*$B$11*$B$18*$B$16*$B$21*$B$22*$B$25,0)</f>
        <v/>
      </c>
      <c r="AX52" s="127">
        <f>ROUND($B$5*$B$10*$B$11*$B$18*$B$16*$B$21*$B$23*$B$24,0)</f>
        <v/>
      </c>
      <c r="AY52" s="127">
        <f>ROUND($B$5*$B$10*$B$11*$B$18*$B$16*$B$21*$B$23*$B$25,0)</f>
        <v/>
      </c>
      <c r="AZ52" s="127">
        <f>ROUND($B$6*$B$10*$B$11*$B$18*$B$14*$B$20*$B$22*$B$24,0)</f>
        <v/>
      </c>
      <c r="BA52" s="127">
        <f>ROUND($B$6*$B$10*$B$11*$B$18*$B$14*$B$20*$B$22*$B$25,0)</f>
        <v/>
      </c>
      <c r="BB52" s="127">
        <f>ROUND($B$6*$B$10*$B$11*$B$18*$B$14*$B$20*$B$23*$B$24,0)</f>
        <v/>
      </c>
      <c r="BC52" s="127">
        <f>ROUND($B$6*$B$10*$B$11*$B$18*$B$14*$B$20*$B$23*$B$25,0)</f>
        <v/>
      </c>
      <c r="BD52" s="127">
        <f>ROUND($B$6*$B$10*$B$11*$B$18*$B$14*$B$21*$B$22*$B$24,0)</f>
        <v/>
      </c>
      <c r="BE52" s="127">
        <f>ROUND($B$6*$B$10*$B$11*$B$18*$B$14*$B$21*$B$22*$B$25,0)</f>
        <v/>
      </c>
      <c r="BF52" s="127">
        <f>ROUND($B$6*$B$10*$B$11*$B$18*$B$14*$B$21*$B$23*$B$24,0)</f>
        <v/>
      </c>
      <c r="BG52" s="127">
        <f>ROUND($B$6*$B$10*$B$11*$B$18*$B$14*$B$21*$B$23*$B$25,0)</f>
        <v/>
      </c>
      <c r="BH52" s="127">
        <f>ROUND($B$6*$B$10*$B$11*$B$18*$B$15*$B$20*$B$22*$B$24,0)</f>
        <v/>
      </c>
      <c r="BI52" s="127">
        <f>ROUND($B$6*$B$10*$B$11*$B$18*$B$15*$B$20*$B$22*$B$25,0)</f>
        <v/>
      </c>
      <c r="BJ52" s="127">
        <f>ROUND($B$6*$B$10*$B$11*$B$18*$B$15*$B$20*$B$23*$B$24,0)</f>
        <v/>
      </c>
      <c r="BK52" s="127">
        <f>ROUND($B$6*$B$10*$B$11*$B$18*$B$15*$B$20*$B$23*$B$25,0)</f>
        <v/>
      </c>
      <c r="BL52" s="127">
        <f>ROUND($B$6*$B$10*$B$11*$B$18*$B$15*$B$21*$B$22*$B$24,0)</f>
        <v/>
      </c>
      <c r="BM52" s="127">
        <f>ROUND($B$6*$B$10*$B$11*$B$18*$B$15*$B$21*$B$22*$B$25,0)</f>
        <v/>
      </c>
      <c r="BN52" s="127">
        <f>ROUND($B$6*$B$10*$B$11*$B$18*$B$15*$B$21*$B$23*$B$24,0)</f>
        <v/>
      </c>
      <c r="BO52" s="127">
        <f>ROUND($B$6*$B$10*$B$11*$B$18*$B$15*$B$21*$B$23*$B$25,0)</f>
        <v/>
      </c>
      <c r="BP52" s="127">
        <f>ROUND($B$6*$B$10*$B$11*$B$18*$B$16*$B$20*$B$22*$B$24,0)</f>
        <v/>
      </c>
      <c r="BQ52" s="127">
        <f>ROUND($B$6*$B$10*$B$11*$B$18*$B$16*$B$20*$B$22*$B$25,0)</f>
        <v/>
      </c>
      <c r="BR52" s="127">
        <f>ROUND($B$6*$B$10*$B$11*$B$18*$B$16*$B$20*$B$23*$B$24,0)</f>
        <v/>
      </c>
      <c r="BS52" s="127">
        <f>ROUND($B$6*$B$10*$B$11*$B$18*$B$16*$B$20*$B$23*$B$25,0)</f>
        <v/>
      </c>
      <c r="BT52" s="127">
        <f>ROUND($B$6*$B$10*$B$11*$B$18*$B$16*$B$21*$B$22*$B$24,0)</f>
        <v/>
      </c>
      <c r="BU52" s="127">
        <f>ROUND($B$6*$B$10*$B$11*$B$18*$B$16*$B$21*$B$22*$B$25,0)</f>
        <v/>
      </c>
      <c r="BV52" s="127">
        <f>ROUND($B$6*$B$10*$B$11*$B$18*$B$16*$B$21*$B$23*$B$24,0)</f>
        <v/>
      </c>
      <c r="BW52" s="127">
        <f>ROUND($B$6*$B$10*$B$11*$B$18*$B$16*$B$21*$B$23*$B$25,0)</f>
        <v/>
      </c>
    </row>
    <row r="53" ht="20" customHeight="1" s="62">
      <c r="C53" s="129" t="inlineStr">
        <is>
          <t>16+ processus analysés</t>
        </is>
      </c>
      <c r="D53" s="127">
        <f>ROUND($B$4*$B$10*$B$11*$B$19*$B$14*$B$20*$B$22*$B$24,0)</f>
        <v/>
      </c>
      <c r="E53" s="127">
        <f>ROUND($B$4*$B$10*$B$11*$B$19*$B$14*$B$20*$B$22*$B$25,0)</f>
        <v/>
      </c>
      <c r="F53" s="127">
        <f>ROUND($B$4*$B$10*$B$11*$B$19*$B$14*$B$20*$B$23*$B$24,0)</f>
        <v/>
      </c>
      <c r="G53" s="127">
        <f>ROUND($B$4*$B$10*$B$11*$B$19*$B$14*$B$20*$B$23*$B$25,0)</f>
        <v/>
      </c>
      <c r="H53" s="127">
        <f>ROUND($B$4*$B$10*$B$11*$B$19*$B$14*$B$21*$B$22*$B$24,0)</f>
        <v/>
      </c>
      <c r="I53" s="127">
        <f>ROUND($B$4*$B$10*$B$11*$B$19*$B$14*$B$21*$B$22*$B$25,0)</f>
        <v/>
      </c>
      <c r="J53" s="127">
        <f>ROUND($B$4*$B$10*$B$11*$B$19*$B$14*$B$21*$B$23*$B$24,0)</f>
        <v/>
      </c>
      <c r="K53" s="127">
        <f>ROUND($B$4*$B$10*$B$11*$B$19*$B$14*$B$21*$B$23*$B$25,0)</f>
        <v/>
      </c>
      <c r="L53" s="127">
        <f>ROUND($B$4*$B$10*$B$11*$B$19*$B$15*$B$20*$B$22*$B$24,0)</f>
        <v/>
      </c>
      <c r="M53" s="127">
        <f>ROUND($B$4*$B$10*$B$11*$B$19*$B$15*$B$20*$B$22*$B$25,0)</f>
        <v/>
      </c>
      <c r="N53" s="127">
        <f>ROUND($B$4*$B$10*$B$11*$B$19*$B$15*$B$20*$B$23*$B$24,0)</f>
        <v/>
      </c>
      <c r="O53" s="127">
        <f>ROUND($B$4*$B$10*$B$11*$B$19*$B$15*$B$20*$B$23*$B$25,0)</f>
        <v/>
      </c>
      <c r="P53" s="127">
        <f>ROUND($B$4*$B$10*$B$11*$B$19*$B$15*$B$21*$B$22*$B$24,0)</f>
        <v/>
      </c>
      <c r="Q53" s="127">
        <f>ROUND($B$4*$B$10*$B$11*$B$19*$B$15*$B$21*$B$22*$B$25,0)</f>
        <v/>
      </c>
      <c r="R53" s="127">
        <f>ROUND($B$4*$B$10*$B$11*$B$19*$B$15*$B$21*$B$23*$B$24,0)</f>
        <v/>
      </c>
      <c r="S53" s="127">
        <f>ROUND($B$4*$B$10*$B$11*$B$19*$B$15*$B$21*$B$23*$B$25,0)</f>
        <v/>
      </c>
      <c r="T53" s="127">
        <f>ROUND($B$4*$B$10*$B$11*$B$19*$B$16*$B$20*$B$22*$B$24,0)</f>
        <v/>
      </c>
      <c r="U53" s="127">
        <f>ROUND($B$4*$B$10*$B$11*$B$19*$B$16*$B$20*$B$22*$B$25,0)</f>
        <v/>
      </c>
      <c r="V53" s="127">
        <f>ROUND($B$4*$B$10*$B$11*$B$19*$B$16*$B$20*$B$23*$B$24,0)</f>
        <v/>
      </c>
      <c r="W53" s="127">
        <f>ROUND($B$4*$B$10*$B$11*$B$19*$B$16*$B$20*$B$23*$B$25,0)</f>
        <v/>
      </c>
      <c r="X53" s="127">
        <f>ROUND($B$4*$B$10*$B$11*$B$19*$B$16*$B$21*$B$22*$B$24,0)</f>
        <v/>
      </c>
      <c r="Y53" s="127">
        <f>ROUND($B$4*$B$10*$B$11*$B$19*$B$16*$B$21*$B$22*$B$25,0)</f>
        <v/>
      </c>
      <c r="Z53" s="127">
        <f>ROUND($B$4*$B$10*$B$11*$B$19*$B$16*$B$21*$B$23*$B$24,0)</f>
        <v/>
      </c>
      <c r="AA53" s="127">
        <f>ROUND($B$4*$B$10*$B$11*$B$19*$B$16*$B$21*$B$23*$B$25,0)</f>
        <v/>
      </c>
      <c r="AB53" s="127">
        <f>ROUND($B$5*$B$10*$B$11*$B$19*$B$14*$B$20*$B$22*$B$24,0)</f>
        <v/>
      </c>
      <c r="AC53" s="127">
        <f>ROUND($B$5*$B$10*$B$11*$B$19*$B$14*$B$20*$B$22*$B$25,0)</f>
        <v/>
      </c>
      <c r="AD53" s="127">
        <f>ROUND($B$5*$B$10*$B$11*$B$19*$B$14*$B$20*$B$23*$B$24,0)</f>
        <v/>
      </c>
      <c r="AE53" s="127">
        <f>ROUND($B$5*$B$10*$B$11*$B$19*$B$14*$B$20*$B$23*$B$25,0)</f>
        <v/>
      </c>
      <c r="AF53" s="127">
        <f>ROUND($B$5*$B$10*$B$11*$B$19*$B$14*$B$21*$B$22*$B$24,0)</f>
        <v/>
      </c>
      <c r="AG53" s="127">
        <f>ROUND($B$5*$B$10*$B$11*$B$19*$B$14*$B$21*$B$22*$B$25,0)</f>
        <v/>
      </c>
      <c r="AH53" s="127">
        <f>ROUND($B$5*$B$10*$B$11*$B$19*$B$14*$B$21*$B$23*$B$24,0)</f>
        <v/>
      </c>
      <c r="AI53" s="127">
        <f>ROUND($B$5*$B$10*$B$11*$B$19*$B$14*$B$21*$B$23*$B$25,0)</f>
        <v/>
      </c>
      <c r="AJ53" s="127">
        <f>ROUND($B$5*$B$10*$B$11*$B$19*$B$15*$B$20*$B$22*$B$24,0)</f>
        <v/>
      </c>
      <c r="AK53" s="127">
        <f>ROUND($B$5*$B$10*$B$11*$B$19*$B$15*$B$20*$B$22*$B$25,0)</f>
        <v/>
      </c>
      <c r="AL53" s="127">
        <f>ROUND($B$5*$B$10*$B$11*$B$19*$B$15*$B$20*$B$23*$B$24,0)</f>
        <v/>
      </c>
      <c r="AM53" s="127">
        <f>ROUND($B$5*$B$10*$B$11*$B$19*$B$15*$B$20*$B$23*$B$25,0)</f>
        <v/>
      </c>
      <c r="AN53" s="127">
        <f>ROUND($B$5*$B$10*$B$11*$B$19*$B$15*$B$21*$B$22*$B$24,0)</f>
        <v/>
      </c>
      <c r="AO53" s="127">
        <f>ROUND($B$5*$B$10*$B$11*$B$19*$B$15*$B$21*$B$22*$B$25,0)</f>
        <v/>
      </c>
      <c r="AP53" s="127">
        <f>ROUND($B$5*$B$10*$B$11*$B$19*$B$15*$B$21*$B$23*$B$24,0)</f>
        <v/>
      </c>
      <c r="AQ53" s="127">
        <f>ROUND($B$5*$B$10*$B$11*$B$19*$B$15*$B$21*$B$23*$B$25,0)</f>
        <v/>
      </c>
      <c r="AR53" s="127">
        <f>ROUND($B$5*$B$10*$B$11*$B$19*$B$16*$B$20*$B$22*$B$24,0)</f>
        <v/>
      </c>
      <c r="AS53" s="127">
        <f>ROUND($B$5*$B$10*$B$11*$B$19*$B$16*$B$20*$B$22*$B$25,0)</f>
        <v/>
      </c>
      <c r="AT53" s="127">
        <f>ROUND($B$5*$B$10*$B$11*$B$19*$B$16*$B$20*$B$23*$B$24,0)</f>
        <v/>
      </c>
      <c r="AU53" s="127">
        <f>ROUND($B$5*$B$10*$B$11*$B$19*$B$16*$B$20*$B$23*$B$25,0)</f>
        <v/>
      </c>
      <c r="AV53" s="127">
        <f>ROUND($B$5*$B$10*$B$11*$B$19*$B$16*$B$21*$B$22*$B$24,0)</f>
        <v/>
      </c>
      <c r="AW53" s="127">
        <f>ROUND($B$5*$B$10*$B$11*$B$19*$B$16*$B$21*$B$22*$B$25,0)</f>
        <v/>
      </c>
      <c r="AX53" s="127">
        <f>ROUND($B$5*$B$10*$B$11*$B$19*$B$16*$B$21*$B$23*$B$24,0)</f>
        <v/>
      </c>
      <c r="AY53" s="127">
        <f>ROUND($B$5*$B$10*$B$11*$B$19*$B$16*$B$21*$B$23*$B$25,0)</f>
        <v/>
      </c>
      <c r="AZ53" s="127">
        <f>ROUND($B$6*$B$10*$B$11*$B$19*$B$14*$B$20*$B$22*$B$24,0)</f>
        <v/>
      </c>
      <c r="BA53" s="127">
        <f>ROUND($B$6*$B$10*$B$11*$B$19*$B$14*$B$20*$B$22*$B$25,0)</f>
        <v/>
      </c>
      <c r="BB53" s="127">
        <f>ROUND($B$6*$B$10*$B$11*$B$19*$B$14*$B$20*$B$23*$B$24,0)</f>
        <v/>
      </c>
      <c r="BC53" s="127">
        <f>ROUND($B$6*$B$10*$B$11*$B$19*$B$14*$B$20*$B$23*$B$25,0)</f>
        <v/>
      </c>
      <c r="BD53" s="127">
        <f>ROUND($B$6*$B$10*$B$11*$B$19*$B$14*$B$21*$B$22*$B$24,0)</f>
        <v/>
      </c>
      <c r="BE53" s="127">
        <f>ROUND($B$6*$B$10*$B$11*$B$19*$B$14*$B$21*$B$22*$B$25,0)</f>
        <v/>
      </c>
      <c r="BF53" s="127">
        <f>ROUND($B$6*$B$10*$B$11*$B$19*$B$14*$B$21*$B$23*$B$24,0)</f>
        <v/>
      </c>
      <c r="BG53" s="127">
        <f>ROUND($B$6*$B$10*$B$11*$B$19*$B$14*$B$21*$B$23*$B$25,0)</f>
        <v/>
      </c>
      <c r="BH53" s="127">
        <f>ROUND($B$6*$B$10*$B$11*$B$19*$B$15*$B$20*$B$22*$B$24,0)</f>
        <v/>
      </c>
      <c r="BI53" s="127">
        <f>ROUND($B$6*$B$10*$B$11*$B$19*$B$15*$B$20*$B$22*$B$25,0)</f>
        <v/>
      </c>
      <c r="BJ53" s="127">
        <f>ROUND($B$6*$B$10*$B$11*$B$19*$B$15*$B$20*$B$23*$B$24,0)</f>
        <v/>
      </c>
      <c r="BK53" s="127">
        <f>ROUND($B$6*$B$10*$B$11*$B$19*$B$15*$B$20*$B$23*$B$25,0)</f>
        <v/>
      </c>
      <c r="BL53" s="127">
        <f>ROUND($B$6*$B$10*$B$11*$B$19*$B$15*$B$21*$B$22*$B$24,0)</f>
        <v/>
      </c>
      <c r="BM53" s="127">
        <f>ROUND($B$6*$B$10*$B$11*$B$19*$B$15*$B$21*$B$22*$B$25,0)</f>
        <v/>
      </c>
      <c r="BN53" s="127">
        <f>ROUND($B$6*$B$10*$B$11*$B$19*$B$15*$B$21*$B$23*$B$24,0)</f>
        <v/>
      </c>
      <c r="BO53" s="127">
        <f>ROUND($B$6*$B$10*$B$11*$B$19*$B$15*$B$21*$B$23*$B$25,0)</f>
        <v/>
      </c>
      <c r="BP53" s="127">
        <f>ROUND($B$6*$B$10*$B$11*$B$19*$B$16*$B$20*$B$22*$B$24,0)</f>
        <v/>
      </c>
      <c r="BQ53" s="127">
        <f>ROUND($B$6*$B$10*$B$11*$B$19*$B$16*$B$20*$B$22*$B$25,0)</f>
        <v/>
      </c>
      <c r="BR53" s="127">
        <f>ROUND($B$6*$B$10*$B$11*$B$19*$B$16*$B$20*$B$23*$B$24,0)</f>
        <v/>
      </c>
      <c r="BS53" s="127">
        <f>ROUND($B$6*$B$10*$B$11*$B$19*$B$16*$B$20*$B$23*$B$25,0)</f>
        <v/>
      </c>
      <c r="BT53" s="127">
        <f>ROUND($B$6*$B$10*$B$11*$B$19*$B$16*$B$21*$B$22*$B$24,0)</f>
        <v/>
      </c>
      <c r="BU53" s="127">
        <f>ROUND($B$6*$B$10*$B$11*$B$19*$B$16*$B$21*$B$22*$B$25,0)</f>
        <v/>
      </c>
      <c r="BV53" s="127">
        <f>ROUND($B$6*$B$10*$B$11*$B$19*$B$16*$B$21*$B$23*$B$24,0)</f>
        <v/>
      </c>
      <c r="BW53" s="127">
        <f>ROUND($B$6*$B$10*$B$11*$B$19*$B$16*$B$21*$B$23*$B$25,0)</f>
        <v/>
      </c>
    </row>
    <row r="54" ht="20" customHeight="1" s="62">
      <c r="B54" s="125" t="inlineStr">
        <is>
          <t>SI modérée</t>
        </is>
      </c>
      <c r="C54" s="126" t="inlineStr">
        <is>
          <t>1-5 processus analysés</t>
        </is>
      </c>
      <c r="D54" s="127">
        <f>ROUND($B$4*$B$10*$B$12*$B$17*$B$14*$B$20*$B$22*$B$24,0)</f>
        <v/>
      </c>
      <c r="E54" s="127">
        <f>ROUND($B$4*$B$10*$B$12*$B$17*$B$14*$B$20*$B$22*$B$25,0)</f>
        <v/>
      </c>
      <c r="F54" s="127">
        <f>ROUND($B$4*$B$10*$B$12*$B$17*$B$14*$B$20*$B$23*$B$24,0)</f>
        <v/>
      </c>
      <c r="G54" s="127">
        <f>ROUND($B$4*$B$10*$B$12*$B$17*$B$14*$B$20*$B$23*$B$25,0)</f>
        <v/>
      </c>
      <c r="H54" s="127">
        <f>ROUND($B$4*$B$10*$B$12*$B$17*$B$14*$B$21*$B$22*$B$24,0)</f>
        <v/>
      </c>
      <c r="I54" s="127">
        <f>ROUND($B$4*$B$10*$B$12*$B$17*$B$14*$B$21*$B$22*$B$25,0)</f>
        <v/>
      </c>
      <c r="J54" s="127">
        <f>ROUND($B$4*$B$10*$B$12*$B$17*$B$14*$B$21*$B$23*$B$24,0)</f>
        <v/>
      </c>
      <c r="K54" s="127">
        <f>ROUND($B$4*$B$10*$B$12*$B$17*$B$14*$B$21*$B$23*$B$25,0)</f>
        <v/>
      </c>
      <c r="L54" s="127">
        <f>ROUND($B$4*$B$10*$B$12*$B$17*$B$15*$B$20*$B$22*$B$24,0)</f>
        <v/>
      </c>
      <c r="M54" s="127">
        <f>ROUND($B$4*$B$10*$B$12*$B$17*$B$15*$B$20*$B$22*$B$25,0)</f>
        <v/>
      </c>
      <c r="N54" s="127">
        <f>ROUND($B$4*$B$10*$B$12*$B$17*$B$15*$B$20*$B$23*$B$24,0)</f>
        <v/>
      </c>
      <c r="O54" s="127">
        <f>ROUND($B$4*$B$10*$B$12*$B$17*$B$15*$B$20*$B$23*$B$25,0)</f>
        <v/>
      </c>
      <c r="P54" s="127">
        <f>ROUND($B$4*$B$10*$B$12*$B$17*$B$15*$B$21*$B$22*$B$24,0)</f>
        <v/>
      </c>
      <c r="Q54" s="127">
        <f>ROUND($B$4*$B$10*$B$12*$B$17*$B$15*$B$21*$B$22*$B$25,0)</f>
        <v/>
      </c>
      <c r="R54" s="127">
        <f>ROUND($B$4*$B$10*$B$12*$B$17*$B$15*$B$21*$B$23*$B$24,0)</f>
        <v/>
      </c>
      <c r="S54" s="127">
        <f>ROUND($B$4*$B$10*$B$12*$B$17*$B$15*$B$21*$B$23*$B$25,0)</f>
        <v/>
      </c>
      <c r="T54" s="127">
        <f>ROUND($B$4*$B$10*$B$12*$B$17*$B$16*$B$20*$B$22*$B$24,0)</f>
        <v/>
      </c>
      <c r="U54" s="127">
        <f>ROUND($B$4*$B$10*$B$12*$B$17*$B$16*$B$20*$B$22*$B$25,0)</f>
        <v/>
      </c>
      <c r="V54" s="127">
        <f>ROUND($B$4*$B$10*$B$12*$B$17*$B$16*$B$20*$B$23*$B$24,0)</f>
        <v/>
      </c>
      <c r="W54" s="127">
        <f>ROUND($B$4*$B$10*$B$12*$B$17*$B$16*$B$20*$B$23*$B$25,0)</f>
        <v/>
      </c>
      <c r="X54" s="127">
        <f>ROUND($B$4*$B$10*$B$12*$B$17*$B$16*$B$21*$B$22*$B$24,0)</f>
        <v/>
      </c>
      <c r="Y54" s="127">
        <f>ROUND($B$4*$B$10*$B$12*$B$17*$B$16*$B$21*$B$22*$B$25,0)</f>
        <v/>
      </c>
      <c r="Z54" s="127">
        <f>ROUND($B$4*$B$10*$B$12*$B$17*$B$16*$B$21*$B$23*$B$24,0)</f>
        <v/>
      </c>
      <c r="AA54" s="127">
        <f>ROUND($B$4*$B$10*$B$12*$B$17*$B$16*$B$21*$B$23*$B$25,0)</f>
        <v/>
      </c>
      <c r="AB54" s="127">
        <f>ROUND($B$5*$B$10*$B$12*$B$17*$B$14*$B$20*$B$22*$B$24,0)</f>
        <v/>
      </c>
      <c r="AC54" s="127">
        <f>ROUND($B$5*$B$10*$B$12*$B$17*$B$14*$B$20*$B$22*$B$25,0)</f>
        <v/>
      </c>
      <c r="AD54" s="127">
        <f>ROUND($B$5*$B$10*$B$12*$B$17*$B$14*$B$20*$B$23*$B$24,0)</f>
        <v/>
      </c>
      <c r="AE54" s="127">
        <f>ROUND($B$5*$B$10*$B$12*$B$17*$B$14*$B$20*$B$23*$B$25,0)</f>
        <v/>
      </c>
      <c r="AF54" s="127">
        <f>ROUND($B$5*$B$10*$B$12*$B$17*$B$14*$B$21*$B$22*$B$24,0)</f>
        <v/>
      </c>
      <c r="AG54" s="127">
        <f>ROUND($B$5*$B$10*$B$12*$B$17*$B$14*$B$21*$B$22*$B$25,0)</f>
        <v/>
      </c>
      <c r="AH54" s="127">
        <f>ROUND($B$5*$B$10*$B$12*$B$17*$B$14*$B$21*$B$23*$B$24,0)</f>
        <v/>
      </c>
      <c r="AI54" s="127">
        <f>ROUND($B$5*$B$10*$B$12*$B$17*$B$14*$B$21*$B$23*$B$25,0)</f>
        <v/>
      </c>
      <c r="AJ54" s="127">
        <f>ROUND($B$5*$B$10*$B$12*$B$17*$B$15*$B$20*$B$22*$B$24,0)</f>
        <v/>
      </c>
      <c r="AK54" s="127">
        <f>ROUND($B$5*$B$10*$B$12*$B$17*$B$15*$B$20*$B$22*$B$25,0)</f>
        <v/>
      </c>
      <c r="AL54" s="127">
        <f>ROUND($B$5*$B$10*$B$12*$B$17*$B$15*$B$20*$B$23*$B$24,0)</f>
        <v/>
      </c>
      <c r="AM54" s="127">
        <f>ROUND($B$5*$B$10*$B$12*$B$17*$B$15*$B$20*$B$23*$B$25,0)</f>
        <v/>
      </c>
      <c r="AN54" s="127">
        <f>ROUND($B$5*$B$10*$B$12*$B$17*$B$15*$B$21*$B$22*$B$24,0)</f>
        <v/>
      </c>
      <c r="AO54" s="127">
        <f>ROUND($B$5*$B$10*$B$12*$B$17*$B$15*$B$21*$B$22*$B$25,0)</f>
        <v/>
      </c>
      <c r="AP54" s="127">
        <f>ROUND($B$5*$B$10*$B$12*$B$17*$B$15*$B$21*$B$23*$B$24,0)</f>
        <v/>
      </c>
      <c r="AQ54" s="127">
        <f>ROUND($B$5*$B$10*$B$12*$B$17*$B$15*$B$21*$B$23*$B$25,0)</f>
        <v/>
      </c>
      <c r="AR54" s="127">
        <f>ROUND($B$5*$B$10*$B$12*$B$17*$B$16*$B$20*$B$22*$B$24,0)</f>
        <v/>
      </c>
      <c r="AS54" s="127">
        <f>ROUND($B$5*$B$10*$B$12*$B$17*$B$16*$B$20*$B$22*$B$25,0)</f>
        <v/>
      </c>
      <c r="AT54" s="127">
        <f>ROUND($B$5*$B$10*$B$12*$B$17*$B$16*$B$20*$B$23*$B$24,0)</f>
        <v/>
      </c>
      <c r="AU54" s="127">
        <f>ROUND($B$5*$B$10*$B$12*$B$17*$B$16*$B$20*$B$23*$B$25,0)</f>
        <v/>
      </c>
      <c r="AV54" s="127">
        <f>ROUND($B$5*$B$10*$B$12*$B$17*$B$16*$B$21*$B$22*$B$24,0)</f>
        <v/>
      </c>
      <c r="AW54" s="127">
        <f>ROUND($B$5*$B$10*$B$12*$B$17*$B$16*$B$21*$B$22*$B$25,0)</f>
        <v/>
      </c>
      <c r="AX54" s="127">
        <f>ROUND($B$5*$B$10*$B$12*$B$17*$B$16*$B$21*$B$23*$B$24,0)</f>
        <v/>
      </c>
      <c r="AY54" s="127">
        <f>ROUND($B$5*$B$10*$B$12*$B$17*$B$16*$B$21*$B$23*$B$25,0)</f>
        <v/>
      </c>
      <c r="AZ54" s="127">
        <f>ROUND($B$6*$B$10*$B$12*$B$17*$B$14*$B$20*$B$22*$B$24,0)</f>
        <v/>
      </c>
      <c r="BA54" s="127">
        <f>ROUND($B$6*$B$10*$B$12*$B$17*$B$14*$B$20*$B$22*$B$25,0)</f>
        <v/>
      </c>
      <c r="BB54" s="127">
        <f>ROUND($B$6*$B$10*$B$12*$B$17*$B$14*$B$20*$B$23*$B$24,0)</f>
        <v/>
      </c>
      <c r="BC54" s="127">
        <f>ROUND($B$6*$B$10*$B$12*$B$17*$B$14*$B$20*$B$23*$B$25,0)</f>
        <v/>
      </c>
      <c r="BD54" s="127">
        <f>ROUND($B$6*$B$10*$B$12*$B$17*$B$14*$B$21*$B$22*$B$24,0)</f>
        <v/>
      </c>
      <c r="BE54" s="127">
        <f>ROUND($B$6*$B$10*$B$12*$B$17*$B$14*$B$21*$B$22*$B$25,0)</f>
        <v/>
      </c>
      <c r="BF54" s="127">
        <f>ROUND($B$6*$B$10*$B$12*$B$17*$B$14*$B$21*$B$23*$B$24,0)</f>
        <v/>
      </c>
      <c r="BG54" s="127">
        <f>ROUND($B$6*$B$10*$B$12*$B$17*$B$14*$B$21*$B$23*$B$25,0)</f>
        <v/>
      </c>
      <c r="BH54" s="127">
        <f>ROUND($B$6*$B$10*$B$12*$B$17*$B$15*$B$20*$B$22*$B$24,0)</f>
        <v/>
      </c>
      <c r="BI54" s="127">
        <f>ROUND($B$6*$B$10*$B$12*$B$17*$B$15*$B$20*$B$22*$B$25,0)</f>
        <v/>
      </c>
      <c r="BJ54" s="127">
        <f>ROUND($B$6*$B$10*$B$12*$B$17*$B$15*$B$20*$B$23*$B$24,0)</f>
        <v/>
      </c>
      <c r="BK54" s="127">
        <f>ROUND($B$6*$B$10*$B$12*$B$17*$B$15*$B$20*$B$23*$B$25,0)</f>
        <v/>
      </c>
      <c r="BL54" s="127">
        <f>ROUND($B$6*$B$10*$B$12*$B$17*$B$15*$B$21*$B$22*$B$24,0)</f>
        <v/>
      </c>
      <c r="BM54" s="127">
        <f>ROUND($B$6*$B$10*$B$12*$B$17*$B$15*$B$21*$B$22*$B$25,0)</f>
        <v/>
      </c>
      <c r="BN54" s="127">
        <f>ROUND($B$6*$B$10*$B$12*$B$17*$B$15*$B$21*$B$23*$B$24,0)</f>
        <v/>
      </c>
      <c r="BO54" s="127">
        <f>ROUND($B$6*$B$10*$B$12*$B$17*$B$15*$B$21*$B$23*$B$25,0)</f>
        <v/>
      </c>
      <c r="BP54" s="127">
        <f>ROUND($B$6*$B$10*$B$12*$B$17*$B$16*$B$20*$B$22*$B$24,0)</f>
        <v/>
      </c>
      <c r="BQ54" s="127">
        <f>ROUND($B$6*$B$10*$B$12*$B$17*$B$16*$B$20*$B$22*$B$25,0)</f>
        <v/>
      </c>
      <c r="BR54" s="127">
        <f>ROUND($B$6*$B$10*$B$12*$B$17*$B$16*$B$20*$B$23*$B$24,0)</f>
        <v/>
      </c>
      <c r="BS54" s="127">
        <f>ROUND($B$6*$B$10*$B$12*$B$17*$B$16*$B$20*$B$23*$B$25,0)</f>
        <v/>
      </c>
      <c r="BT54" s="127">
        <f>ROUND($B$6*$B$10*$B$12*$B$17*$B$16*$B$21*$B$22*$B$24,0)</f>
        <v/>
      </c>
      <c r="BU54" s="127">
        <f>ROUND($B$6*$B$10*$B$12*$B$17*$B$16*$B$21*$B$22*$B$25,0)</f>
        <v/>
      </c>
      <c r="BV54" s="127">
        <f>ROUND($B$6*$B$10*$B$12*$B$17*$B$16*$B$21*$B$23*$B$24,0)</f>
        <v/>
      </c>
      <c r="BW54" s="127">
        <f>ROUND($B$6*$B$10*$B$12*$B$17*$B$16*$B$21*$B$23*$B$25,0)</f>
        <v/>
      </c>
    </row>
    <row r="55" ht="20" customHeight="1" s="62">
      <c r="C55" s="125" t="inlineStr">
        <is>
          <t>6-15 processus analysés</t>
        </is>
      </c>
      <c r="D55" s="127">
        <f>ROUND($B$4*$B$10*$B$12*$B$18*$B$14*$B$20*$B$22*$B$24,0)</f>
        <v/>
      </c>
      <c r="E55" s="127">
        <f>ROUND($B$4*$B$10*$B$12*$B$18*$B$14*$B$20*$B$22*$B$25,0)</f>
        <v/>
      </c>
      <c r="F55" s="127">
        <f>ROUND($B$4*$B$10*$B$12*$B$18*$B$14*$B$20*$B$23*$B$24,0)</f>
        <v/>
      </c>
      <c r="G55" s="127">
        <f>ROUND($B$4*$B$10*$B$12*$B$18*$B$14*$B$20*$B$23*$B$25,0)</f>
        <v/>
      </c>
      <c r="H55" s="127">
        <f>ROUND($B$4*$B$10*$B$12*$B$18*$B$14*$B$21*$B$22*$B$24,0)</f>
        <v/>
      </c>
      <c r="I55" s="127">
        <f>ROUND($B$4*$B$10*$B$12*$B$18*$B$14*$B$21*$B$22*$B$25,0)</f>
        <v/>
      </c>
      <c r="J55" s="127">
        <f>ROUND($B$4*$B$10*$B$12*$B$18*$B$14*$B$21*$B$23*$B$24,0)</f>
        <v/>
      </c>
      <c r="K55" s="127">
        <f>ROUND($B$4*$B$10*$B$12*$B$18*$B$14*$B$21*$B$23*$B$25,0)</f>
        <v/>
      </c>
      <c r="L55" s="127">
        <f>ROUND($B$4*$B$10*$B$12*$B$18*$B$15*$B$20*$B$22*$B$24,0)</f>
        <v/>
      </c>
      <c r="M55" s="127">
        <f>ROUND($B$4*$B$10*$B$12*$B$18*$B$15*$B$20*$B$22*$B$25,0)</f>
        <v/>
      </c>
      <c r="N55" s="127">
        <f>ROUND($B$4*$B$10*$B$12*$B$18*$B$15*$B$20*$B$23*$B$24,0)</f>
        <v/>
      </c>
      <c r="O55" s="127">
        <f>ROUND($B$4*$B$10*$B$12*$B$18*$B$15*$B$20*$B$23*$B$25,0)</f>
        <v/>
      </c>
      <c r="P55" s="127">
        <f>ROUND($B$4*$B$10*$B$12*$B$18*$B$15*$B$21*$B$22*$B$24,0)</f>
        <v/>
      </c>
      <c r="Q55" s="127">
        <f>ROUND($B$4*$B$10*$B$12*$B$18*$B$15*$B$21*$B$22*$B$25,0)</f>
        <v/>
      </c>
      <c r="R55" s="127">
        <f>ROUND($B$4*$B$10*$B$12*$B$18*$B$15*$B$21*$B$23*$B$24,0)</f>
        <v/>
      </c>
      <c r="S55" s="127">
        <f>ROUND($B$4*$B$10*$B$12*$B$18*$B$15*$B$21*$B$23*$B$25,0)</f>
        <v/>
      </c>
      <c r="T55" s="127">
        <f>ROUND($B$4*$B$10*$B$12*$B$18*$B$16*$B$20*$B$22*$B$24,0)</f>
        <v/>
      </c>
      <c r="U55" s="127">
        <f>ROUND($B$4*$B$10*$B$12*$B$18*$B$16*$B$20*$B$22*$B$25,0)</f>
        <v/>
      </c>
      <c r="V55" s="127">
        <f>ROUND($B$4*$B$10*$B$12*$B$18*$B$16*$B$20*$B$23*$B$24,0)</f>
        <v/>
      </c>
      <c r="W55" s="127">
        <f>ROUND($B$4*$B$10*$B$12*$B$18*$B$16*$B$20*$B$23*$B$25,0)</f>
        <v/>
      </c>
      <c r="X55" s="127">
        <f>ROUND($B$4*$B$10*$B$12*$B$18*$B$16*$B$21*$B$22*$B$24,0)</f>
        <v/>
      </c>
      <c r="Y55" s="127">
        <f>ROUND($B$4*$B$10*$B$12*$B$18*$B$16*$B$21*$B$22*$B$25,0)</f>
        <v/>
      </c>
      <c r="Z55" s="127">
        <f>ROUND($B$4*$B$10*$B$12*$B$18*$B$16*$B$21*$B$23*$B$24,0)</f>
        <v/>
      </c>
      <c r="AA55" s="127">
        <f>ROUND($B$4*$B$10*$B$12*$B$18*$B$16*$B$21*$B$23*$B$25,0)</f>
        <v/>
      </c>
      <c r="AB55" s="127">
        <f>ROUND($B$5*$B$10*$B$12*$B$18*$B$14*$B$20*$B$22*$B$24,0)</f>
        <v/>
      </c>
      <c r="AC55" s="127">
        <f>ROUND($B$5*$B$10*$B$12*$B$18*$B$14*$B$20*$B$22*$B$25,0)</f>
        <v/>
      </c>
      <c r="AD55" s="127">
        <f>ROUND($B$5*$B$10*$B$12*$B$18*$B$14*$B$20*$B$23*$B$24,0)</f>
        <v/>
      </c>
      <c r="AE55" s="127">
        <f>ROUND($B$5*$B$10*$B$12*$B$18*$B$14*$B$20*$B$23*$B$25,0)</f>
        <v/>
      </c>
      <c r="AF55" s="127">
        <f>ROUND($B$5*$B$10*$B$12*$B$18*$B$14*$B$21*$B$22*$B$24,0)</f>
        <v/>
      </c>
      <c r="AG55" s="127">
        <f>ROUND($B$5*$B$10*$B$12*$B$18*$B$14*$B$21*$B$22*$B$25,0)</f>
        <v/>
      </c>
      <c r="AH55" s="127">
        <f>ROUND($B$5*$B$10*$B$12*$B$18*$B$14*$B$21*$B$23*$B$24,0)</f>
        <v/>
      </c>
      <c r="AI55" s="127">
        <f>ROUND($B$5*$B$10*$B$12*$B$18*$B$14*$B$21*$B$23*$B$25,0)</f>
        <v/>
      </c>
      <c r="AJ55" s="127">
        <f>ROUND($B$5*$B$10*$B$12*$B$18*$B$15*$B$20*$B$22*$B$24,0)</f>
        <v/>
      </c>
      <c r="AK55" s="127">
        <f>ROUND($B$5*$B$10*$B$12*$B$18*$B$15*$B$20*$B$22*$B$25,0)</f>
        <v/>
      </c>
      <c r="AL55" s="127">
        <f>ROUND($B$5*$B$10*$B$12*$B$18*$B$15*$B$20*$B$23*$B$24,0)</f>
        <v/>
      </c>
      <c r="AM55" s="127">
        <f>ROUND($B$5*$B$10*$B$12*$B$18*$B$15*$B$20*$B$23*$B$25,0)</f>
        <v/>
      </c>
      <c r="AN55" s="127">
        <f>ROUND($B$5*$B$10*$B$12*$B$18*$B$15*$B$21*$B$22*$B$24,0)</f>
        <v/>
      </c>
      <c r="AO55" s="127">
        <f>ROUND($B$5*$B$10*$B$12*$B$18*$B$15*$B$21*$B$22*$B$25,0)</f>
        <v/>
      </c>
      <c r="AP55" s="127">
        <f>ROUND($B$5*$B$10*$B$12*$B$18*$B$15*$B$21*$B$23*$B$24,0)</f>
        <v/>
      </c>
      <c r="AQ55" s="127">
        <f>ROUND($B$5*$B$10*$B$12*$B$18*$B$15*$B$21*$B$23*$B$25,0)</f>
        <v/>
      </c>
      <c r="AR55" s="127">
        <f>ROUND($B$5*$B$10*$B$12*$B$18*$B$16*$B$20*$B$22*$B$24,0)</f>
        <v/>
      </c>
      <c r="AS55" s="127">
        <f>ROUND($B$5*$B$10*$B$12*$B$18*$B$16*$B$20*$B$22*$B$25,0)</f>
        <v/>
      </c>
      <c r="AT55" s="127">
        <f>ROUND($B$5*$B$10*$B$12*$B$18*$B$16*$B$20*$B$23*$B$24,0)</f>
        <v/>
      </c>
      <c r="AU55" s="127">
        <f>ROUND($B$5*$B$10*$B$12*$B$18*$B$16*$B$20*$B$23*$B$25,0)</f>
        <v/>
      </c>
      <c r="AV55" s="127">
        <f>ROUND($B$5*$B$10*$B$12*$B$18*$B$16*$B$21*$B$22*$B$24,0)</f>
        <v/>
      </c>
      <c r="AW55" s="127">
        <f>ROUND($B$5*$B$10*$B$12*$B$18*$B$16*$B$21*$B$22*$B$25,0)</f>
        <v/>
      </c>
      <c r="AX55" s="127">
        <f>ROUND($B$5*$B$10*$B$12*$B$18*$B$16*$B$21*$B$23*$B$24,0)</f>
        <v/>
      </c>
      <c r="AY55" s="127">
        <f>ROUND($B$5*$B$10*$B$12*$B$18*$B$16*$B$21*$B$23*$B$25,0)</f>
        <v/>
      </c>
      <c r="AZ55" s="127">
        <f>ROUND($B$6*$B$10*$B$12*$B$18*$B$14*$B$20*$B$22*$B$24,0)</f>
        <v/>
      </c>
      <c r="BA55" s="127">
        <f>ROUND($B$6*$B$10*$B$12*$B$18*$B$14*$B$20*$B$22*$B$25,0)</f>
        <v/>
      </c>
      <c r="BB55" s="127">
        <f>ROUND($B$6*$B$10*$B$12*$B$18*$B$14*$B$20*$B$23*$B$24,0)</f>
        <v/>
      </c>
      <c r="BC55" s="127">
        <f>ROUND($B$6*$B$10*$B$12*$B$18*$B$14*$B$20*$B$23*$B$25,0)</f>
        <v/>
      </c>
      <c r="BD55" s="127">
        <f>ROUND($B$6*$B$10*$B$12*$B$18*$B$14*$B$21*$B$22*$B$24,0)</f>
        <v/>
      </c>
      <c r="BE55" s="127">
        <f>ROUND($B$6*$B$10*$B$12*$B$18*$B$14*$B$21*$B$22*$B$25,0)</f>
        <v/>
      </c>
      <c r="BF55" s="127">
        <f>ROUND($B$6*$B$10*$B$12*$B$18*$B$14*$B$21*$B$23*$B$24,0)</f>
        <v/>
      </c>
      <c r="BG55" s="127">
        <f>ROUND($B$6*$B$10*$B$12*$B$18*$B$14*$B$21*$B$23*$B$25,0)</f>
        <v/>
      </c>
      <c r="BH55" s="127">
        <f>ROUND($B$6*$B$10*$B$12*$B$18*$B$15*$B$20*$B$22*$B$24,0)</f>
        <v/>
      </c>
      <c r="BI55" s="127">
        <f>ROUND($B$6*$B$10*$B$12*$B$18*$B$15*$B$20*$B$22*$B$25,0)</f>
        <v/>
      </c>
      <c r="BJ55" s="127">
        <f>ROUND($B$6*$B$10*$B$12*$B$18*$B$15*$B$20*$B$23*$B$24,0)</f>
        <v/>
      </c>
      <c r="BK55" s="127">
        <f>ROUND($B$6*$B$10*$B$12*$B$18*$B$15*$B$20*$B$23*$B$25,0)</f>
        <v/>
      </c>
      <c r="BL55" s="127">
        <f>ROUND($B$6*$B$10*$B$12*$B$18*$B$15*$B$21*$B$22*$B$24,0)</f>
        <v/>
      </c>
      <c r="BM55" s="127">
        <f>ROUND($B$6*$B$10*$B$12*$B$18*$B$15*$B$21*$B$22*$B$25,0)</f>
        <v/>
      </c>
      <c r="BN55" s="127">
        <f>ROUND($B$6*$B$10*$B$12*$B$18*$B$15*$B$21*$B$23*$B$24,0)</f>
        <v/>
      </c>
      <c r="BO55" s="127">
        <f>ROUND($B$6*$B$10*$B$12*$B$18*$B$15*$B$21*$B$23*$B$25,0)</f>
        <v/>
      </c>
      <c r="BP55" s="127">
        <f>ROUND($B$6*$B$10*$B$12*$B$18*$B$16*$B$20*$B$22*$B$24,0)</f>
        <v/>
      </c>
      <c r="BQ55" s="127">
        <f>ROUND($B$6*$B$10*$B$12*$B$18*$B$16*$B$20*$B$22*$B$25,0)</f>
        <v/>
      </c>
      <c r="BR55" s="127">
        <f>ROUND($B$6*$B$10*$B$12*$B$18*$B$16*$B$20*$B$23*$B$24,0)</f>
        <v/>
      </c>
      <c r="BS55" s="127">
        <f>ROUND($B$6*$B$10*$B$12*$B$18*$B$16*$B$20*$B$23*$B$25,0)</f>
        <v/>
      </c>
      <c r="BT55" s="127">
        <f>ROUND($B$6*$B$10*$B$12*$B$18*$B$16*$B$21*$B$22*$B$24,0)</f>
        <v/>
      </c>
      <c r="BU55" s="127">
        <f>ROUND($B$6*$B$10*$B$12*$B$18*$B$16*$B$21*$B$22*$B$25,0)</f>
        <v/>
      </c>
      <c r="BV55" s="127">
        <f>ROUND($B$6*$B$10*$B$12*$B$18*$B$16*$B$21*$B$23*$B$24,0)</f>
        <v/>
      </c>
      <c r="BW55" s="127">
        <f>ROUND($B$6*$B$10*$B$12*$B$18*$B$16*$B$21*$B$23*$B$25,0)</f>
        <v/>
      </c>
    </row>
    <row r="56" ht="20" customHeight="1" s="62">
      <c r="C56" s="129" t="inlineStr">
        <is>
          <t>16+ processus analysés</t>
        </is>
      </c>
      <c r="D56" s="127">
        <f>ROUND($B$4*$B$10*$B$12*$B$19*$B$14*$B$20*$B$22*$B$24,0)</f>
        <v/>
      </c>
      <c r="E56" s="127">
        <f>ROUND($B$4*$B$10*$B$12*$B$19*$B$14*$B$20*$B$22*$B$25,0)</f>
        <v/>
      </c>
      <c r="F56" s="127">
        <f>ROUND($B$4*$B$10*$B$12*$B$19*$B$14*$B$20*$B$23*$B$24,0)</f>
        <v/>
      </c>
      <c r="G56" s="127">
        <f>ROUND($B$4*$B$10*$B$12*$B$19*$B$14*$B$20*$B$23*$B$25,0)</f>
        <v/>
      </c>
      <c r="H56" s="127">
        <f>ROUND($B$4*$B$10*$B$12*$B$19*$B$14*$B$21*$B$22*$B$24,0)</f>
        <v/>
      </c>
      <c r="I56" s="127">
        <f>ROUND($B$4*$B$10*$B$12*$B$19*$B$14*$B$21*$B$22*$B$25,0)</f>
        <v/>
      </c>
      <c r="J56" s="127">
        <f>ROUND($B$4*$B$10*$B$12*$B$19*$B$14*$B$21*$B$23*$B$24,0)</f>
        <v/>
      </c>
      <c r="K56" s="127">
        <f>ROUND($B$4*$B$10*$B$12*$B$19*$B$14*$B$21*$B$23*$B$25,0)</f>
        <v/>
      </c>
      <c r="L56" s="127">
        <f>ROUND($B$4*$B$10*$B$12*$B$19*$B$15*$B$20*$B$22*$B$24,0)</f>
        <v/>
      </c>
      <c r="M56" s="127">
        <f>ROUND($B$4*$B$10*$B$12*$B$19*$B$15*$B$20*$B$22*$B$25,0)</f>
        <v/>
      </c>
      <c r="N56" s="127">
        <f>ROUND($B$4*$B$10*$B$12*$B$19*$B$15*$B$20*$B$23*$B$24,0)</f>
        <v/>
      </c>
      <c r="O56" s="127">
        <f>ROUND($B$4*$B$10*$B$12*$B$19*$B$15*$B$20*$B$23*$B$25,0)</f>
        <v/>
      </c>
      <c r="P56" s="127">
        <f>ROUND($B$4*$B$10*$B$12*$B$19*$B$15*$B$21*$B$22*$B$24,0)</f>
        <v/>
      </c>
      <c r="Q56" s="127">
        <f>ROUND($B$4*$B$10*$B$12*$B$19*$B$15*$B$21*$B$22*$B$25,0)</f>
        <v/>
      </c>
      <c r="R56" s="127">
        <f>ROUND($B$4*$B$10*$B$12*$B$19*$B$15*$B$21*$B$23*$B$24,0)</f>
        <v/>
      </c>
      <c r="S56" s="127">
        <f>ROUND($B$4*$B$10*$B$12*$B$19*$B$15*$B$21*$B$23*$B$25,0)</f>
        <v/>
      </c>
      <c r="T56" s="127">
        <f>ROUND($B$4*$B$10*$B$12*$B$19*$B$16*$B$20*$B$22*$B$24,0)</f>
        <v/>
      </c>
      <c r="U56" s="127">
        <f>ROUND($B$4*$B$10*$B$12*$B$19*$B$16*$B$20*$B$22*$B$25,0)</f>
        <v/>
      </c>
      <c r="V56" s="127">
        <f>ROUND($B$4*$B$10*$B$12*$B$19*$B$16*$B$20*$B$23*$B$24,0)</f>
        <v/>
      </c>
      <c r="W56" s="127">
        <f>ROUND($B$4*$B$10*$B$12*$B$19*$B$16*$B$20*$B$23*$B$25,0)</f>
        <v/>
      </c>
      <c r="X56" s="127">
        <f>ROUND($B$4*$B$10*$B$12*$B$19*$B$16*$B$21*$B$22*$B$24,0)</f>
        <v/>
      </c>
      <c r="Y56" s="127">
        <f>ROUND($B$4*$B$10*$B$12*$B$19*$B$16*$B$21*$B$22*$B$25,0)</f>
        <v/>
      </c>
      <c r="Z56" s="127">
        <f>ROUND($B$4*$B$10*$B$12*$B$19*$B$16*$B$21*$B$23*$B$24,0)</f>
        <v/>
      </c>
      <c r="AA56" s="127">
        <f>ROUND($B$4*$B$10*$B$12*$B$19*$B$16*$B$21*$B$23*$B$25,0)</f>
        <v/>
      </c>
      <c r="AB56" s="127">
        <f>ROUND($B$5*$B$10*$B$12*$B$19*$B$14*$B$20*$B$22*$B$24,0)</f>
        <v/>
      </c>
      <c r="AC56" s="127">
        <f>ROUND($B$5*$B$10*$B$12*$B$19*$B$14*$B$20*$B$22*$B$25,0)</f>
        <v/>
      </c>
      <c r="AD56" s="127">
        <f>ROUND($B$5*$B$10*$B$12*$B$19*$B$14*$B$20*$B$23*$B$24,0)</f>
        <v/>
      </c>
      <c r="AE56" s="127">
        <f>ROUND($B$5*$B$10*$B$12*$B$19*$B$14*$B$20*$B$23*$B$25,0)</f>
        <v/>
      </c>
      <c r="AF56" s="127">
        <f>ROUND($B$5*$B$10*$B$12*$B$19*$B$14*$B$21*$B$22*$B$24,0)</f>
        <v/>
      </c>
      <c r="AG56" s="127">
        <f>ROUND($B$5*$B$10*$B$12*$B$19*$B$14*$B$21*$B$22*$B$25,0)</f>
        <v/>
      </c>
      <c r="AH56" s="127">
        <f>ROUND($B$5*$B$10*$B$12*$B$19*$B$14*$B$21*$B$23*$B$24,0)</f>
        <v/>
      </c>
      <c r="AI56" s="127">
        <f>ROUND($B$5*$B$10*$B$12*$B$19*$B$14*$B$21*$B$23*$B$25,0)</f>
        <v/>
      </c>
      <c r="AJ56" s="127">
        <f>ROUND($B$5*$B$10*$B$12*$B$19*$B$15*$B$20*$B$22*$B$24,0)</f>
        <v/>
      </c>
      <c r="AK56" s="127">
        <f>ROUND($B$5*$B$10*$B$12*$B$19*$B$15*$B$20*$B$22*$B$25,0)</f>
        <v/>
      </c>
      <c r="AL56" s="127">
        <f>ROUND($B$5*$B$10*$B$12*$B$19*$B$15*$B$20*$B$23*$B$24,0)</f>
        <v/>
      </c>
      <c r="AM56" s="127">
        <f>ROUND($B$5*$B$10*$B$12*$B$19*$B$15*$B$20*$B$23*$B$25,0)</f>
        <v/>
      </c>
      <c r="AN56" s="127">
        <f>ROUND($B$5*$B$10*$B$12*$B$19*$B$15*$B$21*$B$22*$B$24,0)</f>
        <v/>
      </c>
      <c r="AO56" s="127">
        <f>ROUND($B$5*$B$10*$B$12*$B$19*$B$15*$B$21*$B$22*$B$25,0)</f>
        <v/>
      </c>
      <c r="AP56" s="127">
        <f>ROUND($B$5*$B$10*$B$12*$B$19*$B$15*$B$21*$B$23*$B$24,0)</f>
        <v/>
      </c>
      <c r="AQ56" s="127">
        <f>ROUND($B$5*$B$10*$B$12*$B$19*$B$15*$B$21*$B$23*$B$25,0)</f>
        <v/>
      </c>
      <c r="AR56" s="127">
        <f>ROUND($B$5*$B$10*$B$12*$B$19*$B$16*$B$20*$B$22*$B$24,0)</f>
        <v/>
      </c>
      <c r="AS56" s="127">
        <f>ROUND($B$5*$B$10*$B$12*$B$19*$B$16*$B$20*$B$22*$B$25,0)</f>
        <v/>
      </c>
      <c r="AT56" s="127">
        <f>ROUND($B$5*$B$10*$B$12*$B$19*$B$16*$B$20*$B$23*$B$24,0)</f>
        <v/>
      </c>
      <c r="AU56" s="127">
        <f>ROUND($B$5*$B$10*$B$12*$B$19*$B$16*$B$20*$B$23*$B$25,0)</f>
        <v/>
      </c>
      <c r="AV56" s="127">
        <f>ROUND($B$5*$B$10*$B$12*$B$19*$B$16*$B$21*$B$22*$B$24,0)</f>
        <v/>
      </c>
      <c r="AW56" s="127">
        <f>ROUND($B$5*$B$10*$B$12*$B$19*$B$16*$B$21*$B$22*$B$25,0)</f>
        <v/>
      </c>
      <c r="AX56" s="127">
        <f>ROUND($B$5*$B$10*$B$12*$B$19*$B$16*$B$21*$B$23*$B$24,0)</f>
        <v/>
      </c>
      <c r="AY56" s="127">
        <f>ROUND($B$5*$B$10*$B$12*$B$19*$B$16*$B$21*$B$23*$B$25,0)</f>
        <v/>
      </c>
      <c r="AZ56" s="127">
        <f>ROUND($B$6*$B$10*$B$12*$B$19*$B$14*$B$20*$B$22*$B$24,0)</f>
        <v/>
      </c>
      <c r="BA56" s="127">
        <f>ROUND($B$6*$B$10*$B$12*$B$19*$B$14*$B$20*$B$22*$B$25,0)</f>
        <v/>
      </c>
      <c r="BB56" s="127">
        <f>ROUND($B$6*$B$10*$B$12*$B$19*$B$14*$B$20*$B$23*$B$24,0)</f>
        <v/>
      </c>
      <c r="BC56" s="127">
        <f>ROUND($B$6*$B$10*$B$12*$B$19*$B$14*$B$20*$B$23*$B$25,0)</f>
        <v/>
      </c>
      <c r="BD56" s="127">
        <f>ROUND($B$6*$B$10*$B$12*$B$19*$B$14*$B$21*$B$22*$B$24,0)</f>
        <v/>
      </c>
      <c r="BE56" s="127">
        <f>ROUND($B$6*$B$10*$B$12*$B$19*$B$14*$B$21*$B$22*$B$25,0)</f>
        <v/>
      </c>
      <c r="BF56" s="127">
        <f>ROUND($B$6*$B$10*$B$12*$B$19*$B$14*$B$21*$B$23*$B$24,0)</f>
        <v/>
      </c>
      <c r="BG56" s="127">
        <f>ROUND($B$6*$B$10*$B$12*$B$19*$B$14*$B$21*$B$23*$B$25,0)</f>
        <v/>
      </c>
      <c r="BH56" s="127">
        <f>ROUND($B$6*$B$10*$B$12*$B$19*$B$15*$B$20*$B$22*$B$24,0)</f>
        <v/>
      </c>
      <c r="BI56" s="127">
        <f>ROUND($B$6*$B$10*$B$12*$B$19*$B$15*$B$20*$B$22*$B$25,0)</f>
        <v/>
      </c>
      <c r="BJ56" s="127">
        <f>ROUND($B$6*$B$10*$B$12*$B$19*$B$15*$B$20*$B$23*$B$24,0)</f>
        <v/>
      </c>
      <c r="BK56" s="127">
        <f>ROUND($B$6*$B$10*$B$12*$B$19*$B$15*$B$20*$B$23*$B$25,0)</f>
        <v/>
      </c>
      <c r="BL56" s="127">
        <f>ROUND($B$6*$B$10*$B$12*$B$19*$B$15*$B$21*$B$22*$B$24,0)</f>
        <v/>
      </c>
      <c r="BM56" s="127">
        <f>ROUND($B$6*$B$10*$B$12*$B$19*$B$15*$B$21*$B$22*$B$25,0)</f>
        <v/>
      </c>
      <c r="BN56" s="127">
        <f>ROUND($B$6*$B$10*$B$12*$B$19*$B$15*$B$21*$B$23*$B$24,0)</f>
        <v/>
      </c>
      <c r="BO56" s="127">
        <f>ROUND($B$6*$B$10*$B$12*$B$19*$B$15*$B$21*$B$23*$B$25,0)</f>
        <v/>
      </c>
      <c r="BP56" s="127">
        <f>ROUND($B$6*$B$10*$B$12*$B$19*$B$16*$B$20*$B$22*$B$24,0)</f>
        <v/>
      </c>
      <c r="BQ56" s="127">
        <f>ROUND($B$6*$B$10*$B$12*$B$19*$B$16*$B$20*$B$22*$B$25,0)</f>
        <v/>
      </c>
      <c r="BR56" s="127">
        <f>ROUND($B$6*$B$10*$B$12*$B$19*$B$16*$B$20*$B$23*$B$24,0)</f>
        <v/>
      </c>
      <c r="BS56" s="127">
        <f>ROUND($B$6*$B$10*$B$12*$B$19*$B$16*$B$20*$B$23*$B$25,0)</f>
        <v/>
      </c>
      <c r="BT56" s="127">
        <f>ROUND($B$6*$B$10*$B$12*$B$19*$B$16*$B$21*$B$22*$B$24,0)</f>
        <v/>
      </c>
      <c r="BU56" s="127">
        <f>ROUND($B$6*$B$10*$B$12*$B$19*$B$16*$B$21*$B$22*$B$25,0)</f>
        <v/>
      </c>
      <c r="BV56" s="127">
        <f>ROUND($B$6*$B$10*$B$12*$B$19*$B$16*$B$21*$B$23*$B$24,0)</f>
        <v/>
      </c>
      <c r="BW56" s="127">
        <f>ROUND($B$6*$B$10*$B$12*$B$19*$B$16*$B$21*$B$23*$B$25,0)</f>
        <v/>
      </c>
    </row>
    <row r="57" ht="20" customHeight="1" s="62">
      <c r="B57" s="125" t="inlineStr">
        <is>
          <t>SI complexe</t>
        </is>
      </c>
      <c r="C57" s="126" t="inlineStr">
        <is>
          <t>1-5 processus analysés</t>
        </is>
      </c>
      <c r="D57" s="127">
        <f>ROUND($B$4*$B$10*$B$13*$B$17*$B$14*$B$20*$B$22*$B$24,0)</f>
        <v/>
      </c>
      <c r="E57" s="127">
        <f>ROUND($B$4*$B$10*$B$13*$B$17*$B$14*$B$20*$B$22*$B$25,0)</f>
        <v/>
      </c>
      <c r="F57" s="127">
        <f>ROUND($B$4*$B$10*$B$13*$B$17*$B$14*$B$20*$B$23*$B$24,0)</f>
        <v/>
      </c>
      <c r="G57" s="127">
        <f>ROUND($B$4*$B$10*$B$13*$B$17*$B$14*$B$20*$B$23*$B$25,0)</f>
        <v/>
      </c>
      <c r="H57" s="127">
        <f>ROUND($B$4*$B$10*$B$13*$B$17*$B$14*$B$21*$B$22*$B$24,0)</f>
        <v/>
      </c>
      <c r="I57" s="127">
        <f>ROUND($B$4*$B$10*$B$13*$B$17*$B$14*$B$21*$B$22*$B$25,0)</f>
        <v/>
      </c>
      <c r="J57" s="127">
        <f>ROUND($B$4*$B$10*$B$13*$B$17*$B$14*$B$21*$B$23*$B$24,0)</f>
        <v/>
      </c>
      <c r="K57" s="127">
        <f>ROUND($B$4*$B$10*$B$13*$B$17*$B$14*$B$21*$B$23*$B$25,0)</f>
        <v/>
      </c>
      <c r="L57" s="127">
        <f>ROUND($B$4*$B$10*$B$13*$B$17*$B$15*$B$20*$B$22*$B$24,0)</f>
        <v/>
      </c>
      <c r="M57" s="127">
        <f>ROUND($B$4*$B$10*$B$13*$B$17*$B$15*$B$20*$B$22*$B$25,0)</f>
        <v/>
      </c>
      <c r="N57" s="127">
        <f>ROUND($B$4*$B$10*$B$13*$B$17*$B$15*$B$20*$B$23*$B$24,0)</f>
        <v/>
      </c>
      <c r="O57" s="127">
        <f>ROUND($B$4*$B$10*$B$13*$B$17*$B$15*$B$20*$B$23*$B$25,0)</f>
        <v/>
      </c>
      <c r="P57" s="127">
        <f>ROUND($B$4*$B$10*$B$13*$B$17*$B$15*$B$21*$B$22*$B$24,0)</f>
        <v/>
      </c>
      <c r="Q57" s="127">
        <f>ROUND($B$4*$B$10*$B$13*$B$17*$B$15*$B$21*$B$22*$B$25,0)</f>
        <v/>
      </c>
      <c r="R57" s="127">
        <f>ROUND($B$4*$B$10*$B$13*$B$17*$B$15*$B$21*$B$23*$B$24,0)</f>
        <v/>
      </c>
      <c r="S57" s="127">
        <f>ROUND($B$4*$B$10*$B$13*$B$17*$B$15*$B$21*$B$23*$B$25,0)</f>
        <v/>
      </c>
      <c r="T57" s="127">
        <f>ROUND($B$4*$B$10*$B$13*$B$17*$B$16*$B$20*$B$22*$B$24,0)</f>
        <v/>
      </c>
      <c r="U57" s="127">
        <f>ROUND($B$4*$B$10*$B$13*$B$17*$B$16*$B$20*$B$22*$B$25,0)</f>
        <v/>
      </c>
      <c r="V57" s="127">
        <f>ROUND($B$4*$B$10*$B$13*$B$17*$B$16*$B$20*$B$23*$B$24,0)</f>
        <v/>
      </c>
      <c r="W57" s="127">
        <f>ROUND($B$4*$B$10*$B$13*$B$17*$B$16*$B$20*$B$23*$B$25,0)</f>
        <v/>
      </c>
      <c r="X57" s="127">
        <f>ROUND($B$4*$B$10*$B$13*$B$17*$B$16*$B$21*$B$22*$B$24,0)</f>
        <v/>
      </c>
      <c r="Y57" s="127">
        <f>ROUND($B$4*$B$10*$B$13*$B$17*$B$16*$B$21*$B$22*$B$25,0)</f>
        <v/>
      </c>
      <c r="Z57" s="127">
        <f>ROUND($B$4*$B$10*$B$13*$B$17*$B$16*$B$21*$B$23*$B$24,0)</f>
        <v/>
      </c>
      <c r="AA57" s="127">
        <f>ROUND($B$4*$B$10*$B$13*$B$17*$B$16*$B$21*$B$23*$B$25,0)</f>
        <v/>
      </c>
      <c r="AB57" s="127">
        <f>ROUND($B$5*$B$10*$B$13*$B$17*$B$14*$B$20*$B$22*$B$24,0)</f>
        <v/>
      </c>
      <c r="AC57" s="127">
        <f>ROUND($B$5*$B$10*$B$13*$B$17*$B$14*$B$20*$B$22*$B$25,0)</f>
        <v/>
      </c>
      <c r="AD57" s="127">
        <f>ROUND($B$5*$B$10*$B$13*$B$17*$B$14*$B$20*$B$23*$B$24,0)</f>
        <v/>
      </c>
      <c r="AE57" s="127">
        <f>ROUND($B$5*$B$10*$B$13*$B$17*$B$14*$B$20*$B$23*$B$25,0)</f>
        <v/>
      </c>
      <c r="AF57" s="127">
        <f>ROUND($B$5*$B$10*$B$13*$B$17*$B$14*$B$21*$B$22*$B$24,0)</f>
        <v/>
      </c>
      <c r="AG57" s="127">
        <f>ROUND($B$5*$B$10*$B$13*$B$17*$B$14*$B$21*$B$22*$B$25,0)</f>
        <v/>
      </c>
      <c r="AH57" s="127">
        <f>ROUND($B$5*$B$10*$B$13*$B$17*$B$14*$B$21*$B$23*$B$24,0)</f>
        <v/>
      </c>
      <c r="AI57" s="127">
        <f>ROUND($B$5*$B$10*$B$13*$B$17*$B$14*$B$21*$B$23*$B$25,0)</f>
        <v/>
      </c>
      <c r="AJ57" s="127">
        <f>ROUND($B$5*$B$10*$B$13*$B$17*$B$15*$B$20*$B$22*$B$24,0)</f>
        <v/>
      </c>
      <c r="AK57" s="127">
        <f>ROUND($B$5*$B$10*$B$13*$B$17*$B$15*$B$20*$B$22*$B$25,0)</f>
        <v/>
      </c>
      <c r="AL57" s="127">
        <f>ROUND($B$5*$B$10*$B$13*$B$17*$B$15*$B$20*$B$23*$B$24,0)</f>
        <v/>
      </c>
      <c r="AM57" s="127">
        <f>ROUND($B$5*$B$10*$B$13*$B$17*$B$15*$B$20*$B$23*$B$25,0)</f>
        <v/>
      </c>
      <c r="AN57" s="127">
        <f>ROUND($B$5*$B$10*$B$13*$B$17*$B$15*$B$21*$B$22*$B$24,0)</f>
        <v/>
      </c>
      <c r="AO57" s="127">
        <f>ROUND($B$5*$B$10*$B$13*$B$17*$B$15*$B$21*$B$22*$B$25,0)</f>
        <v/>
      </c>
      <c r="AP57" s="127">
        <f>ROUND($B$5*$B$10*$B$13*$B$17*$B$15*$B$21*$B$23*$B$24,0)</f>
        <v/>
      </c>
      <c r="AQ57" s="127">
        <f>ROUND($B$5*$B$10*$B$13*$B$17*$B$15*$B$21*$B$23*$B$25,0)</f>
        <v/>
      </c>
      <c r="AR57" s="127">
        <f>ROUND($B$5*$B$10*$B$13*$B$17*$B$16*$B$20*$B$22*$B$24,0)</f>
        <v/>
      </c>
      <c r="AS57" s="127">
        <f>ROUND($B$5*$B$10*$B$13*$B$17*$B$16*$B$20*$B$22*$B$25,0)</f>
        <v/>
      </c>
      <c r="AT57" s="127">
        <f>ROUND($B$5*$B$10*$B$13*$B$17*$B$16*$B$20*$B$23*$B$24,0)</f>
        <v/>
      </c>
      <c r="AU57" s="127">
        <f>ROUND($B$5*$B$10*$B$13*$B$17*$B$16*$B$20*$B$23*$B$25,0)</f>
        <v/>
      </c>
      <c r="AV57" s="127">
        <f>ROUND($B$5*$B$10*$B$13*$B$17*$B$16*$B$21*$B$22*$B$24,0)</f>
        <v/>
      </c>
      <c r="AW57" s="127">
        <f>ROUND($B$5*$B$10*$B$13*$B$17*$B$16*$B$21*$B$22*$B$25,0)</f>
        <v/>
      </c>
      <c r="AX57" s="127">
        <f>ROUND($B$5*$B$10*$B$13*$B$17*$B$16*$B$21*$B$23*$B$24,0)</f>
        <v/>
      </c>
      <c r="AY57" s="127">
        <f>ROUND($B$5*$B$10*$B$13*$B$17*$B$16*$B$21*$B$23*$B$25,0)</f>
        <v/>
      </c>
      <c r="AZ57" s="127">
        <f>ROUND($B$6*$B$10*$B$13*$B$17*$B$14*$B$20*$B$22*$B$24,0)</f>
        <v/>
      </c>
      <c r="BA57" s="127">
        <f>ROUND($B$6*$B$10*$B$13*$B$17*$B$14*$B$20*$B$22*$B$25,0)</f>
        <v/>
      </c>
      <c r="BB57" s="127">
        <f>ROUND($B$6*$B$10*$B$13*$B$17*$B$14*$B$20*$B$23*$B$24,0)</f>
        <v/>
      </c>
      <c r="BC57" s="127">
        <f>ROUND($B$6*$B$10*$B$13*$B$17*$B$14*$B$20*$B$23*$B$25,0)</f>
        <v/>
      </c>
      <c r="BD57" s="127">
        <f>ROUND($B$6*$B$10*$B$13*$B$17*$B$14*$B$21*$B$22*$B$24,0)</f>
        <v/>
      </c>
      <c r="BE57" s="127">
        <f>ROUND($B$6*$B$10*$B$13*$B$17*$B$14*$B$21*$B$22*$B$25,0)</f>
        <v/>
      </c>
      <c r="BF57" s="127">
        <f>ROUND($B$6*$B$10*$B$13*$B$17*$B$14*$B$21*$B$23*$B$24,0)</f>
        <v/>
      </c>
      <c r="BG57" s="127">
        <f>ROUND($B$6*$B$10*$B$13*$B$17*$B$14*$B$21*$B$23*$B$25,0)</f>
        <v/>
      </c>
      <c r="BH57" s="127">
        <f>ROUND($B$6*$B$10*$B$13*$B$17*$B$15*$B$20*$B$22*$B$24,0)</f>
        <v/>
      </c>
      <c r="BI57" s="127">
        <f>ROUND($B$6*$B$10*$B$13*$B$17*$B$15*$B$20*$B$22*$B$25,0)</f>
        <v/>
      </c>
      <c r="BJ57" s="127">
        <f>ROUND($B$6*$B$10*$B$13*$B$17*$B$15*$B$20*$B$23*$B$24,0)</f>
        <v/>
      </c>
      <c r="BK57" s="127">
        <f>ROUND($B$6*$B$10*$B$13*$B$17*$B$15*$B$20*$B$23*$B$25,0)</f>
        <v/>
      </c>
      <c r="BL57" s="127">
        <f>ROUND($B$6*$B$10*$B$13*$B$17*$B$15*$B$21*$B$22*$B$24,0)</f>
        <v/>
      </c>
      <c r="BM57" s="127">
        <f>ROUND($B$6*$B$10*$B$13*$B$17*$B$15*$B$21*$B$22*$B$25,0)</f>
        <v/>
      </c>
      <c r="BN57" s="127">
        <f>ROUND($B$6*$B$10*$B$13*$B$17*$B$15*$B$21*$B$23*$B$24,0)</f>
        <v/>
      </c>
      <c r="BO57" s="127">
        <f>ROUND($B$6*$B$10*$B$13*$B$17*$B$15*$B$21*$B$23*$B$25,0)</f>
        <v/>
      </c>
      <c r="BP57" s="127">
        <f>ROUND($B$6*$B$10*$B$13*$B$17*$B$16*$B$20*$B$22*$B$24,0)</f>
        <v/>
      </c>
      <c r="BQ57" s="127">
        <f>ROUND($B$6*$B$10*$B$13*$B$17*$B$16*$B$20*$B$22*$B$25,0)</f>
        <v/>
      </c>
      <c r="BR57" s="127">
        <f>ROUND($B$6*$B$10*$B$13*$B$17*$B$16*$B$20*$B$23*$B$24,0)</f>
        <v/>
      </c>
      <c r="BS57" s="127">
        <f>ROUND($B$6*$B$10*$B$13*$B$17*$B$16*$B$20*$B$23*$B$25,0)</f>
        <v/>
      </c>
      <c r="BT57" s="127">
        <f>ROUND($B$6*$B$10*$B$13*$B$17*$B$16*$B$21*$B$22*$B$24,0)</f>
        <v/>
      </c>
      <c r="BU57" s="127">
        <f>ROUND($B$6*$B$10*$B$13*$B$17*$B$16*$B$21*$B$22*$B$25,0)</f>
        <v/>
      </c>
      <c r="BV57" s="127">
        <f>ROUND($B$6*$B$10*$B$13*$B$17*$B$16*$B$21*$B$23*$B$24,0)</f>
        <v/>
      </c>
      <c r="BW57" s="127">
        <f>ROUND($B$6*$B$10*$B$13*$B$17*$B$16*$B$21*$B$23*$B$25,0)</f>
        <v/>
      </c>
    </row>
    <row r="58" ht="20" customHeight="1" s="62">
      <c r="C58" s="125" t="inlineStr">
        <is>
          <t>6-15 processus analysés</t>
        </is>
      </c>
      <c r="D58" s="127">
        <f>ROUND($B$4*$B$10*$B$13*$B$18*$B$14*$B$20*$B$22*$B$24,0)</f>
        <v/>
      </c>
      <c r="E58" s="127">
        <f>ROUND($B$4*$B$10*$B$13*$B$18*$B$14*$B$20*$B$22*$B$25,0)</f>
        <v/>
      </c>
      <c r="F58" s="127">
        <f>ROUND($B$4*$B$10*$B$13*$B$18*$B$14*$B$20*$B$23*$B$24,0)</f>
        <v/>
      </c>
      <c r="G58" s="127">
        <f>ROUND($B$4*$B$10*$B$13*$B$18*$B$14*$B$20*$B$23*$B$25,0)</f>
        <v/>
      </c>
      <c r="H58" s="127">
        <f>ROUND($B$4*$B$10*$B$13*$B$18*$B$14*$B$21*$B$22*$B$24,0)</f>
        <v/>
      </c>
      <c r="I58" s="127">
        <f>ROUND($B$4*$B$10*$B$13*$B$18*$B$14*$B$21*$B$22*$B$25,0)</f>
        <v/>
      </c>
      <c r="J58" s="127">
        <f>ROUND($B$4*$B$10*$B$13*$B$18*$B$14*$B$21*$B$23*$B$24,0)</f>
        <v/>
      </c>
      <c r="K58" s="127">
        <f>ROUND($B$4*$B$10*$B$13*$B$18*$B$14*$B$21*$B$23*$B$25,0)</f>
        <v/>
      </c>
      <c r="L58" s="127">
        <f>ROUND($B$4*$B$10*$B$13*$B$18*$B$15*$B$20*$B$22*$B$24,0)</f>
        <v/>
      </c>
      <c r="M58" s="127">
        <f>ROUND($B$4*$B$10*$B$13*$B$18*$B$15*$B$20*$B$22*$B$25,0)</f>
        <v/>
      </c>
      <c r="N58" s="127">
        <f>ROUND($B$4*$B$10*$B$13*$B$18*$B$15*$B$20*$B$23*$B$24,0)</f>
        <v/>
      </c>
      <c r="O58" s="127">
        <f>ROUND($B$4*$B$10*$B$13*$B$18*$B$15*$B$20*$B$23*$B$25,0)</f>
        <v/>
      </c>
      <c r="P58" s="127">
        <f>ROUND($B$4*$B$10*$B$13*$B$18*$B$15*$B$21*$B$22*$B$24,0)</f>
        <v/>
      </c>
      <c r="Q58" s="127">
        <f>ROUND($B$4*$B$10*$B$13*$B$18*$B$15*$B$21*$B$22*$B$25,0)</f>
        <v/>
      </c>
      <c r="R58" s="127">
        <f>ROUND($B$4*$B$10*$B$13*$B$18*$B$15*$B$21*$B$23*$B$24,0)</f>
        <v/>
      </c>
      <c r="S58" s="127">
        <f>ROUND($B$4*$B$10*$B$13*$B$18*$B$15*$B$21*$B$23*$B$25,0)</f>
        <v/>
      </c>
      <c r="T58" s="127">
        <f>ROUND($B$4*$B$10*$B$13*$B$18*$B$16*$B$20*$B$22*$B$24,0)</f>
        <v/>
      </c>
      <c r="U58" s="127">
        <f>ROUND($B$4*$B$10*$B$13*$B$18*$B$16*$B$20*$B$22*$B$25,0)</f>
        <v/>
      </c>
      <c r="V58" s="127">
        <f>ROUND($B$4*$B$10*$B$13*$B$18*$B$16*$B$20*$B$23*$B$24,0)</f>
        <v/>
      </c>
      <c r="W58" s="127">
        <f>ROUND($B$4*$B$10*$B$13*$B$18*$B$16*$B$20*$B$23*$B$25,0)</f>
        <v/>
      </c>
      <c r="X58" s="127">
        <f>ROUND($B$4*$B$10*$B$13*$B$18*$B$16*$B$21*$B$22*$B$24,0)</f>
        <v/>
      </c>
      <c r="Y58" s="127">
        <f>ROUND($B$4*$B$10*$B$13*$B$18*$B$16*$B$21*$B$22*$B$25,0)</f>
        <v/>
      </c>
      <c r="Z58" s="127">
        <f>ROUND($B$4*$B$10*$B$13*$B$18*$B$16*$B$21*$B$23*$B$24,0)</f>
        <v/>
      </c>
      <c r="AA58" s="127">
        <f>ROUND($B$4*$B$10*$B$13*$B$18*$B$16*$B$21*$B$23*$B$25,0)</f>
        <v/>
      </c>
      <c r="AB58" s="127">
        <f>ROUND($B$5*$B$10*$B$13*$B$18*$B$14*$B$20*$B$22*$B$24,0)</f>
        <v/>
      </c>
      <c r="AC58" s="127">
        <f>ROUND($B$5*$B$10*$B$13*$B$18*$B$14*$B$20*$B$22*$B$25,0)</f>
        <v/>
      </c>
      <c r="AD58" s="127">
        <f>ROUND($B$5*$B$10*$B$13*$B$18*$B$14*$B$20*$B$23*$B$24,0)</f>
        <v/>
      </c>
      <c r="AE58" s="127">
        <f>ROUND($B$5*$B$10*$B$13*$B$18*$B$14*$B$20*$B$23*$B$25,0)</f>
        <v/>
      </c>
      <c r="AF58" s="127">
        <f>ROUND($B$5*$B$10*$B$13*$B$18*$B$14*$B$21*$B$22*$B$24,0)</f>
        <v/>
      </c>
      <c r="AG58" s="127">
        <f>ROUND($B$5*$B$10*$B$13*$B$18*$B$14*$B$21*$B$22*$B$25,0)</f>
        <v/>
      </c>
      <c r="AH58" s="127">
        <f>ROUND($B$5*$B$10*$B$13*$B$18*$B$14*$B$21*$B$23*$B$24,0)</f>
        <v/>
      </c>
      <c r="AI58" s="127">
        <f>ROUND($B$5*$B$10*$B$13*$B$18*$B$14*$B$21*$B$23*$B$25,0)</f>
        <v/>
      </c>
      <c r="AJ58" s="127">
        <f>ROUND($B$5*$B$10*$B$13*$B$18*$B$15*$B$20*$B$22*$B$24,0)</f>
        <v/>
      </c>
      <c r="AK58" s="127">
        <f>ROUND($B$5*$B$10*$B$13*$B$18*$B$15*$B$20*$B$22*$B$25,0)</f>
        <v/>
      </c>
      <c r="AL58" s="127">
        <f>ROUND($B$5*$B$10*$B$13*$B$18*$B$15*$B$20*$B$23*$B$24,0)</f>
        <v/>
      </c>
      <c r="AM58" s="127">
        <f>ROUND($B$5*$B$10*$B$13*$B$18*$B$15*$B$20*$B$23*$B$25,0)</f>
        <v/>
      </c>
      <c r="AN58" s="127">
        <f>ROUND($B$5*$B$10*$B$13*$B$18*$B$15*$B$21*$B$22*$B$24,0)</f>
        <v/>
      </c>
      <c r="AO58" s="127">
        <f>ROUND($B$5*$B$10*$B$13*$B$18*$B$15*$B$21*$B$22*$B$25,0)</f>
        <v/>
      </c>
      <c r="AP58" s="127">
        <f>ROUND($B$5*$B$10*$B$13*$B$18*$B$15*$B$21*$B$23*$B$24,0)</f>
        <v/>
      </c>
      <c r="AQ58" s="127">
        <f>ROUND($B$5*$B$10*$B$13*$B$18*$B$15*$B$21*$B$23*$B$25,0)</f>
        <v/>
      </c>
      <c r="AR58" s="127">
        <f>ROUND($B$5*$B$10*$B$13*$B$18*$B$16*$B$20*$B$22*$B$24,0)</f>
        <v/>
      </c>
      <c r="AS58" s="127">
        <f>ROUND($B$5*$B$10*$B$13*$B$18*$B$16*$B$20*$B$22*$B$25,0)</f>
        <v/>
      </c>
      <c r="AT58" s="127">
        <f>ROUND($B$5*$B$10*$B$13*$B$18*$B$16*$B$20*$B$23*$B$24,0)</f>
        <v/>
      </c>
      <c r="AU58" s="127">
        <f>ROUND($B$5*$B$10*$B$13*$B$18*$B$16*$B$20*$B$23*$B$25,0)</f>
        <v/>
      </c>
      <c r="AV58" s="127">
        <f>ROUND($B$5*$B$10*$B$13*$B$18*$B$16*$B$21*$B$22*$B$24,0)</f>
        <v/>
      </c>
      <c r="AW58" s="127">
        <f>ROUND($B$5*$B$10*$B$13*$B$18*$B$16*$B$21*$B$22*$B$25,0)</f>
        <v/>
      </c>
      <c r="AX58" s="127">
        <f>ROUND($B$5*$B$10*$B$13*$B$18*$B$16*$B$21*$B$23*$B$24,0)</f>
        <v/>
      </c>
      <c r="AY58" s="127">
        <f>ROUND($B$5*$B$10*$B$13*$B$18*$B$16*$B$21*$B$23*$B$25,0)</f>
        <v/>
      </c>
      <c r="AZ58" s="127">
        <f>ROUND($B$6*$B$10*$B$13*$B$18*$B$14*$B$20*$B$22*$B$24,0)</f>
        <v/>
      </c>
      <c r="BA58" s="127">
        <f>ROUND($B$6*$B$10*$B$13*$B$18*$B$14*$B$20*$B$22*$B$25,0)</f>
        <v/>
      </c>
      <c r="BB58" s="127">
        <f>ROUND($B$6*$B$10*$B$13*$B$18*$B$14*$B$20*$B$23*$B$24,0)</f>
        <v/>
      </c>
      <c r="BC58" s="127">
        <f>ROUND($B$6*$B$10*$B$13*$B$18*$B$14*$B$20*$B$23*$B$25,0)</f>
        <v/>
      </c>
      <c r="BD58" s="127">
        <f>ROUND($B$6*$B$10*$B$13*$B$18*$B$14*$B$21*$B$22*$B$24,0)</f>
        <v/>
      </c>
      <c r="BE58" s="127">
        <f>ROUND($B$6*$B$10*$B$13*$B$18*$B$14*$B$21*$B$22*$B$25,0)</f>
        <v/>
      </c>
      <c r="BF58" s="127">
        <f>ROUND($B$6*$B$10*$B$13*$B$18*$B$14*$B$21*$B$23*$B$24,0)</f>
        <v/>
      </c>
      <c r="BG58" s="127">
        <f>ROUND($B$6*$B$10*$B$13*$B$18*$B$14*$B$21*$B$23*$B$25,0)</f>
        <v/>
      </c>
      <c r="BH58" s="127">
        <f>ROUND($B$6*$B$10*$B$13*$B$18*$B$15*$B$20*$B$22*$B$24,0)</f>
        <v/>
      </c>
      <c r="BI58" s="127">
        <f>ROUND($B$6*$B$10*$B$13*$B$18*$B$15*$B$20*$B$22*$B$25,0)</f>
        <v/>
      </c>
      <c r="BJ58" s="127">
        <f>ROUND($B$6*$B$10*$B$13*$B$18*$B$15*$B$20*$B$23*$B$24,0)</f>
        <v/>
      </c>
      <c r="BK58" s="127">
        <f>ROUND($B$6*$B$10*$B$13*$B$18*$B$15*$B$20*$B$23*$B$25,0)</f>
        <v/>
      </c>
      <c r="BL58" s="127">
        <f>ROUND($B$6*$B$10*$B$13*$B$18*$B$15*$B$21*$B$22*$B$24,0)</f>
        <v/>
      </c>
      <c r="BM58" s="127">
        <f>ROUND($B$6*$B$10*$B$13*$B$18*$B$15*$B$21*$B$22*$B$25,0)</f>
        <v/>
      </c>
      <c r="BN58" s="127">
        <f>ROUND($B$6*$B$10*$B$13*$B$18*$B$15*$B$21*$B$23*$B$24,0)</f>
        <v/>
      </c>
      <c r="BO58" s="127">
        <f>ROUND($B$6*$B$10*$B$13*$B$18*$B$15*$B$21*$B$23*$B$25,0)</f>
        <v/>
      </c>
      <c r="BP58" s="127">
        <f>ROUND($B$6*$B$10*$B$13*$B$18*$B$16*$B$20*$B$22*$B$24,0)</f>
        <v/>
      </c>
      <c r="BQ58" s="127">
        <f>ROUND($B$6*$B$10*$B$13*$B$18*$B$16*$B$20*$B$22*$B$25,0)</f>
        <v/>
      </c>
      <c r="BR58" s="127">
        <f>ROUND($B$6*$B$10*$B$13*$B$18*$B$16*$B$20*$B$23*$B$24,0)</f>
        <v/>
      </c>
      <c r="BS58" s="127">
        <f>ROUND($B$6*$B$10*$B$13*$B$18*$B$16*$B$20*$B$23*$B$25,0)</f>
        <v/>
      </c>
      <c r="BT58" s="127">
        <f>ROUND($B$6*$B$10*$B$13*$B$18*$B$16*$B$21*$B$22*$B$24,0)</f>
        <v/>
      </c>
      <c r="BU58" s="127">
        <f>ROUND($B$6*$B$10*$B$13*$B$18*$B$16*$B$21*$B$22*$B$25,0)</f>
        <v/>
      </c>
      <c r="BV58" s="127">
        <f>ROUND($B$6*$B$10*$B$13*$B$18*$B$16*$B$21*$B$23*$B$24,0)</f>
        <v/>
      </c>
      <c r="BW58" s="127">
        <f>ROUND($B$6*$B$10*$B$13*$B$18*$B$16*$B$21*$B$23*$B$25,0)</f>
        <v/>
      </c>
    </row>
    <row r="59" ht="20" customHeight="1" s="62">
      <c r="C59" s="129" t="inlineStr">
        <is>
          <t>16+ processus analysés</t>
        </is>
      </c>
      <c r="D59" s="127">
        <f>ROUND($B$4*$B$10*$B$13*$B$19*$B$14*$B$20*$B$22*$B$24,0)</f>
        <v/>
      </c>
      <c r="E59" s="127">
        <f>ROUND($B$4*$B$10*$B$13*$B$19*$B$14*$B$20*$B$22*$B$25,0)</f>
        <v/>
      </c>
      <c r="F59" s="127">
        <f>ROUND($B$4*$B$10*$B$13*$B$19*$B$14*$B$20*$B$23*$B$24,0)</f>
        <v/>
      </c>
      <c r="G59" s="127">
        <f>ROUND($B$4*$B$10*$B$13*$B$19*$B$14*$B$20*$B$23*$B$25,0)</f>
        <v/>
      </c>
      <c r="H59" s="127">
        <f>ROUND($B$4*$B$10*$B$13*$B$19*$B$14*$B$21*$B$22*$B$24,0)</f>
        <v/>
      </c>
      <c r="I59" s="127">
        <f>ROUND($B$4*$B$10*$B$13*$B$19*$B$14*$B$21*$B$22*$B$25,0)</f>
        <v/>
      </c>
      <c r="J59" s="127">
        <f>ROUND($B$4*$B$10*$B$13*$B$19*$B$14*$B$21*$B$23*$B$24,0)</f>
        <v/>
      </c>
      <c r="K59" s="127">
        <f>ROUND($B$4*$B$10*$B$13*$B$19*$B$14*$B$21*$B$23*$B$25,0)</f>
        <v/>
      </c>
      <c r="L59" s="127">
        <f>ROUND($B$4*$B$10*$B$13*$B$19*$B$15*$B$20*$B$22*$B$24,0)</f>
        <v/>
      </c>
      <c r="M59" s="127">
        <f>ROUND($B$4*$B$10*$B$13*$B$19*$B$15*$B$20*$B$22*$B$25,0)</f>
        <v/>
      </c>
      <c r="N59" s="127">
        <f>ROUND($B$4*$B$10*$B$13*$B$19*$B$15*$B$20*$B$23*$B$24,0)</f>
        <v/>
      </c>
      <c r="O59" s="127">
        <f>ROUND($B$4*$B$10*$B$13*$B$19*$B$15*$B$20*$B$23*$B$25,0)</f>
        <v/>
      </c>
      <c r="P59" s="127">
        <f>ROUND($B$4*$B$10*$B$13*$B$19*$B$15*$B$21*$B$22*$B$24,0)</f>
        <v/>
      </c>
      <c r="Q59" s="127">
        <f>ROUND($B$4*$B$10*$B$13*$B$19*$B$15*$B$21*$B$22*$B$25,0)</f>
        <v/>
      </c>
      <c r="R59" s="127">
        <f>ROUND($B$4*$B$10*$B$13*$B$19*$B$15*$B$21*$B$23*$B$24,0)</f>
        <v/>
      </c>
      <c r="S59" s="127">
        <f>ROUND($B$4*$B$10*$B$13*$B$19*$B$15*$B$21*$B$23*$B$25,0)</f>
        <v/>
      </c>
      <c r="T59" s="127">
        <f>ROUND($B$4*$B$10*$B$13*$B$19*$B$16*$B$20*$B$22*$B$24,0)</f>
        <v/>
      </c>
      <c r="U59" s="127">
        <f>ROUND($B$4*$B$10*$B$13*$B$19*$B$16*$B$20*$B$22*$B$25,0)</f>
        <v/>
      </c>
      <c r="V59" s="127">
        <f>ROUND($B$4*$B$10*$B$13*$B$19*$B$16*$B$20*$B$23*$B$24,0)</f>
        <v/>
      </c>
      <c r="W59" s="127">
        <f>ROUND($B$4*$B$10*$B$13*$B$19*$B$16*$B$20*$B$23*$B$25,0)</f>
        <v/>
      </c>
      <c r="X59" s="127">
        <f>ROUND($B$4*$B$10*$B$13*$B$19*$B$16*$B$21*$B$22*$B$24,0)</f>
        <v/>
      </c>
      <c r="Y59" s="127">
        <f>ROUND($B$4*$B$10*$B$13*$B$19*$B$16*$B$21*$B$22*$B$25,0)</f>
        <v/>
      </c>
      <c r="Z59" s="127">
        <f>ROUND($B$4*$B$10*$B$13*$B$19*$B$16*$B$21*$B$23*$B$24,0)</f>
        <v/>
      </c>
      <c r="AA59" s="127">
        <f>ROUND($B$4*$B$10*$B$13*$B$19*$B$16*$B$21*$B$23*$B$25,0)</f>
        <v/>
      </c>
      <c r="AB59" s="127">
        <f>ROUND($B$5*$B$10*$B$13*$B$19*$B$14*$B$20*$B$22*$B$24,0)</f>
        <v/>
      </c>
      <c r="AC59" s="127">
        <f>ROUND($B$5*$B$10*$B$13*$B$19*$B$14*$B$20*$B$22*$B$25,0)</f>
        <v/>
      </c>
      <c r="AD59" s="127">
        <f>ROUND($B$5*$B$10*$B$13*$B$19*$B$14*$B$20*$B$23*$B$24,0)</f>
        <v/>
      </c>
      <c r="AE59" s="127">
        <f>ROUND($B$5*$B$10*$B$13*$B$19*$B$14*$B$20*$B$23*$B$25,0)</f>
        <v/>
      </c>
      <c r="AF59" s="127">
        <f>ROUND($B$5*$B$10*$B$13*$B$19*$B$14*$B$21*$B$22*$B$24,0)</f>
        <v/>
      </c>
      <c r="AG59" s="127">
        <f>ROUND($B$5*$B$10*$B$13*$B$19*$B$14*$B$21*$B$22*$B$25,0)</f>
        <v/>
      </c>
      <c r="AH59" s="127">
        <f>ROUND($B$5*$B$10*$B$13*$B$19*$B$14*$B$21*$B$23*$B$24,0)</f>
        <v/>
      </c>
      <c r="AI59" s="127">
        <f>ROUND($B$5*$B$10*$B$13*$B$19*$B$14*$B$21*$B$23*$B$25,0)</f>
        <v/>
      </c>
      <c r="AJ59" s="127">
        <f>ROUND($B$5*$B$10*$B$13*$B$19*$B$15*$B$20*$B$22*$B$24,0)</f>
        <v/>
      </c>
      <c r="AK59" s="127">
        <f>ROUND($B$5*$B$10*$B$13*$B$19*$B$15*$B$20*$B$22*$B$25,0)</f>
        <v/>
      </c>
      <c r="AL59" s="127">
        <f>ROUND($B$5*$B$10*$B$13*$B$19*$B$15*$B$20*$B$23*$B$24,0)</f>
        <v/>
      </c>
      <c r="AM59" s="127">
        <f>ROUND($B$5*$B$10*$B$13*$B$19*$B$15*$B$20*$B$23*$B$25,0)</f>
        <v/>
      </c>
      <c r="AN59" s="127">
        <f>ROUND($B$5*$B$10*$B$13*$B$19*$B$15*$B$21*$B$22*$B$24,0)</f>
        <v/>
      </c>
      <c r="AO59" s="127">
        <f>ROUND($B$5*$B$10*$B$13*$B$19*$B$15*$B$21*$B$22*$B$25,0)</f>
        <v/>
      </c>
      <c r="AP59" s="127">
        <f>ROUND($B$5*$B$10*$B$13*$B$19*$B$15*$B$21*$B$23*$B$24,0)</f>
        <v/>
      </c>
      <c r="AQ59" s="127">
        <f>ROUND($B$5*$B$10*$B$13*$B$19*$B$15*$B$21*$B$23*$B$25,0)</f>
        <v/>
      </c>
      <c r="AR59" s="127">
        <f>ROUND($B$5*$B$10*$B$13*$B$19*$B$16*$B$20*$B$22*$B$24,0)</f>
        <v/>
      </c>
      <c r="AS59" s="127">
        <f>ROUND($B$5*$B$10*$B$13*$B$19*$B$16*$B$20*$B$22*$B$25,0)</f>
        <v/>
      </c>
      <c r="AT59" s="127">
        <f>ROUND($B$5*$B$10*$B$13*$B$19*$B$16*$B$20*$B$23*$B$24,0)</f>
        <v/>
      </c>
      <c r="AU59" s="127">
        <f>ROUND($B$5*$B$10*$B$13*$B$19*$B$16*$B$20*$B$23*$B$25,0)</f>
        <v/>
      </c>
      <c r="AV59" s="127">
        <f>ROUND($B$5*$B$10*$B$13*$B$19*$B$16*$B$21*$B$22*$B$24,0)</f>
        <v/>
      </c>
      <c r="AW59" s="127">
        <f>ROUND($B$5*$B$10*$B$13*$B$19*$B$16*$B$21*$B$22*$B$25,0)</f>
        <v/>
      </c>
      <c r="AX59" s="127">
        <f>ROUND($B$5*$B$10*$B$13*$B$19*$B$16*$B$21*$B$23*$B$24,0)</f>
        <v/>
      </c>
      <c r="AY59" s="127">
        <f>ROUND($B$5*$B$10*$B$13*$B$19*$B$16*$B$21*$B$23*$B$25,0)</f>
        <v/>
      </c>
      <c r="AZ59" s="127">
        <f>ROUND($B$6*$B$10*$B$13*$B$19*$B$14*$B$20*$B$22*$B$24,0)</f>
        <v/>
      </c>
      <c r="BA59" s="127">
        <f>ROUND($B$6*$B$10*$B$13*$B$19*$B$14*$B$20*$B$22*$B$25,0)</f>
        <v/>
      </c>
      <c r="BB59" s="127">
        <f>ROUND($B$6*$B$10*$B$13*$B$19*$B$14*$B$20*$B$23*$B$24,0)</f>
        <v/>
      </c>
      <c r="BC59" s="127">
        <f>ROUND($B$6*$B$10*$B$13*$B$19*$B$14*$B$20*$B$23*$B$25,0)</f>
        <v/>
      </c>
      <c r="BD59" s="127">
        <f>ROUND($B$6*$B$10*$B$13*$B$19*$B$14*$B$21*$B$22*$B$24,0)</f>
        <v/>
      </c>
      <c r="BE59" s="127">
        <f>ROUND($B$6*$B$10*$B$13*$B$19*$B$14*$B$21*$B$22*$B$25,0)</f>
        <v/>
      </c>
      <c r="BF59" s="127">
        <f>ROUND($B$6*$B$10*$B$13*$B$19*$B$14*$B$21*$B$23*$B$24,0)</f>
        <v/>
      </c>
      <c r="BG59" s="127">
        <f>ROUND($B$6*$B$10*$B$13*$B$19*$B$14*$B$21*$B$23*$B$25,0)</f>
        <v/>
      </c>
      <c r="BH59" s="127">
        <f>ROUND($B$6*$B$10*$B$13*$B$19*$B$15*$B$20*$B$22*$B$24,0)</f>
        <v/>
      </c>
      <c r="BI59" s="127">
        <f>ROUND($B$6*$B$10*$B$13*$B$19*$B$15*$B$20*$B$22*$B$25,0)</f>
        <v/>
      </c>
      <c r="BJ59" s="127">
        <f>ROUND($B$6*$B$10*$B$13*$B$19*$B$15*$B$20*$B$23*$B$24,0)</f>
        <v/>
      </c>
      <c r="BK59" s="127">
        <f>ROUND($B$6*$B$10*$B$13*$B$19*$B$15*$B$20*$B$23*$B$25,0)</f>
        <v/>
      </c>
      <c r="BL59" s="127">
        <f>ROUND($B$6*$B$10*$B$13*$B$19*$B$15*$B$21*$B$22*$B$24,0)</f>
        <v/>
      </c>
      <c r="BM59" s="127">
        <f>ROUND($B$6*$B$10*$B$13*$B$19*$B$15*$B$21*$B$22*$B$25,0)</f>
        <v/>
      </c>
      <c r="BN59" s="127">
        <f>ROUND($B$6*$B$10*$B$13*$B$19*$B$15*$B$21*$B$23*$B$24,0)</f>
        <v/>
      </c>
      <c r="BO59" s="127">
        <f>ROUND($B$6*$B$10*$B$13*$B$19*$B$15*$B$21*$B$23*$B$25,0)</f>
        <v/>
      </c>
      <c r="BP59" s="127">
        <f>ROUND($B$6*$B$10*$B$13*$B$19*$B$16*$B$20*$B$22*$B$24,0)</f>
        <v/>
      </c>
      <c r="BQ59" s="127">
        <f>ROUND($B$6*$B$10*$B$13*$B$19*$B$16*$B$20*$B$22*$B$25,0)</f>
        <v/>
      </c>
      <c r="BR59" s="127">
        <f>ROUND($B$6*$B$10*$B$13*$B$19*$B$16*$B$20*$B$23*$B$24,0)</f>
        <v/>
      </c>
      <c r="BS59" s="127">
        <f>ROUND($B$6*$B$10*$B$13*$B$19*$B$16*$B$20*$B$23*$B$25,0)</f>
        <v/>
      </c>
      <c r="BT59" s="127">
        <f>ROUND($B$6*$B$10*$B$13*$B$19*$B$16*$B$21*$B$22*$B$24,0)</f>
        <v/>
      </c>
      <c r="BU59" s="127">
        <f>ROUND($B$6*$B$10*$B$13*$B$19*$B$16*$B$21*$B$22*$B$25,0)</f>
        <v/>
      </c>
      <c r="BV59" s="127">
        <f>ROUND($B$6*$B$10*$B$13*$B$19*$B$16*$B$21*$B$23*$B$24,0)</f>
        <v/>
      </c>
      <c r="BW59" s="127">
        <f>ROUND($B$6*$B$10*$B$13*$B$19*$B$16*$B$21*$B$23*$B$25,0)</f>
        <v/>
      </c>
    </row>
  </sheetData>
  <mergeCells count="86">
    <mergeCell ref="AB29:AI29"/>
    <mergeCell ref="T29:AA29"/>
    <mergeCell ref="D31:E31"/>
    <mergeCell ref="B36:B38"/>
    <mergeCell ref="B45:B47"/>
    <mergeCell ref="A42:A50"/>
    <mergeCell ref="A7:BW7"/>
    <mergeCell ref="AB31:AC31"/>
    <mergeCell ref="AD31:AE31"/>
    <mergeCell ref="AN31:AO31"/>
    <mergeCell ref="AP31:AQ31"/>
    <mergeCell ref="AZ31:BA31"/>
    <mergeCell ref="AZ30:BC30"/>
    <mergeCell ref="A2:BW2"/>
    <mergeCell ref="AB28:AY28"/>
    <mergeCell ref="J31:K31"/>
    <mergeCell ref="L31:M31"/>
    <mergeCell ref="AT31:AU31"/>
    <mergeCell ref="N31:O31"/>
    <mergeCell ref="BN31:BO31"/>
    <mergeCell ref="BP31:BQ31"/>
    <mergeCell ref="B57:B59"/>
    <mergeCell ref="AJ30:AM30"/>
    <mergeCell ref="B33:B35"/>
    <mergeCell ref="BH30:BK30"/>
    <mergeCell ref="A33:A41"/>
    <mergeCell ref="A28:A32"/>
    <mergeCell ref="C28:C32"/>
    <mergeCell ref="A26:BW26"/>
    <mergeCell ref="F31:G31"/>
    <mergeCell ref="BH29:BO29"/>
    <mergeCell ref="T31:U31"/>
    <mergeCell ref="B39:B41"/>
    <mergeCell ref="AF31:AG31"/>
    <mergeCell ref="B48:B50"/>
    <mergeCell ref="L30:O30"/>
    <mergeCell ref="AF30:AI30"/>
    <mergeCell ref="X30:AA30"/>
    <mergeCell ref="X31:Y31"/>
    <mergeCell ref="Z31:AA31"/>
    <mergeCell ref="AR30:AU30"/>
    <mergeCell ref="AZ28:BW28"/>
    <mergeCell ref="AJ31:AK31"/>
    <mergeCell ref="AL31:AM31"/>
    <mergeCell ref="BT31:BU31"/>
    <mergeCell ref="BD31:BE31"/>
    <mergeCell ref="AV31:AW31"/>
    <mergeCell ref="BF31:BG31"/>
    <mergeCell ref="AV30:AY30"/>
    <mergeCell ref="P30:S30"/>
    <mergeCell ref="H31:I31"/>
    <mergeCell ref="A1:BW1"/>
    <mergeCell ref="BV31:BW31"/>
    <mergeCell ref="B51:B53"/>
    <mergeCell ref="BH31:BI31"/>
    <mergeCell ref="BT30:BW30"/>
    <mergeCell ref="L29:S29"/>
    <mergeCell ref="BP29:BW29"/>
    <mergeCell ref="B42:B44"/>
    <mergeCell ref="AJ29:AQ29"/>
    <mergeCell ref="AZ29:BG29"/>
    <mergeCell ref="AR31:AS31"/>
    <mergeCell ref="D30:G30"/>
    <mergeCell ref="B28:B32"/>
    <mergeCell ref="BD30:BG30"/>
    <mergeCell ref="P31:Q31"/>
    <mergeCell ref="AX31:AY31"/>
    <mergeCell ref="BP30:BS30"/>
    <mergeCell ref="R31:S31"/>
    <mergeCell ref="B54:B56"/>
    <mergeCell ref="BR31:BS31"/>
    <mergeCell ref="BJ31:BK31"/>
    <mergeCell ref="BL31:BM31"/>
    <mergeCell ref="H30:K30"/>
    <mergeCell ref="AB30:AE30"/>
    <mergeCell ref="T30:W30"/>
    <mergeCell ref="D28:AA28"/>
    <mergeCell ref="V31:W31"/>
    <mergeCell ref="AN30:AQ30"/>
    <mergeCell ref="AH31:AI31"/>
    <mergeCell ref="BB31:BC31"/>
    <mergeCell ref="A3:BW3"/>
    <mergeCell ref="A51:A59"/>
    <mergeCell ref="BL30:BO30"/>
    <mergeCell ref="AR29:AY29"/>
    <mergeCell ref="D29:K2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1C3557"/>
    <outlinePr summaryBelow="1" summaryRight="1"/>
    <pageSetUpPr/>
  </sheetPr>
  <dimension ref="A1:AM56"/>
  <sheetViews>
    <sheetView workbookViewId="0">
      <pane xSplit="3" topLeftCell="D1" activePane="topRight" state="frozen"/>
      <selection pane="topRight" activeCell="B23" sqref="B23"/>
    </sheetView>
  </sheetViews>
  <sheetFormatPr baseColWidth="10" defaultColWidth="9.140625" defaultRowHeight="15"/>
  <cols>
    <col width="22" customWidth="1" style="62" min="1" max="2"/>
    <col width="20" customWidth="1" style="62" min="3" max="3"/>
    <col width="13" customWidth="1" style="62" min="4" max="39"/>
  </cols>
  <sheetData>
    <row r="1" ht="33.95" customHeight="1" s="62">
      <c r="A1" s="97" t="inlineStr">
        <is>
          <t>GRILLE TARIFAIRE — Hébergement</t>
        </is>
      </c>
    </row>
    <row r="2" ht="26.1" customHeight="1" s="62">
      <c r="A2" s="107" t="inlineStr">
        <is>
          <t>⚙  ZONE DE PARAMÉTRAGE — Remplissez uniquement les cases jaunes. Le tableau se calcule automatiquement.</t>
        </is>
      </c>
    </row>
    <row r="3" ht="21.95" customHeight="1" s="62">
      <c r="A3" s="106" t="inlineStr">
        <is>
          <t>TARIFS DE BASE  —  Par niveau de prestation</t>
        </is>
      </c>
    </row>
    <row r="4" ht="21.95" customHeight="1" s="62">
      <c r="A4" s="43" t="inlineStr">
        <is>
          <t>Tarif de base — Hébergement simple</t>
        </is>
      </c>
      <c r="B4" s="52" t="n">
        <v>125</v>
      </c>
      <c r="C4" s="45" t="inlineStr">
        <is>
          <t>Fourchette : 50 – 200 €/mois</t>
        </is>
      </c>
    </row>
    <row r="5" ht="21.95" customHeight="1" s="62">
      <c r="A5" s="43" t="inlineStr">
        <is>
          <t>Tarif de base — Hébergement standard</t>
        </is>
      </c>
      <c r="B5" s="52" t="n">
        <v>500</v>
      </c>
      <c r="C5" s="45" t="inlineStr">
        <is>
          <t>Fourchette : 200 – 800 €/mois</t>
        </is>
      </c>
    </row>
    <row r="6" ht="21.95" customHeight="1" s="62">
      <c r="A6" s="43" t="inlineStr">
        <is>
          <t>Tarif de base — Hébergement avancé</t>
        </is>
      </c>
      <c r="B6" s="52" t="n">
        <v>1900</v>
      </c>
      <c r="C6" s="45" t="inlineStr">
        <is>
          <t>Fourchette : 800 – 3 000 €/mois</t>
        </is>
      </c>
    </row>
    <row r="7" ht="21.95" customHeight="1" s="62">
      <c r="A7" s="75" t="inlineStr">
        <is>
          <t>COEFFICIENTS MULTIPLICATEURS  —  1,00 = neutre. Ex : 1,20 = +20 %</t>
        </is>
      </c>
    </row>
    <row r="8" ht="20.1" customHeight="1" s="62">
      <c r="A8" s="19" t="inlineStr">
        <is>
          <t>Coeff. type — Mutualisé</t>
        </is>
      </c>
      <c r="B8" s="46" t="n">
        <v>0.7</v>
      </c>
      <c r="C8" s="47" t="inlineStr">
        <is>
          <t>Ressources partagées</t>
        </is>
      </c>
    </row>
    <row r="9" ht="20.1" customHeight="1" s="62">
      <c r="A9" s="19" t="inlineStr">
        <is>
          <t>Coeff. type — VPS / Dédié</t>
        </is>
      </c>
      <c r="B9" s="46" t="n">
        <v>1</v>
      </c>
      <c r="C9" s="47" t="inlineStr">
        <is>
          <t>Référence</t>
        </is>
      </c>
    </row>
    <row r="10" ht="20.1" customHeight="1" s="62">
      <c r="A10" s="19" t="inlineStr">
        <is>
          <t>Coeff. type — Cloud managé</t>
        </is>
      </c>
      <c r="B10" s="46" t="n">
        <v>1.4</v>
      </c>
      <c r="C10" s="47" t="inlineStr">
        <is>
          <t>Flexibilité et scalabilité</t>
        </is>
      </c>
    </row>
    <row r="11" ht="20.1" customHeight="1" s="62">
      <c r="A11" s="19" t="inlineStr">
        <is>
          <t>Coeff. trafic — Faible (&lt; 10k/mois)</t>
        </is>
      </c>
      <c r="B11" s="46" t="n">
        <v>0.8</v>
      </c>
      <c r="C11" s="47" t="inlineStr">
        <is>
          <t>Faible charge</t>
        </is>
      </c>
    </row>
    <row r="12" ht="20.1" customHeight="1" s="62">
      <c r="A12" s="19" t="inlineStr">
        <is>
          <t>Coeff. trafic — Moyen (10k-100k/mois)</t>
        </is>
      </c>
      <c r="B12" s="46" t="n">
        <v>1</v>
      </c>
      <c r="C12" s="47" t="inlineStr">
        <is>
          <t>Référence</t>
        </is>
      </c>
    </row>
    <row r="13" ht="20.1" customHeight="1" s="62">
      <c r="A13" s="19" t="inlineStr">
        <is>
          <t>Coeff. trafic — Élevé (100k+/mois)</t>
        </is>
      </c>
      <c r="B13" s="46" t="n">
        <v>1.5</v>
      </c>
      <c r="C13" s="47" t="inlineStr">
        <is>
          <t>Forte charge, haute dispo</t>
        </is>
      </c>
    </row>
    <row r="14" ht="20.1" customHeight="1" s="62">
      <c r="A14" s="19" t="inlineStr">
        <is>
          <t>Coeff. sécurité — Standard</t>
        </is>
      </c>
      <c r="B14" s="46" t="n">
        <v>1</v>
      </c>
      <c r="C14" s="47" t="inlineStr">
        <is>
          <t>Référence</t>
        </is>
      </c>
    </row>
    <row r="15" ht="20.1" customHeight="1" s="62">
      <c r="A15" s="19" t="inlineStr">
        <is>
          <t>Coeff. sécurité — Renforcée</t>
        </is>
      </c>
      <c r="B15" s="46" t="n">
        <v>1.25</v>
      </c>
      <c r="C15" s="47" t="inlineStr">
        <is>
          <t>SSL, WAF, backups avancés</t>
        </is>
      </c>
    </row>
    <row r="16" ht="20.1" customHeight="1" s="62">
      <c r="A16" s="19" t="inlineStr">
        <is>
          <t>Coeff. sécurité — Critique</t>
        </is>
      </c>
      <c r="B16" s="46" t="n">
        <v>1.55</v>
      </c>
      <c r="C16" s="47" t="inlineStr">
        <is>
          <t>Conformité RGPD, santé, finance</t>
        </is>
      </c>
    </row>
    <row r="17" ht="20.1" customHeight="1" s="62">
      <c r="A17" s="19" t="inlineStr">
        <is>
          <t>Coeff. perf. — Standard</t>
        </is>
      </c>
      <c r="B17" s="46" t="n">
        <v>1</v>
      </c>
      <c r="C17" s="47" t="inlineStr">
        <is>
          <t>Référence</t>
        </is>
      </c>
    </row>
    <row r="18" ht="20.1" customHeight="1" s="62">
      <c r="A18" s="19" t="inlineStr">
        <is>
          <t>Coeff. perf. — Haute performance</t>
        </is>
      </c>
      <c r="B18" s="46" t="n">
        <v>1.35</v>
      </c>
      <c r="C18" s="47" t="inlineStr">
        <is>
          <t>CDN, cache, optimisation</t>
        </is>
      </c>
    </row>
    <row r="19" ht="20.1" customHeight="1" s="62">
      <c r="A19" s="19" t="inlineStr">
        <is>
          <t>Coeff. applis — 1-2 applis</t>
        </is>
      </c>
      <c r="B19" s="46" t="n">
        <v>0.9</v>
      </c>
      <c r="C19" s="47" t="inlineStr">
        <is>
          <t>Périmètre réduit</t>
        </is>
      </c>
    </row>
    <row r="20" ht="20.1" customHeight="1" s="62">
      <c r="A20" s="19" t="inlineStr">
        <is>
          <t>Coeff. applis — 3-5 applis</t>
        </is>
      </c>
      <c r="B20" s="46" t="n">
        <v>1</v>
      </c>
      <c r="C20" s="47" t="inlineStr">
        <is>
          <t>Référence</t>
        </is>
      </c>
    </row>
    <row r="21" ht="20.1" customHeight="1" s="62">
      <c r="A21" s="19" t="inlineStr">
        <is>
          <t>Coeff. applis — 6+ applis</t>
        </is>
      </c>
      <c r="B21" s="46" t="n">
        <v>1.4</v>
      </c>
      <c r="C21" s="47" t="inlineStr">
        <is>
          <t>Multi-sites / multi-applis</t>
        </is>
      </c>
    </row>
    <row r="22" ht="20.1" customHeight="1" s="62">
      <c r="A22" s="19" t="inlineStr">
        <is>
          <t>Coeff. scalabilité — Fixe</t>
        </is>
      </c>
      <c r="B22" s="46" t="n">
        <v>1</v>
      </c>
      <c r="C22" s="47" t="inlineStr">
        <is>
          <t>Référence</t>
        </is>
      </c>
    </row>
    <row r="23" ht="20.1" customHeight="1" s="62">
      <c r="A23" s="19" t="inlineStr">
        <is>
          <t>Coeff. scalabilité — Auto-scalable</t>
        </is>
      </c>
      <c r="B23" s="46" t="n">
        <v>1.25</v>
      </c>
      <c r="C23" s="47" t="inlineStr">
        <is>
          <t>Ressources dynamiques</t>
        </is>
      </c>
    </row>
    <row r="24" ht="24" customHeight="1" s="62">
      <c r="A24" s="102" t="inlineStr">
        <is>
          <t>▼  GRILLE TARIFAIRE CALCULÉE AUTOMATIQUEMENT  — Les cellules bleues sont en lecture seule (formules).</t>
        </is>
      </c>
    </row>
    <row r="25" ht="6" customHeight="1" s="62"/>
    <row r="26" ht="38.1" customHeight="1" s="62">
      <c r="A26" s="100" t="inlineStr">
        <is>
          <t>Type d'hébergement</t>
        </is>
      </c>
      <c r="B26" s="99" t="inlineStr">
        <is>
          <t>Volume de trafic</t>
        </is>
      </c>
      <c r="C26" s="98" t="inlineStr">
        <is>
          <t>Niveau de sécurité</t>
        </is>
      </c>
      <c r="D26" s="100" t="inlineStr">
        <is>
          <t>Hébergement simple</t>
        </is>
      </c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6" t="n"/>
      <c r="P26" s="100" t="inlineStr">
        <is>
          <t>Hébergement standard</t>
        </is>
      </c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6" t="n"/>
      <c r="AB26" s="100" t="inlineStr">
        <is>
          <t>Hébergement avancé</t>
        </is>
      </c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6" t="n"/>
    </row>
    <row r="27" ht="38.1" customHeight="1" s="62">
      <c r="A27" s="64" t="n"/>
      <c r="B27" s="64" t="n"/>
      <c r="C27" s="64" t="n"/>
      <c r="D27" s="99" t="inlineStr">
        <is>
          <t>Performance standard</t>
        </is>
      </c>
      <c r="E27" s="55" t="n"/>
      <c r="F27" s="55" t="n"/>
      <c r="G27" s="55" t="n"/>
      <c r="H27" s="55" t="n"/>
      <c r="I27" s="56" t="n"/>
      <c r="J27" s="99" t="inlineStr">
        <is>
          <t>Haute performance</t>
        </is>
      </c>
      <c r="K27" s="55" t="n"/>
      <c r="L27" s="55" t="n"/>
      <c r="M27" s="55" t="n"/>
      <c r="N27" s="55" t="n"/>
      <c r="O27" s="56" t="n"/>
      <c r="P27" s="99" t="inlineStr">
        <is>
          <t>Performance standard</t>
        </is>
      </c>
      <c r="Q27" s="55" t="n"/>
      <c r="R27" s="55" t="n"/>
      <c r="S27" s="55" t="n"/>
      <c r="T27" s="55" t="n"/>
      <c r="U27" s="56" t="n"/>
      <c r="V27" s="99" t="inlineStr">
        <is>
          <t>Haute performance</t>
        </is>
      </c>
      <c r="W27" s="55" t="n"/>
      <c r="X27" s="55" t="n"/>
      <c r="Y27" s="55" t="n"/>
      <c r="Z27" s="55" t="n"/>
      <c r="AA27" s="56" t="n"/>
      <c r="AB27" s="99" t="inlineStr">
        <is>
          <t>Performance standard</t>
        </is>
      </c>
      <c r="AC27" s="55" t="n"/>
      <c r="AD27" s="55" t="n"/>
      <c r="AE27" s="55" t="n"/>
      <c r="AF27" s="55" t="n"/>
      <c r="AG27" s="56" t="n"/>
      <c r="AH27" s="99" t="inlineStr">
        <is>
          <t>Haute performance</t>
        </is>
      </c>
      <c r="AI27" s="55" t="n"/>
      <c r="AJ27" s="55" t="n"/>
      <c r="AK27" s="55" t="n"/>
      <c r="AL27" s="55" t="n"/>
      <c r="AM27" s="56" t="n"/>
    </row>
    <row r="28" ht="38.1" customHeight="1" s="62">
      <c r="A28" s="64" t="n"/>
      <c r="B28" s="64" t="n"/>
      <c r="C28" s="64" t="n"/>
      <c r="D28" s="98" t="inlineStr">
        <is>
          <t>1-2 applis</t>
        </is>
      </c>
      <c r="E28" s="56" t="n"/>
      <c r="F28" s="98" t="inlineStr">
        <is>
          <t>3-5 applis</t>
        </is>
      </c>
      <c r="G28" s="56" t="n"/>
      <c r="H28" s="98" t="inlineStr">
        <is>
          <t>6+ applis</t>
        </is>
      </c>
      <c r="I28" s="56" t="n"/>
      <c r="J28" s="98" t="inlineStr">
        <is>
          <t>1-2 applis</t>
        </is>
      </c>
      <c r="K28" s="56" t="n"/>
      <c r="L28" s="98" t="inlineStr">
        <is>
          <t>3-5 applis</t>
        </is>
      </c>
      <c r="M28" s="56" t="n"/>
      <c r="N28" s="98" t="inlineStr">
        <is>
          <t>6+ applis</t>
        </is>
      </c>
      <c r="O28" s="56" t="n"/>
      <c r="P28" s="98" t="inlineStr">
        <is>
          <t>1-2 applis</t>
        </is>
      </c>
      <c r="Q28" s="56" t="n"/>
      <c r="R28" s="98" t="inlineStr">
        <is>
          <t>3-5 applis</t>
        </is>
      </c>
      <c r="S28" s="56" t="n"/>
      <c r="T28" s="98" t="inlineStr">
        <is>
          <t>6+ applis</t>
        </is>
      </c>
      <c r="U28" s="56" t="n"/>
      <c r="V28" s="98" t="inlineStr">
        <is>
          <t>1-2 applis</t>
        </is>
      </c>
      <c r="W28" s="56" t="n"/>
      <c r="X28" s="98" t="inlineStr">
        <is>
          <t>3-5 applis</t>
        </is>
      </c>
      <c r="Y28" s="56" t="n"/>
      <c r="Z28" s="98" t="inlineStr">
        <is>
          <t>6+ applis</t>
        </is>
      </c>
      <c r="AA28" s="56" t="n"/>
      <c r="AB28" s="98" t="inlineStr">
        <is>
          <t>1-2 applis</t>
        </is>
      </c>
      <c r="AC28" s="56" t="n"/>
      <c r="AD28" s="98" t="inlineStr">
        <is>
          <t>3-5 applis</t>
        </is>
      </c>
      <c r="AE28" s="56" t="n"/>
      <c r="AF28" s="98" t="inlineStr">
        <is>
          <t>6+ applis</t>
        </is>
      </c>
      <c r="AG28" s="56" t="n"/>
      <c r="AH28" s="98" t="inlineStr">
        <is>
          <t>1-2 applis</t>
        </is>
      </c>
      <c r="AI28" s="56" t="n"/>
      <c r="AJ28" s="98" t="inlineStr">
        <is>
          <t>3-5 applis</t>
        </is>
      </c>
      <c r="AK28" s="56" t="n"/>
      <c r="AL28" s="98" t="inlineStr">
        <is>
          <t>6+ applis</t>
        </is>
      </c>
      <c r="AM28" s="56" t="n"/>
    </row>
    <row r="29" ht="38.1" customHeight="1" s="62">
      <c r="A29" s="65" t="n"/>
      <c r="B29" s="65" t="n"/>
      <c r="C29" s="65" t="n"/>
      <c r="D29" s="22" t="inlineStr">
        <is>
          <t>Fixe</t>
        </is>
      </c>
      <c r="E29" s="22" t="inlineStr">
        <is>
          <t>Auto-scalable</t>
        </is>
      </c>
      <c r="F29" s="22" t="inlineStr">
        <is>
          <t>Fixe</t>
        </is>
      </c>
      <c r="G29" s="22" t="inlineStr">
        <is>
          <t>Auto-scalable</t>
        </is>
      </c>
      <c r="H29" s="22" t="inlineStr">
        <is>
          <t>Fixe</t>
        </is>
      </c>
      <c r="I29" s="22" t="inlineStr">
        <is>
          <t>Auto-scalable</t>
        </is>
      </c>
      <c r="J29" s="22" t="inlineStr">
        <is>
          <t>Fixe</t>
        </is>
      </c>
      <c r="K29" s="22" t="inlineStr">
        <is>
          <t>Auto-scalable</t>
        </is>
      </c>
      <c r="L29" s="22" t="inlineStr">
        <is>
          <t>Fixe</t>
        </is>
      </c>
      <c r="M29" s="22" t="inlineStr">
        <is>
          <t>Auto-scalable</t>
        </is>
      </c>
      <c r="N29" s="22" t="inlineStr">
        <is>
          <t>Fixe</t>
        </is>
      </c>
      <c r="O29" s="22" t="inlineStr">
        <is>
          <t>Auto-scalable</t>
        </is>
      </c>
      <c r="P29" s="22" t="inlineStr">
        <is>
          <t>Fixe</t>
        </is>
      </c>
      <c r="Q29" s="22" t="inlineStr">
        <is>
          <t>Auto-scalable</t>
        </is>
      </c>
      <c r="R29" s="22" t="inlineStr">
        <is>
          <t>Fixe</t>
        </is>
      </c>
      <c r="S29" s="22" t="inlineStr">
        <is>
          <t>Auto-scalable</t>
        </is>
      </c>
      <c r="T29" s="22" t="inlineStr">
        <is>
          <t>Fixe</t>
        </is>
      </c>
      <c r="U29" s="22" t="inlineStr">
        <is>
          <t>Auto-scalable</t>
        </is>
      </c>
      <c r="V29" s="22" t="inlineStr">
        <is>
          <t>Fixe</t>
        </is>
      </c>
      <c r="W29" s="22" t="inlineStr">
        <is>
          <t>Auto-scalable</t>
        </is>
      </c>
      <c r="X29" s="22" t="inlineStr">
        <is>
          <t>Fixe</t>
        </is>
      </c>
      <c r="Y29" s="22" t="inlineStr">
        <is>
          <t>Auto-scalable</t>
        </is>
      </c>
      <c r="Z29" s="22" t="inlineStr">
        <is>
          <t>Fixe</t>
        </is>
      </c>
      <c r="AA29" s="22" t="inlineStr">
        <is>
          <t>Auto-scalable</t>
        </is>
      </c>
      <c r="AB29" s="22" t="inlineStr">
        <is>
          <t>Fixe</t>
        </is>
      </c>
      <c r="AC29" s="22" t="inlineStr">
        <is>
          <t>Auto-scalable</t>
        </is>
      </c>
      <c r="AD29" s="22" t="inlineStr">
        <is>
          <t>Fixe</t>
        </is>
      </c>
      <c r="AE29" s="22" t="inlineStr">
        <is>
          <t>Auto-scalable</t>
        </is>
      </c>
      <c r="AF29" s="22" t="inlineStr">
        <is>
          <t>Fixe</t>
        </is>
      </c>
      <c r="AG29" s="22" t="inlineStr">
        <is>
          <t>Auto-scalable</t>
        </is>
      </c>
      <c r="AH29" s="22" t="inlineStr">
        <is>
          <t>Fixe</t>
        </is>
      </c>
      <c r="AI29" s="22" t="inlineStr">
        <is>
          <t>Auto-scalable</t>
        </is>
      </c>
      <c r="AJ29" s="22" t="inlineStr">
        <is>
          <t>Fixe</t>
        </is>
      </c>
      <c r="AK29" s="22" t="inlineStr">
        <is>
          <t>Auto-scalable</t>
        </is>
      </c>
      <c r="AL29" s="22" t="inlineStr">
        <is>
          <t>Fixe</t>
        </is>
      </c>
      <c r="AM29" s="22" t="inlineStr">
        <is>
          <t>Auto-scalable</t>
        </is>
      </c>
    </row>
    <row r="30" ht="20.1" customHeight="1" s="62">
      <c r="A30" s="103" t="inlineStr">
        <is>
          <t>Mutualisé</t>
        </is>
      </c>
      <c r="B30" s="101" t="inlineStr">
        <is>
          <t>Trafic faible (&lt; 10k/mois)</t>
        </is>
      </c>
      <c r="C30" s="49" t="inlineStr">
        <is>
          <t>Sécurité standard</t>
        </is>
      </c>
      <c r="D30" s="53">
        <f>ROUND($B$4*$B$8*$B$11*$B$14*$B$17*$B$19*$B$22,0)</f>
        <v/>
      </c>
      <c r="E30" s="53">
        <f>ROUND($B$4*$B$8*$B$11*$B$14*$B$17*$B$19*$B$23,0)</f>
        <v/>
      </c>
      <c r="F30" s="53">
        <f>ROUND($B$4*$B$8*$B$11*$B$14*$B$17*$B$20*$B$22,0)</f>
        <v/>
      </c>
      <c r="G30" s="53">
        <f>ROUND($B$4*$B$8*$B$11*$B$14*$B$17*$B$20*$B$23,0)</f>
        <v/>
      </c>
      <c r="H30" s="53">
        <f>ROUND($B$4*$B$8*$B$11*$B$14*$B$17*$B$21*$B$22,0)</f>
        <v/>
      </c>
      <c r="I30" s="53">
        <f>ROUND($B$4*$B$8*$B$11*$B$14*$B$17*$B$21*$B$23,0)</f>
        <v/>
      </c>
      <c r="J30" s="53">
        <f>ROUND($B$4*$B$8*$B$11*$B$14*$B$18*$B$19*$B$22,0)</f>
        <v/>
      </c>
      <c r="K30" s="53">
        <f>ROUND($B$4*$B$8*$B$11*$B$14*$B$18*$B$19*$B$23,0)</f>
        <v/>
      </c>
      <c r="L30" s="53">
        <f>ROUND($B$4*$B$8*$B$11*$B$14*$B$18*$B$20*$B$22,0)</f>
        <v/>
      </c>
      <c r="M30" s="53">
        <f>ROUND($B$4*$B$8*$B$11*$B$14*$B$18*$B$20*$B$23,0)</f>
        <v/>
      </c>
      <c r="N30" s="53">
        <f>ROUND($B$4*$B$8*$B$11*$B$14*$B$18*$B$21*$B$22,0)</f>
        <v/>
      </c>
      <c r="O30" s="53">
        <f>ROUND($B$4*$B$8*$B$11*$B$14*$B$18*$B$21*$B$23,0)</f>
        <v/>
      </c>
      <c r="P30" s="53">
        <f>ROUND($B$5*$B$8*$B$11*$B$14*$B$17*$B$19*$B$22,0)</f>
        <v/>
      </c>
      <c r="Q30" s="53">
        <f>ROUND($B$5*$B$8*$B$11*$B$14*$B$17*$B$19*$B$23,0)</f>
        <v/>
      </c>
      <c r="R30" s="53">
        <f>ROUND($B$5*$B$8*$B$11*$B$14*$B$17*$B$20*$B$22,0)</f>
        <v/>
      </c>
      <c r="S30" s="53">
        <f>ROUND($B$5*$B$8*$B$11*$B$14*$B$17*$B$20*$B$23,0)</f>
        <v/>
      </c>
      <c r="T30" s="53">
        <f>ROUND($B$5*$B$8*$B$11*$B$14*$B$17*$B$21*$B$22,0)</f>
        <v/>
      </c>
      <c r="U30" s="53">
        <f>ROUND($B$5*$B$8*$B$11*$B$14*$B$17*$B$21*$B$23,0)</f>
        <v/>
      </c>
      <c r="V30" s="53">
        <f>ROUND($B$5*$B$8*$B$11*$B$14*$B$18*$B$19*$B$22,0)</f>
        <v/>
      </c>
      <c r="W30" s="53">
        <f>ROUND($B$5*$B$8*$B$11*$B$14*$B$18*$B$19*$B$23,0)</f>
        <v/>
      </c>
      <c r="X30" s="53">
        <f>ROUND($B$5*$B$8*$B$11*$B$14*$B$18*$B$20*$B$22,0)</f>
        <v/>
      </c>
      <c r="Y30" s="53">
        <f>ROUND($B$5*$B$8*$B$11*$B$14*$B$18*$B$20*$B$23,0)</f>
        <v/>
      </c>
      <c r="Z30" s="53">
        <f>ROUND($B$5*$B$8*$B$11*$B$14*$B$18*$B$21*$B$22,0)</f>
        <v/>
      </c>
      <c r="AA30" s="53">
        <f>ROUND($B$5*$B$8*$B$11*$B$14*$B$18*$B$21*$B$23,0)</f>
        <v/>
      </c>
      <c r="AB30" s="53">
        <f>ROUND($B$6*$B$8*$B$11*$B$14*$B$17*$B$19*$B$22,0)</f>
        <v/>
      </c>
      <c r="AC30" s="53">
        <f>ROUND($B$6*$B$8*$B$11*$B$14*$B$17*$B$19*$B$23,0)</f>
        <v/>
      </c>
      <c r="AD30" s="53">
        <f>ROUND($B$6*$B$8*$B$11*$B$14*$B$17*$B$20*$B$22,0)</f>
        <v/>
      </c>
      <c r="AE30" s="53">
        <f>ROUND($B$6*$B$8*$B$11*$B$14*$B$17*$B$20*$B$23,0)</f>
        <v/>
      </c>
      <c r="AF30" s="53">
        <f>ROUND($B$6*$B$8*$B$11*$B$14*$B$17*$B$21*$B$22,0)</f>
        <v/>
      </c>
      <c r="AG30" s="53">
        <f>ROUND($B$6*$B$8*$B$11*$B$14*$B$17*$B$21*$B$23,0)</f>
        <v/>
      </c>
      <c r="AH30" s="53">
        <f>ROUND($B$6*$B$8*$B$11*$B$14*$B$18*$B$19*$B$22,0)</f>
        <v/>
      </c>
      <c r="AI30" s="53">
        <f>ROUND($B$6*$B$8*$B$11*$B$14*$B$18*$B$19*$B$23,0)</f>
        <v/>
      </c>
      <c r="AJ30" s="53">
        <f>ROUND($B$6*$B$8*$B$11*$B$14*$B$18*$B$20*$B$22,0)</f>
        <v/>
      </c>
      <c r="AK30" s="53">
        <f>ROUND($B$6*$B$8*$B$11*$B$14*$B$18*$B$20*$B$23,0)</f>
        <v/>
      </c>
      <c r="AL30" s="53">
        <f>ROUND($B$6*$B$8*$B$11*$B$14*$B$18*$B$21*$B$22,0)</f>
        <v/>
      </c>
      <c r="AM30" s="53">
        <f>ROUND($B$6*$B$8*$B$11*$B$14*$B$18*$B$21*$B$23,0)</f>
        <v/>
      </c>
    </row>
    <row r="31" ht="20.1" customHeight="1" s="62">
      <c r="A31" s="104" t="n"/>
      <c r="B31" s="58" t="n"/>
      <c r="C31" s="101" t="inlineStr">
        <is>
          <t>Sécurité renforcée</t>
        </is>
      </c>
      <c r="D31" s="53">
        <f>ROUND($B$4*$B$8*$B$11*$B$15*$B$17*$B$19*$B$22,0)</f>
        <v/>
      </c>
      <c r="E31" s="53">
        <f>ROUND($B$4*$B$8*$B$11*$B$15*$B$17*$B$19*$B$23,0)</f>
        <v/>
      </c>
      <c r="F31" s="53">
        <f>ROUND($B$4*$B$8*$B$11*$B$15*$B$17*$B$20*$B$22,0)</f>
        <v/>
      </c>
      <c r="G31" s="53">
        <f>ROUND($B$4*$B$8*$B$11*$B$15*$B$17*$B$20*$B$23,0)</f>
        <v/>
      </c>
      <c r="H31" s="53">
        <f>ROUND($B$4*$B$8*$B$11*$B$15*$B$17*$B$21*$B$22,0)</f>
        <v/>
      </c>
      <c r="I31" s="53">
        <f>ROUND($B$4*$B$8*$B$11*$B$15*$B$17*$B$21*$B$23,0)</f>
        <v/>
      </c>
      <c r="J31" s="53">
        <f>ROUND($B$4*$B$8*$B$11*$B$15*$B$18*$B$19*$B$22,0)</f>
        <v/>
      </c>
      <c r="K31" s="53">
        <f>ROUND($B$4*$B$8*$B$11*$B$15*$B$18*$B$19*$B$23,0)</f>
        <v/>
      </c>
      <c r="L31" s="53">
        <f>ROUND($B$4*$B$8*$B$11*$B$15*$B$18*$B$20*$B$22,0)</f>
        <v/>
      </c>
      <c r="M31" s="53">
        <f>ROUND($B$4*$B$8*$B$11*$B$15*$B$18*$B$20*$B$23,0)</f>
        <v/>
      </c>
      <c r="N31" s="53">
        <f>ROUND($B$4*$B$8*$B$11*$B$15*$B$18*$B$21*$B$22,0)</f>
        <v/>
      </c>
      <c r="O31" s="53">
        <f>ROUND($B$4*$B$8*$B$11*$B$15*$B$18*$B$21*$B$23,0)</f>
        <v/>
      </c>
      <c r="P31" s="53">
        <f>ROUND($B$5*$B$8*$B$11*$B$15*$B$17*$B$19*$B$22,0)</f>
        <v/>
      </c>
      <c r="Q31" s="53">
        <f>ROUND($B$5*$B$8*$B$11*$B$15*$B$17*$B$19*$B$23,0)</f>
        <v/>
      </c>
      <c r="R31" s="53">
        <f>ROUND($B$5*$B$8*$B$11*$B$15*$B$17*$B$20*$B$22,0)</f>
        <v/>
      </c>
      <c r="S31" s="53">
        <f>ROUND($B$5*$B$8*$B$11*$B$15*$B$17*$B$20*$B$23,0)</f>
        <v/>
      </c>
      <c r="T31" s="53">
        <f>ROUND($B$5*$B$8*$B$11*$B$15*$B$17*$B$21*$B$22,0)</f>
        <v/>
      </c>
      <c r="U31" s="53">
        <f>ROUND($B$5*$B$8*$B$11*$B$15*$B$17*$B$21*$B$23,0)</f>
        <v/>
      </c>
      <c r="V31" s="53">
        <f>ROUND($B$5*$B$8*$B$11*$B$15*$B$18*$B$19*$B$22,0)</f>
        <v/>
      </c>
      <c r="W31" s="53">
        <f>ROUND($B$5*$B$8*$B$11*$B$15*$B$18*$B$19*$B$23,0)</f>
        <v/>
      </c>
      <c r="X31" s="53">
        <f>ROUND($B$5*$B$8*$B$11*$B$15*$B$18*$B$20*$B$22,0)</f>
        <v/>
      </c>
      <c r="Y31" s="53">
        <f>ROUND($B$5*$B$8*$B$11*$B$15*$B$18*$B$20*$B$23,0)</f>
        <v/>
      </c>
      <c r="Z31" s="53">
        <f>ROUND($B$5*$B$8*$B$11*$B$15*$B$18*$B$21*$B$22,0)</f>
        <v/>
      </c>
      <c r="AA31" s="53">
        <f>ROUND($B$5*$B$8*$B$11*$B$15*$B$18*$B$21*$B$23,0)</f>
        <v/>
      </c>
      <c r="AB31" s="53">
        <f>ROUND($B$6*$B$8*$B$11*$B$15*$B$17*$B$19*$B$22,0)</f>
        <v/>
      </c>
      <c r="AC31" s="53">
        <f>ROUND($B$6*$B$8*$B$11*$B$15*$B$17*$B$19*$B$23,0)</f>
        <v/>
      </c>
      <c r="AD31" s="53">
        <f>ROUND($B$6*$B$8*$B$11*$B$15*$B$17*$B$20*$B$22,0)</f>
        <v/>
      </c>
      <c r="AE31" s="53">
        <f>ROUND($B$6*$B$8*$B$11*$B$15*$B$17*$B$20*$B$23,0)</f>
        <v/>
      </c>
      <c r="AF31" s="53">
        <f>ROUND($B$6*$B$8*$B$11*$B$15*$B$17*$B$21*$B$22,0)</f>
        <v/>
      </c>
      <c r="AG31" s="53">
        <f>ROUND($B$6*$B$8*$B$11*$B$15*$B$17*$B$21*$B$23,0)</f>
        <v/>
      </c>
      <c r="AH31" s="53">
        <f>ROUND($B$6*$B$8*$B$11*$B$15*$B$18*$B$19*$B$22,0)</f>
        <v/>
      </c>
      <c r="AI31" s="53">
        <f>ROUND($B$6*$B$8*$B$11*$B$15*$B$18*$B$19*$B$23,0)</f>
        <v/>
      </c>
      <c r="AJ31" s="53">
        <f>ROUND($B$6*$B$8*$B$11*$B$15*$B$18*$B$20*$B$22,0)</f>
        <v/>
      </c>
      <c r="AK31" s="53">
        <f>ROUND($B$6*$B$8*$B$11*$B$15*$B$18*$B$20*$B$23,0)</f>
        <v/>
      </c>
      <c r="AL31" s="53">
        <f>ROUND($B$6*$B$8*$B$11*$B$15*$B$18*$B$21*$B$22,0)</f>
        <v/>
      </c>
      <c r="AM31" s="53">
        <f>ROUND($B$6*$B$8*$B$11*$B$15*$B$18*$B$21*$B$23,0)</f>
        <v/>
      </c>
    </row>
    <row r="32" ht="20.1" customHeight="1" s="62">
      <c r="A32" s="104" t="n"/>
      <c r="B32" s="59" t="n"/>
      <c r="C32" s="51" t="inlineStr">
        <is>
          <t>Sécurité critique</t>
        </is>
      </c>
      <c r="D32" s="53">
        <f>ROUND($B$4*$B$8*$B$11*$B$16*$B$17*$B$19*$B$22,0)</f>
        <v/>
      </c>
      <c r="E32" s="53">
        <f>ROUND($B$4*$B$8*$B$11*$B$16*$B$17*$B$19*$B$23,0)</f>
        <v/>
      </c>
      <c r="F32" s="53">
        <f>ROUND($B$4*$B$8*$B$11*$B$16*$B$17*$B$20*$B$22,0)</f>
        <v/>
      </c>
      <c r="G32" s="53">
        <f>ROUND($B$4*$B$8*$B$11*$B$16*$B$17*$B$20*$B$23,0)</f>
        <v/>
      </c>
      <c r="H32" s="53">
        <f>ROUND($B$4*$B$8*$B$11*$B$16*$B$17*$B$21*$B$22,0)</f>
        <v/>
      </c>
      <c r="I32" s="53">
        <f>ROUND($B$4*$B$8*$B$11*$B$16*$B$17*$B$21*$B$23,0)</f>
        <v/>
      </c>
      <c r="J32" s="53">
        <f>ROUND($B$4*$B$8*$B$11*$B$16*$B$18*$B$19*$B$22,0)</f>
        <v/>
      </c>
      <c r="K32" s="53">
        <f>ROUND($B$4*$B$8*$B$11*$B$16*$B$18*$B$19*$B$23,0)</f>
        <v/>
      </c>
      <c r="L32" s="53">
        <f>ROUND($B$4*$B$8*$B$11*$B$16*$B$18*$B$20*$B$22,0)</f>
        <v/>
      </c>
      <c r="M32" s="53">
        <f>ROUND($B$4*$B$8*$B$11*$B$16*$B$18*$B$20*$B$23,0)</f>
        <v/>
      </c>
      <c r="N32" s="53">
        <f>ROUND($B$4*$B$8*$B$11*$B$16*$B$18*$B$21*$B$22,0)</f>
        <v/>
      </c>
      <c r="O32" s="53">
        <f>ROUND($B$4*$B$8*$B$11*$B$16*$B$18*$B$21*$B$23,0)</f>
        <v/>
      </c>
      <c r="P32" s="53">
        <f>ROUND($B$5*$B$8*$B$11*$B$16*$B$17*$B$19*$B$22,0)</f>
        <v/>
      </c>
      <c r="Q32" s="53">
        <f>ROUND($B$5*$B$8*$B$11*$B$16*$B$17*$B$19*$B$23,0)</f>
        <v/>
      </c>
      <c r="R32" s="53">
        <f>ROUND($B$5*$B$8*$B$11*$B$16*$B$17*$B$20*$B$22,0)</f>
        <v/>
      </c>
      <c r="S32" s="53">
        <f>ROUND($B$5*$B$8*$B$11*$B$16*$B$17*$B$20*$B$23,0)</f>
        <v/>
      </c>
      <c r="T32" s="53">
        <f>ROUND($B$5*$B$8*$B$11*$B$16*$B$17*$B$21*$B$22,0)</f>
        <v/>
      </c>
      <c r="U32" s="53">
        <f>ROUND($B$5*$B$8*$B$11*$B$16*$B$17*$B$21*$B$23,0)</f>
        <v/>
      </c>
      <c r="V32" s="53">
        <f>ROUND($B$5*$B$8*$B$11*$B$16*$B$18*$B$19*$B$22,0)</f>
        <v/>
      </c>
      <c r="W32" s="53">
        <f>ROUND($B$5*$B$8*$B$11*$B$16*$B$18*$B$19*$B$23,0)</f>
        <v/>
      </c>
      <c r="X32" s="53">
        <f>ROUND($B$5*$B$8*$B$11*$B$16*$B$18*$B$20*$B$22,0)</f>
        <v/>
      </c>
      <c r="Y32" s="53">
        <f>ROUND($B$5*$B$8*$B$11*$B$16*$B$18*$B$20*$B$23,0)</f>
        <v/>
      </c>
      <c r="Z32" s="53">
        <f>ROUND($B$5*$B$8*$B$11*$B$16*$B$18*$B$21*$B$22,0)</f>
        <v/>
      </c>
      <c r="AA32" s="53">
        <f>ROUND($B$5*$B$8*$B$11*$B$16*$B$18*$B$21*$B$23,0)</f>
        <v/>
      </c>
      <c r="AB32" s="53">
        <f>ROUND($B$6*$B$8*$B$11*$B$16*$B$17*$B$19*$B$22,0)</f>
        <v/>
      </c>
      <c r="AC32" s="53">
        <f>ROUND($B$6*$B$8*$B$11*$B$16*$B$17*$B$19*$B$23,0)</f>
        <v/>
      </c>
      <c r="AD32" s="53">
        <f>ROUND($B$6*$B$8*$B$11*$B$16*$B$17*$B$20*$B$22,0)</f>
        <v/>
      </c>
      <c r="AE32" s="53">
        <f>ROUND($B$6*$B$8*$B$11*$B$16*$B$17*$B$20*$B$23,0)</f>
        <v/>
      </c>
      <c r="AF32" s="53">
        <f>ROUND($B$6*$B$8*$B$11*$B$16*$B$17*$B$21*$B$22,0)</f>
        <v/>
      </c>
      <c r="AG32" s="53">
        <f>ROUND($B$6*$B$8*$B$11*$B$16*$B$17*$B$21*$B$23,0)</f>
        <v/>
      </c>
      <c r="AH32" s="53">
        <f>ROUND($B$6*$B$8*$B$11*$B$16*$B$18*$B$19*$B$22,0)</f>
        <v/>
      </c>
      <c r="AI32" s="53">
        <f>ROUND($B$6*$B$8*$B$11*$B$16*$B$18*$B$19*$B$23,0)</f>
        <v/>
      </c>
      <c r="AJ32" s="53">
        <f>ROUND($B$6*$B$8*$B$11*$B$16*$B$18*$B$20*$B$22,0)</f>
        <v/>
      </c>
      <c r="AK32" s="53">
        <f>ROUND($B$6*$B$8*$B$11*$B$16*$B$18*$B$20*$B$23,0)</f>
        <v/>
      </c>
      <c r="AL32" s="53">
        <f>ROUND($B$6*$B$8*$B$11*$B$16*$B$18*$B$21*$B$22,0)</f>
        <v/>
      </c>
      <c r="AM32" s="53">
        <f>ROUND($B$6*$B$8*$B$11*$B$16*$B$18*$B$21*$B$23,0)</f>
        <v/>
      </c>
    </row>
    <row r="33" ht="20.1" customHeight="1" s="62">
      <c r="A33" s="104" t="n"/>
      <c r="B33" s="101" t="inlineStr">
        <is>
          <t>Trafic moyen (10k-100k/mois)</t>
        </is>
      </c>
      <c r="C33" s="49" t="inlineStr">
        <is>
          <t>Sécurité standard</t>
        </is>
      </c>
      <c r="D33" s="53">
        <f>ROUND($B$4*$B$8*$B$12*$B$14*$B$17*$B$19*$B$22,0)</f>
        <v/>
      </c>
      <c r="E33" s="53">
        <f>ROUND($B$4*$B$8*$B$12*$B$14*$B$17*$B$19*$B$23,0)</f>
        <v/>
      </c>
      <c r="F33" s="53">
        <f>ROUND($B$4*$B$8*$B$12*$B$14*$B$17*$B$20*$B$22,0)</f>
        <v/>
      </c>
      <c r="G33" s="53">
        <f>ROUND($B$4*$B$8*$B$12*$B$14*$B$17*$B$20*$B$23,0)</f>
        <v/>
      </c>
      <c r="H33" s="53">
        <f>ROUND($B$4*$B$8*$B$12*$B$14*$B$17*$B$21*$B$22,0)</f>
        <v/>
      </c>
      <c r="I33" s="53">
        <f>ROUND($B$4*$B$8*$B$12*$B$14*$B$17*$B$21*$B$23,0)</f>
        <v/>
      </c>
      <c r="J33" s="53">
        <f>ROUND($B$4*$B$8*$B$12*$B$14*$B$18*$B$19*$B$22,0)</f>
        <v/>
      </c>
      <c r="K33" s="53">
        <f>ROUND($B$4*$B$8*$B$12*$B$14*$B$18*$B$19*$B$23,0)</f>
        <v/>
      </c>
      <c r="L33" s="53">
        <f>ROUND($B$4*$B$8*$B$12*$B$14*$B$18*$B$20*$B$22,0)</f>
        <v/>
      </c>
      <c r="M33" s="53">
        <f>ROUND($B$4*$B$8*$B$12*$B$14*$B$18*$B$20*$B$23,0)</f>
        <v/>
      </c>
      <c r="N33" s="53">
        <f>ROUND($B$4*$B$8*$B$12*$B$14*$B$18*$B$21*$B$22,0)</f>
        <v/>
      </c>
      <c r="O33" s="53">
        <f>ROUND($B$4*$B$8*$B$12*$B$14*$B$18*$B$21*$B$23,0)</f>
        <v/>
      </c>
      <c r="P33" s="53">
        <f>ROUND($B$5*$B$8*$B$12*$B$14*$B$17*$B$19*$B$22,0)</f>
        <v/>
      </c>
      <c r="Q33" s="53">
        <f>ROUND($B$5*$B$8*$B$12*$B$14*$B$17*$B$19*$B$23,0)</f>
        <v/>
      </c>
      <c r="R33" s="53">
        <f>ROUND($B$5*$B$8*$B$12*$B$14*$B$17*$B$20*$B$22,0)</f>
        <v/>
      </c>
      <c r="S33" s="53">
        <f>ROUND($B$5*$B$8*$B$12*$B$14*$B$17*$B$20*$B$23,0)</f>
        <v/>
      </c>
      <c r="T33" s="53">
        <f>ROUND($B$5*$B$8*$B$12*$B$14*$B$17*$B$21*$B$22,0)</f>
        <v/>
      </c>
      <c r="U33" s="53">
        <f>ROUND($B$5*$B$8*$B$12*$B$14*$B$17*$B$21*$B$23,0)</f>
        <v/>
      </c>
      <c r="V33" s="53">
        <f>ROUND($B$5*$B$8*$B$12*$B$14*$B$18*$B$19*$B$22,0)</f>
        <v/>
      </c>
      <c r="W33" s="53">
        <f>ROUND($B$5*$B$8*$B$12*$B$14*$B$18*$B$19*$B$23,0)</f>
        <v/>
      </c>
      <c r="X33" s="53">
        <f>ROUND($B$5*$B$8*$B$12*$B$14*$B$18*$B$20*$B$22,0)</f>
        <v/>
      </c>
      <c r="Y33" s="53">
        <f>ROUND($B$5*$B$8*$B$12*$B$14*$B$18*$B$20*$B$23,0)</f>
        <v/>
      </c>
      <c r="Z33" s="53">
        <f>ROUND($B$5*$B$8*$B$12*$B$14*$B$18*$B$21*$B$22,0)</f>
        <v/>
      </c>
      <c r="AA33" s="53">
        <f>ROUND($B$5*$B$8*$B$12*$B$14*$B$18*$B$21*$B$23,0)</f>
        <v/>
      </c>
      <c r="AB33" s="53">
        <f>ROUND($B$6*$B$8*$B$12*$B$14*$B$17*$B$19*$B$22,0)</f>
        <v/>
      </c>
      <c r="AC33" s="53">
        <f>ROUND($B$6*$B$8*$B$12*$B$14*$B$17*$B$19*$B$23,0)</f>
        <v/>
      </c>
      <c r="AD33" s="53">
        <f>ROUND($B$6*$B$8*$B$12*$B$14*$B$17*$B$20*$B$22,0)</f>
        <v/>
      </c>
      <c r="AE33" s="53">
        <f>ROUND($B$6*$B$8*$B$12*$B$14*$B$17*$B$20*$B$23,0)</f>
        <v/>
      </c>
      <c r="AF33" s="53">
        <f>ROUND($B$6*$B$8*$B$12*$B$14*$B$17*$B$21*$B$22,0)</f>
        <v/>
      </c>
      <c r="AG33" s="53">
        <f>ROUND($B$6*$B$8*$B$12*$B$14*$B$17*$B$21*$B$23,0)</f>
        <v/>
      </c>
      <c r="AH33" s="53">
        <f>ROUND($B$6*$B$8*$B$12*$B$14*$B$18*$B$19*$B$22,0)</f>
        <v/>
      </c>
      <c r="AI33" s="53">
        <f>ROUND($B$6*$B$8*$B$12*$B$14*$B$18*$B$19*$B$23,0)</f>
        <v/>
      </c>
      <c r="AJ33" s="53">
        <f>ROUND($B$6*$B$8*$B$12*$B$14*$B$18*$B$20*$B$22,0)</f>
        <v/>
      </c>
      <c r="AK33" s="53">
        <f>ROUND($B$6*$B$8*$B$12*$B$14*$B$18*$B$20*$B$23,0)</f>
        <v/>
      </c>
      <c r="AL33" s="53">
        <f>ROUND($B$6*$B$8*$B$12*$B$14*$B$18*$B$21*$B$22,0)</f>
        <v/>
      </c>
      <c r="AM33" s="53">
        <f>ROUND($B$6*$B$8*$B$12*$B$14*$B$18*$B$21*$B$23,0)</f>
        <v/>
      </c>
    </row>
    <row r="34" ht="20.1" customHeight="1" s="62">
      <c r="A34" s="104" t="n"/>
      <c r="B34" s="58" t="n"/>
      <c r="C34" s="101" t="inlineStr">
        <is>
          <t>Sécurité renforcée</t>
        </is>
      </c>
      <c r="D34" s="53">
        <f>ROUND($B$4*$B$8*$B$12*$B$15*$B$17*$B$19*$B$22,0)</f>
        <v/>
      </c>
      <c r="E34" s="53">
        <f>ROUND($B$4*$B$8*$B$12*$B$15*$B$17*$B$19*$B$23,0)</f>
        <v/>
      </c>
      <c r="F34" s="53">
        <f>ROUND($B$4*$B$8*$B$12*$B$15*$B$17*$B$20*$B$22,0)</f>
        <v/>
      </c>
      <c r="G34" s="53">
        <f>ROUND($B$4*$B$8*$B$12*$B$15*$B$17*$B$20*$B$23,0)</f>
        <v/>
      </c>
      <c r="H34" s="53">
        <f>ROUND($B$4*$B$8*$B$12*$B$15*$B$17*$B$21*$B$22,0)</f>
        <v/>
      </c>
      <c r="I34" s="53">
        <f>ROUND($B$4*$B$8*$B$12*$B$15*$B$17*$B$21*$B$23,0)</f>
        <v/>
      </c>
      <c r="J34" s="53">
        <f>ROUND($B$4*$B$8*$B$12*$B$15*$B$18*$B$19*$B$22,0)</f>
        <v/>
      </c>
      <c r="K34" s="53">
        <f>ROUND($B$4*$B$8*$B$12*$B$15*$B$18*$B$19*$B$23,0)</f>
        <v/>
      </c>
      <c r="L34" s="53">
        <f>ROUND($B$4*$B$8*$B$12*$B$15*$B$18*$B$20*$B$22,0)</f>
        <v/>
      </c>
      <c r="M34" s="53">
        <f>ROUND($B$4*$B$8*$B$12*$B$15*$B$18*$B$20*$B$23,0)</f>
        <v/>
      </c>
      <c r="N34" s="53">
        <f>ROUND($B$4*$B$8*$B$12*$B$15*$B$18*$B$21*$B$22,0)</f>
        <v/>
      </c>
      <c r="O34" s="53">
        <f>ROUND($B$4*$B$8*$B$12*$B$15*$B$18*$B$21*$B$23,0)</f>
        <v/>
      </c>
      <c r="P34" s="53">
        <f>ROUND($B$5*$B$8*$B$12*$B$15*$B$17*$B$19*$B$22,0)</f>
        <v/>
      </c>
      <c r="Q34" s="53">
        <f>ROUND($B$5*$B$8*$B$12*$B$15*$B$17*$B$19*$B$23,0)</f>
        <v/>
      </c>
      <c r="R34" s="53">
        <f>ROUND($B$5*$B$8*$B$12*$B$15*$B$17*$B$20*$B$22,0)</f>
        <v/>
      </c>
      <c r="S34" s="53">
        <f>ROUND($B$5*$B$8*$B$12*$B$15*$B$17*$B$20*$B$23,0)</f>
        <v/>
      </c>
      <c r="T34" s="53">
        <f>ROUND($B$5*$B$8*$B$12*$B$15*$B$17*$B$21*$B$22,0)</f>
        <v/>
      </c>
      <c r="U34" s="53">
        <f>ROUND($B$5*$B$8*$B$12*$B$15*$B$17*$B$21*$B$23,0)</f>
        <v/>
      </c>
      <c r="V34" s="53">
        <f>ROUND($B$5*$B$8*$B$12*$B$15*$B$18*$B$19*$B$22,0)</f>
        <v/>
      </c>
      <c r="W34" s="53">
        <f>ROUND($B$5*$B$8*$B$12*$B$15*$B$18*$B$19*$B$23,0)</f>
        <v/>
      </c>
      <c r="X34" s="53">
        <f>ROUND($B$5*$B$8*$B$12*$B$15*$B$18*$B$20*$B$22,0)</f>
        <v/>
      </c>
      <c r="Y34" s="53">
        <f>ROUND($B$5*$B$8*$B$12*$B$15*$B$18*$B$20*$B$23,0)</f>
        <v/>
      </c>
      <c r="Z34" s="53">
        <f>ROUND($B$5*$B$8*$B$12*$B$15*$B$18*$B$21*$B$22,0)</f>
        <v/>
      </c>
      <c r="AA34" s="53">
        <f>ROUND($B$5*$B$8*$B$12*$B$15*$B$18*$B$21*$B$23,0)</f>
        <v/>
      </c>
      <c r="AB34" s="53">
        <f>ROUND($B$6*$B$8*$B$12*$B$15*$B$17*$B$19*$B$22,0)</f>
        <v/>
      </c>
      <c r="AC34" s="53">
        <f>ROUND($B$6*$B$8*$B$12*$B$15*$B$17*$B$19*$B$23,0)</f>
        <v/>
      </c>
      <c r="AD34" s="53">
        <f>ROUND($B$6*$B$8*$B$12*$B$15*$B$17*$B$20*$B$22,0)</f>
        <v/>
      </c>
      <c r="AE34" s="53">
        <f>ROUND($B$6*$B$8*$B$12*$B$15*$B$17*$B$20*$B$23,0)</f>
        <v/>
      </c>
      <c r="AF34" s="53">
        <f>ROUND($B$6*$B$8*$B$12*$B$15*$B$17*$B$21*$B$22,0)</f>
        <v/>
      </c>
      <c r="AG34" s="53">
        <f>ROUND($B$6*$B$8*$B$12*$B$15*$B$17*$B$21*$B$23,0)</f>
        <v/>
      </c>
      <c r="AH34" s="53">
        <f>ROUND($B$6*$B$8*$B$12*$B$15*$B$18*$B$19*$B$22,0)</f>
        <v/>
      </c>
      <c r="AI34" s="53">
        <f>ROUND($B$6*$B$8*$B$12*$B$15*$B$18*$B$19*$B$23,0)</f>
        <v/>
      </c>
      <c r="AJ34" s="53">
        <f>ROUND($B$6*$B$8*$B$12*$B$15*$B$18*$B$20*$B$22,0)</f>
        <v/>
      </c>
      <c r="AK34" s="53">
        <f>ROUND($B$6*$B$8*$B$12*$B$15*$B$18*$B$20*$B$23,0)</f>
        <v/>
      </c>
      <c r="AL34" s="53">
        <f>ROUND($B$6*$B$8*$B$12*$B$15*$B$18*$B$21*$B$22,0)</f>
        <v/>
      </c>
      <c r="AM34" s="53">
        <f>ROUND($B$6*$B$8*$B$12*$B$15*$B$18*$B$21*$B$23,0)</f>
        <v/>
      </c>
    </row>
    <row r="35" ht="20.1" customHeight="1" s="62">
      <c r="A35" s="104" t="n"/>
      <c r="B35" s="59" t="n"/>
      <c r="C35" s="51" t="inlineStr">
        <is>
          <t>Sécurité critique</t>
        </is>
      </c>
      <c r="D35" s="53">
        <f>ROUND($B$4*$B$8*$B$12*$B$16*$B$17*$B$19*$B$22,0)</f>
        <v/>
      </c>
      <c r="E35" s="53">
        <f>ROUND($B$4*$B$8*$B$12*$B$16*$B$17*$B$19*$B$23,0)</f>
        <v/>
      </c>
      <c r="F35" s="53">
        <f>ROUND($B$4*$B$8*$B$12*$B$16*$B$17*$B$20*$B$22,0)</f>
        <v/>
      </c>
      <c r="G35" s="53">
        <f>ROUND($B$4*$B$8*$B$12*$B$16*$B$17*$B$20*$B$23,0)</f>
        <v/>
      </c>
      <c r="H35" s="53">
        <f>ROUND($B$4*$B$8*$B$12*$B$16*$B$17*$B$21*$B$22,0)</f>
        <v/>
      </c>
      <c r="I35" s="53">
        <f>ROUND($B$4*$B$8*$B$12*$B$16*$B$17*$B$21*$B$23,0)</f>
        <v/>
      </c>
      <c r="J35" s="53">
        <f>ROUND($B$4*$B$8*$B$12*$B$16*$B$18*$B$19*$B$22,0)</f>
        <v/>
      </c>
      <c r="K35" s="53">
        <f>ROUND($B$4*$B$8*$B$12*$B$16*$B$18*$B$19*$B$23,0)</f>
        <v/>
      </c>
      <c r="L35" s="53">
        <f>ROUND($B$4*$B$8*$B$12*$B$16*$B$18*$B$20*$B$22,0)</f>
        <v/>
      </c>
      <c r="M35" s="53">
        <f>ROUND($B$4*$B$8*$B$12*$B$16*$B$18*$B$20*$B$23,0)</f>
        <v/>
      </c>
      <c r="N35" s="53">
        <f>ROUND($B$4*$B$8*$B$12*$B$16*$B$18*$B$21*$B$22,0)</f>
        <v/>
      </c>
      <c r="O35" s="53">
        <f>ROUND($B$4*$B$8*$B$12*$B$16*$B$18*$B$21*$B$23,0)</f>
        <v/>
      </c>
      <c r="P35" s="53">
        <f>ROUND($B$5*$B$8*$B$12*$B$16*$B$17*$B$19*$B$22,0)</f>
        <v/>
      </c>
      <c r="Q35" s="53">
        <f>ROUND($B$5*$B$8*$B$12*$B$16*$B$17*$B$19*$B$23,0)</f>
        <v/>
      </c>
      <c r="R35" s="53">
        <f>ROUND($B$5*$B$8*$B$12*$B$16*$B$17*$B$20*$B$22,0)</f>
        <v/>
      </c>
      <c r="S35" s="53">
        <f>ROUND($B$5*$B$8*$B$12*$B$16*$B$17*$B$20*$B$23,0)</f>
        <v/>
      </c>
      <c r="T35" s="53">
        <f>ROUND($B$5*$B$8*$B$12*$B$16*$B$17*$B$21*$B$22,0)</f>
        <v/>
      </c>
      <c r="U35" s="53">
        <f>ROUND($B$5*$B$8*$B$12*$B$16*$B$17*$B$21*$B$23,0)</f>
        <v/>
      </c>
      <c r="V35" s="53">
        <f>ROUND($B$5*$B$8*$B$12*$B$16*$B$18*$B$19*$B$22,0)</f>
        <v/>
      </c>
      <c r="W35" s="53">
        <f>ROUND($B$5*$B$8*$B$12*$B$16*$B$18*$B$19*$B$23,0)</f>
        <v/>
      </c>
      <c r="X35" s="53">
        <f>ROUND($B$5*$B$8*$B$12*$B$16*$B$18*$B$20*$B$22,0)</f>
        <v/>
      </c>
      <c r="Y35" s="53">
        <f>ROUND($B$5*$B$8*$B$12*$B$16*$B$18*$B$20*$B$23,0)</f>
        <v/>
      </c>
      <c r="Z35" s="53">
        <f>ROUND($B$5*$B$8*$B$12*$B$16*$B$18*$B$21*$B$22,0)</f>
        <v/>
      </c>
      <c r="AA35" s="53">
        <f>ROUND($B$5*$B$8*$B$12*$B$16*$B$18*$B$21*$B$23,0)</f>
        <v/>
      </c>
      <c r="AB35" s="53">
        <f>ROUND($B$6*$B$8*$B$12*$B$16*$B$17*$B$19*$B$22,0)</f>
        <v/>
      </c>
      <c r="AC35" s="53">
        <f>ROUND($B$6*$B$8*$B$12*$B$16*$B$17*$B$19*$B$23,0)</f>
        <v/>
      </c>
      <c r="AD35" s="53">
        <f>ROUND($B$6*$B$8*$B$12*$B$16*$B$17*$B$20*$B$22,0)</f>
        <v/>
      </c>
      <c r="AE35" s="53">
        <f>ROUND($B$6*$B$8*$B$12*$B$16*$B$17*$B$20*$B$23,0)</f>
        <v/>
      </c>
      <c r="AF35" s="53">
        <f>ROUND($B$6*$B$8*$B$12*$B$16*$B$17*$B$21*$B$22,0)</f>
        <v/>
      </c>
      <c r="AG35" s="53">
        <f>ROUND($B$6*$B$8*$B$12*$B$16*$B$17*$B$21*$B$23,0)</f>
        <v/>
      </c>
      <c r="AH35" s="53">
        <f>ROUND($B$6*$B$8*$B$12*$B$16*$B$18*$B$19*$B$22,0)</f>
        <v/>
      </c>
      <c r="AI35" s="53">
        <f>ROUND($B$6*$B$8*$B$12*$B$16*$B$18*$B$19*$B$23,0)</f>
        <v/>
      </c>
      <c r="AJ35" s="53">
        <f>ROUND($B$6*$B$8*$B$12*$B$16*$B$18*$B$20*$B$22,0)</f>
        <v/>
      </c>
      <c r="AK35" s="53">
        <f>ROUND($B$6*$B$8*$B$12*$B$16*$B$18*$B$20*$B$23,0)</f>
        <v/>
      </c>
      <c r="AL35" s="53">
        <f>ROUND($B$6*$B$8*$B$12*$B$16*$B$18*$B$21*$B$22,0)</f>
        <v/>
      </c>
      <c r="AM35" s="53">
        <f>ROUND($B$6*$B$8*$B$12*$B$16*$B$18*$B$21*$B$23,0)</f>
        <v/>
      </c>
    </row>
    <row r="36" ht="20.1" customHeight="1" s="62">
      <c r="A36" s="104" t="n"/>
      <c r="B36" s="101" t="inlineStr">
        <is>
          <t>Trafic élevé (100k+/mois)</t>
        </is>
      </c>
      <c r="C36" s="49" t="inlineStr">
        <is>
          <t>Sécurité standard</t>
        </is>
      </c>
      <c r="D36" s="53">
        <f>ROUND($B$4*$B$8*$B$13*$B$14*$B$17*$B$19*$B$22,0)</f>
        <v/>
      </c>
      <c r="E36" s="53">
        <f>ROUND($B$4*$B$8*$B$13*$B$14*$B$17*$B$19*$B$23,0)</f>
        <v/>
      </c>
      <c r="F36" s="53">
        <f>ROUND($B$4*$B$8*$B$13*$B$14*$B$17*$B$20*$B$22,0)</f>
        <v/>
      </c>
      <c r="G36" s="53">
        <f>ROUND($B$4*$B$8*$B$13*$B$14*$B$17*$B$20*$B$23,0)</f>
        <v/>
      </c>
      <c r="H36" s="53">
        <f>ROUND($B$4*$B$8*$B$13*$B$14*$B$17*$B$21*$B$22,0)</f>
        <v/>
      </c>
      <c r="I36" s="53">
        <f>ROUND($B$4*$B$8*$B$13*$B$14*$B$17*$B$21*$B$23,0)</f>
        <v/>
      </c>
      <c r="J36" s="53">
        <f>ROUND($B$4*$B$8*$B$13*$B$14*$B$18*$B$19*$B$22,0)</f>
        <v/>
      </c>
      <c r="K36" s="53">
        <f>ROUND($B$4*$B$8*$B$13*$B$14*$B$18*$B$19*$B$23,0)</f>
        <v/>
      </c>
      <c r="L36" s="53">
        <f>ROUND($B$4*$B$8*$B$13*$B$14*$B$18*$B$20*$B$22,0)</f>
        <v/>
      </c>
      <c r="M36" s="53">
        <f>ROUND($B$4*$B$8*$B$13*$B$14*$B$18*$B$20*$B$23,0)</f>
        <v/>
      </c>
      <c r="N36" s="53">
        <f>ROUND($B$4*$B$8*$B$13*$B$14*$B$18*$B$21*$B$22,0)</f>
        <v/>
      </c>
      <c r="O36" s="53">
        <f>ROUND($B$4*$B$8*$B$13*$B$14*$B$18*$B$21*$B$23,0)</f>
        <v/>
      </c>
      <c r="P36" s="53">
        <f>ROUND($B$5*$B$8*$B$13*$B$14*$B$17*$B$19*$B$22,0)</f>
        <v/>
      </c>
      <c r="Q36" s="53">
        <f>ROUND($B$5*$B$8*$B$13*$B$14*$B$17*$B$19*$B$23,0)</f>
        <v/>
      </c>
      <c r="R36" s="53">
        <f>ROUND($B$5*$B$8*$B$13*$B$14*$B$17*$B$20*$B$22,0)</f>
        <v/>
      </c>
      <c r="S36" s="53">
        <f>ROUND($B$5*$B$8*$B$13*$B$14*$B$17*$B$20*$B$23,0)</f>
        <v/>
      </c>
      <c r="T36" s="53">
        <f>ROUND($B$5*$B$8*$B$13*$B$14*$B$17*$B$21*$B$22,0)</f>
        <v/>
      </c>
      <c r="U36" s="53">
        <f>ROUND($B$5*$B$8*$B$13*$B$14*$B$17*$B$21*$B$23,0)</f>
        <v/>
      </c>
      <c r="V36" s="53">
        <f>ROUND($B$5*$B$8*$B$13*$B$14*$B$18*$B$19*$B$22,0)</f>
        <v/>
      </c>
      <c r="W36" s="53">
        <f>ROUND($B$5*$B$8*$B$13*$B$14*$B$18*$B$19*$B$23,0)</f>
        <v/>
      </c>
      <c r="X36" s="53">
        <f>ROUND($B$5*$B$8*$B$13*$B$14*$B$18*$B$20*$B$22,0)</f>
        <v/>
      </c>
      <c r="Y36" s="53">
        <f>ROUND($B$5*$B$8*$B$13*$B$14*$B$18*$B$20*$B$23,0)</f>
        <v/>
      </c>
      <c r="Z36" s="53">
        <f>ROUND($B$5*$B$8*$B$13*$B$14*$B$18*$B$21*$B$22,0)</f>
        <v/>
      </c>
      <c r="AA36" s="53">
        <f>ROUND($B$5*$B$8*$B$13*$B$14*$B$18*$B$21*$B$23,0)</f>
        <v/>
      </c>
      <c r="AB36" s="53">
        <f>ROUND($B$6*$B$8*$B$13*$B$14*$B$17*$B$19*$B$22,0)</f>
        <v/>
      </c>
      <c r="AC36" s="53">
        <f>ROUND($B$6*$B$8*$B$13*$B$14*$B$17*$B$19*$B$23,0)</f>
        <v/>
      </c>
      <c r="AD36" s="53">
        <f>ROUND($B$6*$B$8*$B$13*$B$14*$B$17*$B$20*$B$22,0)</f>
        <v/>
      </c>
      <c r="AE36" s="53">
        <f>ROUND($B$6*$B$8*$B$13*$B$14*$B$17*$B$20*$B$23,0)</f>
        <v/>
      </c>
      <c r="AF36" s="53">
        <f>ROUND($B$6*$B$8*$B$13*$B$14*$B$17*$B$21*$B$22,0)</f>
        <v/>
      </c>
      <c r="AG36" s="53">
        <f>ROUND($B$6*$B$8*$B$13*$B$14*$B$17*$B$21*$B$23,0)</f>
        <v/>
      </c>
      <c r="AH36" s="53">
        <f>ROUND($B$6*$B$8*$B$13*$B$14*$B$18*$B$19*$B$22,0)</f>
        <v/>
      </c>
      <c r="AI36" s="53">
        <f>ROUND($B$6*$B$8*$B$13*$B$14*$B$18*$B$19*$B$23,0)</f>
        <v/>
      </c>
      <c r="AJ36" s="53">
        <f>ROUND($B$6*$B$8*$B$13*$B$14*$B$18*$B$20*$B$22,0)</f>
        <v/>
      </c>
      <c r="AK36" s="53">
        <f>ROUND($B$6*$B$8*$B$13*$B$14*$B$18*$B$20*$B$23,0)</f>
        <v/>
      </c>
      <c r="AL36" s="53">
        <f>ROUND($B$6*$B$8*$B$13*$B$14*$B$18*$B$21*$B$22,0)</f>
        <v/>
      </c>
      <c r="AM36" s="53">
        <f>ROUND($B$6*$B$8*$B$13*$B$14*$B$18*$B$21*$B$23,0)</f>
        <v/>
      </c>
    </row>
    <row r="37" ht="20.1" customHeight="1" s="62">
      <c r="A37" s="104" t="n"/>
      <c r="B37" s="58" t="n"/>
      <c r="C37" s="101" t="inlineStr">
        <is>
          <t>Sécurité renforcée</t>
        </is>
      </c>
      <c r="D37" s="53">
        <f>ROUND($B$4*$B$8*$B$13*$B$15*$B$17*$B$19*$B$22,0)</f>
        <v/>
      </c>
      <c r="E37" s="53">
        <f>ROUND($B$4*$B$8*$B$13*$B$15*$B$17*$B$19*$B$23,0)</f>
        <v/>
      </c>
      <c r="F37" s="53">
        <f>ROUND($B$4*$B$8*$B$13*$B$15*$B$17*$B$20*$B$22,0)</f>
        <v/>
      </c>
      <c r="G37" s="53">
        <f>ROUND($B$4*$B$8*$B$13*$B$15*$B$17*$B$20*$B$23,0)</f>
        <v/>
      </c>
      <c r="H37" s="53">
        <f>ROUND($B$4*$B$8*$B$13*$B$15*$B$17*$B$21*$B$22,0)</f>
        <v/>
      </c>
      <c r="I37" s="53">
        <f>ROUND($B$4*$B$8*$B$13*$B$15*$B$17*$B$21*$B$23,0)</f>
        <v/>
      </c>
      <c r="J37" s="53">
        <f>ROUND($B$4*$B$8*$B$13*$B$15*$B$18*$B$19*$B$22,0)</f>
        <v/>
      </c>
      <c r="K37" s="53">
        <f>ROUND($B$4*$B$8*$B$13*$B$15*$B$18*$B$19*$B$23,0)</f>
        <v/>
      </c>
      <c r="L37" s="53">
        <f>ROUND($B$4*$B$8*$B$13*$B$15*$B$18*$B$20*$B$22,0)</f>
        <v/>
      </c>
      <c r="M37" s="53">
        <f>ROUND($B$4*$B$8*$B$13*$B$15*$B$18*$B$20*$B$23,0)</f>
        <v/>
      </c>
      <c r="N37" s="53">
        <f>ROUND($B$4*$B$8*$B$13*$B$15*$B$18*$B$21*$B$22,0)</f>
        <v/>
      </c>
      <c r="O37" s="53">
        <f>ROUND($B$4*$B$8*$B$13*$B$15*$B$18*$B$21*$B$23,0)</f>
        <v/>
      </c>
      <c r="P37" s="53">
        <f>ROUND($B$5*$B$8*$B$13*$B$15*$B$17*$B$19*$B$22,0)</f>
        <v/>
      </c>
      <c r="Q37" s="53">
        <f>ROUND($B$5*$B$8*$B$13*$B$15*$B$17*$B$19*$B$23,0)</f>
        <v/>
      </c>
      <c r="R37" s="53">
        <f>ROUND($B$5*$B$8*$B$13*$B$15*$B$17*$B$20*$B$22,0)</f>
        <v/>
      </c>
      <c r="S37" s="53">
        <f>ROUND($B$5*$B$8*$B$13*$B$15*$B$17*$B$20*$B$23,0)</f>
        <v/>
      </c>
      <c r="T37" s="53">
        <f>ROUND($B$5*$B$8*$B$13*$B$15*$B$17*$B$21*$B$22,0)</f>
        <v/>
      </c>
      <c r="U37" s="53">
        <f>ROUND($B$5*$B$8*$B$13*$B$15*$B$17*$B$21*$B$23,0)</f>
        <v/>
      </c>
      <c r="V37" s="53">
        <f>ROUND($B$5*$B$8*$B$13*$B$15*$B$18*$B$19*$B$22,0)</f>
        <v/>
      </c>
      <c r="W37" s="53">
        <f>ROUND($B$5*$B$8*$B$13*$B$15*$B$18*$B$19*$B$23,0)</f>
        <v/>
      </c>
      <c r="X37" s="53">
        <f>ROUND($B$5*$B$8*$B$13*$B$15*$B$18*$B$20*$B$22,0)</f>
        <v/>
      </c>
      <c r="Y37" s="53">
        <f>ROUND($B$5*$B$8*$B$13*$B$15*$B$18*$B$20*$B$23,0)</f>
        <v/>
      </c>
      <c r="Z37" s="53">
        <f>ROUND($B$5*$B$8*$B$13*$B$15*$B$18*$B$21*$B$22,0)</f>
        <v/>
      </c>
      <c r="AA37" s="53">
        <f>ROUND($B$5*$B$8*$B$13*$B$15*$B$18*$B$21*$B$23,0)</f>
        <v/>
      </c>
      <c r="AB37" s="53">
        <f>ROUND($B$6*$B$8*$B$13*$B$15*$B$17*$B$19*$B$22,0)</f>
        <v/>
      </c>
      <c r="AC37" s="53">
        <f>ROUND($B$6*$B$8*$B$13*$B$15*$B$17*$B$19*$B$23,0)</f>
        <v/>
      </c>
      <c r="AD37" s="53">
        <f>ROUND($B$6*$B$8*$B$13*$B$15*$B$17*$B$20*$B$22,0)</f>
        <v/>
      </c>
      <c r="AE37" s="53">
        <f>ROUND($B$6*$B$8*$B$13*$B$15*$B$17*$B$20*$B$23,0)</f>
        <v/>
      </c>
      <c r="AF37" s="53">
        <f>ROUND($B$6*$B$8*$B$13*$B$15*$B$17*$B$21*$B$22,0)</f>
        <v/>
      </c>
      <c r="AG37" s="53">
        <f>ROUND($B$6*$B$8*$B$13*$B$15*$B$17*$B$21*$B$23,0)</f>
        <v/>
      </c>
      <c r="AH37" s="53">
        <f>ROUND($B$6*$B$8*$B$13*$B$15*$B$18*$B$19*$B$22,0)</f>
        <v/>
      </c>
      <c r="AI37" s="53">
        <f>ROUND($B$6*$B$8*$B$13*$B$15*$B$18*$B$19*$B$23,0)</f>
        <v/>
      </c>
      <c r="AJ37" s="53">
        <f>ROUND($B$6*$B$8*$B$13*$B$15*$B$18*$B$20*$B$22,0)</f>
        <v/>
      </c>
      <c r="AK37" s="53">
        <f>ROUND($B$6*$B$8*$B$13*$B$15*$B$18*$B$20*$B$23,0)</f>
        <v/>
      </c>
      <c r="AL37" s="53">
        <f>ROUND($B$6*$B$8*$B$13*$B$15*$B$18*$B$21*$B$22,0)</f>
        <v/>
      </c>
      <c r="AM37" s="53">
        <f>ROUND($B$6*$B$8*$B$13*$B$15*$B$18*$B$21*$B$23,0)</f>
        <v/>
      </c>
    </row>
    <row r="38" ht="20.1" customHeight="1" s="62">
      <c r="A38" s="105" t="n"/>
      <c r="B38" s="59" t="n"/>
      <c r="C38" s="51" t="inlineStr">
        <is>
          <t>Sécurité critique</t>
        </is>
      </c>
      <c r="D38" s="53">
        <f>ROUND($B$4*$B$8*$B$13*$B$16*$B$17*$B$19*$B$22,0)</f>
        <v/>
      </c>
      <c r="E38" s="53">
        <f>ROUND($B$4*$B$8*$B$13*$B$16*$B$17*$B$19*$B$23,0)</f>
        <v/>
      </c>
      <c r="F38" s="53">
        <f>ROUND($B$4*$B$8*$B$13*$B$16*$B$17*$B$20*$B$22,0)</f>
        <v/>
      </c>
      <c r="G38" s="53">
        <f>ROUND($B$4*$B$8*$B$13*$B$16*$B$17*$B$20*$B$23,0)</f>
        <v/>
      </c>
      <c r="H38" s="53">
        <f>ROUND($B$4*$B$8*$B$13*$B$16*$B$17*$B$21*$B$22,0)</f>
        <v/>
      </c>
      <c r="I38" s="53">
        <f>ROUND($B$4*$B$8*$B$13*$B$16*$B$17*$B$21*$B$23,0)</f>
        <v/>
      </c>
      <c r="J38" s="53">
        <f>ROUND($B$4*$B$8*$B$13*$B$16*$B$18*$B$19*$B$22,0)</f>
        <v/>
      </c>
      <c r="K38" s="53">
        <f>ROUND($B$4*$B$8*$B$13*$B$16*$B$18*$B$19*$B$23,0)</f>
        <v/>
      </c>
      <c r="L38" s="53">
        <f>ROUND($B$4*$B$8*$B$13*$B$16*$B$18*$B$20*$B$22,0)</f>
        <v/>
      </c>
      <c r="M38" s="53">
        <f>ROUND($B$4*$B$8*$B$13*$B$16*$B$18*$B$20*$B$23,0)</f>
        <v/>
      </c>
      <c r="N38" s="53">
        <f>ROUND($B$4*$B$8*$B$13*$B$16*$B$18*$B$21*$B$22,0)</f>
        <v/>
      </c>
      <c r="O38" s="53">
        <f>ROUND($B$4*$B$8*$B$13*$B$16*$B$18*$B$21*$B$23,0)</f>
        <v/>
      </c>
      <c r="P38" s="53">
        <f>ROUND($B$5*$B$8*$B$13*$B$16*$B$17*$B$19*$B$22,0)</f>
        <v/>
      </c>
      <c r="Q38" s="53">
        <f>ROUND($B$5*$B$8*$B$13*$B$16*$B$17*$B$19*$B$23,0)</f>
        <v/>
      </c>
      <c r="R38" s="53">
        <f>ROUND($B$5*$B$8*$B$13*$B$16*$B$17*$B$20*$B$22,0)</f>
        <v/>
      </c>
      <c r="S38" s="53">
        <f>ROUND($B$5*$B$8*$B$13*$B$16*$B$17*$B$20*$B$23,0)</f>
        <v/>
      </c>
      <c r="T38" s="53">
        <f>ROUND($B$5*$B$8*$B$13*$B$16*$B$17*$B$21*$B$22,0)</f>
        <v/>
      </c>
      <c r="U38" s="53">
        <f>ROUND($B$5*$B$8*$B$13*$B$16*$B$17*$B$21*$B$23,0)</f>
        <v/>
      </c>
      <c r="V38" s="53">
        <f>ROUND($B$5*$B$8*$B$13*$B$16*$B$18*$B$19*$B$22,0)</f>
        <v/>
      </c>
      <c r="W38" s="53">
        <f>ROUND($B$5*$B$8*$B$13*$B$16*$B$18*$B$19*$B$23,0)</f>
        <v/>
      </c>
      <c r="X38" s="53">
        <f>ROUND($B$5*$B$8*$B$13*$B$16*$B$18*$B$20*$B$22,0)</f>
        <v/>
      </c>
      <c r="Y38" s="53">
        <f>ROUND($B$5*$B$8*$B$13*$B$16*$B$18*$B$20*$B$23,0)</f>
        <v/>
      </c>
      <c r="Z38" s="53">
        <f>ROUND($B$5*$B$8*$B$13*$B$16*$B$18*$B$21*$B$22,0)</f>
        <v/>
      </c>
      <c r="AA38" s="53">
        <f>ROUND($B$5*$B$8*$B$13*$B$16*$B$18*$B$21*$B$23,0)</f>
        <v/>
      </c>
      <c r="AB38" s="53">
        <f>ROUND($B$6*$B$8*$B$13*$B$16*$B$17*$B$19*$B$22,0)</f>
        <v/>
      </c>
      <c r="AC38" s="53">
        <f>ROUND($B$6*$B$8*$B$13*$B$16*$B$17*$B$19*$B$23,0)</f>
        <v/>
      </c>
      <c r="AD38" s="53">
        <f>ROUND($B$6*$B$8*$B$13*$B$16*$B$17*$B$20*$B$22,0)</f>
        <v/>
      </c>
      <c r="AE38" s="53">
        <f>ROUND($B$6*$B$8*$B$13*$B$16*$B$17*$B$20*$B$23,0)</f>
        <v/>
      </c>
      <c r="AF38" s="53">
        <f>ROUND($B$6*$B$8*$B$13*$B$16*$B$17*$B$21*$B$22,0)</f>
        <v/>
      </c>
      <c r="AG38" s="53">
        <f>ROUND($B$6*$B$8*$B$13*$B$16*$B$17*$B$21*$B$23,0)</f>
        <v/>
      </c>
      <c r="AH38" s="53">
        <f>ROUND($B$6*$B$8*$B$13*$B$16*$B$18*$B$19*$B$22,0)</f>
        <v/>
      </c>
      <c r="AI38" s="53">
        <f>ROUND($B$6*$B$8*$B$13*$B$16*$B$18*$B$19*$B$23,0)</f>
        <v/>
      </c>
      <c r="AJ38" s="53">
        <f>ROUND($B$6*$B$8*$B$13*$B$16*$B$18*$B$20*$B$22,0)</f>
        <v/>
      </c>
      <c r="AK38" s="53">
        <f>ROUND($B$6*$B$8*$B$13*$B$16*$B$18*$B$20*$B$23,0)</f>
        <v/>
      </c>
      <c r="AL38" s="53">
        <f>ROUND($B$6*$B$8*$B$13*$B$16*$B$18*$B$21*$B$22,0)</f>
        <v/>
      </c>
      <c r="AM38" s="53">
        <f>ROUND($B$6*$B$8*$B$13*$B$16*$B$18*$B$21*$B$23,0)</f>
        <v/>
      </c>
    </row>
    <row r="39" ht="20.1" customHeight="1" s="62">
      <c r="A39" s="103" t="inlineStr">
        <is>
          <t>VPS / Dédié</t>
        </is>
      </c>
      <c r="B39" s="101" t="inlineStr">
        <is>
          <t>Trafic faible (&lt; 10k/mois)</t>
        </is>
      </c>
      <c r="C39" s="49" t="inlineStr">
        <is>
          <t>Sécurité standard</t>
        </is>
      </c>
      <c r="D39" s="53">
        <f>ROUND($B$4*$B$9*$B$11*$B$14*$B$17*$B$19*$B$22,0)</f>
        <v/>
      </c>
      <c r="E39" s="53">
        <f>ROUND($B$4*$B$9*$B$11*$B$14*$B$17*$B$19*$B$23,0)</f>
        <v/>
      </c>
      <c r="F39" s="53">
        <f>ROUND($B$4*$B$9*$B$11*$B$14*$B$17*$B$20*$B$22,0)</f>
        <v/>
      </c>
      <c r="G39" s="53">
        <f>ROUND($B$4*$B$9*$B$11*$B$14*$B$17*$B$20*$B$23,0)</f>
        <v/>
      </c>
      <c r="H39" s="53">
        <f>ROUND($B$4*$B$9*$B$11*$B$14*$B$17*$B$21*$B$22,0)</f>
        <v/>
      </c>
      <c r="I39" s="53">
        <f>ROUND($B$4*$B$9*$B$11*$B$14*$B$17*$B$21*$B$23,0)</f>
        <v/>
      </c>
      <c r="J39" s="53">
        <f>ROUND($B$4*$B$9*$B$11*$B$14*$B$18*$B$19*$B$22,0)</f>
        <v/>
      </c>
      <c r="K39" s="53">
        <f>ROUND($B$4*$B$9*$B$11*$B$14*$B$18*$B$19*$B$23,0)</f>
        <v/>
      </c>
      <c r="L39" s="53">
        <f>ROUND($B$4*$B$9*$B$11*$B$14*$B$18*$B$20*$B$22,0)</f>
        <v/>
      </c>
      <c r="M39" s="53">
        <f>ROUND($B$4*$B$9*$B$11*$B$14*$B$18*$B$20*$B$23,0)</f>
        <v/>
      </c>
      <c r="N39" s="53">
        <f>ROUND($B$4*$B$9*$B$11*$B$14*$B$18*$B$21*$B$22,0)</f>
        <v/>
      </c>
      <c r="O39" s="53">
        <f>ROUND($B$4*$B$9*$B$11*$B$14*$B$18*$B$21*$B$23,0)</f>
        <v/>
      </c>
      <c r="P39" s="53">
        <f>ROUND($B$5*$B$9*$B$11*$B$14*$B$17*$B$19*$B$22,0)</f>
        <v/>
      </c>
      <c r="Q39" s="53">
        <f>ROUND($B$5*$B$9*$B$11*$B$14*$B$17*$B$19*$B$23,0)</f>
        <v/>
      </c>
      <c r="R39" s="53">
        <f>ROUND($B$5*$B$9*$B$11*$B$14*$B$17*$B$20*$B$22,0)</f>
        <v/>
      </c>
      <c r="S39" s="53">
        <f>ROUND($B$5*$B$9*$B$11*$B$14*$B$17*$B$20*$B$23,0)</f>
        <v/>
      </c>
      <c r="T39" s="53">
        <f>ROUND($B$5*$B$9*$B$11*$B$14*$B$17*$B$21*$B$22,0)</f>
        <v/>
      </c>
      <c r="U39" s="53">
        <f>ROUND($B$5*$B$9*$B$11*$B$14*$B$17*$B$21*$B$23,0)</f>
        <v/>
      </c>
      <c r="V39" s="53">
        <f>ROUND($B$5*$B$9*$B$11*$B$14*$B$18*$B$19*$B$22,0)</f>
        <v/>
      </c>
      <c r="W39" s="53">
        <f>ROUND($B$5*$B$9*$B$11*$B$14*$B$18*$B$19*$B$23,0)</f>
        <v/>
      </c>
      <c r="X39" s="53">
        <f>ROUND($B$5*$B$9*$B$11*$B$14*$B$18*$B$20*$B$22,0)</f>
        <v/>
      </c>
      <c r="Y39" s="53">
        <f>ROUND($B$5*$B$9*$B$11*$B$14*$B$18*$B$20*$B$23,0)</f>
        <v/>
      </c>
      <c r="Z39" s="53">
        <f>ROUND($B$5*$B$9*$B$11*$B$14*$B$18*$B$21*$B$22,0)</f>
        <v/>
      </c>
      <c r="AA39" s="53">
        <f>ROUND($B$5*$B$9*$B$11*$B$14*$B$18*$B$21*$B$23,0)</f>
        <v/>
      </c>
      <c r="AB39" s="53">
        <f>ROUND($B$6*$B$9*$B$11*$B$14*$B$17*$B$19*$B$22,0)</f>
        <v/>
      </c>
      <c r="AC39" s="53">
        <f>ROUND($B$6*$B$9*$B$11*$B$14*$B$17*$B$19*$B$23,0)</f>
        <v/>
      </c>
      <c r="AD39" s="53">
        <f>ROUND($B$6*$B$9*$B$11*$B$14*$B$17*$B$20*$B$22,0)</f>
        <v/>
      </c>
      <c r="AE39" s="53">
        <f>ROUND($B$6*$B$9*$B$11*$B$14*$B$17*$B$20*$B$23,0)</f>
        <v/>
      </c>
      <c r="AF39" s="53">
        <f>ROUND($B$6*$B$9*$B$11*$B$14*$B$17*$B$21*$B$22,0)</f>
        <v/>
      </c>
      <c r="AG39" s="53">
        <f>ROUND($B$6*$B$9*$B$11*$B$14*$B$17*$B$21*$B$23,0)</f>
        <v/>
      </c>
      <c r="AH39" s="53">
        <f>ROUND($B$6*$B$9*$B$11*$B$14*$B$18*$B$19*$B$22,0)</f>
        <v/>
      </c>
      <c r="AI39" s="53">
        <f>ROUND($B$6*$B$9*$B$11*$B$14*$B$18*$B$19*$B$23,0)</f>
        <v/>
      </c>
      <c r="AJ39" s="53">
        <f>ROUND($B$6*$B$9*$B$11*$B$14*$B$18*$B$20*$B$22,0)</f>
        <v/>
      </c>
      <c r="AK39" s="53">
        <f>ROUND($B$6*$B$9*$B$11*$B$14*$B$18*$B$20*$B$23,0)</f>
        <v/>
      </c>
      <c r="AL39" s="53">
        <f>ROUND($B$6*$B$9*$B$11*$B$14*$B$18*$B$21*$B$22,0)</f>
        <v/>
      </c>
      <c r="AM39" s="53">
        <f>ROUND($B$6*$B$9*$B$11*$B$14*$B$18*$B$21*$B$23,0)</f>
        <v/>
      </c>
    </row>
    <row r="40" ht="20.1" customHeight="1" s="62">
      <c r="A40" s="104" t="n"/>
      <c r="B40" s="58" t="n"/>
      <c r="C40" s="101" t="inlineStr">
        <is>
          <t>Sécurité renforcée</t>
        </is>
      </c>
      <c r="D40" s="53">
        <f>ROUND($B$4*$B$9*$B$11*$B$15*$B$17*$B$19*$B$22,0)</f>
        <v/>
      </c>
      <c r="E40" s="53">
        <f>ROUND($B$4*$B$9*$B$11*$B$15*$B$17*$B$19*$B$23,0)</f>
        <v/>
      </c>
      <c r="F40" s="53">
        <f>ROUND($B$4*$B$9*$B$11*$B$15*$B$17*$B$20*$B$22,0)</f>
        <v/>
      </c>
      <c r="G40" s="53">
        <f>ROUND($B$4*$B$9*$B$11*$B$15*$B$17*$B$20*$B$23,0)</f>
        <v/>
      </c>
      <c r="H40" s="53">
        <f>ROUND($B$4*$B$9*$B$11*$B$15*$B$17*$B$21*$B$22,0)</f>
        <v/>
      </c>
      <c r="I40" s="53">
        <f>ROUND($B$4*$B$9*$B$11*$B$15*$B$17*$B$21*$B$23,0)</f>
        <v/>
      </c>
      <c r="J40" s="53">
        <f>ROUND($B$4*$B$9*$B$11*$B$15*$B$18*$B$19*$B$22,0)</f>
        <v/>
      </c>
      <c r="K40" s="53">
        <f>ROUND($B$4*$B$9*$B$11*$B$15*$B$18*$B$19*$B$23,0)</f>
        <v/>
      </c>
      <c r="L40" s="53">
        <f>ROUND($B$4*$B$9*$B$11*$B$15*$B$18*$B$20*$B$22,0)</f>
        <v/>
      </c>
      <c r="M40" s="53">
        <f>ROUND($B$4*$B$9*$B$11*$B$15*$B$18*$B$20*$B$23,0)</f>
        <v/>
      </c>
      <c r="N40" s="53">
        <f>ROUND($B$4*$B$9*$B$11*$B$15*$B$18*$B$21*$B$22,0)</f>
        <v/>
      </c>
      <c r="O40" s="53">
        <f>ROUND($B$4*$B$9*$B$11*$B$15*$B$18*$B$21*$B$23,0)</f>
        <v/>
      </c>
      <c r="P40" s="53">
        <f>ROUND($B$5*$B$9*$B$11*$B$15*$B$17*$B$19*$B$22,0)</f>
        <v/>
      </c>
      <c r="Q40" s="53">
        <f>ROUND($B$5*$B$9*$B$11*$B$15*$B$17*$B$19*$B$23,0)</f>
        <v/>
      </c>
      <c r="R40" s="53">
        <f>ROUND($B$5*$B$9*$B$11*$B$15*$B$17*$B$20*$B$22,0)</f>
        <v/>
      </c>
      <c r="S40" s="53">
        <f>ROUND($B$5*$B$9*$B$11*$B$15*$B$17*$B$20*$B$23,0)</f>
        <v/>
      </c>
      <c r="T40" s="53">
        <f>ROUND($B$5*$B$9*$B$11*$B$15*$B$17*$B$21*$B$22,0)</f>
        <v/>
      </c>
      <c r="U40" s="53">
        <f>ROUND($B$5*$B$9*$B$11*$B$15*$B$17*$B$21*$B$23,0)</f>
        <v/>
      </c>
      <c r="V40" s="53">
        <f>ROUND($B$5*$B$9*$B$11*$B$15*$B$18*$B$19*$B$22,0)</f>
        <v/>
      </c>
      <c r="W40" s="53">
        <f>ROUND($B$5*$B$9*$B$11*$B$15*$B$18*$B$19*$B$23,0)</f>
        <v/>
      </c>
      <c r="X40" s="53">
        <f>ROUND($B$5*$B$9*$B$11*$B$15*$B$18*$B$20*$B$22,0)</f>
        <v/>
      </c>
      <c r="Y40" s="53">
        <f>ROUND($B$5*$B$9*$B$11*$B$15*$B$18*$B$20*$B$23,0)</f>
        <v/>
      </c>
      <c r="Z40" s="53">
        <f>ROUND($B$5*$B$9*$B$11*$B$15*$B$18*$B$21*$B$22,0)</f>
        <v/>
      </c>
      <c r="AA40" s="53">
        <f>ROUND($B$5*$B$9*$B$11*$B$15*$B$18*$B$21*$B$23,0)</f>
        <v/>
      </c>
      <c r="AB40" s="53">
        <f>ROUND($B$6*$B$9*$B$11*$B$15*$B$17*$B$19*$B$22,0)</f>
        <v/>
      </c>
      <c r="AC40" s="53">
        <f>ROUND($B$6*$B$9*$B$11*$B$15*$B$17*$B$19*$B$23,0)</f>
        <v/>
      </c>
      <c r="AD40" s="53">
        <f>ROUND($B$6*$B$9*$B$11*$B$15*$B$17*$B$20*$B$22,0)</f>
        <v/>
      </c>
      <c r="AE40" s="53">
        <f>ROUND($B$6*$B$9*$B$11*$B$15*$B$17*$B$20*$B$23,0)</f>
        <v/>
      </c>
      <c r="AF40" s="53">
        <f>ROUND($B$6*$B$9*$B$11*$B$15*$B$17*$B$21*$B$22,0)</f>
        <v/>
      </c>
      <c r="AG40" s="53">
        <f>ROUND($B$6*$B$9*$B$11*$B$15*$B$17*$B$21*$B$23,0)</f>
        <v/>
      </c>
      <c r="AH40" s="53">
        <f>ROUND($B$6*$B$9*$B$11*$B$15*$B$18*$B$19*$B$22,0)</f>
        <v/>
      </c>
      <c r="AI40" s="53">
        <f>ROUND($B$6*$B$9*$B$11*$B$15*$B$18*$B$19*$B$23,0)</f>
        <v/>
      </c>
      <c r="AJ40" s="53">
        <f>ROUND($B$6*$B$9*$B$11*$B$15*$B$18*$B$20*$B$22,0)</f>
        <v/>
      </c>
      <c r="AK40" s="53">
        <f>ROUND($B$6*$B$9*$B$11*$B$15*$B$18*$B$20*$B$23,0)</f>
        <v/>
      </c>
      <c r="AL40" s="53">
        <f>ROUND($B$6*$B$9*$B$11*$B$15*$B$18*$B$21*$B$22,0)</f>
        <v/>
      </c>
      <c r="AM40" s="53">
        <f>ROUND($B$6*$B$9*$B$11*$B$15*$B$18*$B$21*$B$23,0)</f>
        <v/>
      </c>
    </row>
    <row r="41" ht="20.1" customHeight="1" s="62">
      <c r="A41" s="104" t="n"/>
      <c r="B41" s="59" t="n"/>
      <c r="C41" s="51" t="inlineStr">
        <is>
          <t>Sécurité critique</t>
        </is>
      </c>
      <c r="D41" s="53">
        <f>ROUND($B$4*$B$9*$B$11*$B$16*$B$17*$B$19*$B$22,0)</f>
        <v/>
      </c>
      <c r="E41" s="53">
        <f>ROUND($B$4*$B$9*$B$11*$B$16*$B$17*$B$19*$B$23,0)</f>
        <v/>
      </c>
      <c r="F41" s="53">
        <f>ROUND($B$4*$B$9*$B$11*$B$16*$B$17*$B$20*$B$22,0)</f>
        <v/>
      </c>
      <c r="G41" s="53">
        <f>ROUND($B$4*$B$9*$B$11*$B$16*$B$17*$B$20*$B$23,0)</f>
        <v/>
      </c>
      <c r="H41" s="53">
        <f>ROUND($B$4*$B$9*$B$11*$B$16*$B$17*$B$21*$B$22,0)</f>
        <v/>
      </c>
      <c r="I41" s="53">
        <f>ROUND($B$4*$B$9*$B$11*$B$16*$B$17*$B$21*$B$23,0)</f>
        <v/>
      </c>
      <c r="J41" s="53">
        <f>ROUND($B$4*$B$9*$B$11*$B$16*$B$18*$B$19*$B$22,0)</f>
        <v/>
      </c>
      <c r="K41" s="53">
        <f>ROUND($B$4*$B$9*$B$11*$B$16*$B$18*$B$19*$B$23,0)</f>
        <v/>
      </c>
      <c r="L41" s="53">
        <f>ROUND($B$4*$B$9*$B$11*$B$16*$B$18*$B$20*$B$22,0)</f>
        <v/>
      </c>
      <c r="M41" s="53">
        <f>ROUND($B$4*$B$9*$B$11*$B$16*$B$18*$B$20*$B$23,0)</f>
        <v/>
      </c>
      <c r="N41" s="53">
        <f>ROUND($B$4*$B$9*$B$11*$B$16*$B$18*$B$21*$B$22,0)</f>
        <v/>
      </c>
      <c r="O41" s="53">
        <f>ROUND($B$4*$B$9*$B$11*$B$16*$B$18*$B$21*$B$23,0)</f>
        <v/>
      </c>
      <c r="P41" s="53">
        <f>ROUND($B$5*$B$9*$B$11*$B$16*$B$17*$B$19*$B$22,0)</f>
        <v/>
      </c>
      <c r="Q41" s="53">
        <f>ROUND($B$5*$B$9*$B$11*$B$16*$B$17*$B$19*$B$23,0)</f>
        <v/>
      </c>
      <c r="R41" s="53">
        <f>ROUND($B$5*$B$9*$B$11*$B$16*$B$17*$B$20*$B$22,0)</f>
        <v/>
      </c>
      <c r="S41" s="53">
        <f>ROUND($B$5*$B$9*$B$11*$B$16*$B$17*$B$20*$B$23,0)</f>
        <v/>
      </c>
      <c r="T41" s="53">
        <f>ROUND($B$5*$B$9*$B$11*$B$16*$B$17*$B$21*$B$22,0)</f>
        <v/>
      </c>
      <c r="U41" s="53">
        <f>ROUND($B$5*$B$9*$B$11*$B$16*$B$17*$B$21*$B$23,0)</f>
        <v/>
      </c>
      <c r="V41" s="53">
        <f>ROUND($B$5*$B$9*$B$11*$B$16*$B$18*$B$19*$B$22,0)</f>
        <v/>
      </c>
      <c r="W41" s="53">
        <f>ROUND($B$5*$B$9*$B$11*$B$16*$B$18*$B$19*$B$23,0)</f>
        <v/>
      </c>
      <c r="X41" s="53">
        <f>ROUND($B$5*$B$9*$B$11*$B$16*$B$18*$B$20*$B$22,0)</f>
        <v/>
      </c>
      <c r="Y41" s="53">
        <f>ROUND($B$5*$B$9*$B$11*$B$16*$B$18*$B$20*$B$23,0)</f>
        <v/>
      </c>
      <c r="Z41" s="53">
        <f>ROUND($B$5*$B$9*$B$11*$B$16*$B$18*$B$21*$B$22,0)</f>
        <v/>
      </c>
      <c r="AA41" s="53">
        <f>ROUND($B$5*$B$9*$B$11*$B$16*$B$18*$B$21*$B$23,0)</f>
        <v/>
      </c>
      <c r="AB41" s="53">
        <f>ROUND($B$6*$B$9*$B$11*$B$16*$B$17*$B$19*$B$22,0)</f>
        <v/>
      </c>
      <c r="AC41" s="53">
        <f>ROUND($B$6*$B$9*$B$11*$B$16*$B$17*$B$19*$B$23,0)</f>
        <v/>
      </c>
      <c r="AD41" s="53">
        <f>ROUND($B$6*$B$9*$B$11*$B$16*$B$17*$B$20*$B$22,0)</f>
        <v/>
      </c>
      <c r="AE41" s="53">
        <f>ROUND($B$6*$B$9*$B$11*$B$16*$B$17*$B$20*$B$23,0)</f>
        <v/>
      </c>
      <c r="AF41" s="53">
        <f>ROUND($B$6*$B$9*$B$11*$B$16*$B$17*$B$21*$B$22,0)</f>
        <v/>
      </c>
      <c r="AG41" s="53">
        <f>ROUND($B$6*$B$9*$B$11*$B$16*$B$17*$B$21*$B$23,0)</f>
        <v/>
      </c>
      <c r="AH41" s="53">
        <f>ROUND($B$6*$B$9*$B$11*$B$16*$B$18*$B$19*$B$22,0)</f>
        <v/>
      </c>
      <c r="AI41" s="53">
        <f>ROUND($B$6*$B$9*$B$11*$B$16*$B$18*$B$19*$B$23,0)</f>
        <v/>
      </c>
      <c r="AJ41" s="53">
        <f>ROUND($B$6*$B$9*$B$11*$B$16*$B$18*$B$20*$B$22,0)</f>
        <v/>
      </c>
      <c r="AK41" s="53">
        <f>ROUND($B$6*$B$9*$B$11*$B$16*$B$18*$B$20*$B$23,0)</f>
        <v/>
      </c>
      <c r="AL41" s="53">
        <f>ROUND($B$6*$B$9*$B$11*$B$16*$B$18*$B$21*$B$22,0)</f>
        <v/>
      </c>
      <c r="AM41" s="53">
        <f>ROUND($B$6*$B$9*$B$11*$B$16*$B$18*$B$21*$B$23,0)</f>
        <v/>
      </c>
    </row>
    <row r="42" ht="20.1" customHeight="1" s="62">
      <c r="A42" s="104" t="n"/>
      <c r="B42" s="101" t="inlineStr">
        <is>
          <t>Trafic moyen (10k-100k/mois)</t>
        </is>
      </c>
      <c r="C42" s="49" t="inlineStr">
        <is>
          <t>Sécurité standard</t>
        </is>
      </c>
      <c r="D42" s="53">
        <f>ROUND($B$4*$B$9*$B$12*$B$14*$B$17*$B$19*$B$22,0)</f>
        <v/>
      </c>
      <c r="E42" s="53">
        <f>ROUND($B$4*$B$9*$B$12*$B$14*$B$17*$B$19*$B$23,0)</f>
        <v/>
      </c>
      <c r="F42" s="53">
        <f>ROUND($B$4*$B$9*$B$12*$B$14*$B$17*$B$20*$B$22,0)</f>
        <v/>
      </c>
      <c r="G42" s="53">
        <f>ROUND($B$4*$B$9*$B$12*$B$14*$B$17*$B$20*$B$23,0)</f>
        <v/>
      </c>
      <c r="H42" s="53">
        <f>ROUND($B$4*$B$9*$B$12*$B$14*$B$17*$B$21*$B$22,0)</f>
        <v/>
      </c>
      <c r="I42" s="53">
        <f>ROUND($B$4*$B$9*$B$12*$B$14*$B$17*$B$21*$B$23,0)</f>
        <v/>
      </c>
      <c r="J42" s="53">
        <f>ROUND($B$4*$B$9*$B$12*$B$14*$B$18*$B$19*$B$22,0)</f>
        <v/>
      </c>
      <c r="K42" s="53">
        <f>ROUND($B$4*$B$9*$B$12*$B$14*$B$18*$B$19*$B$23,0)</f>
        <v/>
      </c>
      <c r="L42" s="53">
        <f>ROUND($B$4*$B$9*$B$12*$B$14*$B$18*$B$20*$B$22,0)</f>
        <v/>
      </c>
      <c r="M42" s="53">
        <f>ROUND($B$4*$B$9*$B$12*$B$14*$B$18*$B$20*$B$23,0)</f>
        <v/>
      </c>
      <c r="N42" s="53">
        <f>ROUND($B$4*$B$9*$B$12*$B$14*$B$18*$B$21*$B$22,0)</f>
        <v/>
      </c>
      <c r="O42" s="53">
        <f>ROUND($B$4*$B$9*$B$12*$B$14*$B$18*$B$21*$B$23,0)</f>
        <v/>
      </c>
      <c r="P42" s="53">
        <f>ROUND($B$5*$B$9*$B$12*$B$14*$B$17*$B$19*$B$22,0)</f>
        <v/>
      </c>
      <c r="Q42" s="53">
        <f>ROUND($B$5*$B$9*$B$12*$B$14*$B$17*$B$19*$B$23,0)</f>
        <v/>
      </c>
      <c r="R42" s="53">
        <f>ROUND($B$5*$B$9*$B$12*$B$14*$B$17*$B$20*$B$22,0)</f>
        <v/>
      </c>
      <c r="S42" s="53">
        <f>ROUND($B$5*$B$9*$B$12*$B$14*$B$17*$B$20*$B$23,0)</f>
        <v/>
      </c>
      <c r="T42" s="53">
        <f>ROUND($B$5*$B$9*$B$12*$B$14*$B$17*$B$21*$B$22,0)</f>
        <v/>
      </c>
      <c r="U42" s="53">
        <f>ROUND($B$5*$B$9*$B$12*$B$14*$B$17*$B$21*$B$23,0)</f>
        <v/>
      </c>
      <c r="V42" s="53">
        <f>ROUND($B$5*$B$9*$B$12*$B$14*$B$18*$B$19*$B$22,0)</f>
        <v/>
      </c>
      <c r="W42" s="53">
        <f>ROUND($B$5*$B$9*$B$12*$B$14*$B$18*$B$19*$B$23,0)</f>
        <v/>
      </c>
      <c r="X42" s="53">
        <f>ROUND($B$5*$B$9*$B$12*$B$14*$B$18*$B$20*$B$22,0)</f>
        <v/>
      </c>
      <c r="Y42" s="53">
        <f>ROUND($B$5*$B$9*$B$12*$B$14*$B$18*$B$20*$B$23,0)</f>
        <v/>
      </c>
      <c r="Z42" s="53">
        <f>ROUND($B$5*$B$9*$B$12*$B$14*$B$18*$B$21*$B$22,0)</f>
        <v/>
      </c>
      <c r="AA42" s="53">
        <f>ROUND($B$5*$B$9*$B$12*$B$14*$B$18*$B$21*$B$23,0)</f>
        <v/>
      </c>
      <c r="AB42" s="53">
        <f>ROUND($B$6*$B$9*$B$12*$B$14*$B$17*$B$19*$B$22,0)</f>
        <v/>
      </c>
      <c r="AC42" s="53">
        <f>ROUND($B$6*$B$9*$B$12*$B$14*$B$17*$B$19*$B$23,0)</f>
        <v/>
      </c>
      <c r="AD42" s="53">
        <f>ROUND($B$6*$B$9*$B$12*$B$14*$B$17*$B$20*$B$22,0)</f>
        <v/>
      </c>
      <c r="AE42" s="53">
        <f>ROUND($B$6*$B$9*$B$12*$B$14*$B$17*$B$20*$B$23,0)</f>
        <v/>
      </c>
      <c r="AF42" s="53">
        <f>ROUND($B$6*$B$9*$B$12*$B$14*$B$17*$B$21*$B$22,0)</f>
        <v/>
      </c>
      <c r="AG42" s="53">
        <f>ROUND($B$6*$B$9*$B$12*$B$14*$B$17*$B$21*$B$23,0)</f>
        <v/>
      </c>
      <c r="AH42" s="53">
        <f>ROUND($B$6*$B$9*$B$12*$B$14*$B$18*$B$19*$B$22,0)</f>
        <v/>
      </c>
      <c r="AI42" s="53">
        <f>ROUND($B$6*$B$9*$B$12*$B$14*$B$18*$B$19*$B$23,0)</f>
        <v/>
      </c>
      <c r="AJ42" s="53">
        <f>ROUND($B$6*$B$9*$B$12*$B$14*$B$18*$B$20*$B$22,0)</f>
        <v/>
      </c>
      <c r="AK42" s="53">
        <f>ROUND($B$6*$B$9*$B$12*$B$14*$B$18*$B$20*$B$23,0)</f>
        <v/>
      </c>
      <c r="AL42" s="53">
        <f>ROUND($B$6*$B$9*$B$12*$B$14*$B$18*$B$21*$B$22,0)</f>
        <v/>
      </c>
      <c r="AM42" s="53">
        <f>ROUND($B$6*$B$9*$B$12*$B$14*$B$18*$B$21*$B$23,0)</f>
        <v/>
      </c>
    </row>
    <row r="43" ht="20.1" customHeight="1" s="62">
      <c r="A43" s="104" t="n"/>
      <c r="B43" s="58" t="n"/>
      <c r="C43" s="101" t="inlineStr">
        <is>
          <t>Sécurité renforcée</t>
        </is>
      </c>
      <c r="D43" s="53">
        <f>ROUND($B$4*$B$9*$B$12*$B$15*$B$17*$B$19*$B$22,0)</f>
        <v/>
      </c>
      <c r="E43" s="53">
        <f>ROUND($B$4*$B$9*$B$12*$B$15*$B$17*$B$19*$B$23,0)</f>
        <v/>
      </c>
      <c r="F43" s="53">
        <f>ROUND($B$4*$B$9*$B$12*$B$15*$B$17*$B$20*$B$22,0)</f>
        <v/>
      </c>
      <c r="G43" s="53">
        <f>ROUND($B$4*$B$9*$B$12*$B$15*$B$17*$B$20*$B$23,0)</f>
        <v/>
      </c>
      <c r="H43" s="53">
        <f>ROUND($B$4*$B$9*$B$12*$B$15*$B$17*$B$21*$B$22,0)</f>
        <v/>
      </c>
      <c r="I43" s="53">
        <f>ROUND($B$4*$B$9*$B$12*$B$15*$B$17*$B$21*$B$23,0)</f>
        <v/>
      </c>
      <c r="J43" s="53">
        <f>ROUND($B$4*$B$9*$B$12*$B$15*$B$18*$B$19*$B$22,0)</f>
        <v/>
      </c>
      <c r="K43" s="53">
        <f>ROUND($B$4*$B$9*$B$12*$B$15*$B$18*$B$19*$B$23,0)</f>
        <v/>
      </c>
      <c r="L43" s="53">
        <f>ROUND($B$4*$B$9*$B$12*$B$15*$B$18*$B$20*$B$22,0)</f>
        <v/>
      </c>
      <c r="M43" s="53">
        <f>ROUND($B$4*$B$9*$B$12*$B$15*$B$18*$B$20*$B$23,0)</f>
        <v/>
      </c>
      <c r="N43" s="53">
        <f>ROUND($B$4*$B$9*$B$12*$B$15*$B$18*$B$21*$B$22,0)</f>
        <v/>
      </c>
      <c r="O43" s="53">
        <f>ROUND($B$4*$B$9*$B$12*$B$15*$B$18*$B$21*$B$23,0)</f>
        <v/>
      </c>
      <c r="P43" s="53">
        <f>ROUND($B$5*$B$9*$B$12*$B$15*$B$17*$B$19*$B$22,0)</f>
        <v/>
      </c>
      <c r="Q43" s="53">
        <f>ROUND($B$5*$B$9*$B$12*$B$15*$B$17*$B$19*$B$23,0)</f>
        <v/>
      </c>
      <c r="R43" s="53">
        <f>ROUND($B$5*$B$9*$B$12*$B$15*$B$17*$B$20*$B$22,0)</f>
        <v/>
      </c>
      <c r="S43" s="53">
        <f>ROUND($B$5*$B$9*$B$12*$B$15*$B$17*$B$20*$B$23,0)</f>
        <v/>
      </c>
      <c r="T43" s="53">
        <f>ROUND($B$5*$B$9*$B$12*$B$15*$B$17*$B$21*$B$22,0)</f>
        <v/>
      </c>
      <c r="U43" s="53">
        <f>ROUND($B$5*$B$9*$B$12*$B$15*$B$17*$B$21*$B$23,0)</f>
        <v/>
      </c>
      <c r="V43" s="53">
        <f>ROUND($B$5*$B$9*$B$12*$B$15*$B$18*$B$19*$B$22,0)</f>
        <v/>
      </c>
      <c r="W43" s="53">
        <f>ROUND($B$5*$B$9*$B$12*$B$15*$B$18*$B$19*$B$23,0)</f>
        <v/>
      </c>
      <c r="X43" s="53">
        <f>ROUND($B$5*$B$9*$B$12*$B$15*$B$18*$B$20*$B$22,0)</f>
        <v/>
      </c>
      <c r="Y43" s="53">
        <f>ROUND($B$5*$B$9*$B$12*$B$15*$B$18*$B$20*$B$23,0)</f>
        <v/>
      </c>
      <c r="Z43" s="53">
        <f>ROUND($B$5*$B$9*$B$12*$B$15*$B$18*$B$21*$B$22,0)</f>
        <v/>
      </c>
      <c r="AA43" s="53">
        <f>ROUND($B$5*$B$9*$B$12*$B$15*$B$18*$B$21*$B$23,0)</f>
        <v/>
      </c>
      <c r="AB43" s="53">
        <f>ROUND($B$6*$B$9*$B$12*$B$15*$B$17*$B$19*$B$22,0)</f>
        <v/>
      </c>
      <c r="AC43" s="53">
        <f>ROUND($B$6*$B$9*$B$12*$B$15*$B$17*$B$19*$B$23,0)</f>
        <v/>
      </c>
      <c r="AD43" s="53">
        <f>ROUND($B$6*$B$9*$B$12*$B$15*$B$17*$B$20*$B$22,0)</f>
        <v/>
      </c>
      <c r="AE43" s="53">
        <f>ROUND($B$6*$B$9*$B$12*$B$15*$B$17*$B$20*$B$23,0)</f>
        <v/>
      </c>
      <c r="AF43" s="53">
        <f>ROUND($B$6*$B$9*$B$12*$B$15*$B$17*$B$21*$B$22,0)</f>
        <v/>
      </c>
      <c r="AG43" s="53">
        <f>ROUND($B$6*$B$9*$B$12*$B$15*$B$17*$B$21*$B$23,0)</f>
        <v/>
      </c>
      <c r="AH43" s="53">
        <f>ROUND($B$6*$B$9*$B$12*$B$15*$B$18*$B$19*$B$22,0)</f>
        <v/>
      </c>
      <c r="AI43" s="53">
        <f>ROUND($B$6*$B$9*$B$12*$B$15*$B$18*$B$19*$B$23,0)</f>
        <v/>
      </c>
      <c r="AJ43" s="53">
        <f>ROUND($B$6*$B$9*$B$12*$B$15*$B$18*$B$20*$B$22,0)</f>
        <v/>
      </c>
      <c r="AK43" s="53">
        <f>ROUND($B$6*$B$9*$B$12*$B$15*$B$18*$B$20*$B$23,0)</f>
        <v/>
      </c>
      <c r="AL43" s="53">
        <f>ROUND($B$6*$B$9*$B$12*$B$15*$B$18*$B$21*$B$22,0)</f>
        <v/>
      </c>
      <c r="AM43" s="53">
        <f>ROUND($B$6*$B$9*$B$12*$B$15*$B$18*$B$21*$B$23,0)</f>
        <v/>
      </c>
    </row>
    <row r="44" ht="20.1" customHeight="1" s="62">
      <c r="A44" s="104" t="n"/>
      <c r="B44" s="59" t="n"/>
      <c r="C44" s="51" t="inlineStr">
        <is>
          <t>Sécurité critique</t>
        </is>
      </c>
      <c r="D44" s="53">
        <f>ROUND($B$4*$B$9*$B$12*$B$16*$B$17*$B$19*$B$22,0)</f>
        <v/>
      </c>
      <c r="E44" s="53">
        <f>ROUND($B$4*$B$9*$B$12*$B$16*$B$17*$B$19*$B$23,0)</f>
        <v/>
      </c>
      <c r="F44" s="53">
        <f>ROUND($B$4*$B$9*$B$12*$B$16*$B$17*$B$20*$B$22,0)</f>
        <v/>
      </c>
      <c r="G44" s="53">
        <f>ROUND($B$4*$B$9*$B$12*$B$16*$B$17*$B$20*$B$23,0)</f>
        <v/>
      </c>
      <c r="H44" s="53">
        <f>ROUND($B$4*$B$9*$B$12*$B$16*$B$17*$B$21*$B$22,0)</f>
        <v/>
      </c>
      <c r="I44" s="53">
        <f>ROUND($B$4*$B$9*$B$12*$B$16*$B$17*$B$21*$B$23,0)</f>
        <v/>
      </c>
      <c r="J44" s="53">
        <f>ROUND($B$4*$B$9*$B$12*$B$16*$B$18*$B$19*$B$22,0)</f>
        <v/>
      </c>
      <c r="K44" s="53">
        <f>ROUND($B$4*$B$9*$B$12*$B$16*$B$18*$B$19*$B$23,0)</f>
        <v/>
      </c>
      <c r="L44" s="53">
        <f>ROUND($B$4*$B$9*$B$12*$B$16*$B$18*$B$20*$B$22,0)</f>
        <v/>
      </c>
      <c r="M44" s="53">
        <f>ROUND($B$4*$B$9*$B$12*$B$16*$B$18*$B$20*$B$23,0)</f>
        <v/>
      </c>
      <c r="N44" s="53">
        <f>ROUND($B$4*$B$9*$B$12*$B$16*$B$18*$B$21*$B$22,0)</f>
        <v/>
      </c>
      <c r="O44" s="53">
        <f>ROUND($B$4*$B$9*$B$12*$B$16*$B$18*$B$21*$B$23,0)</f>
        <v/>
      </c>
      <c r="P44" s="53">
        <f>ROUND($B$5*$B$9*$B$12*$B$16*$B$17*$B$19*$B$22,0)</f>
        <v/>
      </c>
      <c r="Q44" s="53">
        <f>ROUND($B$5*$B$9*$B$12*$B$16*$B$17*$B$19*$B$23,0)</f>
        <v/>
      </c>
      <c r="R44" s="53">
        <f>ROUND($B$5*$B$9*$B$12*$B$16*$B$17*$B$20*$B$22,0)</f>
        <v/>
      </c>
      <c r="S44" s="53">
        <f>ROUND($B$5*$B$9*$B$12*$B$16*$B$17*$B$20*$B$23,0)</f>
        <v/>
      </c>
      <c r="T44" s="53">
        <f>ROUND($B$5*$B$9*$B$12*$B$16*$B$17*$B$21*$B$22,0)</f>
        <v/>
      </c>
      <c r="U44" s="53">
        <f>ROUND($B$5*$B$9*$B$12*$B$16*$B$17*$B$21*$B$23,0)</f>
        <v/>
      </c>
      <c r="V44" s="53">
        <f>ROUND($B$5*$B$9*$B$12*$B$16*$B$18*$B$19*$B$22,0)</f>
        <v/>
      </c>
      <c r="W44" s="53">
        <f>ROUND($B$5*$B$9*$B$12*$B$16*$B$18*$B$19*$B$23,0)</f>
        <v/>
      </c>
      <c r="X44" s="53">
        <f>ROUND($B$5*$B$9*$B$12*$B$16*$B$18*$B$20*$B$22,0)</f>
        <v/>
      </c>
      <c r="Y44" s="53">
        <f>ROUND($B$5*$B$9*$B$12*$B$16*$B$18*$B$20*$B$23,0)</f>
        <v/>
      </c>
      <c r="Z44" s="53">
        <f>ROUND($B$5*$B$9*$B$12*$B$16*$B$18*$B$21*$B$22,0)</f>
        <v/>
      </c>
      <c r="AA44" s="53">
        <f>ROUND($B$5*$B$9*$B$12*$B$16*$B$18*$B$21*$B$23,0)</f>
        <v/>
      </c>
      <c r="AB44" s="53">
        <f>ROUND($B$6*$B$9*$B$12*$B$16*$B$17*$B$19*$B$22,0)</f>
        <v/>
      </c>
      <c r="AC44" s="53">
        <f>ROUND($B$6*$B$9*$B$12*$B$16*$B$17*$B$19*$B$23,0)</f>
        <v/>
      </c>
      <c r="AD44" s="53">
        <f>ROUND($B$6*$B$9*$B$12*$B$16*$B$17*$B$20*$B$22,0)</f>
        <v/>
      </c>
      <c r="AE44" s="53">
        <f>ROUND($B$6*$B$9*$B$12*$B$16*$B$17*$B$20*$B$23,0)</f>
        <v/>
      </c>
      <c r="AF44" s="53">
        <f>ROUND($B$6*$B$9*$B$12*$B$16*$B$17*$B$21*$B$22,0)</f>
        <v/>
      </c>
      <c r="AG44" s="53">
        <f>ROUND($B$6*$B$9*$B$12*$B$16*$B$17*$B$21*$B$23,0)</f>
        <v/>
      </c>
      <c r="AH44" s="53">
        <f>ROUND($B$6*$B$9*$B$12*$B$16*$B$18*$B$19*$B$22,0)</f>
        <v/>
      </c>
      <c r="AI44" s="53">
        <f>ROUND($B$6*$B$9*$B$12*$B$16*$B$18*$B$19*$B$23,0)</f>
        <v/>
      </c>
      <c r="AJ44" s="53">
        <f>ROUND($B$6*$B$9*$B$12*$B$16*$B$18*$B$20*$B$22,0)</f>
        <v/>
      </c>
      <c r="AK44" s="53">
        <f>ROUND($B$6*$B$9*$B$12*$B$16*$B$18*$B$20*$B$23,0)</f>
        <v/>
      </c>
      <c r="AL44" s="53">
        <f>ROUND($B$6*$B$9*$B$12*$B$16*$B$18*$B$21*$B$22,0)</f>
        <v/>
      </c>
      <c r="AM44" s="53">
        <f>ROUND($B$6*$B$9*$B$12*$B$16*$B$18*$B$21*$B$23,0)</f>
        <v/>
      </c>
    </row>
    <row r="45" ht="20.1" customHeight="1" s="62">
      <c r="A45" s="104" t="n"/>
      <c r="B45" s="101" t="inlineStr">
        <is>
          <t>Trafic élevé (100k+/mois)</t>
        </is>
      </c>
      <c r="C45" s="49" t="inlineStr">
        <is>
          <t>Sécurité standard</t>
        </is>
      </c>
      <c r="D45" s="53">
        <f>ROUND($B$4*$B$9*$B$13*$B$14*$B$17*$B$19*$B$22,0)</f>
        <v/>
      </c>
      <c r="E45" s="53">
        <f>ROUND($B$4*$B$9*$B$13*$B$14*$B$17*$B$19*$B$23,0)</f>
        <v/>
      </c>
      <c r="F45" s="53">
        <f>ROUND($B$4*$B$9*$B$13*$B$14*$B$17*$B$20*$B$22,0)</f>
        <v/>
      </c>
      <c r="G45" s="53">
        <f>ROUND($B$4*$B$9*$B$13*$B$14*$B$17*$B$20*$B$23,0)</f>
        <v/>
      </c>
      <c r="H45" s="53">
        <f>ROUND($B$4*$B$9*$B$13*$B$14*$B$17*$B$21*$B$22,0)</f>
        <v/>
      </c>
      <c r="I45" s="53">
        <f>ROUND($B$4*$B$9*$B$13*$B$14*$B$17*$B$21*$B$23,0)</f>
        <v/>
      </c>
      <c r="J45" s="53">
        <f>ROUND($B$4*$B$9*$B$13*$B$14*$B$18*$B$19*$B$22,0)</f>
        <v/>
      </c>
      <c r="K45" s="53">
        <f>ROUND($B$4*$B$9*$B$13*$B$14*$B$18*$B$19*$B$23,0)</f>
        <v/>
      </c>
      <c r="L45" s="53">
        <f>ROUND($B$4*$B$9*$B$13*$B$14*$B$18*$B$20*$B$22,0)</f>
        <v/>
      </c>
      <c r="M45" s="53">
        <f>ROUND($B$4*$B$9*$B$13*$B$14*$B$18*$B$20*$B$23,0)</f>
        <v/>
      </c>
      <c r="N45" s="53">
        <f>ROUND($B$4*$B$9*$B$13*$B$14*$B$18*$B$21*$B$22,0)</f>
        <v/>
      </c>
      <c r="O45" s="53">
        <f>ROUND($B$4*$B$9*$B$13*$B$14*$B$18*$B$21*$B$23,0)</f>
        <v/>
      </c>
      <c r="P45" s="53">
        <f>ROUND($B$5*$B$9*$B$13*$B$14*$B$17*$B$19*$B$22,0)</f>
        <v/>
      </c>
      <c r="Q45" s="53">
        <f>ROUND($B$5*$B$9*$B$13*$B$14*$B$17*$B$19*$B$23,0)</f>
        <v/>
      </c>
      <c r="R45" s="53">
        <f>ROUND($B$5*$B$9*$B$13*$B$14*$B$17*$B$20*$B$22,0)</f>
        <v/>
      </c>
      <c r="S45" s="53">
        <f>ROUND($B$5*$B$9*$B$13*$B$14*$B$17*$B$20*$B$23,0)</f>
        <v/>
      </c>
      <c r="T45" s="53">
        <f>ROUND($B$5*$B$9*$B$13*$B$14*$B$17*$B$21*$B$22,0)</f>
        <v/>
      </c>
      <c r="U45" s="53">
        <f>ROUND($B$5*$B$9*$B$13*$B$14*$B$17*$B$21*$B$23,0)</f>
        <v/>
      </c>
      <c r="V45" s="53">
        <f>ROUND($B$5*$B$9*$B$13*$B$14*$B$18*$B$19*$B$22,0)</f>
        <v/>
      </c>
      <c r="W45" s="53">
        <f>ROUND($B$5*$B$9*$B$13*$B$14*$B$18*$B$19*$B$23,0)</f>
        <v/>
      </c>
      <c r="X45" s="53">
        <f>ROUND($B$5*$B$9*$B$13*$B$14*$B$18*$B$20*$B$22,0)</f>
        <v/>
      </c>
      <c r="Y45" s="53">
        <f>ROUND($B$5*$B$9*$B$13*$B$14*$B$18*$B$20*$B$23,0)</f>
        <v/>
      </c>
      <c r="Z45" s="53">
        <f>ROUND($B$5*$B$9*$B$13*$B$14*$B$18*$B$21*$B$22,0)</f>
        <v/>
      </c>
      <c r="AA45" s="53">
        <f>ROUND($B$5*$B$9*$B$13*$B$14*$B$18*$B$21*$B$23,0)</f>
        <v/>
      </c>
      <c r="AB45" s="53">
        <f>ROUND($B$6*$B$9*$B$13*$B$14*$B$17*$B$19*$B$22,0)</f>
        <v/>
      </c>
      <c r="AC45" s="53">
        <f>ROUND($B$6*$B$9*$B$13*$B$14*$B$17*$B$19*$B$23,0)</f>
        <v/>
      </c>
      <c r="AD45" s="53">
        <f>ROUND($B$6*$B$9*$B$13*$B$14*$B$17*$B$20*$B$22,0)</f>
        <v/>
      </c>
      <c r="AE45" s="53">
        <f>ROUND($B$6*$B$9*$B$13*$B$14*$B$17*$B$20*$B$23,0)</f>
        <v/>
      </c>
      <c r="AF45" s="53">
        <f>ROUND($B$6*$B$9*$B$13*$B$14*$B$17*$B$21*$B$22,0)</f>
        <v/>
      </c>
      <c r="AG45" s="53">
        <f>ROUND($B$6*$B$9*$B$13*$B$14*$B$17*$B$21*$B$23,0)</f>
        <v/>
      </c>
      <c r="AH45" s="53">
        <f>ROUND($B$6*$B$9*$B$13*$B$14*$B$18*$B$19*$B$22,0)</f>
        <v/>
      </c>
      <c r="AI45" s="53">
        <f>ROUND($B$6*$B$9*$B$13*$B$14*$B$18*$B$19*$B$23,0)</f>
        <v/>
      </c>
      <c r="AJ45" s="53">
        <f>ROUND($B$6*$B$9*$B$13*$B$14*$B$18*$B$20*$B$22,0)</f>
        <v/>
      </c>
      <c r="AK45" s="53">
        <f>ROUND($B$6*$B$9*$B$13*$B$14*$B$18*$B$20*$B$23,0)</f>
        <v/>
      </c>
      <c r="AL45" s="53">
        <f>ROUND($B$6*$B$9*$B$13*$B$14*$B$18*$B$21*$B$22,0)</f>
        <v/>
      </c>
      <c r="AM45" s="53">
        <f>ROUND($B$6*$B$9*$B$13*$B$14*$B$18*$B$21*$B$23,0)</f>
        <v/>
      </c>
    </row>
    <row r="46" ht="20.1" customHeight="1" s="62">
      <c r="A46" s="104" t="n"/>
      <c r="B46" s="58" t="n"/>
      <c r="C46" s="101" t="inlineStr">
        <is>
          <t>Sécurité renforcée</t>
        </is>
      </c>
      <c r="D46" s="53">
        <f>ROUND($B$4*$B$9*$B$13*$B$15*$B$17*$B$19*$B$22,0)</f>
        <v/>
      </c>
      <c r="E46" s="53">
        <f>ROUND($B$4*$B$9*$B$13*$B$15*$B$17*$B$19*$B$23,0)</f>
        <v/>
      </c>
      <c r="F46" s="53">
        <f>ROUND($B$4*$B$9*$B$13*$B$15*$B$17*$B$20*$B$22,0)</f>
        <v/>
      </c>
      <c r="G46" s="53">
        <f>ROUND($B$4*$B$9*$B$13*$B$15*$B$17*$B$20*$B$23,0)</f>
        <v/>
      </c>
      <c r="H46" s="53">
        <f>ROUND($B$4*$B$9*$B$13*$B$15*$B$17*$B$21*$B$22,0)</f>
        <v/>
      </c>
      <c r="I46" s="53">
        <f>ROUND($B$4*$B$9*$B$13*$B$15*$B$17*$B$21*$B$23,0)</f>
        <v/>
      </c>
      <c r="J46" s="53">
        <f>ROUND($B$4*$B$9*$B$13*$B$15*$B$18*$B$19*$B$22,0)</f>
        <v/>
      </c>
      <c r="K46" s="53">
        <f>ROUND($B$4*$B$9*$B$13*$B$15*$B$18*$B$19*$B$23,0)</f>
        <v/>
      </c>
      <c r="L46" s="53">
        <f>ROUND($B$4*$B$9*$B$13*$B$15*$B$18*$B$20*$B$22,0)</f>
        <v/>
      </c>
      <c r="M46" s="53">
        <f>ROUND($B$4*$B$9*$B$13*$B$15*$B$18*$B$20*$B$23,0)</f>
        <v/>
      </c>
      <c r="N46" s="53">
        <f>ROUND($B$4*$B$9*$B$13*$B$15*$B$18*$B$21*$B$22,0)</f>
        <v/>
      </c>
      <c r="O46" s="53">
        <f>ROUND($B$4*$B$9*$B$13*$B$15*$B$18*$B$21*$B$23,0)</f>
        <v/>
      </c>
      <c r="P46" s="53">
        <f>ROUND($B$5*$B$9*$B$13*$B$15*$B$17*$B$19*$B$22,0)</f>
        <v/>
      </c>
      <c r="Q46" s="53">
        <f>ROUND($B$5*$B$9*$B$13*$B$15*$B$17*$B$19*$B$23,0)</f>
        <v/>
      </c>
      <c r="R46" s="53">
        <f>ROUND($B$5*$B$9*$B$13*$B$15*$B$17*$B$20*$B$22,0)</f>
        <v/>
      </c>
      <c r="S46" s="53">
        <f>ROUND($B$5*$B$9*$B$13*$B$15*$B$17*$B$20*$B$23,0)</f>
        <v/>
      </c>
      <c r="T46" s="53">
        <f>ROUND($B$5*$B$9*$B$13*$B$15*$B$17*$B$21*$B$22,0)</f>
        <v/>
      </c>
      <c r="U46" s="53">
        <f>ROUND($B$5*$B$9*$B$13*$B$15*$B$17*$B$21*$B$23,0)</f>
        <v/>
      </c>
      <c r="V46" s="53">
        <f>ROUND($B$5*$B$9*$B$13*$B$15*$B$18*$B$19*$B$22,0)</f>
        <v/>
      </c>
      <c r="W46" s="53">
        <f>ROUND($B$5*$B$9*$B$13*$B$15*$B$18*$B$19*$B$23,0)</f>
        <v/>
      </c>
      <c r="X46" s="53">
        <f>ROUND($B$5*$B$9*$B$13*$B$15*$B$18*$B$20*$B$22,0)</f>
        <v/>
      </c>
      <c r="Y46" s="53">
        <f>ROUND($B$5*$B$9*$B$13*$B$15*$B$18*$B$20*$B$23,0)</f>
        <v/>
      </c>
      <c r="Z46" s="53">
        <f>ROUND($B$5*$B$9*$B$13*$B$15*$B$18*$B$21*$B$22,0)</f>
        <v/>
      </c>
      <c r="AA46" s="53">
        <f>ROUND($B$5*$B$9*$B$13*$B$15*$B$18*$B$21*$B$23,0)</f>
        <v/>
      </c>
      <c r="AB46" s="53">
        <f>ROUND($B$6*$B$9*$B$13*$B$15*$B$17*$B$19*$B$22,0)</f>
        <v/>
      </c>
      <c r="AC46" s="53">
        <f>ROUND($B$6*$B$9*$B$13*$B$15*$B$17*$B$19*$B$23,0)</f>
        <v/>
      </c>
      <c r="AD46" s="53">
        <f>ROUND($B$6*$B$9*$B$13*$B$15*$B$17*$B$20*$B$22,0)</f>
        <v/>
      </c>
      <c r="AE46" s="53">
        <f>ROUND($B$6*$B$9*$B$13*$B$15*$B$17*$B$20*$B$23,0)</f>
        <v/>
      </c>
      <c r="AF46" s="53">
        <f>ROUND($B$6*$B$9*$B$13*$B$15*$B$17*$B$21*$B$22,0)</f>
        <v/>
      </c>
      <c r="AG46" s="53">
        <f>ROUND($B$6*$B$9*$B$13*$B$15*$B$17*$B$21*$B$23,0)</f>
        <v/>
      </c>
      <c r="AH46" s="53">
        <f>ROUND($B$6*$B$9*$B$13*$B$15*$B$18*$B$19*$B$22,0)</f>
        <v/>
      </c>
      <c r="AI46" s="53">
        <f>ROUND($B$6*$B$9*$B$13*$B$15*$B$18*$B$19*$B$23,0)</f>
        <v/>
      </c>
      <c r="AJ46" s="53">
        <f>ROUND($B$6*$B$9*$B$13*$B$15*$B$18*$B$20*$B$22,0)</f>
        <v/>
      </c>
      <c r="AK46" s="53">
        <f>ROUND($B$6*$B$9*$B$13*$B$15*$B$18*$B$20*$B$23,0)</f>
        <v/>
      </c>
      <c r="AL46" s="53">
        <f>ROUND($B$6*$B$9*$B$13*$B$15*$B$18*$B$21*$B$22,0)</f>
        <v/>
      </c>
      <c r="AM46" s="53">
        <f>ROUND($B$6*$B$9*$B$13*$B$15*$B$18*$B$21*$B$23,0)</f>
        <v/>
      </c>
    </row>
    <row r="47" ht="20.1" customHeight="1" s="62">
      <c r="A47" s="105" t="n"/>
      <c r="B47" s="59" t="n"/>
      <c r="C47" s="51" t="inlineStr">
        <is>
          <t>Sécurité critique</t>
        </is>
      </c>
      <c r="D47" s="53">
        <f>ROUND($B$4*$B$9*$B$13*$B$16*$B$17*$B$19*$B$22,0)</f>
        <v/>
      </c>
      <c r="E47" s="53">
        <f>ROUND($B$4*$B$9*$B$13*$B$16*$B$17*$B$19*$B$23,0)</f>
        <v/>
      </c>
      <c r="F47" s="53">
        <f>ROUND($B$4*$B$9*$B$13*$B$16*$B$17*$B$20*$B$22,0)</f>
        <v/>
      </c>
      <c r="G47" s="53">
        <f>ROUND($B$4*$B$9*$B$13*$B$16*$B$17*$B$20*$B$23,0)</f>
        <v/>
      </c>
      <c r="H47" s="53">
        <f>ROUND($B$4*$B$9*$B$13*$B$16*$B$17*$B$21*$B$22,0)</f>
        <v/>
      </c>
      <c r="I47" s="53">
        <f>ROUND($B$4*$B$9*$B$13*$B$16*$B$17*$B$21*$B$23,0)</f>
        <v/>
      </c>
      <c r="J47" s="53">
        <f>ROUND($B$4*$B$9*$B$13*$B$16*$B$18*$B$19*$B$22,0)</f>
        <v/>
      </c>
      <c r="K47" s="53">
        <f>ROUND($B$4*$B$9*$B$13*$B$16*$B$18*$B$19*$B$23,0)</f>
        <v/>
      </c>
      <c r="L47" s="53">
        <f>ROUND($B$4*$B$9*$B$13*$B$16*$B$18*$B$20*$B$22,0)</f>
        <v/>
      </c>
      <c r="M47" s="53">
        <f>ROUND($B$4*$B$9*$B$13*$B$16*$B$18*$B$20*$B$23,0)</f>
        <v/>
      </c>
      <c r="N47" s="53">
        <f>ROUND($B$4*$B$9*$B$13*$B$16*$B$18*$B$21*$B$22,0)</f>
        <v/>
      </c>
      <c r="O47" s="53">
        <f>ROUND($B$4*$B$9*$B$13*$B$16*$B$18*$B$21*$B$23,0)</f>
        <v/>
      </c>
      <c r="P47" s="53">
        <f>ROUND($B$5*$B$9*$B$13*$B$16*$B$17*$B$19*$B$22,0)</f>
        <v/>
      </c>
      <c r="Q47" s="53">
        <f>ROUND($B$5*$B$9*$B$13*$B$16*$B$17*$B$19*$B$23,0)</f>
        <v/>
      </c>
      <c r="R47" s="53">
        <f>ROUND($B$5*$B$9*$B$13*$B$16*$B$17*$B$20*$B$22,0)</f>
        <v/>
      </c>
      <c r="S47" s="53">
        <f>ROUND($B$5*$B$9*$B$13*$B$16*$B$17*$B$20*$B$23,0)</f>
        <v/>
      </c>
      <c r="T47" s="53">
        <f>ROUND($B$5*$B$9*$B$13*$B$16*$B$17*$B$21*$B$22,0)</f>
        <v/>
      </c>
      <c r="U47" s="53">
        <f>ROUND($B$5*$B$9*$B$13*$B$16*$B$17*$B$21*$B$23,0)</f>
        <v/>
      </c>
      <c r="V47" s="53">
        <f>ROUND($B$5*$B$9*$B$13*$B$16*$B$18*$B$19*$B$22,0)</f>
        <v/>
      </c>
      <c r="W47" s="53">
        <f>ROUND($B$5*$B$9*$B$13*$B$16*$B$18*$B$19*$B$23,0)</f>
        <v/>
      </c>
      <c r="X47" s="53">
        <f>ROUND($B$5*$B$9*$B$13*$B$16*$B$18*$B$20*$B$22,0)</f>
        <v/>
      </c>
      <c r="Y47" s="53">
        <f>ROUND($B$5*$B$9*$B$13*$B$16*$B$18*$B$20*$B$23,0)</f>
        <v/>
      </c>
      <c r="Z47" s="53">
        <f>ROUND($B$5*$B$9*$B$13*$B$16*$B$18*$B$21*$B$22,0)</f>
        <v/>
      </c>
      <c r="AA47" s="53">
        <f>ROUND($B$5*$B$9*$B$13*$B$16*$B$18*$B$21*$B$23,0)</f>
        <v/>
      </c>
      <c r="AB47" s="53">
        <f>ROUND($B$6*$B$9*$B$13*$B$16*$B$17*$B$19*$B$22,0)</f>
        <v/>
      </c>
      <c r="AC47" s="53">
        <f>ROUND($B$6*$B$9*$B$13*$B$16*$B$17*$B$19*$B$23,0)</f>
        <v/>
      </c>
      <c r="AD47" s="53">
        <f>ROUND($B$6*$B$9*$B$13*$B$16*$B$17*$B$20*$B$22,0)</f>
        <v/>
      </c>
      <c r="AE47" s="53">
        <f>ROUND($B$6*$B$9*$B$13*$B$16*$B$17*$B$20*$B$23,0)</f>
        <v/>
      </c>
      <c r="AF47" s="53">
        <f>ROUND($B$6*$B$9*$B$13*$B$16*$B$17*$B$21*$B$22,0)</f>
        <v/>
      </c>
      <c r="AG47" s="53">
        <f>ROUND($B$6*$B$9*$B$13*$B$16*$B$17*$B$21*$B$23,0)</f>
        <v/>
      </c>
      <c r="AH47" s="53">
        <f>ROUND($B$6*$B$9*$B$13*$B$16*$B$18*$B$19*$B$22,0)</f>
        <v/>
      </c>
      <c r="AI47" s="53">
        <f>ROUND($B$6*$B$9*$B$13*$B$16*$B$18*$B$19*$B$23,0)</f>
        <v/>
      </c>
      <c r="AJ47" s="53">
        <f>ROUND($B$6*$B$9*$B$13*$B$16*$B$18*$B$20*$B$22,0)</f>
        <v/>
      </c>
      <c r="AK47" s="53">
        <f>ROUND($B$6*$B$9*$B$13*$B$16*$B$18*$B$20*$B$23,0)</f>
        <v/>
      </c>
      <c r="AL47" s="53">
        <f>ROUND($B$6*$B$9*$B$13*$B$16*$B$18*$B$21*$B$22,0)</f>
        <v/>
      </c>
      <c r="AM47" s="53">
        <f>ROUND($B$6*$B$9*$B$13*$B$16*$B$18*$B$21*$B$23,0)</f>
        <v/>
      </c>
    </row>
    <row r="48" ht="20.1" customHeight="1" s="62">
      <c r="A48" s="103" t="inlineStr">
        <is>
          <t>Cloud managé</t>
        </is>
      </c>
      <c r="B48" s="101" t="inlineStr">
        <is>
          <t>Trafic faible (&lt; 10k/mois)</t>
        </is>
      </c>
      <c r="C48" s="49" t="inlineStr">
        <is>
          <t>Sécurité standard</t>
        </is>
      </c>
      <c r="D48" s="53">
        <f>ROUND($B$4*$B$10*$B$11*$B$14*$B$17*$B$19*$B$22,0)</f>
        <v/>
      </c>
      <c r="E48" s="53">
        <f>ROUND($B$4*$B$10*$B$11*$B$14*$B$17*$B$19*$B$23,0)</f>
        <v/>
      </c>
      <c r="F48" s="53">
        <f>ROUND($B$4*$B$10*$B$11*$B$14*$B$17*$B$20*$B$22,0)</f>
        <v/>
      </c>
      <c r="G48" s="53">
        <f>ROUND($B$4*$B$10*$B$11*$B$14*$B$17*$B$20*$B$23,0)</f>
        <v/>
      </c>
      <c r="H48" s="53">
        <f>ROUND($B$4*$B$10*$B$11*$B$14*$B$17*$B$21*$B$22,0)</f>
        <v/>
      </c>
      <c r="I48" s="53">
        <f>ROUND($B$4*$B$10*$B$11*$B$14*$B$17*$B$21*$B$23,0)</f>
        <v/>
      </c>
      <c r="J48" s="53">
        <f>ROUND($B$4*$B$10*$B$11*$B$14*$B$18*$B$19*$B$22,0)</f>
        <v/>
      </c>
      <c r="K48" s="53">
        <f>ROUND($B$4*$B$10*$B$11*$B$14*$B$18*$B$19*$B$23,0)</f>
        <v/>
      </c>
      <c r="L48" s="53">
        <f>ROUND($B$4*$B$10*$B$11*$B$14*$B$18*$B$20*$B$22,0)</f>
        <v/>
      </c>
      <c r="M48" s="53">
        <f>ROUND($B$4*$B$10*$B$11*$B$14*$B$18*$B$20*$B$23,0)</f>
        <v/>
      </c>
      <c r="N48" s="53">
        <f>ROUND($B$4*$B$10*$B$11*$B$14*$B$18*$B$21*$B$22,0)</f>
        <v/>
      </c>
      <c r="O48" s="53">
        <f>ROUND($B$4*$B$10*$B$11*$B$14*$B$18*$B$21*$B$23,0)</f>
        <v/>
      </c>
      <c r="P48" s="53">
        <f>ROUND($B$5*$B$10*$B$11*$B$14*$B$17*$B$19*$B$22,0)</f>
        <v/>
      </c>
      <c r="Q48" s="53">
        <f>ROUND($B$5*$B$10*$B$11*$B$14*$B$17*$B$19*$B$23,0)</f>
        <v/>
      </c>
      <c r="R48" s="53">
        <f>ROUND($B$5*$B$10*$B$11*$B$14*$B$17*$B$20*$B$22,0)</f>
        <v/>
      </c>
      <c r="S48" s="53">
        <f>ROUND($B$5*$B$10*$B$11*$B$14*$B$17*$B$20*$B$23,0)</f>
        <v/>
      </c>
      <c r="T48" s="53">
        <f>ROUND($B$5*$B$10*$B$11*$B$14*$B$17*$B$21*$B$22,0)</f>
        <v/>
      </c>
      <c r="U48" s="53">
        <f>ROUND($B$5*$B$10*$B$11*$B$14*$B$17*$B$21*$B$23,0)</f>
        <v/>
      </c>
      <c r="V48" s="53">
        <f>ROUND($B$5*$B$10*$B$11*$B$14*$B$18*$B$19*$B$22,0)</f>
        <v/>
      </c>
      <c r="W48" s="53">
        <f>ROUND($B$5*$B$10*$B$11*$B$14*$B$18*$B$19*$B$23,0)</f>
        <v/>
      </c>
      <c r="X48" s="53">
        <f>ROUND($B$5*$B$10*$B$11*$B$14*$B$18*$B$20*$B$22,0)</f>
        <v/>
      </c>
      <c r="Y48" s="53">
        <f>ROUND($B$5*$B$10*$B$11*$B$14*$B$18*$B$20*$B$23,0)</f>
        <v/>
      </c>
      <c r="Z48" s="53">
        <f>ROUND($B$5*$B$10*$B$11*$B$14*$B$18*$B$21*$B$22,0)</f>
        <v/>
      </c>
      <c r="AA48" s="53">
        <f>ROUND($B$5*$B$10*$B$11*$B$14*$B$18*$B$21*$B$23,0)</f>
        <v/>
      </c>
      <c r="AB48" s="53">
        <f>ROUND($B$6*$B$10*$B$11*$B$14*$B$17*$B$19*$B$22,0)</f>
        <v/>
      </c>
      <c r="AC48" s="53">
        <f>ROUND($B$6*$B$10*$B$11*$B$14*$B$17*$B$19*$B$23,0)</f>
        <v/>
      </c>
      <c r="AD48" s="53">
        <f>ROUND($B$6*$B$10*$B$11*$B$14*$B$17*$B$20*$B$22,0)</f>
        <v/>
      </c>
      <c r="AE48" s="53">
        <f>ROUND($B$6*$B$10*$B$11*$B$14*$B$17*$B$20*$B$23,0)</f>
        <v/>
      </c>
      <c r="AF48" s="53">
        <f>ROUND($B$6*$B$10*$B$11*$B$14*$B$17*$B$21*$B$22,0)</f>
        <v/>
      </c>
      <c r="AG48" s="53">
        <f>ROUND($B$6*$B$10*$B$11*$B$14*$B$17*$B$21*$B$23,0)</f>
        <v/>
      </c>
      <c r="AH48" s="53">
        <f>ROUND($B$6*$B$10*$B$11*$B$14*$B$18*$B$19*$B$22,0)</f>
        <v/>
      </c>
      <c r="AI48" s="53">
        <f>ROUND($B$6*$B$10*$B$11*$B$14*$B$18*$B$19*$B$23,0)</f>
        <v/>
      </c>
      <c r="AJ48" s="53">
        <f>ROUND($B$6*$B$10*$B$11*$B$14*$B$18*$B$20*$B$22,0)</f>
        <v/>
      </c>
      <c r="AK48" s="53">
        <f>ROUND($B$6*$B$10*$B$11*$B$14*$B$18*$B$20*$B$23,0)</f>
        <v/>
      </c>
      <c r="AL48" s="53">
        <f>ROUND($B$6*$B$10*$B$11*$B$14*$B$18*$B$21*$B$22,0)</f>
        <v/>
      </c>
      <c r="AM48" s="53">
        <f>ROUND($B$6*$B$10*$B$11*$B$14*$B$18*$B$21*$B$23,0)</f>
        <v/>
      </c>
    </row>
    <row r="49" ht="20.1" customHeight="1" s="62">
      <c r="A49" s="104" t="n"/>
      <c r="B49" s="58" t="n"/>
      <c r="C49" s="101" t="inlineStr">
        <is>
          <t>Sécurité renforcée</t>
        </is>
      </c>
      <c r="D49" s="53">
        <f>ROUND($B$4*$B$10*$B$11*$B$15*$B$17*$B$19*$B$22,0)</f>
        <v/>
      </c>
      <c r="E49" s="53">
        <f>ROUND($B$4*$B$10*$B$11*$B$15*$B$17*$B$19*$B$23,0)</f>
        <v/>
      </c>
      <c r="F49" s="53">
        <f>ROUND($B$4*$B$10*$B$11*$B$15*$B$17*$B$20*$B$22,0)</f>
        <v/>
      </c>
      <c r="G49" s="53">
        <f>ROUND($B$4*$B$10*$B$11*$B$15*$B$17*$B$20*$B$23,0)</f>
        <v/>
      </c>
      <c r="H49" s="53">
        <f>ROUND($B$4*$B$10*$B$11*$B$15*$B$17*$B$21*$B$22,0)</f>
        <v/>
      </c>
      <c r="I49" s="53">
        <f>ROUND($B$4*$B$10*$B$11*$B$15*$B$17*$B$21*$B$23,0)</f>
        <v/>
      </c>
      <c r="J49" s="53">
        <f>ROUND($B$4*$B$10*$B$11*$B$15*$B$18*$B$19*$B$22,0)</f>
        <v/>
      </c>
      <c r="K49" s="53">
        <f>ROUND($B$4*$B$10*$B$11*$B$15*$B$18*$B$19*$B$23,0)</f>
        <v/>
      </c>
      <c r="L49" s="53">
        <f>ROUND($B$4*$B$10*$B$11*$B$15*$B$18*$B$20*$B$22,0)</f>
        <v/>
      </c>
      <c r="M49" s="53">
        <f>ROUND($B$4*$B$10*$B$11*$B$15*$B$18*$B$20*$B$23,0)</f>
        <v/>
      </c>
      <c r="N49" s="53">
        <f>ROUND($B$4*$B$10*$B$11*$B$15*$B$18*$B$21*$B$22,0)</f>
        <v/>
      </c>
      <c r="O49" s="53">
        <f>ROUND($B$4*$B$10*$B$11*$B$15*$B$18*$B$21*$B$23,0)</f>
        <v/>
      </c>
      <c r="P49" s="53">
        <f>ROUND($B$5*$B$10*$B$11*$B$15*$B$17*$B$19*$B$22,0)</f>
        <v/>
      </c>
      <c r="Q49" s="53">
        <f>ROUND($B$5*$B$10*$B$11*$B$15*$B$17*$B$19*$B$23,0)</f>
        <v/>
      </c>
      <c r="R49" s="53">
        <f>ROUND($B$5*$B$10*$B$11*$B$15*$B$17*$B$20*$B$22,0)</f>
        <v/>
      </c>
      <c r="S49" s="53">
        <f>ROUND($B$5*$B$10*$B$11*$B$15*$B$17*$B$20*$B$23,0)</f>
        <v/>
      </c>
      <c r="T49" s="53">
        <f>ROUND($B$5*$B$10*$B$11*$B$15*$B$17*$B$21*$B$22,0)</f>
        <v/>
      </c>
      <c r="U49" s="53">
        <f>ROUND($B$5*$B$10*$B$11*$B$15*$B$17*$B$21*$B$23,0)</f>
        <v/>
      </c>
      <c r="V49" s="53">
        <f>ROUND($B$5*$B$10*$B$11*$B$15*$B$18*$B$19*$B$22,0)</f>
        <v/>
      </c>
      <c r="W49" s="53">
        <f>ROUND($B$5*$B$10*$B$11*$B$15*$B$18*$B$19*$B$23,0)</f>
        <v/>
      </c>
      <c r="X49" s="53">
        <f>ROUND($B$5*$B$10*$B$11*$B$15*$B$18*$B$20*$B$22,0)</f>
        <v/>
      </c>
      <c r="Y49" s="53">
        <f>ROUND($B$5*$B$10*$B$11*$B$15*$B$18*$B$20*$B$23,0)</f>
        <v/>
      </c>
      <c r="Z49" s="53">
        <f>ROUND($B$5*$B$10*$B$11*$B$15*$B$18*$B$21*$B$22,0)</f>
        <v/>
      </c>
      <c r="AA49" s="53">
        <f>ROUND($B$5*$B$10*$B$11*$B$15*$B$18*$B$21*$B$23,0)</f>
        <v/>
      </c>
      <c r="AB49" s="53">
        <f>ROUND($B$6*$B$10*$B$11*$B$15*$B$17*$B$19*$B$22,0)</f>
        <v/>
      </c>
      <c r="AC49" s="53">
        <f>ROUND($B$6*$B$10*$B$11*$B$15*$B$17*$B$19*$B$23,0)</f>
        <v/>
      </c>
      <c r="AD49" s="53">
        <f>ROUND($B$6*$B$10*$B$11*$B$15*$B$17*$B$20*$B$22,0)</f>
        <v/>
      </c>
      <c r="AE49" s="53">
        <f>ROUND($B$6*$B$10*$B$11*$B$15*$B$17*$B$20*$B$23,0)</f>
        <v/>
      </c>
      <c r="AF49" s="53">
        <f>ROUND($B$6*$B$10*$B$11*$B$15*$B$17*$B$21*$B$22,0)</f>
        <v/>
      </c>
      <c r="AG49" s="53">
        <f>ROUND($B$6*$B$10*$B$11*$B$15*$B$17*$B$21*$B$23,0)</f>
        <v/>
      </c>
      <c r="AH49" s="53">
        <f>ROUND($B$6*$B$10*$B$11*$B$15*$B$18*$B$19*$B$22,0)</f>
        <v/>
      </c>
      <c r="AI49" s="53">
        <f>ROUND($B$6*$B$10*$B$11*$B$15*$B$18*$B$19*$B$23,0)</f>
        <v/>
      </c>
      <c r="AJ49" s="53">
        <f>ROUND($B$6*$B$10*$B$11*$B$15*$B$18*$B$20*$B$22,0)</f>
        <v/>
      </c>
      <c r="AK49" s="53">
        <f>ROUND($B$6*$B$10*$B$11*$B$15*$B$18*$B$20*$B$23,0)</f>
        <v/>
      </c>
      <c r="AL49" s="53">
        <f>ROUND($B$6*$B$10*$B$11*$B$15*$B$18*$B$21*$B$22,0)</f>
        <v/>
      </c>
      <c r="AM49" s="53">
        <f>ROUND($B$6*$B$10*$B$11*$B$15*$B$18*$B$21*$B$23,0)</f>
        <v/>
      </c>
    </row>
    <row r="50" ht="20.1" customHeight="1" s="62">
      <c r="A50" s="104" t="n"/>
      <c r="B50" s="59" t="n"/>
      <c r="C50" s="51" t="inlineStr">
        <is>
          <t>Sécurité critique</t>
        </is>
      </c>
      <c r="D50" s="53">
        <f>ROUND($B$4*$B$10*$B$11*$B$16*$B$17*$B$19*$B$22,0)</f>
        <v/>
      </c>
      <c r="E50" s="53">
        <f>ROUND($B$4*$B$10*$B$11*$B$16*$B$17*$B$19*$B$23,0)</f>
        <v/>
      </c>
      <c r="F50" s="53">
        <f>ROUND($B$4*$B$10*$B$11*$B$16*$B$17*$B$20*$B$22,0)</f>
        <v/>
      </c>
      <c r="G50" s="53">
        <f>ROUND($B$4*$B$10*$B$11*$B$16*$B$17*$B$20*$B$23,0)</f>
        <v/>
      </c>
      <c r="H50" s="53">
        <f>ROUND($B$4*$B$10*$B$11*$B$16*$B$17*$B$21*$B$22,0)</f>
        <v/>
      </c>
      <c r="I50" s="53">
        <f>ROUND($B$4*$B$10*$B$11*$B$16*$B$17*$B$21*$B$23,0)</f>
        <v/>
      </c>
      <c r="J50" s="53">
        <f>ROUND($B$4*$B$10*$B$11*$B$16*$B$18*$B$19*$B$22,0)</f>
        <v/>
      </c>
      <c r="K50" s="53">
        <f>ROUND($B$4*$B$10*$B$11*$B$16*$B$18*$B$19*$B$23,0)</f>
        <v/>
      </c>
      <c r="L50" s="53">
        <f>ROUND($B$4*$B$10*$B$11*$B$16*$B$18*$B$20*$B$22,0)</f>
        <v/>
      </c>
      <c r="M50" s="53">
        <f>ROUND($B$4*$B$10*$B$11*$B$16*$B$18*$B$20*$B$23,0)</f>
        <v/>
      </c>
      <c r="N50" s="53">
        <f>ROUND($B$4*$B$10*$B$11*$B$16*$B$18*$B$21*$B$22,0)</f>
        <v/>
      </c>
      <c r="O50" s="53">
        <f>ROUND($B$4*$B$10*$B$11*$B$16*$B$18*$B$21*$B$23,0)</f>
        <v/>
      </c>
      <c r="P50" s="53">
        <f>ROUND($B$5*$B$10*$B$11*$B$16*$B$17*$B$19*$B$22,0)</f>
        <v/>
      </c>
      <c r="Q50" s="53">
        <f>ROUND($B$5*$B$10*$B$11*$B$16*$B$17*$B$19*$B$23,0)</f>
        <v/>
      </c>
      <c r="R50" s="53">
        <f>ROUND($B$5*$B$10*$B$11*$B$16*$B$17*$B$20*$B$22,0)</f>
        <v/>
      </c>
      <c r="S50" s="53">
        <f>ROUND($B$5*$B$10*$B$11*$B$16*$B$17*$B$20*$B$23,0)</f>
        <v/>
      </c>
      <c r="T50" s="53">
        <f>ROUND($B$5*$B$10*$B$11*$B$16*$B$17*$B$21*$B$22,0)</f>
        <v/>
      </c>
      <c r="U50" s="53">
        <f>ROUND($B$5*$B$10*$B$11*$B$16*$B$17*$B$21*$B$23,0)</f>
        <v/>
      </c>
      <c r="V50" s="53">
        <f>ROUND($B$5*$B$10*$B$11*$B$16*$B$18*$B$19*$B$22,0)</f>
        <v/>
      </c>
      <c r="W50" s="53">
        <f>ROUND($B$5*$B$10*$B$11*$B$16*$B$18*$B$19*$B$23,0)</f>
        <v/>
      </c>
      <c r="X50" s="53">
        <f>ROUND($B$5*$B$10*$B$11*$B$16*$B$18*$B$20*$B$22,0)</f>
        <v/>
      </c>
      <c r="Y50" s="53">
        <f>ROUND($B$5*$B$10*$B$11*$B$16*$B$18*$B$20*$B$23,0)</f>
        <v/>
      </c>
      <c r="Z50" s="53">
        <f>ROUND($B$5*$B$10*$B$11*$B$16*$B$18*$B$21*$B$22,0)</f>
        <v/>
      </c>
      <c r="AA50" s="53">
        <f>ROUND($B$5*$B$10*$B$11*$B$16*$B$18*$B$21*$B$23,0)</f>
        <v/>
      </c>
      <c r="AB50" s="53">
        <f>ROUND($B$6*$B$10*$B$11*$B$16*$B$17*$B$19*$B$22,0)</f>
        <v/>
      </c>
      <c r="AC50" s="53">
        <f>ROUND($B$6*$B$10*$B$11*$B$16*$B$17*$B$19*$B$23,0)</f>
        <v/>
      </c>
      <c r="AD50" s="53">
        <f>ROUND($B$6*$B$10*$B$11*$B$16*$B$17*$B$20*$B$22,0)</f>
        <v/>
      </c>
      <c r="AE50" s="53">
        <f>ROUND($B$6*$B$10*$B$11*$B$16*$B$17*$B$20*$B$23,0)</f>
        <v/>
      </c>
      <c r="AF50" s="53">
        <f>ROUND($B$6*$B$10*$B$11*$B$16*$B$17*$B$21*$B$22,0)</f>
        <v/>
      </c>
      <c r="AG50" s="53">
        <f>ROUND($B$6*$B$10*$B$11*$B$16*$B$17*$B$21*$B$23,0)</f>
        <v/>
      </c>
      <c r="AH50" s="53">
        <f>ROUND($B$6*$B$10*$B$11*$B$16*$B$18*$B$19*$B$22,0)</f>
        <v/>
      </c>
      <c r="AI50" s="53">
        <f>ROUND($B$6*$B$10*$B$11*$B$16*$B$18*$B$19*$B$23,0)</f>
        <v/>
      </c>
      <c r="AJ50" s="53">
        <f>ROUND($B$6*$B$10*$B$11*$B$16*$B$18*$B$20*$B$22,0)</f>
        <v/>
      </c>
      <c r="AK50" s="53">
        <f>ROUND($B$6*$B$10*$B$11*$B$16*$B$18*$B$20*$B$23,0)</f>
        <v/>
      </c>
      <c r="AL50" s="53">
        <f>ROUND($B$6*$B$10*$B$11*$B$16*$B$18*$B$21*$B$22,0)</f>
        <v/>
      </c>
      <c r="AM50" s="53">
        <f>ROUND($B$6*$B$10*$B$11*$B$16*$B$18*$B$21*$B$23,0)</f>
        <v/>
      </c>
    </row>
    <row r="51" ht="20.1" customHeight="1" s="62">
      <c r="A51" s="104" t="n"/>
      <c r="B51" s="101" t="inlineStr">
        <is>
          <t>Trafic moyen (10k-100k/mois)</t>
        </is>
      </c>
      <c r="C51" s="49" t="inlineStr">
        <is>
          <t>Sécurité standard</t>
        </is>
      </c>
      <c r="D51" s="53">
        <f>ROUND($B$4*$B$10*$B$12*$B$14*$B$17*$B$19*$B$22,0)</f>
        <v/>
      </c>
      <c r="E51" s="53">
        <f>ROUND($B$4*$B$10*$B$12*$B$14*$B$17*$B$19*$B$23,0)</f>
        <v/>
      </c>
      <c r="F51" s="53">
        <f>ROUND($B$4*$B$10*$B$12*$B$14*$B$17*$B$20*$B$22,0)</f>
        <v/>
      </c>
      <c r="G51" s="53">
        <f>ROUND($B$4*$B$10*$B$12*$B$14*$B$17*$B$20*$B$23,0)</f>
        <v/>
      </c>
      <c r="H51" s="53">
        <f>ROUND($B$4*$B$10*$B$12*$B$14*$B$17*$B$21*$B$22,0)</f>
        <v/>
      </c>
      <c r="I51" s="53">
        <f>ROUND($B$4*$B$10*$B$12*$B$14*$B$17*$B$21*$B$23,0)</f>
        <v/>
      </c>
      <c r="J51" s="53">
        <f>ROUND($B$4*$B$10*$B$12*$B$14*$B$18*$B$19*$B$22,0)</f>
        <v/>
      </c>
      <c r="K51" s="53">
        <f>ROUND($B$4*$B$10*$B$12*$B$14*$B$18*$B$19*$B$23,0)</f>
        <v/>
      </c>
      <c r="L51" s="53">
        <f>ROUND($B$4*$B$10*$B$12*$B$14*$B$18*$B$20*$B$22,0)</f>
        <v/>
      </c>
      <c r="M51" s="53">
        <f>ROUND($B$4*$B$10*$B$12*$B$14*$B$18*$B$20*$B$23,0)</f>
        <v/>
      </c>
      <c r="N51" s="53">
        <f>ROUND($B$4*$B$10*$B$12*$B$14*$B$18*$B$21*$B$22,0)</f>
        <v/>
      </c>
      <c r="O51" s="53">
        <f>ROUND($B$4*$B$10*$B$12*$B$14*$B$18*$B$21*$B$23,0)</f>
        <v/>
      </c>
      <c r="P51" s="53">
        <f>ROUND($B$5*$B$10*$B$12*$B$14*$B$17*$B$19*$B$22,0)</f>
        <v/>
      </c>
      <c r="Q51" s="53">
        <f>ROUND($B$5*$B$10*$B$12*$B$14*$B$17*$B$19*$B$23,0)</f>
        <v/>
      </c>
      <c r="R51" s="53">
        <f>ROUND($B$5*$B$10*$B$12*$B$14*$B$17*$B$20*$B$22,0)</f>
        <v/>
      </c>
      <c r="S51" s="53">
        <f>ROUND($B$5*$B$10*$B$12*$B$14*$B$17*$B$20*$B$23,0)</f>
        <v/>
      </c>
      <c r="T51" s="53">
        <f>ROUND($B$5*$B$10*$B$12*$B$14*$B$17*$B$21*$B$22,0)</f>
        <v/>
      </c>
      <c r="U51" s="53">
        <f>ROUND($B$5*$B$10*$B$12*$B$14*$B$17*$B$21*$B$23,0)</f>
        <v/>
      </c>
      <c r="V51" s="53">
        <f>ROUND($B$5*$B$10*$B$12*$B$14*$B$18*$B$19*$B$22,0)</f>
        <v/>
      </c>
      <c r="W51" s="53">
        <f>ROUND($B$5*$B$10*$B$12*$B$14*$B$18*$B$19*$B$23,0)</f>
        <v/>
      </c>
      <c r="X51" s="53">
        <f>ROUND($B$5*$B$10*$B$12*$B$14*$B$18*$B$20*$B$22,0)</f>
        <v/>
      </c>
      <c r="Y51" s="53">
        <f>ROUND($B$5*$B$10*$B$12*$B$14*$B$18*$B$20*$B$23,0)</f>
        <v/>
      </c>
      <c r="Z51" s="53">
        <f>ROUND($B$5*$B$10*$B$12*$B$14*$B$18*$B$21*$B$22,0)</f>
        <v/>
      </c>
      <c r="AA51" s="53">
        <f>ROUND($B$5*$B$10*$B$12*$B$14*$B$18*$B$21*$B$23,0)</f>
        <v/>
      </c>
      <c r="AB51" s="53">
        <f>ROUND($B$6*$B$10*$B$12*$B$14*$B$17*$B$19*$B$22,0)</f>
        <v/>
      </c>
      <c r="AC51" s="53">
        <f>ROUND($B$6*$B$10*$B$12*$B$14*$B$17*$B$19*$B$23,0)</f>
        <v/>
      </c>
      <c r="AD51" s="53">
        <f>ROUND($B$6*$B$10*$B$12*$B$14*$B$17*$B$20*$B$22,0)</f>
        <v/>
      </c>
      <c r="AE51" s="53">
        <f>ROUND($B$6*$B$10*$B$12*$B$14*$B$17*$B$20*$B$23,0)</f>
        <v/>
      </c>
      <c r="AF51" s="53">
        <f>ROUND($B$6*$B$10*$B$12*$B$14*$B$17*$B$21*$B$22,0)</f>
        <v/>
      </c>
      <c r="AG51" s="53">
        <f>ROUND($B$6*$B$10*$B$12*$B$14*$B$17*$B$21*$B$23,0)</f>
        <v/>
      </c>
      <c r="AH51" s="53">
        <f>ROUND($B$6*$B$10*$B$12*$B$14*$B$18*$B$19*$B$22,0)</f>
        <v/>
      </c>
      <c r="AI51" s="53">
        <f>ROUND($B$6*$B$10*$B$12*$B$14*$B$18*$B$19*$B$23,0)</f>
        <v/>
      </c>
      <c r="AJ51" s="53">
        <f>ROUND($B$6*$B$10*$B$12*$B$14*$B$18*$B$20*$B$22,0)</f>
        <v/>
      </c>
      <c r="AK51" s="53">
        <f>ROUND($B$6*$B$10*$B$12*$B$14*$B$18*$B$20*$B$23,0)</f>
        <v/>
      </c>
      <c r="AL51" s="53">
        <f>ROUND($B$6*$B$10*$B$12*$B$14*$B$18*$B$21*$B$22,0)</f>
        <v/>
      </c>
      <c r="AM51" s="53">
        <f>ROUND($B$6*$B$10*$B$12*$B$14*$B$18*$B$21*$B$23,0)</f>
        <v/>
      </c>
    </row>
    <row r="52" ht="20.1" customHeight="1" s="62">
      <c r="A52" s="104" t="n"/>
      <c r="B52" s="58" t="n"/>
      <c r="C52" s="101" t="inlineStr">
        <is>
          <t>Sécurité renforcée</t>
        </is>
      </c>
      <c r="D52" s="53">
        <f>ROUND($B$4*$B$10*$B$12*$B$15*$B$17*$B$19*$B$22,0)</f>
        <v/>
      </c>
      <c r="E52" s="53">
        <f>ROUND($B$4*$B$10*$B$12*$B$15*$B$17*$B$19*$B$23,0)</f>
        <v/>
      </c>
      <c r="F52" s="53">
        <f>ROUND($B$4*$B$10*$B$12*$B$15*$B$17*$B$20*$B$22,0)</f>
        <v/>
      </c>
      <c r="G52" s="53">
        <f>ROUND($B$4*$B$10*$B$12*$B$15*$B$17*$B$20*$B$23,0)</f>
        <v/>
      </c>
      <c r="H52" s="53">
        <f>ROUND($B$4*$B$10*$B$12*$B$15*$B$17*$B$21*$B$22,0)</f>
        <v/>
      </c>
      <c r="I52" s="53">
        <f>ROUND($B$4*$B$10*$B$12*$B$15*$B$17*$B$21*$B$23,0)</f>
        <v/>
      </c>
      <c r="J52" s="53">
        <f>ROUND($B$4*$B$10*$B$12*$B$15*$B$18*$B$19*$B$22,0)</f>
        <v/>
      </c>
      <c r="K52" s="53">
        <f>ROUND($B$4*$B$10*$B$12*$B$15*$B$18*$B$19*$B$23,0)</f>
        <v/>
      </c>
      <c r="L52" s="53">
        <f>ROUND($B$4*$B$10*$B$12*$B$15*$B$18*$B$20*$B$22,0)</f>
        <v/>
      </c>
      <c r="M52" s="53">
        <f>ROUND($B$4*$B$10*$B$12*$B$15*$B$18*$B$20*$B$23,0)</f>
        <v/>
      </c>
      <c r="N52" s="53">
        <f>ROUND($B$4*$B$10*$B$12*$B$15*$B$18*$B$21*$B$22,0)</f>
        <v/>
      </c>
      <c r="O52" s="53">
        <f>ROUND($B$4*$B$10*$B$12*$B$15*$B$18*$B$21*$B$23,0)</f>
        <v/>
      </c>
      <c r="P52" s="53">
        <f>ROUND($B$5*$B$10*$B$12*$B$15*$B$17*$B$19*$B$22,0)</f>
        <v/>
      </c>
      <c r="Q52" s="53">
        <f>ROUND($B$5*$B$10*$B$12*$B$15*$B$17*$B$19*$B$23,0)</f>
        <v/>
      </c>
      <c r="R52" s="53">
        <f>ROUND($B$5*$B$10*$B$12*$B$15*$B$17*$B$20*$B$22,0)</f>
        <v/>
      </c>
      <c r="S52" s="53">
        <f>ROUND($B$5*$B$10*$B$12*$B$15*$B$17*$B$20*$B$23,0)</f>
        <v/>
      </c>
      <c r="T52" s="53">
        <f>ROUND($B$5*$B$10*$B$12*$B$15*$B$17*$B$21*$B$22,0)</f>
        <v/>
      </c>
      <c r="U52" s="53">
        <f>ROUND($B$5*$B$10*$B$12*$B$15*$B$17*$B$21*$B$23,0)</f>
        <v/>
      </c>
      <c r="V52" s="53">
        <f>ROUND($B$5*$B$10*$B$12*$B$15*$B$18*$B$19*$B$22,0)</f>
        <v/>
      </c>
      <c r="W52" s="53">
        <f>ROUND($B$5*$B$10*$B$12*$B$15*$B$18*$B$19*$B$23,0)</f>
        <v/>
      </c>
      <c r="X52" s="53">
        <f>ROUND($B$5*$B$10*$B$12*$B$15*$B$18*$B$20*$B$22,0)</f>
        <v/>
      </c>
      <c r="Y52" s="53">
        <f>ROUND($B$5*$B$10*$B$12*$B$15*$B$18*$B$20*$B$23,0)</f>
        <v/>
      </c>
      <c r="Z52" s="53">
        <f>ROUND($B$5*$B$10*$B$12*$B$15*$B$18*$B$21*$B$22,0)</f>
        <v/>
      </c>
      <c r="AA52" s="53">
        <f>ROUND($B$5*$B$10*$B$12*$B$15*$B$18*$B$21*$B$23,0)</f>
        <v/>
      </c>
      <c r="AB52" s="53">
        <f>ROUND($B$6*$B$10*$B$12*$B$15*$B$17*$B$19*$B$22,0)</f>
        <v/>
      </c>
      <c r="AC52" s="53">
        <f>ROUND($B$6*$B$10*$B$12*$B$15*$B$17*$B$19*$B$23,0)</f>
        <v/>
      </c>
      <c r="AD52" s="53">
        <f>ROUND($B$6*$B$10*$B$12*$B$15*$B$17*$B$20*$B$22,0)</f>
        <v/>
      </c>
      <c r="AE52" s="53">
        <f>ROUND($B$6*$B$10*$B$12*$B$15*$B$17*$B$20*$B$23,0)</f>
        <v/>
      </c>
      <c r="AF52" s="53">
        <f>ROUND($B$6*$B$10*$B$12*$B$15*$B$17*$B$21*$B$22,0)</f>
        <v/>
      </c>
      <c r="AG52" s="53">
        <f>ROUND($B$6*$B$10*$B$12*$B$15*$B$17*$B$21*$B$23,0)</f>
        <v/>
      </c>
      <c r="AH52" s="53">
        <f>ROUND($B$6*$B$10*$B$12*$B$15*$B$18*$B$19*$B$22,0)</f>
        <v/>
      </c>
      <c r="AI52" s="53">
        <f>ROUND($B$6*$B$10*$B$12*$B$15*$B$18*$B$19*$B$23,0)</f>
        <v/>
      </c>
      <c r="AJ52" s="53">
        <f>ROUND($B$6*$B$10*$B$12*$B$15*$B$18*$B$20*$B$22,0)</f>
        <v/>
      </c>
      <c r="AK52" s="53">
        <f>ROUND($B$6*$B$10*$B$12*$B$15*$B$18*$B$20*$B$23,0)</f>
        <v/>
      </c>
      <c r="AL52" s="53">
        <f>ROUND($B$6*$B$10*$B$12*$B$15*$B$18*$B$21*$B$22,0)</f>
        <v/>
      </c>
      <c r="AM52" s="53">
        <f>ROUND($B$6*$B$10*$B$12*$B$15*$B$18*$B$21*$B$23,0)</f>
        <v/>
      </c>
    </row>
    <row r="53" ht="20.1" customHeight="1" s="62">
      <c r="A53" s="104" t="n"/>
      <c r="B53" s="59" t="n"/>
      <c r="C53" s="51" t="inlineStr">
        <is>
          <t>Sécurité critique</t>
        </is>
      </c>
      <c r="D53" s="53">
        <f>ROUND($B$4*$B$10*$B$12*$B$16*$B$17*$B$19*$B$22,0)</f>
        <v/>
      </c>
      <c r="E53" s="53">
        <f>ROUND($B$4*$B$10*$B$12*$B$16*$B$17*$B$19*$B$23,0)</f>
        <v/>
      </c>
      <c r="F53" s="53">
        <f>ROUND($B$4*$B$10*$B$12*$B$16*$B$17*$B$20*$B$22,0)</f>
        <v/>
      </c>
      <c r="G53" s="53">
        <f>ROUND($B$4*$B$10*$B$12*$B$16*$B$17*$B$20*$B$23,0)</f>
        <v/>
      </c>
      <c r="H53" s="53">
        <f>ROUND($B$4*$B$10*$B$12*$B$16*$B$17*$B$21*$B$22,0)</f>
        <v/>
      </c>
      <c r="I53" s="53">
        <f>ROUND($B$4*$B$10*$B$12*$B$16*$B$17*$B$21*$B$23,0)</f>
        <v/>
      </c>
      <c r="J53" s="53">
        <f>ROUND($B$4*$B$10*$B$12*$B$16*$B$18*$B$19*$B$22,0)</f>
        <v/>
      </c>
      <c r="K53" s="53">
        <f>ROUND($B$4*$B$10*$B$12*$B$16*$B$18*$B$19*$B$23,0)</f>
        <v/>
      </c>
      <c r="L53" s="53">
        <f>ROUND($B$4*$B$10*$B$12*$B$16*$B$18*$B$20*$B$22,0)</f>
        <v/>
      </c>
      <c r="M53" s="53">
        <f>ROUND($B$4*$B$10*$B$12*$B$16*$B$18*$B$20*$B$23,0)</f>
        <v/>
      </c>
      <c r="N53" s="53">
        <f>ROUND($B$4*$B$10*$B$12*$B$16*$B$18*$B$21*$B$22,0)</f>
        <v/>
      </c>
      <c r="O53" s="53">
        <f>ROUND($B$4*$B$10*$B$12*$B$16*$B$18*$B$21*$B$23,0)</f>
        <v/>
      </c>
      <c r="P53" s="53">
        <f>ROUND($B$5*$B$10*$B$12*$B$16*$B$17*$B$19*$B$22,0)</f>
        <v/>
      </c>
      <c r="Q53" s="53">
        <f>ROUND($B$5*$B$10*$B$12*$B$16*$B$17*$B$19*$B$23,0)</f>
        <v/>
      </c>
      <c r="R53" s="53">
        <f>ROUND($B$5*$B$10*$B$12*$B$16*$B$17*$B$20*$B$22,0)</f>
        <v/>
      </c>
      <c r="S53" s="53">
        <f>ROUND($B$5*$B$10*$B$12*$B$16*$B$17*$B$20*$B$23,0)</f>
        <v/>
      </c>
      <c r="T53" s="53">
        <f>ROUND($B$5*$B$10*$B$12*$B$16*$B$17*$B$21*$B$22,0)</f>
        <v/>
      </c>
      <c r="U53" s="53">
        <f>ROUND($B$5*$B$10*$B$12*$B$16*$B$17*$B$21*$B$23,0)</f>
        <v/>
      </c>
      <c r="V53" s="53">
        <f>ROUND($B$5*$B$10*$B$12*$B$16*$B$18*$B$19*$B$22,0)</f>
        <v/>
      </c>
      <c r="W53" s="53">
        <f>ROUND($B$5*$B$10*$B$12*$B$16*$B$18*$B$19*$B$23,0)</f>
        <v/>
      </c>
      <c r="X53" s="53">
        <f>ROUND($B$5*$B$10*$B$12*$B$16*$B$18*$B$20*$B$22,0)</f>
        <v/>
      </c>
      <c r="Y53" s="53">
        <f>ROUND($B$5*$B$10*$B$12*$B$16*$B$18*$B$20*$B$23,0)</f>
        <v/>
      </c>
      <c r="Z53" s="53">
        <f>ROUND($B$5*$B$10*$B$12*$B$16*$B$18*$B$21*$B$22,0)</f>
        <v/>
      </c>
      <c r="AA53" s="53">
        <f>ROUND($B$5*$B$10*$B$12*$B$16*$B$18*$B$21*$B$23,0)</f>
        <v/>
      </c>
      <c r="AB53" s="53">
        <f>ROUND($B$6*$B$10*$B$12*$B$16*$B$17*$B$19*$B$22,0)</f>
        <v/>
      </c>
      <c r="AC53" s="53">
        <f>ROUND($B$6*$B$10*$B$12*$B$16*$B$17*$B$19*$B$23,0)</f>
        <v/>
      </c>
      <c r="AD53" s="53">
        <f>ROUND($B$6*$B$10*$B$12*$B$16*$B$17*$B$20*$B$22,0)</f>
        <v/>
      </c>
      <c r="AE53" s="53">
        <f>ROUND($B$6*$B$10*$B$12*$B$16*$B$17*$B$20*$B$23,0)</f>
        <v/>
      </c>
      <c r="AF53" s="53">
        <f>ROUND($B$6*$B$10*$B$12*$B$16*$B$17*$B$21*$B$22,0)</f>
        <v/>
      </c>
      <c r="AG53" s="53">
        <f>ROUND($B$6*$B$10*$B$12*$B$16*$B$17*$B$21*$B$23,0)</f>
        <v/>
      </c>
      <c r="AH53" s="53">
        <f>ROUND($B$6*$B$10*$B$12*$B$16*$B$18*$B$19*$B$22,0)</f>
        <v/>
      </c>
      <c r="AI53" s="53">
        <f>ROUND($B$6*$B$10*$B$12*$B$16*$B$18*$B$19*$B$23,0)</f>
        <v/>
      </c>
      <c r="AJ53" s="53">
        <f>ROUND($B$6*$B$10*$B$12*$B$16*$B$18*$B$20*$B$22,0)</f>
        <v/>
      </c>
      <c r="AK53" s="53">
        <f>ROUND($B$6*$B$10*$B$12*$B$16*$B$18*$B$20*$B$23,0)</f>
        <v/>
      </c>
      <c r="AL53" s="53">
        <f>ROUND($B$6*$B$10*$B$12*$B$16*$B$18*$B$21*$B$22,0)</f>
        <v/>
      </c>
      <c r="AM53" s="53">
        <f>ROUND($B$6*$B$10*$B$12*$B$16*$B$18*$B$21*$B$23,0)</f>
        <v/>
      </c>
    </row>
    <row r="54" ht="20.1" customHeight="1" s="62">
      <c r="A54" s="104" t="n"/>
      <c r="B54" s="101" t="inlineStr">
        <is>
          <t>Trafic élevé (100k+/mois)</t>
        </is>
      </c>
      <c r="C54" s="49" t="inlineStr">
        <is>
          <t>Sécurité standard</t>
        </is>
      </c>
      <c r="D54" s="53">
        <f>ROUND($B$4*$B$10*$B$13*$B$14*$B$17*$B$19*$B$22,0)</f>
        <v/>
      </c>
      <c r="E54" s="53">
        <f>ROUND($B$4*$B$10*$B$13*$B$14*$B$17*$B$19*$B$23,0)</f>
        <v/>
      </c>
      <c r="F54" s="53">
        <f>ROUND($B$4*$B$10*$B$13*$B$14*$B$17*$B$20*$B$22,0)</f>
        <v/>
      </c>
      <c r="G54" s="53">
        <f>ROUND($B$4*$B$10*$B$13*$B$14*$B$17*$B$20*$B$23,0)</f>
        <v/>
      </c>
      <c r="H54" s="53">
        <f>ROUND($B$4*$B$10*$B$13*$B$14*$B$17*$B$21*$B$22,0)</f>
        <v/>
      </c>
      <c r="I54" s="53">
        <f>ROUND($B$4*$B$10*$B$13*$B$14*$B$17*$B$21*$B$23,0)</f>
        <v/>
      </c>
      <c r="J54" s="53">
        <f>ROUND($B$4*$B$10*$B$13*$B$14*$B$18*$B$19*$B$22,0)</f>
        <v/>
      </c>
      <c r="K54" s="53">
        <f>ROUND($B$4*$B$10*$B$13*$B$14*$B$18*$B$19*$B$23,0)</f>
        <v/>
      </c>
      <c r="L54" s="53">
        <f>ROUND($B$4*$B$10*$B$13*$B$14*$B$18*$B$20*$B$22,0)</f>
        <v/>
      </c>
      <c r="M54" s="53">
        <f>ROUND($B$4*$B$10*$B$13*$B$14*$B$18*$B$20*$B$23,0)</f>
        <v/>
      </c>
      <c r="N54" s="53">
        <f>ROUND($B$4*$B$10*$B$13*$B$14*$B$18*$B$21*$B$22,0)</f>
        <v/>
      </c>
      <c r="O54" s="53">
        <f>ROUND($B$4*$B$10*$B$13*$B$14*$B$18*$B$21*$B$23,0)</f>
        <v/>
      </c>
      <c r="P54" s="53">
        <f>ROUND($B$5*$B$10*$B$13*$B$14*$B$17*$B$19*$B$22,0)</f>
        <v/>
      </c>
      <c r="Q54" s="53">
        <f>ROUND($B$5*$B$10*$B$13*$B$14*$B$17*$B$19*$B$23,0)</f>
        <v/>
      </c>
      <c r="R54" s="53">
        <f>ROUND($B$5*$B$10*$B$13*$B$14*$B$17*$B$20*$B$22,0)</f>
        <v/>
      </c>
      <c r="S54" s="53">
        <f>ROUND($B$5*$B$10*$B$13*$B$14*$B$17*$B$20*$B$23,0)</f>
        <v/>
      </c>
      <c r="T54" s="53">
        <f>ROUND($B$5*$B$10*$B$13*$B$14*$B$17*$B$21*$B$22,0)</f>
        <v/>
      </c>
      <c r="U54" s="53">
        <f>ROUND($B$5*$B$10*$B$13*$B$14*$B$17*$B$21*$B$23,0)</f>
        <v/>
      </c>
      <c r="V54" s="53">
        <f>ROUND($B$5*$B$10*$B$13*$B$14*$B$18*$B$19*$B$22,0)</f>
        <v/>
      </c>
      <c r="W54" s="53">
        <f>ROUND($B$5*$B$10*$B$13*$B$14*$B$18*$B$19*$B$23,0)</f>
        <v/>
      </c>
      <c r="X54" s="53">
        <f>ROUND($B$5*$B$10*$B$13*$B$14*$B$18*$B$20*$B$22,0)</f>
        <v/>
      </c>
      <c r="Y54" s="53">
        <f>ROUND($B$5*$B$10*$B$13*$B$14*$B$18*$B$20*$B$23,0)</f>
        <v/>
      </c>
      <c r="Z54" s="53">
        <f>ROUND($B$5*$B$10*$B$13*$B$14*$B$18*$B$21*$B$22,0)</f>
        <v/>
      </c>
      <c r="AA54" s="53">
        <f>ROUND($B$5*$B$10*$B$13*$B$14*$B$18*$B$21*$B$23,0)</f>
        <v/>
      </c>
      <c r="AB54" s="53">
        <f>ROUND($B$6*$B$10*$B$13*$B$14*$B$17*$B$19*$B$22,0)</f>
        <v/>
      </c>
      <c r="AC54" s="53">
        <f>ROUND($B$6*$B$10*$B$13*$B$14*$B$17*$B$19*$B$23,0)</f>
        <v/>
      </c>
      <c r="AD54" s="53">
        <f>ROUND($B$6*$B$10*$B$13*$B$14*$B$17*$B$20*$B$22,0)</f>
        <v/>
      </c>
      <c r="AE54" s="53">
        <f>ROUND($B$6*$B$10*$B$13*$B$14*$B$17*$B$20*$B$23,0)</f>
        <v/>
      </c>
      <c r="AF54" s="53">
        <f>ROUND($B$6*$B$10*$B$13*$B$14*$B$17*$B$21*$B$22,0)</f>
        <v/>
      </c>
      <c r="AG54" s="53">
        <f>ROUND($B$6*$B$10*$B$13*$B$14*$B$17*$B$21*$B$23,0)</f>
        <v/>
      </c>
      <c r="AH54" s="53">
        <f>ROUND($B$6*$B$10*$B$13*$B$14*$B$18*$B$19*$B$22,0)</f>
        <v/>
      </c>
      <c r="AI54" s="53">
        <f>ROUND($B$6*$B$10*$B$13*$B$14*$B$18*$B$19*$B$23,0)</f>
        <v/>
      </c>
      <c r="AJ54" s="53">
        <f>ROUND($B$6*$B$10*$B$13*$B$14*$B$18*$B$20*$B$22,0)</f>
        <v/>
      </c>
      <c r="AK54" s="53">
        <f>ROUND($B$6*$B$10*$B$13*$B$14*$B$18*$B$20*$B$23,0)</f>
        <v/>
      </c>
      <c r="AL54" s="53">
        <f>ROUND($B$6*$B$10*$B$13*$B$14*$B$18*$B$21*$B$22,0)</f>
        <v/>
      </c>
      <c r="AM54" s="53">
        <f>ROUND($B$6*$B$10*$B$13*$B$14*$B$18*$B$21*$B$23,0)</f>
        <v/>
      </c>
    </row>
    <row r="55" ht="20.1" customHeight="1" s="62">
      <c r="A55" s="104" t="n"/>
      <c r="B55" s="58" t="n"/>
      <c r="C55" s="101" t="inlineStr">
        <is>
          <t>Sécurité renforcée</t>
        </is>
      </c>
      <c r="D55" s="53">
        <f>ROUND($B$4*$B$10*$B$13*$B$15*$B$17*$B$19*$B$22,0)</f>
        <v/>
      </c>
      <c r="E55" s="53">
        <f>ROUND($B$4*$B$10*$B$13*$B$15*$B$17*$B$19*$B$23,0)</f>
        <v/>
      </c>
      <c r="F55" s="53">
        <f>ROUND($B$4*$B$10*$B$13*$B$15*$B$17*$B$20*$B$22,0)</f>
        <v/>
      </c>
      <c r="G55" s="53">
        <f>ROUND($B$4*$B$10*$B$13*$B$15*$B$17*$B$20*$B$23,0)</f>
        <v/>
      </c>
      <c r="H55" s="53">
        <f>ROUND($B$4*$B$10*$B$13*$B$15*$B$17*$B$21*$B$22,0)</f>
        <v/>
      </c>
      <c r="I55" s="53">
        <f>ROUND($B$4*$B$10*$B$13*$B$15*$B$17*$B$21*$B$23,0)</f>
        <v/>
      </c>
      <c r="J55" s="53">
        <f>ROUND($B$4*$B$10*$B$13*$B$15*$B$18*$B$19*$B$22,0)</f>
        <v/>
      </c>
      <c r="K55" s="53">
        <f>ROUND($B$4*$B$10*$B$13*$B$15*$B$18*$B$19*$B$23,0)</f>
        <v/>
      </c>
      <c r="L55" s="53">
        <f>ROUND($B$4*$B$10*$B$13*$B$15*$B$18*$B$20*$B$22,0)</f>
        <v/>
      </c>
      <c r="M55" s="53">
        <f>ROUND($B$4*$B$10*$B$13*$B$15*$B$18*$B$20*$B$23,0)</f>
        <v/>
      </c>
      <c r="N55" s="53">
        <f>ROUND($B$4*$B$10*$B$13*$B$15*$B$18*$B$21*$B$22,0)</f>
        <v/>
      </c>
      <c r="O55" s="53">
        <f>ROUND($B$4*$B$10*$B$13*$B$15*$B$18*$B$21*$B$23,0)</f>
        <v/>
      </c>
      <c r="P55" s="53">
        <f>ROUND($B$5*$B$10*$B$13*$B$15*$B$17*$B$19*$B$22,0)</f>
        <v/>
      </c>
      <c r="Q55" s="53">
        <f>ROUND($B$5*$B$10*$B$13*$B$15*$B$17*$B$19*$B$23,0)</f>
        <v/>
      </c>
      <c r="R55" s="53">
        <f>ROUND($B$5*$B$10*$B$13*$B$15*$B$17*$B$20*$B$22,0)</f>
        <v/>
      </c>
      <c r="S55" s="53">
        <f>ROUND($B$5*$B$10*$B$13*$B$15*$B$17*$B$20*$B$23,0)</f>
        <v/>
      </c>
      <c r="T55" s="53">
        <f>ROUND($B$5*$B$10*$B$13*$B$15*$B$17*$B$21*$B$22,0)</f>
        <v/>
      </c>
      <c r="U55" s="53">
        <f>ROUND($B$5*$B$10*$B$13*$B$15*$B$17*$B$21*$B$23,0)</f>
        <v/>
      </c>
      <c r="V55" s="53">
        <f>ROUND($B$5*$B$10*$B$13*$B$15*$B$18*$B$19*$B$22,0)</f>
        <v/>
      </c>
      <c r="W55" s="53">
        <f>ROUND($B$5*$B$10*$B$13*$B$15*$B$18*$B$19*$B$23,0)</f>
        <v/>
      </c>
      <c r="X55" s="53">
        <f>ROUND($B$5*$B$10*$B$13*$B$15*$B$18*$B$20*$B$22,0)</f>
        <v/>
      </c>
      <c r="Y55" s="53">
        <f>ROUND($B$5*$B$10*$B$13*$B$15*$B$18*$B$20*$B$23,0)</f>
        <v/>
      </c>
      <c r="Z55" s="53">
        <f>ROUND($B$5*$B$10*$B$13*$B$15*$B$18*$B$21*$B$22,0)</f>
        <v/>
      </c>
      <c r="AA55" s="53">
        <f>ROUND($B$5*$B$10*$B$13*$B$15*$B$18*$B$21*$B$23,0)</f>
        <v/>
      </c>
      <c r="AB55" s="53">
        <f>ROUND($B$6*$B$10*$B$13*$B$15*$B$17*$B$19*$B$22,0)</f>
        <v/>
      </c>
      <c r="AC55" s="53">
        <f>ROUND($B$6*$B$10*$B$13*$B$15*$B$17*$B$19*$B$23,0)</f>
        <v/>
      </c>
      <c r="AD55" s="53">
        <f>ROUND($B$6*$B$10*$B$13*$B$15*$B$17*$B$20*$B$22,0)</f>
        <v/>
      </c>
      <c r="AE55" s="53">
        <f>ROUND($B$6*$B$10*$B$13*$B$15*$B$17*$B$20*$B$23,0)</f>
        <v/>
      </c>
      <c r="AF55" s="53">
        <f>ROUND($B$6*$B$10*$B$13*$B$15*$B$17*$B$21*$B$22,0)</f>
        <v/>
      </c>
      <c r="AG55" s="53">
        <f>ROUND($B$6*$B$10*$B$13*$B$15*$B$17*$B$21*$B$23,0)</f>
        <v/>
      </c>
      <c r="AH55" s="53">
        <f>ROUND($B$6*$B$10*$B$13*$B$15*$B$18*$B$19*$B$22,0)</f>
        <v/>
      </c>
      <c r="AI55" s="53">
        <f>ROUND($B$6*$B$10*$B$13*$B$15*$B$18*$B$19*$B$23,0)</f>
        <v/>
      </c>
      <c r="AJ55" s="53">
        <f>ROUND($B$6*$B$10*$B$13*$B$15*$B$18*$B$20*$B$22,0)</f>
        <v/>
      </c>
      <c r="AK55" s="53">
        <f>ROUND($B$6*$B$10*$B$13*$B$15*$B$18*$B$20*$B$23,0)</f>
        <v/>
      </c>
      <c r="AL55" s="53">
        <f>ROUND($B$6*$B$10*$B$13*$B$15*$B$18*$B$21*$B$22,0)</f>
        <v/>
      </c>
      <c r="AM55" s="53">
        <f>ROUND($B$6*$B$10*$B$13*$B$15*$B$18*$B$21*$B$23,0)</f>
        <v/>
      </c>
    </row>
    <row r="56" ht="20.1" customHeight="1" s="62">
      <c r="A56" s="105" t="n"/>
      <c r="B56" s="59" t="n"/>
      <c r="C56" s="51" t="inlineStr">
        <is>
          <t>Sécurité critique</t>
        </is>
      </c>
      <c r="D56" s="53">
        <f>ROUND($B$4*$B$10*$B$13*$B$16*$B$17*$B$19*$B$22,0)</f>
        <v/>
      </c>
      <c r="E56" s="53">
        <f>ROUND($B$4*$B$10*$B$13*$B$16*$B$17*$B$19*$B$23,0)</f>
        <v/>
      </c>
      <c r="F56" s="53">
        <f>ROUND($B$4*$B$10*$B$13*$B$16*$B$17*$B$20*$B$22,0)</f>
        <v/>
      </c>
      <c r="G56" s="53">
        <f>ROUND($B$4*$B$10*$B$13*$B$16*$B$17*$B$20*$B$23,0)</f>
        <v/>
      </c>
      <c r="H56" s="53">
        <f>ROUND($B$4*$B$10*$B$13*$B$16*$B$17*$B$21*$B$22,0)</f>
        <v/>
      </c>
      <c r="I56" s="53">
        <f>ROUND($B$4*$B$10*$B$13*$B$16*$B$17*$B$21*$B$23,0)</f>
        <v/>
      </c>
      <c r="J56" s="53">
        <f>ROUND($B$4*$B$10*$B$13*$B$16*$B$18*$B$19*$B$22,0)</f>
        <v/>
      </c>
      <c r="K56" s="53">
        <f>ROUND($B$4*$B$10*$B$13*$B$16*$B$18*$B$19*$B$23,0)</f>
        <v/>
      </c>
      <c r="L56" s="53">
        <f>ROUND($B$4*$B$10*$B$13*$B$16*$B$18*$B$20*$B$22,0)</f>
        <v/>
      </c>
      <c r="M56" s="53">
        <f>ROUND($B$4*$B$10*$B$13*$B$16*$B$18*$B$20*$B$23,0)</f>
        <v/>
      </c>
      <c r="N56" s="53">
        <f>ROUND($B$4*$B$10*$B$13*$B$16*$B$18*$B$21*$B$22,0)</f>
        <v/>
      </c>
      <c r="O56" s="53">
        <f>ROUND($B$4*$B$10*$B$13*$B$16*$B$18*$B$21*$B$23,0)</f>
        <v/>
      </c>
      <c r="P56" s="53">
        <f>ROUND($B$5*$B$10*$B$13*$B$16*$B$17*$B$19*$B$22,0)</f>
        <v/>
      </c>
      <c r="Q56" s="53">
        <f>ROUND($B$5*$B$10*$B$13*$B$16*$B$17*$B$19*$B$23,0)</f>
        <v/>
      </c>
      <c r="R56" s="53">
        <f>ROUND($B$5*$B$10*$B$13*$B$16*$B$17*$B$20*$B$22,0)</f>
        <v/>
      </c>
      <c r="S56" s="53">
        <f>ROUND($B$5*$B$10*$B$13*$B$16*$B$17*$B$20*$B$23,0)</f>
        <v/>
      </c>
      <c r="T56" s="53">
        <f>ROUND($B$5*$B$10*$B$13*$B$16*$B$17*$B$21*$B$22,0)</f>
        <v/>
      </c>
      <c r="U56" s="53">
        <f>ROUND($B$5*$B$10*$B$13*$B$16*$B$17*$B$21*$B$23,0)</f>
        <v/>
      </c>
      <c r="V56" s="53">
        <f>ROUND($B$5*$B$10*$B$13*$B$16*$B$18*$B$19*$B$22,0)</f>
        <v/>
      </c>
      <c r="W56" s="53">
        <f>ROUND($B$5*$B$10*$B$13*$B$16*$B$18*$B$19*$B$23,0)</f>
        <v/>
      </c>
      <c r="X56" s="53">
        <f>ROUND($B$5*$B$10*$B$13*$B$16*$B$18*$B$20*$B$22,0)</f>
        <v/>
      </c>
      <c r="Y56" s="53">
        <f>ROUND($B$5*$B$10*$B$13*$B$16*$B$18*$B$20*$B$23,0)</f>
        <v/>
      </c>
      <c r="Z56" s="53">
        <f>ROUND($B$5*$B$10*$B$13*$B$16*$B$18*$B$21*$B$22,0)</f>
        <v/>
      </c>
      <c r="AA56" s="53">
        <f>ROUND($B$5*$B$10*$B$13*$B$16*$B$18*$B$21*$B$23,0)</f>
        <v/>
      </c>
      <c r="AB56" s="53">
        <f>ROUND($B$6*$B$10*$B$13*$B$16*$B$17*$B$19*$B$22,0)</f>
        <v/>
      </c>
      <c r="AC56" s="53">
        <f>ROUND($B$6*$B$10*$B$13*$B$16*$B$17*$B$19*$B$23,0)</f>
        <v/>
      </c>
      <c r="AD56" s="53">
        <f>ROUND($B$6*$B$10*$B$13*$B$16*$B$17*$B$20*$B$22,0)</f>
        <v/>
      </c>
      <c r="AE56" s="53">
        <f>ROUND($B$6*$B$10*$B$13*$B$16*$B$17*$B$20*$B$23,0)</f>
        <v/>
      </c>
      <c r="AF56" s="53">
        <f>ROUND($B$6*$B$10*$B$13*$B$16*$B$17*$B$21*$B$22,0)</f>
        <v/>
      </c>
      <c r="AG56" s="53">
        <f>ROUND($B$6*$B$10*$B$13*$B$16*$B$17*$B$21*$B$23,0)</f>
        <v/>
      </c>
      <c r="AH56" s="53">
        <f>ROUND($B$6*$B$10*$B$13*$B$16*$B$18*$B$19*$B$22,0)</f>
        <v/>
      </c>
      <c r="AI56" s="53">
        <f>ROUND($B$6*$B$10*$B$13*$B$16*$B$18*$B$19*$B$23,0)</f>
        <v/>
      </c>
      <c r="AJ56" s="53">
        <f>ROUND($B$6*$B$10*$B$13*$B$16*$B$18*$B$20*$B$22,0)</f>
        <v/>
      </c>
      <c r="AK56" s="53">
        <f>ROUND($B$6*$B$10*$B$13*$B$16*$B$18*$B$20*$B$23,0)</f>
        <v/>
      </c>
      <c r="AL56" s="53">
        <f>ROUND($B$6*$B$10*$B$13*$B$16*$B$18*$B$21*$B$22,0)</f>
        <v/>
      </c>
      <c r="AM56" s="53">
        <f>ROUND($B$6*$B$10*$B$13*$B$16*$B$18*$B$21*$B$23,0)</f>
        <v/>
      </c>
    </row>
  </sheetData>
  <mergeCells count="47">
    <mergeCell ref="A1:AM1"/>
    <mergeCell ref="D27:I27"/>
    <mergeCell ref="J27:O27"/>
    <mergeCell ref="P27:U27"/>
    <mergeCell ref="B30:B32"/>
    <mergeCell ref="C26:C29"/>
    <mergeCell ref="B33:B35"/>
    <mergeCell ref="R28:S28"/>
    <mergeCell ref="A7:AM7"/>
    <mergeCell ref="AB27:AG27"/>
    <mergeCell ref="J28:K28"/>
    <mergeCell ref="L28:M28"/>
    <mergeCell ref="B36:B38"/>
    <mergeCell ref="B54:B56"/>
    <mergeCell ref="B45:B47"/>
    <mergeCell ref="V27:AA27"/>
    <mergeCell ref="B51:B53"/>
    <mergeCell ref="V28:W28"/>
    <mergeCell ref="X28:Y28"/>
    <mergeCell ref="AD28:AE28"/>
    <mergeCell ref="A3:AM3"/>
    <mergeCell ref="AH27:AM27"/>
    <mergeCell ref="AJ28:AK28"/>
    <mergeCell ref="A2:AM2"/>
    <mergeCell ref="AL28:AM28"/>
    <mergeCell ref="A26:A29"/>
    <mergeCell ref="AH28:AI28"/>
    <mergeCell ref="N28:O28"/>
    <mergeCell ref="A39:A47"/>
    <mergeCell ref="D28:E28"/>
    <mergeCell ref="F28:G28"/>
    <mergeCell ref="P28:Q28"/>
    <mergeCell ref="H28:I28"/>
    <mergeCell ref="D26:O26"/>
    <mergeCell ref="B42:B44"/>
    <mergeCell ref="A48:A56"/>
    <mergeCell ref="P26:AA26"/>
    <mergeCell ref="A30:A38"/>
    <mergeCell ref="B39:B41"/>
    <mergeCell ref="B48:B50"/>
    <mergeCell ref="Z28:AA28"/>
    <mergeCell ref="B26:B29"/>
    <mergeCell ref="AB28:AC28"/>
    <mergeCell ref="T28:U28"/>
    <mergeCell ref="AF28:AG28"/>
    <mergeCell ref="A24:AM24"/>
    <mergeCell ref="AB26:AM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2026-04-03T10:12:29Z</dcterms:created>
  <dcterms:modified xmlns:dcterms="http://purl.org/dc/terms/" xmlns:xsi="http://www.w3.org/2001/XMLSchema-instance" xsi:type="dcterms:W3CDTF">2026-04-23T16:32:56Z</dcterms:modified>
  <cp:lastModifiedBy>guyonn elisaaa</cp:lastModifiedBy>
</cp:coreProperties>
</file>